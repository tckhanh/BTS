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240" yWindow="165" windowWidth="14805" windowHeight="7950" tabRatio="683" activeTab="2"/>
  </bookViews>
  <sheets>
    <sheet name="Hướng dẫn" sheetId="26" r:id="rId1"/>
    <sheet name="Temp" sheetId="2" r:id="rId2"/>
    <sheet name="Tonghop" sheetId="4" r:id="rId3"/>
    <sheet name="DSCAP" sheetId="5" r:id="rId4"/>
    <sheet name="LP" sheetId="1" r:id="rId5"/>
    <sheet name="DS1" sheetId="3" r:id="rId6"/>
    <sheet name="DS2" sheetId="6" r:id="rId7"/>
    <sheet name="GCN1" sheetId="27" r:id="rId8"/>
    <sheet name="GCN2" sheetId="8" r:id="rId9"/>
    <sheet name="GCN3" sheetId="28" r:id="rId10"/>
    <sheet name="GCN4" sheetId="29" r:id="rId11"/>
    <sheet name="TH" sheetId="30" r:id="rId12"/>
  </sheets>
  <functionGroups builtInGroupCount="18"/>
  <externalReferences>
    <externalReference r:id="rId13"/>
    <externalReference r:id="rId14"/>
    <externalReference r:id="rId15"/>
    <externalReference r:id="rId16"/>
    <externalReference r:id="rId17"/>
  </externalReferences>
  <definedNames>
    <definedName name="_xlnm._FilterDatabase" localSheetId="3" hidden="1">DSCAP!$A$1:$EI$33</definedName>
    <definedName name="_xlnm._FilterDatabase" localSheetId="11" hidden="1">TH!$D$3:$E$3</definedName>
    <definedName name="_xlnm._FilterDatabase" localSheetId="2" hidden="1">Tonghop!$A$1:$AA$33</definedName>
    <definedName name="AntName">[1]Params!$A$2:$A$10</definedName>
    <definedName name="AntType">[2]Thamso!$B$2:$B$10</definedName>
    <definedName name="CH" localSheetId="11">[3]Data!$BB$3:$BB$23</definedName>
    <definedName name="CH">[4]Data!$BB$3:$BB$23</definedName>
    <definedName name="loaitu">[5]Params!$H$15:$H$20</definedName>
    <definedName name="NV">[4]Drawing!$ED$1:$EL$1</definedName>
    <definedName name="_xlnm.Print_Area" localSheetId="7">'GCN1'!$A$1:$AE$82</definedName>
    <definedName name="_xlnm.Print_Area" localSheetId="8">'GCN2'!$A$1:$AE$82</definedName>
    <definedName name="_xlnm.Print_Area" localSheetId="9">'GCN3'!$A$1:$AE$82</definedName>
    <definedName name="_xlnm.Print_Area" localSheetId="10">'GCN4'!$A$1:$AG$82</definedName>
    <definedName name="_xlnm.Print_Area" localSheetId="4">LP!$A$1:$Z$34</definedName>
  </definedNames>
  <calcPr calcId="152511"/>
</workbook>
</file>

<file path=xl/calcChain.xml><?xml version="1.0" encoding="utf-8"?>
<calcChain xmlns="http://schemas.openxmlformats.org/spreadsheetml/2006/main">
  <c r="DG33" i="5" l="1"/>
  <c r="CS33" i="5"/>
  <c r="CE33" i="5"/>
  <c r="BQ33" i="5"/>
  <c r="BA33" i="5"/>
  <c r="AK33" i="5"/>
  <c r="DG32" i="5"/>
  <c r="CS32" i="5"/>
  <c r="CE32" i="5"/>
  <c r="BQ32" i="5"/>
  <c r="BA32" i="5"/>
  <c r="AK32" i="5"/>
  <c r="DG31" i="5"/>
  <c r="CS31" i="5"/>
  <c r="CE31" i="5"/>
  <c r="BQ31" i="5"/>
  <c r="BA31" i="5"/>
  <c r="AK31" i="5"/>
  <c r="DG30" i="5"/>
  <c r="CS30" i="5"/>
  <c r="CE30" i="5"/>
  <c r="BQ30" i="5"/>
  <c r="BA30" i="5"/>
  <c r="AK30" i="5"/>
  <c r="DG29" i="5"/>
  <c r="CS29" i="5"/>
  <c r="CE29" i="5"/>
  <c r="BQ29" i="5"/>
  <c r="BA29" i="5"/>
  <c r="AK29" i="5"/>
  <c r="DG28" i="5"/>
  <c r="CS28" i="5"/>
  <c r="CE28" i="5"/>
  <c r="BQ28" i="5"/>
  <c r="BA28" i="5"/>
  <c r="AK28" i="5"/>
  <c r="DG27" i="5"/>
  <c r="CS27" i="5"/>
  <c r="CE27" i="5"/>
  <c r="BQ27" i="5"/>
  <c r="BA27" i="5"/>
  <c r="AK27" i="5"/>
  <c r="DG26" i="5"/>
  <c r="CS26" i="5"/>
  <c r="CE26" i="5"/>
  <c r="BQ26" i="5"/>
  <c r="BA26" i="5"/>
  <c r="AK26" i="5"/>
  <c r="DG25" i="5"/>
  <c r="CS25" i="5"/>
  <c r="CE25" i="5"/>
  <c r="BQ25" i="5"/>
  <c r="BA25" i="5"/>
  <c r="AK25" i="5"/>
  <c r="DG24" i="5"/>
  <c r="CS24" i="5"/>
  <c r="CE24" i="5"/>
  <c r="BQ24" i="5"/>
  <c r="BA24" i="5"/>
  <c r="AK24" i="5"/>
  <c r="DG23" i="5"/>
  <c r="CS23" i="5"/>
  <c r="CE23" i="5"/>
  <c r="BQ23" i="5"/>
  <c r="BA23" i="5"/>
  <c r="AK23" i="5"/>
  <c r="DG22" i="5"/>
  <c r="CS22" i="5"/>
  <c r="CE22" i="5"/>
  <c r="BQ22" i="5"/>
  <c r="BA22" i="5"/>
  <c r="AK22" i="5"/>
  <c r="DG21" i="5"/>
  <c r="CS21" i="5"/>
  <c r="CE21" i="5"/>
  <c r="BQ21" i="5"/>
  <c r="BA21" i="5"/>
  <c r="AK21" i="5"/>
  <c r="DG20" i="5"/>
  <c r="CS20" i="5"/>
  <c r="CE20" i="5"/>
  <c r="BQ20" i="5"/>
  <c r="BA20" i="5"/>
  <c r="AK20" i="5"/>
  <c r="DG19" i="5"/>
  <c r="CS19" i="5"/>
  <c r="CE19" i="5"/>
  <c r="BQ19" i="5"/>
  <c r="BA19" i="5"/>
  <c r="AK19" i="5"/>
  <c r="DG18" i="5"/>
  <c r="CS18" i="5"/>
  <c r="CE18" i="5"/>
  <c r="BQ18" i="5"/>
  <c r="BA18" i="5"/>
  <c r="AK18" i="5"/>
  <c r="DG17" i="5"/>
  <c r="CS17" i="5"/>
  <c r="CE17" i="5"/>
  <c r="BQ17" i="5"/>
  <c r="BA17" i="5"/>
  <c r="AK17" i="5"/>
  <c r="DG16" i="5"/>
  <c r="CS16" i="5"/>
  <c r="CE16" i="5"/>
  <c r="BQ16" i="5"/>
  <c r="BA16" i="5"/>
  <c r="AK16" i="5"/>
  <c r="DG15" i="5"/>
  <c r="CS15" i="5"/>
  <c r="CE15" i="5"/>
  <c r="BQ15" i="5"/>
  <c r="BA15" i="5"/>
  <c r="AK15" i="5"/>
  <c r="DG14" i="5"/>
  <c r="CS14" i="5"/>
  <c r="CE14" i="5"/>
  <c r="BQ14" i="5"/>
  <c r="BA14" i="5"/>
  <c r="AK14" i="5"/>
  <c r="DG13" i="5"/>
  <c r="CS13" i="5"/>
  <c r="CE13" i="5"/>
  <c r="BQ13" i="5"/>
  <c r="BA13" i="5"/>
  <c r="AK13" i="5"/>
  <c r="DG12" i="5"/>
  <c r="CS12" i="5"/>
  <c r="CE12" i="5"/>
  <c r="BQ12" i="5"/>
  <c r="BA12" i="5"/>
  <c r="AK12" i="5"/>
  <c r="DG11" i="5"/>
  <c r="CS11" i="5"/>
  <c r="CE11" i="5"/>
  <c r="BQ11" i="5"/>
  <c r="BA11" i="5"/>
  <c r="AK11" i="5"/>
  <c r="DG10" i="5"/>
  <c r="CS10" i="5"/>
  <c r="CE10" i="5"/>
  <c r="BQ10" i="5"/>
  <c r="BA10" i="5"/>
  <c r="AK10" i="5"/>
  <c r="DG9" i="5"/>
  <c r="CS9" i="5"/>
  <c r="CE9" i="5"/>
  <c r="BQ9" i="5"/>
  <c r="BA9" i="5"/>
  <c r="AK9" i="5"/>
  <c r="DG8" i="5"/>
  <c r="CS8" i="5"/>
  <c r="CE8" i="5"/>
  <c r="BQ8" i="5"/>
  <c r="BA8" i="5"/>
  <c r="AK8" i="5"/>
  <c r="DG7" i="5"/>
  <c r="CS7" i="5"/>
  <c r="CE7" i="5"/>
  <c r="BQ7" i="5"/>
  <c r="BA7" i="5"/>
  <c r="AK7" i="5"/>
  <c r="DG6" i="5"/>
  <c r="CS6" i="5"/>
  <c r="CE6" i="5"/>
  <c r="BQ6" i="5"/>
  <c r="BA6" i="5"/>
  <c r="AK6" i="5"/>
  <c r="DG5" i="5"/>
  <c r="CS5" i="5"/>
  <c r="CE5" i="5"/>
  <c r="BQ5" i="5"/>
  <c r="BA5" i="5"/>
  <c r="AK5" i="5"/>
  <c r="DG4" i="5"/>
  <c r="CS4" i="5"/>
  <c r="CE4" i="5"/>
  <c r="BQ4" i="5"/>
  <c r="BA4" i="5"/>
  <c r="AK4" i="5"/>
  <c r="DG3" i="5"/>
  <c r="CS3" i="5"/>
  <c r="CE3" i="5"/>
  <c r="BQ3" i="5"/>
  <c r="BA3" i="5"/>
  <c r="AK3" i="5"/>
  <c r="DG2" i="5"/>
  <c r="CS2" i="5"/>
  <c r="CE2" i="5"/>
  <c r="BQ2" i="5"/>
  <c r="BA2" i="5"/>
  <c r="AK2" i="5"/>
  <c r="DW33" i="5" l="1"/>
  <c r="DV33" i="5"/>
  <c r="DT33" i="5"/>
  <c r="DS33" i="5"/>
  <c r="DP33" i="5"/>
  <c r="DO33" i="5"/>
  <c r="DN33" i="5"/>
  <c r="DM33" i="5"/>
  <c r="DL33" i="5"/>
  <c r="DJ33" i="5"/>
  <c r="DC33" i="5"/>
  <c r="CO33" i="5"/>
  <c r="CA33" i="5"/>
  <c r="BL33" i="5"/>
  <c r="AV33" i="5"/>
  <c r="AF33" i="5"/>
  <c r="S33" i="5"/>
  <c r="R33" i="5"/>
  <c r="P33" i="5"/>
  <c r="N33" i="5" s="1"/>
  <c r="DW32" i="5"/>
  <c r="DV32" i="5"/>
  <c r="DT32" i="5"/>
  <c r="DS32" i="5"/>
  <c r="DP32" i="5"/>
  <c r="DO32" i="5"/>
  <c r="DN32" i="5"/>
  <c r="DM32" i="5"/>
  <c r="DL32" i="5"/>
  <c r="DJ32" i="5"/>
  <c r="DC32" i="5"/>
  <c r="CO32" i="5"/>
  <c r="CA32" i="5"/>
  <c r="BL32" i="5"/>
  <c r="AV32" i="5"/>
  <c r="AF32" i="5"/>
  <c r="S32" i="5"/>
  <c r="DU32" i="5" s="1"/>
  <c r="R32" i="5"/>
  <c r="P32" i="5"/>
  <c r="N32" i="5" s="1"/>
  <c r="DW31" i="5"/>
  <c r="DV31" i="5"/>
  <c r="DT31" i="5"/>
  <c r="DS31" i="5"/>
  <c r="DP31" i="5"/>
  <c r="DO31" i="5"/>
  <c r="DN31" i="5"/>
  <c r="DM31" i="5"/>
  <c r="DL31" i="5"/>
  <c r="DJ31" i="5"/>
  <c r="DC31" i="5"/>
  <c r="CO31" i="5"/>
  <c r="CA31" i="5"/>
  <c r="BL31" i="5"/>
  <c r="AV31" i="5"/>
  <c r="AF31" i="5"/>
  <c r="S31" i="5"/>
  <c r="R31" i="5"/>
  <c r="P31" i="5"/>
  <c r="N31" i="5" s="1"/>
  <c r="DW30" i="5"/>
  <c r="DV30" i="5"/>
  <c r="DT30" i="5"/>
  <c r="DS30" i="5"/>
  <c r="DP30" i="5"/>
  <c r="DO30" i="5"/>
  <c r="DN30" i="5"/>
  <c r="DM30" i="5"/>
  <c r="DL30" i="5"/>
  <c r="DJ30" i="5"/>
  <c r="DC30" i="5"/>
  <c r="CO30" i="5"/>
  <c r="CA30" i="5"/>
  <c r="BL30" i="5"/>
  <c r="AV30" i="5"/>
  <c r="AF30" i="5"/>
  <c r="S30" i="5"/>
  <c r="R30" i="5"/>
  <c r="P30" i="5"/>
  <c r="N30" i="5" s="1"/>
  <c r="DW29" i="5"/>
  <c r="DV29" i="5"/>
  <c r="DT29" i="5"/>
  <c r="DS29" i="5"/>
  <c r="DP29" i="5"/>
  <c r="DO29" i="5"/>
  <c r="DN29" i="5"/>
  <c r="DM29" i="5"/>
  <c r="DL29" i="5"/>
  <c r="DJ29" i="5"/>
  <c r="DC29" i="5"/>
  <c r="CO29" i="5"/>
  <c r="CA29" i="5"/>
  <c r="BL29" i="5"/>
  <c r="AV29" i="5"/>
  <c r="AF29" i="5"/>
  <c r="S29" i="5"/>
  <c r="R29" i="5"/>
  <c r="P29" i="5"/>
  <c r="N29" i="5" s="1"/>
  <c r="DW28" i="5"/>
  <c r="DV28" i="5"/>
  <c r="DT28" i="5"/>
  <c r="DS28" i="5"/>
  <c r="DP28" i="5"/>
  <c r="DO28" i="5"/>
  <c r="DN28" i="5"/>
  <c r="DM28" i="5"/>
  <c r="DL28" i="5"/>
  <c r="DJ28" i="5"/>
  <c r="DC28" i="5"/>
  <c r="CO28" i="5"/>
  <c r="CA28" i="5"/>
  <c r="BL28" i="5"/>
  <c r="AV28" i="5"/>
  <c r="AF28" i="5"/>
  <c r="S28" i="5"/>
  <c r="DU28" i="5" s="1"/>
  <c r="R28" i="5"/>
  <c r="P28" i="5"/>
  <c r="N28" i="5" s="1"/>
  <c r="DW27" i="5"/>
  <c r="DV27" i="5"/>
  <c r="DT27" i="5"/>
  <c r="DS27" i="5"/>
  <c r="DP27" i="5"/>
  <c r="DO27" i="5"/>
  <c r="DN27" i="5"/>
  <c r="DM27" i="5"/>
  <c r="DL27" i="5"/>
  <c r="DJ27" i="5"/>
  <c r="DC27" i="5"/>
  <c r="CO27" i="5"/>
  <c r="CA27" i="5"/>
  <c r="BL27" i="5"/>
  <c r="AV27" i="5"/>
  <c r="AF27" i="5"/>
  <c r="S27" i="5"/>
  <c r="R27" i="5"/>
  <c r="P27" i="5"/>
  <c r="N27" i="5" s="1"/>
  <c r="DW26" i="5"/>
  <c r="DV26" i="5"/>
  <c r="DT26" i="5"/>
  <c r="DS26" i="5"/>
  <c r="DP26" i="5"/>
  <c r="DO26" i="5"/>
  <c r="DN26" i="5"/>
  <c r="DM26" i="5"/>
  <c r="DL26" i="5"/>
  <c r="DJ26" i="5"/>
  <c r="DC26" i="5"/>
  <c r="CO26" i="5"/>
  <c r="CA26" i="5"/>
  <c r="BL26" i="5"/>
  <c r="AV26" i="5"/>
  <c r="AF26" i="5"/>
  <c r="S26" i="5"/>
  <c r="R26" i="5"/>
  <c r="P26" i="5"/>
  <c r="N26" i="5" s="1"/>
  <c r="DW25" i="5"/>
  <c r="DV25" i="5"/>
  <c r="DT25" i="5"/>
  <c r="DS25" i="5"/>
  <c r="DP25" i="5"/>
  <c r="DO25" i="5"/>
  <c r="DN25" i="5"/>
  <c r="DM25" i="5"/>
  <c r="DL25" i="5"/>
  <c r="DJ25" i="5"/>
  <c r="DC25" i="5"/>
  <c r="CO25" i="5"/>
  <c r="CA25" i="5"/>
  <c r="BL25" i="5"/>
  <c r="AV25" i="5"/>
  <c r="AF25" i="5"/>
  <c r="S25" i="5"/>
  <c r="R25" i="5"/>
  <c r="P25" i="5"/>
  <c r="N25" i="5" s="1"/>
  <c r="DW24" i="5"/>
  <c r="DV24" i="5"/>
  <c r="DT24" i="5"/>
  <c r="DS24" i="5"/>
  <c r="DP24" i="5"/>
  <c r="DO24" i="5"/>
  <c r="DN24" i="5"/>
  <c r="DM24" i="5"/>
  <c r="DL24" i="5"/>
  <c r="DJ24" i="5"/>
  <c r="DC24" i="5"/>
  <c r="CO24" i="5"/>
  <c r="CA24" i="5"/>
  <c r="BL24" i="5"/>
  <c r="AV24" i="5"/>
  <c r="AF24" i="5"/>
  <c r="S24" i="5"/>
  <c r="DU24" i="5" s="1"/>
  <c r="R24" i="5"/>
  <c r="P24" i="5"/>
  <c r="N24" i="5" s="1"/>
  <c r="DW23" i="5"/>
  <c r="DV23" i="5"/>
  <c r="DT23" i="5"/>
  <c r="DS23" i="5"/>
  <c r="DP23" i="5"/>
  <c r="DO23" i="5"/>
  <c r="DN23" i="5"/>
  <c r="DM23" i="5"/>
  <c r="DL23" i="5"/>
  <c r="DJ23" i="5"/>
  <c r="DC23" i="5"/>
  <c r="CO23" i="5"/>
  <c r="CA23" i="5"/>
  <c r="BL23" i="5"/>
  <c r="AV23" i="5"/>
  <c r="AF23" i="5"/>
  <c r="S23" i="5"/>
  <c r="R23" i="5"/>
  <c r="P23" i="5"/>
  <c r="N23" i="5" s="1"/>
  <c r="DW22" i="5"/>
  <c r="DV22" i="5"/>
  <c r="DT22" i="5"/>
  <c r="DS22" i="5"/>
  <c r="DP22" i="5"/>
  <c r="DO22" i="5"/>
  <c r="DN22" i="5"/>
  <c r="DM22" i="5"/>
  <c r="DL22" i="5"/>
  <c r="DJ22" i="5"/>
  <c r="DC22" i="5"/>
  <c r="CO22" i="5"/>
  <c r="CA22" i="5"/>
  <c r="BL22" i="5"/>
  <c r="AV22" i="5"/>
  <c r="AF22" i="5"/>
  <c r="S22" i="5"/>
  <c r="R22" i="5"/>
  <c r="P22" i="5"/>
  <c r="N22" i="5" s="1"/>
  <c r="DW21" i="5"/>
  <c r="DV21" i="5"/>
  <c r="DT21" i="5"/>
  <c r="DS21" i="5"/>
  <c r="DP21" i="5"/>
  <c r="DO21" i="5"/>
  <c r="DN21" i="5"/>
  <c r="DM21" i="5"/>
  <c r="DL21" i="5"/>
  <c r="DJ21" i="5"/>
  <c r="DC21" i="5"/>
  <c r="CO21" i="5"/>
  <c r="CA21" i="5"/>
  <c r="BL21" i="5"/>
  <c r="AV21" i="5"/>
  <c r="AF21" i="5"/>
  <c r="S21" i="5"/>
  <c r="R21" i="5"/>
  <c r="P21" i="5"/>
  <c r="N21" i="5" s="1"/>
  <c r="DW20" i="5"/>
  <c r="DV20" i="5"/>
  <c r="DT20" i="5"/>
  <c r="DS20" i="5"/>
  <c r="DP20" i="5"/>
  <c r="DO20" i="5"/>
  <c r="DN20" i="5"/>
  <c r="DM20" i="5"/>
  <c r="DL20" i="5"/>
  <c r="DJ20" i="5"/>
  <c r="DC20" i="5"/>
  <c r="CO20" i="5"/>
  <c r="CA20" i="5"/>
  <c r="BL20" i="5"/>
  <c r="AV20" i="5"/>
  <c r="AF20" i="5"/>
  <c r="S20" i="5"/>
  <c r="DU20" i="5" s="1"/>
  <c r="R20" i="5"/>
  <c r="P20" i="5"/>
  <c r="N20" i="5" s="1"/>
  <c r="DW19" i="5"/>
  <c r="DV19" i="5"/>
  <c r="DT19" i="5"/>
  <c r="DS19" i="5"/>
  <c r="DP19" i="5"/>
  <c r="DO19" i="5"/>
  <c r="DN19" i="5"/>
  <c r="DM19" i="5"/>
  <c r="DL19" i="5"/>
  <c r="DJ19" i="5"/>
  <c r="DC19" i="5"/>
  <c r="CO19" i="5"/>
  <c r="CA19" i="5"/>
  <c r="BL19" i="5"/>
  <c r="AV19" i="5"/>
  <c r="AF19" i="5"/>
  <c r="S19" i="5"/>
  <c r="R19" i="5"/>
  <c r="P19" i="5"/>
  <c r="N19" i="5" s="1"/>
  <c r="DW18" i="5"/>
  <c r="DV18" i="5"/>
  <c r="DT18" i="5"/>
  <c r="DS18" i="5"/>
  <c r="DP18" i="5"/>
  <c r="DO18" i="5"/>
  <c r="DN18" i="5"/>
  <c r="DM18" i="5"/>
  <c r="DL18" i="5"/>
  <c r="DJ18" i="5"/>
  <c r="DC18" i="5"/>
  <c r="CO18" i="5"/>
  <c r="CA18" i="5"/>
  <c r="BL18" i="5"/>
  <c r="AV18" i="5"/>
  <c r="AF18" i="5"/>
  <c r="S18" i="5"/>
  <c r="R18" i="5"/>
  <c r="P18" i="5"/>
  <c r="N18" i="5" s="1"/>
  <c r="DW17" i="5"/>
  <c r="DV17" i="5"/>
  <c r="DT17" i="5"/>
  <c r="DS17" i="5"/>
  <c r="DP17" i="5"/>
  <c r="DO17" i="5"/>
  <c r="DN17" i="5"/>
  <c r="DM17" i="5"/>
  <c r="DL17" i="5"/>
  <c r="DJ17" i="5"/>
  <c r="DC17" i="5"/>
  <c r="CO17" i="5"/>
  <c r="CA17" i="5"/>
  <c r="BL17" i="5"/>
  <c r="AV17" i="5"/>
  <c r="AF17" i="5"/>
  <c r="S17" i="5"/>
  <c r="R17" i="5"/>
  <c r="P17" i="5"/>
  <c r="N17" i="5" s="1"/>
  <c r="DW16" i="5"/>
  <c r="DV16" i="5"/>
  <c r="DT16" i="5"/>
  <c r="DS16" i="5"/>
  <c r="DP16" i="5"/>
  <c r="DO16" i="5"/>
  <c r="DN16" i="5"/>
  <c r="DM16" i="5"/>
  <c r="DL16" i="5"/>
  <c r="DJ16" i="5"/>
  <c r="DC16" i="5"/>
  <c r="CO16" i="5"/>
  <c r="CA16" i="5"/>
  <c r="BL16" i="5"/>
  <c r="AV16" i="5"/>
  <c r="AF16" i="5"/>
  <c r="S16" i="5"/>
  <c r="DU16" i="5" s="1"/>
  <c r="R16" i="5"/>
  <c r="P16" i="5"/>
  <c r="N16" i="5" s="1"/>
  <c r="DW15" i="5"/>
  <c r="DV15" i="5"/>
  <c r="DT15" i="5"/>
  <c r="DS15" i="5"/>
  <c r="DP15" i="5"/>
  <c r="DO15" i="5"/>
  <c r="DN15" i="5"/>
  <c r="DM15" i="5"/>
  <c r="DL15" i="5"/>
  <c r="DJ15" i="5"/>
  <c r="DC15" i="5"/>
  <c r="CO15" i="5"/>
  <c r="CA15" i="5"/>
  <c r="BL15" i="5"/>
  <c r="AV15" i="5"/>
  <c r="AF15" i="5"/>
  <c r="S15" i="5"/>
  <c r="R15" i="5"/>
  <c r="P15" i="5"/>
  <c r="N15" i="5" s="1"/>
  <c r="DW14" i="5"/>
  <c r="DV14" i="5"/>
  <c r="DT14" i="5"/>
  <c r="DS14" i="5"/>
  <c r="DP14" i="5"/>
  <c r="DO14" i="5"/>
  <c r="DN14" i="5"/>
  <c r="DM14" i="5"/>
  <c r="DL14" i="5"/>
  <c r="DJ14" i="5"/>
  <c r="DC14" i="5"/>
  <c r="CO14" i="5"/>
  <c r="CA14" i="5"/>
  <c r="BL14" i="5"/>
  <c r="AV14" i="5"/>
  <c r="AF14" i="5"/>
  <c r="S14" i="5"/>
  <c r="R14" i="5"/>
  <c r="P14" i="5"/>
  <c r="N14" i="5" s="1"/>
  <c r="DW13" i="5"/>
  <c r="DV13" i="5"/>
  <c r="DT13" i="5"/>
  <c r="DS13" i="5"/>
  <c r="DP13" i="5"/>
  <c r="DO13" i="5"/>
  <c r="DN13" i="5"/>
  <c r="DM13" i="5"/>
  <c r="DL13" i="5"/>
  <c r="DJ13" i="5"/>
  <c r="DC13" i="5"/>
  <c r="CO13" i="5"/>
  <c r="CA13" i="5"/>
  <c r="BL13" i="5"/>
  <c r="AV13" i="5"/>
  <c r="AF13" i="5"/>
  <c r="S13" i="5"/>
  <c r="R13" i="5"/>
  <c r="P13" i="5"/>
  <c r="N13" i="5" s="1"/>
  <c r="DW12" i="5"/>
  <c r="DV12" i="5"/>
  <c r="DT12" i="5"/>
  <c r="DS12" i="5"/>
  <c r="DP12" i="5"/>
  <c r="DO12" i="5"/>
  <c r="DN12" i="5"/>
  <c r="DM12" i="5"/>
  <c r="DL12" i="5"/>
  <c r="DJ12" i="5"/>
  <c r="DC12" i="5"/>
  <c r="CO12" i="5"/>
  <c r="CA12" i="5"/>
  <c r="BL12" i="5"/>
  <c r="AV12" i="5"/>
  <c r="AF12" i="5"/>
  <c r="S12" i="5"/>
  <c r="DU12" i="5" s="1"/>
  <c r="R12" i="5"/>
  <c r="P12" i="5"/>
  <c r="N12" i="5" s="1"/>
  <c r="DW11" i="5"/>
  <c r="DV11" i="5"/>
  <c r="DT11" i="5"/>
  <c r="DS11" i="5"/>
  <c r="DP11" i="5"/>
  <c r="DO11" i="5"/>
  <c r="DN11" i="5"/>
  <c r="DM11" i="5"/>
  <c r="DL11" i="5"/>
  <c r="DJ11" i="5"/>
  <c r="DC11" i="5"/>
  <c r="CO11" i="5"/>
  <c r="CA11" i="5"/>
  <c r="BL11" i="5"/>
  <c r="AV11" i="5"/>
  <c r="AF11" i="5"/>
  <c r="S11" i="5"/>
  <c r="R11" i="5"/>
  <c r="P11" i="5"/>
  <c r="N11" i="5" s="1"/>
  <c r="DW10" i="5"/>
  <c r="DV10" i="5"/>
  <c r="DT10" i="5"/>
  <c r="DS10" i="5"/>
  <c r="DP10" i="5"/>
  <c r="DO10" i="5"/>
  <c r="DN10" i="5"/>
  <c r="DM10" i="5"/>
  <c r="DL10" i="5"/>
  <c r="DJ10" i="5"/>
  <c r="DC10" i="5"/>
  <c r="CO10" i="5"/>
  <c r="CA10" i="5"/>
  <c r="BL10" i="5"/>
  <c r="AV10" i="5"/>
  <c r="AF10" i="5"/>
  <c r="S10" i="5"/>
  <c r="R10" i="5"/>
  <c r="P10" i="5"/>
  <c r="N10" i="5" s="1"/>
  <c r="DW9" i="5"/>
  <c r="DV9" i="5"/>
  <c r="DT9" i="5"/>
  <c r="DS9" i="5"/>
  <c r="DP9" i="5"/>
  <c r="DO9" i="5"/>
  <c r="DN9" i="5"/>
  <c r="DM9" i="5"/>
  <c r="DL9" i="5"/>
  <c r="DJ9" i="5"/>
  <c r="DC9" i="5"/>
  <c r="CO9" i="5"/>
  <c r="CA9" i="5"/>
  <c r="BL9" i="5"/>
  <c r="AV9" i="5"/>
  <c r="AF9" i="5"/>
  <c r="S9" i="5"/>
  <c r="R9" i="5"/>
  <c r="P9" i="5"/>
  <c r="N9" i="5" s="1"/>
  <c r="DW8" i="5"/>
  <c r="DV8" i="5"/>
  <c r="DT8" i="5"/>
  <c r="DS8" i="5"/>
  <c r="DP8" i="5"/>
  <c r="DO8" i="5"/>
  <c r="DN8" i="5"/>
  <c r="DM8" i="5"/>
  <c r="DL8" i="5"/>
  <c r="DJ8" i="5"/>
  <c r="DC8" i="5"/>
  <c r="CO8" i="5"/>
  <c r="CA8" i="5"/>
  <c r="BL8" i="5"/>
  <c r="AV8" i="5"/>
  <c r="AF8" i="5"/>
  <c r="S8" i="5"/>
  <c r="DU8" i="5" s="1"/>
  <c r="R8" i="5"/>
  <c r="P8" i="5"/>
  <c r="N8" i="5" s="1"/>
  <c r="DW7" i="5"/>
  <c r="DV7" i="5"/>
  <c r="DT7" i="5"/>
  <c r="DS7" i="5"/>
  <c r="DP7" i="5"/>
  <c r="DO7" i="5"/>
  <c r="DN7" i="5"/>
  <c r="DM7" i="5"/>
  <c r="DL7" i="5"/>
  <c r="DJ7" i="5"/>
  <c r="DC7" i="5"/>
  <c r="CO7" i="5"/>
  <c r="CA7" i="5"/>
  <c r="BL7" i="5"/>
  <c r="AV7" i="5"/>
  <c r="AF7" i="5"/>
  <c r="S7" i="5"/>
  <c r="R7" i="5"/>
  <c r="P7" i="5"/>
  <c r="N7" i="5" s="1"/>
  <c r="DW6" i="5"/>
  <c r="DV6" i="5"/>
  <c r="DT6" i="5"/>
  <c r="DS6" i="5"/>
  <c r="DP6" i="5"/>
  <c r="DO6" i="5"/>
  <c r="DN6" i="5"/>
  <c r="DM6" i="5"/>
  <c r="DL6" i="5"/>
  <c r="DJ6" i="5"/>
  <c r="DC6" i="5"/>
  <c r="CO6" i="5"/>
  <c r="CA6" i="5"/>
  <c r="BL6" i="5"/>
  <c r="AV6" i="5"/>
  <c r="AF6" i="5"/>
  <c r="S6" i="5"/>
  <c r="R6" i="5"/>
  <c r="P6" i="5"/>
  <c r="N6" i="5" s="1"/>
  <c r="DW5" i="5"/>
  <c r="DV5" i="5"/>
  <c r="DT5" i="5"/>
  <c r="DS5" i="5"/>
  <c r="DP5" i="5"/>
  <c r="DO5" i="5"/>
  <c r="DN5" i="5"/>
  <c r="DM5" i="5"/>
  <c r="DL5" i="5"/>
  <c r="DJ5" i="5"/>
  <c r="DC5" i="5"/>
  <c r="CO5" i="5"/>
  <c r="CA5" i="5"/>
  <c r="BL5" i="5"/>
  <c r="AV5" i="5"/>
  <c r="AF5" i="5"/>
  <c r="S5" i="5"/>
  <c r="R5" i="5"/>
  <c r="P5" i="5"/>
  <c r="N5" i="5" s="1"/>
  <c r="DW4" i="5"/>
  <c r="DV4" i="5"/>
  <c r="DT4" i="5"/>
  <c r="DS4" i="5"/>
  <c r="DP4" i="5"/>
  <c r="DO4" i="5"/>
  <c r="DN4" i="5"/>
  <c r="DM4" i="5"/>
  <c r="DL4" i="5"/>
  <c r="DJ4" i="5"/>
  <c r="DC4" i="5"/>
  <c r="CO4" i="5"/>
  <c r="CA4" i="5"/>
  <c r="BL4" i="5"/>
  <c r="AV4" i="5"/>
  <c r="AF4" i="5"/>
  <c r="S4" i="5"/>
  <c r="DU4" i="5" s="1"/>
  <c r="R4" i="5"/>
  <c r="P4" i="5"/>
  <c r="N4" i="5" s="1"/>
  <c r="DW3" i="5"/>
  <c r="DV3" i="5"/>
  <c r="DT3" i="5"/>
  <c r="DS3" i="5"/>
  <c r="DP3" i="5"/>
  <c r="DO3" i="5"/>
  <c r="DN3" i="5"/>
  <c r="DM3" i="5"/>
  <c r="DL3" i="5"/>
  <c r="DJ3" i="5"/>
  <c r="DC3" i="5"/>
  <c r="CO3" i="5"/>
  <c r="CA3" i="5"/>
  <c r="BL3" i="5"/>
  <c r="AV3" i="5"/>
  <c r="AF3" i="5"/>
  <c r="S3" i="5"/>
  <c r="R3" i="5"/>
  <c r="P3" i="5"/>
  <c r="N3" i="5" s="1"/>
  <c r="DU22" i="5" l="1"/>
  <c r="DU11" i="5"/>
  <c r="DU3" i="5"/>
  <c r="DU7" i="5"/>
  <c r="DU15" i="5"/>
  <c r="DU23" i="5"/>
  <c r="DU27" i="5"/>
  <c r="DU31" i="5"/>
  <c r="DU26" i="5"/>
  <c r="DU30" i="5"/>
  <c r="DU19" i="5"/>
  <c r="DU6" i="5"/>
  <c r="DU10" i="5"/>
  <c r="DU14" i="5"/>
  <c r="DU18" i="5"/>
  <c r="DU5" i="5"/>
  <c r="DU9" i="5"/>
  <c r="DU13" i="5"/>
  <c r="DU17" i="5"/>
  <c r="DU21" i="5"/>
  <c r="DU25" i="5"/>
  <c r="DU29" i="5"/>
  <c r="DU33" i="5"/>
  <c r="DQ26" i="5"/>
  <c r="EG26" i="5" s="1"/>
  <c r="DQ28" i="5"/>
  <c r="DQ3" i="5"/>
  <c r="DK3" i="5" s="1"/>
  <c r="DQ5" i="5"/>
  <c r="EG5" i="5" s="1"/>
  <c r="DQ7" i="5"/>
  <c r="EG7" i="5" s="1"/>
  <c r="DQ9" i="5"/>
  <c r="EH9" i="5" s="1"/>
  <c r="DQ11" i="5"/>
  <c r="DK11" i="5" s="1"/>
  <c r="DQ14" i="5"/>
  <c r="EH14" i="5" s="1"/>
  <c r="DQ16" i="5"/>
  <c r="EH16" i="5" s="1"/>
  <c r="DQ18" i="5"/>
  <c r="EH18" i="5" s="1"/>
  <c r="DQ20" i="5"/>
  <c r="EG20" i="5" s="1"/>
  <c r="DQ23" i="5"/>
  <c r="DK23" i="5" s="1"/>
  <c r="DQ25" i="5"/>
  <c r="EG25" i="5" s="1"/>
  <c r="DQ31" i="5"/>
  <c r="DK31" i="5" s="1"/>
  <c r="DQ32" i="5"/>
  <c r="EH32" i="5" s="1"/>
  <c r="DQ33" i="5"/>
  <c r="DK33" i="5" s="1"/>
  <c r="DQ4" i="5"/>
  <c r="DK4" i="5" s="1"/>
  <c r="DQ6" i="5"/>
  <c r="DK6" i="5" s="1"/>
  <c r="DQ10" i="5"/>
  <c r="EG10" i="5" s="1"/>
  <c r="DQ12" i="5"/>
  <c r="DK12" i="5" s="1"/>
  <c r="DQ22" i="5"/>
  <c r="EG22" i="5" s="1"/>
  <c r="DQ24" i="5"/>
  <c r="DK24" i="5" s="1"/>
  <c r="DQ27" i="5"/>
  <c r="EG27" i="5" s="1"/>
  <c r="DQ30" i="5"/>
  <c r="DK30" i="5" s="1"/>
  <c r="DQ13" i="5"/>
  <c r="EG13" i="5" s="1"/>
  <c r="DQ15" i="5"/>
  <c r="DK15" i="5" s="1"/>
  <c r="DQ19" i="5"/>
  <c r="DK19" i="5" s="1"/>
  <c r="DQ21" i="5"/>
  <c r="EG21" i="5" s="1"/>
  <c r="DQ29" i="5"/>
  <c r="EH29" i="5" s="1"/>
  <c r="DQ17" i="5"/>
  <c r="EG17" i="5" s="1"/>
  <c r="DQ8" i="5"/>
  <c r="EH8" i="5" s="1"/>
  <c r="DK28" i="5"/>
  <c r="EG28" i="5"/>
  <c r="EH28" i="5"/>
  <c r="EI34" i="2"/>
  <c r="EH34" i="2"/>
  <c r="EG34" i="2"/>
  <c r="EF34" i="2"/>
  <c r="EE34" i="2"/>
  <c r="E34" i="2"/>
  <c r="DN34" i="2" s="1"/>
  <c r="D34" i="2"/>
  <c r="DB34" i="2" s="1"/>
  <c r="C34" i="2"/>
  <c r="B34" i="2"/>
  <c r="A34" i="2"/>
  <c r="EI33" i="2"/>
  <c r="EH33" i="2"/>
  <c r="EG33" i="2"/>
  <c r="EF33" i="2"/>
  <c r="EE33" i="2"/>
  <c r="E33" i="2"/>
  <c r="D33" i="2"/>
  <c r="DB33" i="2" s="1"/>
  <c r="C33" i="2"/>
  <c r="B33" i="2"/>
  <c r="A33" i="2"/>
  <c r="EI32" i="2"/>
  <c r="EH32" i="2"/>
  <c r="EG32" i="2"/>
  <c r="EF32" i="2"/>
  <c r="EE32" i="2"/>
  <c r="E32" i="2"/>
  <c r="D32" i="2"/>
  <c r="DB32" i="2" s="1"/>
  <c r="C32" i="2"/>
  <c r="B32" i="2"/>
  <c r="A32" i="2"/>
  <c r="EI31" i="2"/>
  <c r="EH31" i="2"/>
  <c r="EG31" i="2"/>
  <c r="EF31" i="2"/>
  <c r="EE31" i="2"/>
  <c r="E31" i="2"/>
  <c r="DN31" i="2" s="1"/>
  <c r="D31" i="2"/>
  <c r="DB31" i="2" s="1"/>
  <c r="C31" i="2"/>
  <c r="B31" i="2"/>
  <c r="A31" i="2"/>
  <c r="EI30" i="2"/>
  <c r="EH30" i="2"/>
  <c r="EG30" i="2"/>
  <c r="EF30" i="2"/>
  <c r="EE30" i="2"/>
  <c r="E30" i="2"/>
  <c r="DH30" i="2" s="1"/>
  <c r="D30" i="2"/>
  <c r="DB30" i="2" s="1"/>
  <c r="C30" i="2"/>
  <c r="B30" i="2"/>
  <c r="A30" i="2"/>
  <c r="EI29" i="2"/>
  <c r="EH29" i="2"/>
  <c r="EG29" i="2"/>
  <c r="EF29" i="2"/>
  <c r="EE29" i="2"/>
  <c r="E29" i="2"/>
  <c r="DN29" i="2" s="1"/>
  <c r="D29" i="2"/>
  <c r="DB29" i="2" s="1"/>
  <c r="C29" i="2"/>
  <c r="B29" i="2"/>
  <c r="A29" i="2"/>
  <c r="EI28" i="2"/>
  <c r="EH28" i="2"/>
  <c r="EG28" i="2"/>
  <c r="EF28" i="2"/>
  <c r="EE28" i="2"/>
  <c r="E28" i="2"/>
  <c r="DN28" i="2" s="1"/>
  <c r="D28" i="2"/>
  <c r="DB28" i="2" s="1"/>
  <c r="C28" i="2"/>
  <c r="B28" i="2"/>
  <c r="A28" i="2"/>
  <c r="EI27" i="2"/>
  <c r="EH27" i="2"/>
  <c r="EG27" i="2"/>
  <c r="EF27" i="2"/>
  <c r="EE27" i="2"/>
  <c r="E27" i="2"/>
  <c r="L27" i="2" s="1"/>
  <c r="D27" i="2"/>
  <c r="DB27" i="2" s="1"/>
  <c r="C27" i="2"/>
  <c r="B27" i="2"/>
  <c r="A27" i="2"/>
  <c r="EI26" i="2"/>
  <c r="EH26" i="2"/>
  <c r="EG26" i="2"/>
  <c r="EF26" i="2"/>
  <c r="EE26" i="2"/>
  <c r="L26" i="2"/>
  <c r="AA26" i="2" s="1"/>
  <c r="E26" i="2"/>
  <c r="D26" i="2"/>
  <c r="DB26" i="2" s="1"/>
  <c r="C26" i="2"/>
  <c r="B26" i="2"/>
  <c r="A26" i="2"/>
  <c r="EI25" i="2"/>
  <c r="EH25" i="2"/>
  <c r="EG25" i="2"/>
  <c r="EF25" i="2"/>
  <c r="EE25" i="2"/>
  <c r="E25" i="2"/>
  <c r="DA25" i="2" s="1"/>
  <c r="D25" i="2"/>
  <c r="DB25" i="2" s="1"/>
  <c r="C25" i="2"/>
  <c r="B25" i="2"/>
  <c r="A25" i="2"/>
  <c r="EI24" i="2"/>
  <c r="EH24" i="2"/>
  <c r="EG24" i="2"/>
  <c r="EF24" i="2"/>
  <c r="EE24" i="2"/>
  <c r="E24" i="2"/>
  <c r="DA24" i="2" s="1"/>
  <c r="D24" i="2"/>
  <c r="DB24" i="2" s="1"/>
  <c r="C24" i="2"/>
  <c r="B24" i="2"/>
  <c r="A24" i="2"/>
  <c r="EI23" i="2"/>
  <c r="EH23" i="2"/>
  <c r="EG23" i="2"/>
  <c r="EF23" i="2"/>
  <c r="EE23" i="2"/>
  <c r="E23" i="2"/>
  <c r="CG23" i="2" s="1"/>
  <c r="D23" i="2"/>
  <c r="DB23" i="2" s="1"/>
  <c r="C23" i="2"/>
  <c r="B23" i="2"/>
  <c r="A23" i="2"/>
  <c r="EI22" i="2"/>
  <c r="EH22" i="2"/>
  <c r="EG22" i="2"/>
  <c r="EF22" i="2"/>
  <c r="EE22" i="2"/>
  <c r="E22" i="2"/>
  <c r="DM22" i="2" s="1"/>
  <c r="D22" i="2"/>
  <c r="DB22" i="2" s="1"/>
  <c r="C22" i="2"/>
  <c r="B22" i="2"/>
  <c r="A22" i="2"/>
  <c r="EI21" i="2"/>
  <c r="EH21" i="2"/>
  <c r="EG21" i="2"/>
  <c r="EF21" i="2"/>
  <c r="EE21" i="2"/>
  <c r="CG21" i="2"/>
  <c r="E21" i="2"/>
  <c r="D21" i="2"/>
  <c r="DB21" i="2" s="1"/>
  <c r="C21" i="2"/>
  <c r="B21" i="2"/>
  <c r="A21" i="2"/>
  <c r="EI20" i="2"/>
  <c r="EH20" i="2"/>
  <c r="EG20" i="2"/>
  <c r="EF20" i="2"/>
  <c r="EE20" i="2"/>
  <c r="E20" i="2"/>
  <c r="D20" i="2"/>
  <c r="DB20" i="2" s="1"/>
  <c r="C20" i="2"/>
  <c r="B20" i="2"/>
  <c r="A20" i="2"/>
  <c r="EI19" i="2"/>
  <c r="EH19" i="2"/>
  <c r="EG19" i="2"/>
  <c r="EF19" i="2"/>
  <c r="EE19" i="2"/>
  <c r="E19" i="2"/>
  <c r="DM19" i="2" s="1"/>
  <c r="D19" i="2"/>
  <c r="DB19" i="2" s="1"/>
  <c r="C19" i="2"/>
  <c r="B19" i="2"/>
  <c r="A19" i="2"/>
  <c r="EI18" i="2"/>
  <c r="EH18" i="2"/>
  <c r="EG18" i="2"/>
  <c r="EF18" i="2"/>
  <c r="EE18" i="2"/>
  <c r="E18" i="2"/>
  <c r="DM18" i="2" s="1"/>
  <c r="D18" i="2"/>
  <c r="DB18" i="2" s="1"/>
  <c r="C18" i="2"/>
  <c r="B18" i="2"/>
  <c r="A18" i="2"/>
  <c r="EI17" i="2"/>
  <c r="EH17" i="2"/>
  <c r="EG17" i="2"/>
  <c r="EF17" i="2"/>
  <c r="EE17" i="2"/>
  <c r="E17" i="2"/>
  <c r="DM17" i="2" s="1"/>
  <c r="D17" i="2"/>
  <c r="DB17" i="2" s="1"/>
  <c r="C17" i="2"/>
  <c r="B17" i="2"/>
  <c r="A17" i="2"/>
  <c r="EI16" i="2"/>
  <c r="EH16" i="2"/>
  <c r="EG16" i="2"/>
  <c r="EF16" i="2"/>
  <c r="EE16" i="2"/>
  <c r="E16" i="2"/>
  <c r="D16" i="2"/>
  <c r="DB16" i="2" s="1"/>
  <c r="C16" i="2"/>
  <c r="B16" i="2"/>
  <c r="A16" i="2"/>
  <c r="EI15" i="2"/>
  <c r="EH15" i="2"/>
  <c r="EG15" i="2"/>
  <c r="EF15" i="2"/>
  <c r="EE15" i="2"/>
  <c r="E15" i="2"/>
  <c r="BY15" i="2" s="1"/>
  <c r="D15" i="2"/>
  <c r="DB15" i="2" s="1"/>
  <c r="C15" i="2"/>
  <c r="B15" i="2"/>
  <c r="A15" i="2"/>
  <c r="EI14" i="2"/>
  <c r="EH14" i="2"/>
  <c r="EG14" i="2"/>
  <c r="EF14" i="2"/>
  <c r="EE14" i="2"/>
  <c r="E14" i="2"/>
  <c r="BZ14" i="2" s="1"/>
  <c r="D14" i="2"/>
  <c r="DB14" i="2" s="1"/>
  <c r="C14" i="2"/>
  <c r="B14" i="2"/>
  <c r="A14" i="2"/>
  <c r="EI13" i="2"/>
  <c r="EH13" i="2"/>
  <c r="EG13" i="2"/>
  <c r="EF13" i="2"/>
  <c r="EE13" i="2"/>
  <c r="E13" i="2"/>
  <c r="DA13" i="2" s="1"/>
  <c r="D13" i="2"/>
  <c r="DB13" i="2" s="1"/>
  <c r="C13" i="2"/>
  <c r="B13" i="2"/>
  <c r="A13" i="2"/>
  <c r="EI12" i="2"/>
  <c r="EH12" i="2"/>
  <c r="EG12" i="2"/>
  <c r="EF12" i="2"/>
  <c r="EE12" i="2"/>
  <c r="E12" i="2"/>
  <c r="DA12" i="2" s="1"/>
  <c r="D12" i="2"/>
  <c r="DB12" i="2" s="1"/>
  <c r="C12" i="2"/>
  <c r="B12" i="2"/>
  <c r="A12" i="2"/>
  <c r="EI11" i="2"/>
  <c r="EH11" i="2"/>
  <c r="EG11" i="2"/>
  <c r="EF11" i="2"/>
  <c r="EE11" i="2"/>
  <c r="E11" i="2"/>
  <c r="DA11" i="2" s="1"/>
  <c r="D11" i="2"/>
  <c r="DB11" i="2" s="1"/>
  <c r="C11" i="2"/>
  <c r="B11" i="2"/>
  <c r="A11" i="2"/>
  <c r="EI10" i="2"/>
  <c r="EH10" i="2"/>
  <c r="EG10" i="2"/>
  <c r="EF10" i="2"/>
  <c r="EE10" i="2"/>
  <c r="J10" i="2"/>
  <c r="Y10" i="2" s="1"/>
  <c r="E10" i="2"/>
  <c r="DM10" i="2" s="1"/>
  <c r="D10" i="2"/>
  <c r="DB10" i="2" s="1"/>
  <c r="C10" i="2"/>
  <c r="B10" i="2"/>
  <c r="A10" i="2"/>
  <c r="EI9" i="2"/>
  <c r="EH9" i="2"/>
  <c r="EG9" i="2"/>
  <c r="EF9" i="2"/>
  <c r="EE9" i="2"/>
  <c r="E9" i="2"/>
  <c r="DN9" i="2" s="1"/>
  <c r="D9" i="2"/>
  <c r="DB9" i="2" s="1"/>
  <c r="C9" i="2"/>
  <c r="B9" i="2"/>
  <c r="A9" i="2"/>
  <c r="EI8" i="2"/>
  <c r="EH8" i="2"/>
  <c r="EG8" i="2"/>
  <c r="EF8" i="2"/>
  <c r="EE8" i="2"/>
  <c r="E8" i="2"/>
  <c r="DN8" i="2" s="1"/>
  <c r="D8" i="2"/>
  <c r="DB8" i="2" s="1"/>
  <c r="C8" i="2"/>
  <c r="B8" i="2"/>
  <c r="A8" i="2"/>
  <c r="EI7" i="2"/>
  <c r="EH7" i="2"/>
  <c r="EG7" i="2"/>
  <c r="EF7" i="2"/>
  <c r="EE7" i="2"/>
  <c r="E7" i="2"/>
  <c r="DN7" i="2" s="1"/>
  <c r="D7" i="2"/>
  <c r="DB7" i="2" s="1"/>
  <c r="C7" i="2"/>
  <c r="B7" i="2"/>
  <c r="A7" i="2"/>
  <c r="EI6" i="2"/>
  <c r="EH6" i="2"/>
  <c r="EG6" i="2"/>
  <c r="EF6" i="2"/>
  <c r="EE6" i="2"/>
  <c r="CE6" i="2"/>
  <c r="J6" i="2"/>
  <c r="Y6" i="2" s="1"/>
  <c r="E6" i="2"/>
  <c r="DN6" i="2" s="1"/>
  <c r="D6" i="2"/>
  <c r="DB6" i="2" s="1"/>
  <c r="C6" i="2"/>
  <c r="B6" i="2"/>
  <c r="A6" i="2"/>
  <c r="EI5" i="2"/>
  <c r="EH5" i="2"/>
  <c r="EG5" i="2"/>
  <c r="EF5" i="2"/>
  <c r="EE5" i="2"/>
  <c r="E5" i="2"/>
  <c r="DN5" i="2" s="1"/>
  <c r="D5" i="2"/>
  <c r="DB5" i="2" s="1"/>
  <c r="C5" i="2"/>
  <c r="B5" i="2"/>
  <c r="A5" i="2"/>
  <c r="EI4" i="2"/>
  <c r="EH4" i="2"/>
  <c r="EG4" i="2"/>
  <c r="EF4" i="2"/>
  <c r="EE4" i="2"/>
  <c r="E4" i="2"/>
  <c r="DN4" i="2" s="1"/>
  <c r="D4" i="2"/>
  <c r="DB4" i="2" s="1"/>
  <c r="C4" i="2"/>
  <c r="B4" i="2"/>
  <c r="A4" i="2"/>
  <c r="EI3" i="2"/>
  <c r="EH3" i="2"/>
  <c r="EG3" i="2"/>
  <c r="EF3" i="2"/>
  <c r="EE3" i="2"/>
  <c r="E3" i="2"/>
  <c r="DN3" i="2" s="1"/>
  <c r="D3" i="2"/>
  <c r="DB3" i="2" s="1"/>
  <c r="C3" i="2"/>
  <c r="B3" i="2"/>
  <c r="A3" i="2"/>
  <c r="EH26" i="5" l="1"/>
  <c r="DK26" i="5"/>
  <c r="DK29" i="5"/>
  <c r="EG18" i="5"/>
  <c r="EG3" i="5"/>
  <c r="EG31" i="5"/>
  <c r="DK20" i="5"/>
  <c r="DK5" i="5"/>
  <c r="EH4" i="5"/>
  <c r="EH31" i="5"/>
  <c r="EH5" i="5"/>
  <c r="EI5" i="5" s="1"/>
  <c r="EH20" i="5"/>
  <c r="EI20" i="5" s="1"/>
  <c r="EH11" i="5"/>
  <c r="EH3" i="5"/>
  <c r="EF3" i="5" s="1"/>
  <c r="EG11" i="5"/>
  <c r="EG14" i="5"/>
  <c r="EG23" i="5"/>
  <c r="DK32" i="5"/>
  <c r="DK14" i="5"/>
  <c r="EH22" i="5"/>
  <c r="EI22" i="5" s="1"/>
  <c r="EG4" i="5"/>
  <c r="DK22" i="5"/>
  <c r="EG32" i="5"/>
  <c r="EH24" i="5"/>
  <c r="EF24" i="5" s="1"/>
  <c r="EH6" i="5"/>
  <c r="EH23" i="5"/>
  <c r="EF23" i="5" s="1"/>
  <c r="EH12" i="5"/>
  <c r="EF12" i="5" s="1"/>
  <c r="EH33" i="5"/>
  <c r="EI33" i="5" s="1"/>
  <c r="EG30" i="5"/>
  <c r="EH19" i="5"/>
  <c r="EF19" i="5" s="1"/>
  <c r="EG29" i="5"/>
  <c r="DK18" i="5"/>
  <c r="EG9" i="5"/>
  <c r="EH15" i="5"/>
  <c r="EF15" i="5" s="1"/>
  <c r="DK25" i="5"/>
  <c r="DK16" i="5"/>
  <c r="EH7" i="5"/>
  <c r="EI7" i="5" s="1"/>
  <c r="DK7" i="5"/>
  <c r="EH21" i="5"/>
  <c r="EF21" i="5" s="1"/>
  <c r="EG16" i="5"/>
  <c r="DK10" i="5"/>
  <c r="EH25" i="5"/>
  <c r="EI25" i="5" s="1"/>
  <c r="EH27" i="5"/>
  <c r="EF27" i="5" s="1"/>
  <c r="EG15" i="5"/>
  <c r="DK13" i="5"/>
  <c r="DK27" i="5"/>
  <c r="EH13" i="5"/>
  <c r="EF13" i="5" s="1"/>
  <c r="EH10" i="5"/>
  <c r="EF10" i="5" s="1"/>
  <c r="EG33" i="5"/>
  <c r="EH30" i="5"/>
  <c r="EI30" i="5" s="1"/>
  <c r="EG24" i="5"/>
  <c r="DK21" i="5"/>
  <c r="EG19" i="5"/>
  <c r="EG12" i="5"/>
  <c r="DK9" i="5"/>
  <c r="EG6" i="5"/>
  <c r="EG8" i="5"/>
  <c r="BT6" i="2"/>
  <c r="BS6" i="2" s="1"/>
  <c r="DM6" i="2"/>
  <c r="CE10" i="2"/>
  <c r="L25" i="2"/>
  <c r="AA25" i="2" s="1"/>
  <c r="K31" i="2"/>
  <c r="AP34" i="2"/>
  <c r="CE34" i="2"/>
  <c r="J34" i="2"/>
  <c r="Y34" i="2" s="1"/>
  <c r="BN34" i="2"/>
  <c r="EH17" i="5"/>
  <c r="EF17" i="5" s="1"/>
  <c r="DK17" i="5"/>
  <c r="DK8" i="5"/>
  <c r="EI31" i="5"/>
  <c r="EF31" i="5"/>
  <c r="EI29" i="5"/>
  <c r="EF29" i="5"/>
  <c r="EI28" i="5"/>
  <c r="EF28" i="5"/>
  <c r="EI26" i="5"/>
  <c r="EF26" i="5"/>
  <c r="EI23" i="5"/>
  <c r="EI32" i="5"/>
  <c r="EF32" i="5"/>
  <c r="EI18" i="5"/>
  <c r="EF18" i="5"/>
  <c r="EI16" i="5"/>
  <c r="EF16" i="5"/>
  <c r="EI14" i="5"/>
  <c r="EF14" i="5"/>
  <c r="EI11" i="5"/>
  <c r="EF11" i="5"/>
  <c r="EI6" i="5"/>
  <c r="EF6" i="5"/>
  <c r="EI9" i="5"/>
  <c r="EF9" i="5"/>
  <c r="EI8" i="5"/>
  <c r="EF8" i="5"/>
  <c r="EI4" i="5"/>
  <c r="EF4" i="5"/>
  <c r="V3" i="2"/>
  <c r="AK3" i="2" s="1"/>
  <c r="AR3" i="2"/>
  <c r="BI3" i="2" s="1"/>
  <c r="BZ3" i="2"/>
  <c r="DA3" i="2"/>
  <c r="V8" i="2"/>
  <c r="AK8" i="2" s="1"/>
  <c r="BZ8" i="2"/>
  <c r="DA8" i="2"/>
  <c r="J3" i="2"/>
  <c r="Y3" i="2" s="1"/>
  <c r="AN3" i="2"/>
  <c r="BT3" i="2"/>
  <c r="BR3" i="2" s="1"/>
  <c r="CE3" i="2"/>
  <c r="DM3" i="2"/>
  <c r="V6" i="2"/>
  <c r="AK6" i="2" s="1"/>
  <c r="BZ6" i="2"/>
  <c r="DA6" i="2"/>
  <c r="J8" i="2"/>
  <c r="Y8" i="2" s="1"/>
  <c r="BT8" i="2"/>
  <c r="BS8" i="2" s="1"/>
  <c r="CE8" i="2"/>
  <c r="DM8" i="2"/>
  <c r="V10" i="2"/>
  <c r="AK10" i="2" s="1"/>
  <c r="J27" i="2"/>
  <c r="CD31" i="2"/>
  <c r="V34" i="2"/>
  <c r="AK34" i="2" s="1"/>
  <c r="AT34" i="2"/>
  <c r="BK34" i="2" s="1"/>
  <c r="BZ34" i="2"/>
  <c r="DC34" i="2"/>
  <c r="Y4" i="2"/>
  <c r="AN4" i="2"/>
  <c r="BT4" i="2"/>
  <c r="CC4" i="2"/>
  <c r="CG4" i="2"/>
  <c r="DA4" i="2"/>
  <c r="DM4" i="2"/>
  <c r="L5" i="2"/>
  <c r="AA5" i="2" s="1"/>
  <c r="CC5" i="2"/>
  <c r="DC5" i="2"/>
  <c r="L3" i="2"/>
  <c r="AA3" i="2" s="1"/>
  <c r="AP3" i="2"/>
  <c r="AT3" i="2"/>
  <c r="BK3" i="2" s="1"/>
  <c r="BN3" i="2"/>
  <c r="BX3" i="2"/>
  <c r="CC3" i="2"/>
  <c r="CG3" i="2"/>
  <c r="CX3" i="2" s="1"/>
  <c r="DC3" i="2"/>
  <c r="J4" i="2"/>
  <c r="V4" i="2"/>
  <c r="AK4" i="2"/>
  <c r="AP4" i="2"/>
  <c r="AT4" i="2"/>
  <c r="BK4" i="2" s="1"/>
  <c r="BN4" i="2"/>
  <c r="BZ4" i="2"/>
  <c r="CE4" i="2"/>
  <c r="CX4" i="2"/>
  <c r="DC4" i="2"/>
  <c r="J5" i="2"/>
  <c r="Y5" i="2" s="1"/>
  <c r="V5" i="2"/>
  <c r="AK5" i="2" s="1"/>
  <c r="BT5" i="2"/>
  <c r="BS5" i="2" s="1"/>
  <c r="BZ5" i="2"/>
  <c r="CE5" i="2"/>
  <c r="DA5" i="2"/>
  <c r="DM5" i="2"/>
  <c r="L6" i="2"/>
  <c r="AN6" i="2"/>
  <c r="BN6" i="2"/>
  <c r="BX6" i="2"/>
  <c r="BW6" i="2" s="1"/>
  <c r="CC6" i="2"/>
  <c r="CG6" i="2"/>
  <c r="CX6" i="2" s="1"/>
  <c r="DC6" i="2"/>
  <c r="J7" i="2"/>
  <c r="Y7" i="2" s="1"/>
  <c r="V7" i="2"/>
  <c r="AK7" i="2" s="1"/>
  <c r="BT7" i="2"/>
  <c r="BS7" i="2" s="1"/>
  <c r="BZ7" i="2"/>
  <c r="CE7" i="2"/>
  <c r="DA7" i="2"/>
  <c r="DM7" i="2"/>
  <c r="L8" i="2"/>
  <c r="AN8" i="2"/>
  <c r="BN8" i="2"/>
  <c r="BX8" i="2"/>
  <c r="BW8" i="2" s="1"/>
  <c r="CC8" i="2"/>
  <c r="CG8" i="2"/>
  <c r="CX8" i="2" s="1"/>
  <c r="DC8" i="2"/>
  <c r="J9" i="2"/>
  <c r="Y9" i="2" s="1"/>
  <c r="V9" i="2"/>
  <c r="AK9" i="2" s="1"/>
  <c r="BT9" i="2"/>
  <c r="BS9" i="2" s="1"/>
  <c r="BZ9" i="2"/>
  <c r="CE9" i="2"/>
  <c r="DA9" i="2"/>
  <c r="DM9" i="2"/>
  <c r="DN10" i="2"/>
  <c r="DC10" i="2"/>
  <c r="CG10" i="2"/>
  <c r="CX10" i="2" s="1"/>
  <c r="CC10" i="2"/>
  <c r="L10" i="2"/>
  <c r="AN10" i="2"/>
  <c r="DA10" i="2"/>
  <c r="L11" i="2"/>
  <c r="AA11" i="2" s="1"/>
  <c r="BZ11" i="2"/>
  <c r="L12" i="2"/>
  <c r="AA12" i="2" s="1"/>
  <c r="BZ12" i="2"/>
  <c r="L13" i="2"/>
  <c r="AA13" i="2" s="1"/>
  <c r="BZ13" i="2"/>
  <c r="L14" i="2"/>
  <c r="AA14" i="2" s="1"/>
  <c r="W15" i="2"/>
  <c r="DN21" i="2"/>
  <c r="DC21" i="2"/>
  <c r="CX21" i="2"/>
  <c r="CE21" i="2"/>
  <c r="BZ21" i="2"/>
  <c r="BN21" i="2"/>
  <c r="V21" i="2"/>
  <c r="AK21" i="2" s="1"/>
  <c r="AS21" i="2" s="1"/>
  <c r="BJ21" i="2" s="1"/>
  <c r="J21" i="2"/>
  <c r="Y21" i="2" s="1"/>
  <c r="AN21" i="2" s="1"/>
  <c r="AX21" i="2" s="1"/>
  <c r="DA21" i="2"/>
  <c r="CC21" i="2"/>
  <c r="BT21" i="2"/>
  <c r="L21" i="2"/>
  <c r="AA21" i="2" s="1"/>
  <c r="BX21" i="2"/>
  <c r="BV21" i="2" s="1"/>
  <c r="DM21" i="2"/>
  <c r="DN22" i="2"/>
  <c r="DC22" i="2"/>
  <c r="CG22" i="2"/>
  <c r="CX22" i="2" s="1"/>
  <c r="CC22" i="2"/>
  <c r="V22" i="2"/>
  <c r="AK22" i="2" s="1"/>
  <c r="J22" i="2"/>
  <c r="Y22" i="2" s="1"/>
  <c r="DA22" i="2"/>
  <c r="L22" i="2"/>
  <c r="AA22" i="2" s="1"/>
  <c r="CE22" i="2"/>
  <c r="L4" i="2"/>
  <c r="AA4" i="2" s="1"/>
  <c r="AR4" i="2"/>
  <c r="BI4" i="2" s="1"/>
  <c r="BX4" i="2"/>
  <c r="BV4" i="2" s="1"/>
  <c r="AN5" i="2"/>
  <c r="BN5" i="2"/>
  <c r="BX5" i="2"/>
  <c r="BW5" i="2" s="1"/>
  <c r="CG5" i="2"/>
  <c r="CX5" i="2" s="1"/>
  <c r="L7" i="2"/>
  <c r="AA7" i="2" s="1"/>
  <c r="BN7" i="2"/>
  <c r="BX7" i="2"/>
  <c r="BW7" i="2" s="1"/>
  <c r="CC7" i="2"/>
  <c r="CG7" i="2"/>
  <c r="CX7" i="2" s="1"/>
  <c r="DC7" i="2"/>
  <c r="L9" i="2"/>
  <c r="AA9" i="2" s="1"/>
  <c r="AN9" i="2"/>
  <c r="BN9" i="2"/>
  <c r="BX9" i="2"/>
  <c r="BW9" i="2" s="1"/>
  <c r="CC9" i="2"/>
  <c r="CG9" i="2"/>
  <c r="CX9" i="2" s="1"/>
  <c r="DC9" i="2"/>
  <c r="DN11" i="2"/>
  <c r="DC11" i="2"/>
  <c r="CG11" i="2"/>
  <c r="CX11" i="2" s="1"/>
  <c r="CC11" i="2"/>
  <c r="BX11" i="2"/>
  <c r="BT11" i="2"/>
  <c r="AP11" i="2"/>
  <c r="V11" i="2"/>
  <c r="AK11" i="2" s="1"/>
  <c r="J11" i="2"/>
  <c r="Y11" i="2" s="1"/>
  <c r="BN11" i="2"/>
  <c r="CE11" i="2"/>
  <c r="DM11" i="2"/>
  <c r="DN12" i="2"/>
  <c r="DC12" i="2"/>
  <c r="CG12" i="2"/>
  <c r="CX12" i="2" s="1"/>
  <c r="CC12" i="2"/>
  <c r="BX12" i="2"/>
  <c r="BT12" i="2"/>
  <c r="V12" i="2"/>
  <c r="AK12" i="2" s="1"/>
  <c r="J12" i="2"/>
  <c r="Y12" i="2" s="1"/>
  <c r="BN12" i="2"/>
  <c r="CE12" i="2"/>
  <c r="DM12" i="2"/>
  <c r="DN13" i="2"/>
  <c r="DC13" i="2"/>
  <c r="CG13" i="2"/>
  <c r="CX13" i="2" s="1"/>
  <c r="CC13" i="2"/>
  <c r="BX13" i="2"/>
  <c r="BT13" i="2"/>
  <c r="AP13" i="2"/>
  <c r="V13" i="2"/>
  <c r="AK13" i="2" s="1"/>
  <c r="J13" i="2"/>
  <c r="Y13" i="2" s="1"/>
  <c r="BN13" i="2"/>
  <c r="CE13" i="2"/>
  <c r="DM13" i="2"/>
  <c r="DH14" i="2"/>
  <c r="DD14" i="2" s="1"/>
  <c r="CG14" i="2"/>
  <c r="CC14" i="2"/>
  <c r="BX14" i="2"/>
  <c r="BT14" i="2"/>
  <c r="AP14" i="2"/>
  <c r="V14" i="2"/>
  <c r="AK14" i="2" s="1"/>
  <c r="J14" i="2"/>
  <c r="Y14" i="2" s="1"/>
  <c r="BN14" i="2"/>
  <c r="CE14" i="2"/>
  <c r="DL14" i="2"/>
  <c r="CD15" i="2"/>
  <c r="CH15" i="2"/>
  <c r="BM15" i="2"/>
  <c r="K15" i="2"/>
  <c r="DN15" i="2"/>
  <c r="DN23" i="2"/>
  <c r="DC23" i="2"/>
  <c r="CX23" i="2"/>
  <c r="CE23" i="2"/>
  <c r="BZ23" i="2"/>
  <c r="BN23" i="2"/>
  <c r="V23" i="2"/>
  <c r="AK23" i="2" s="1"/>
  <c r="AS23" i="2" s="1"/>
  <c r="BJ23" i="2" s="1"/>
  <c r="J23" i="2"/>
  <c r="Y23" i="2" s="1"/>
  <c r="DA23" i="2"/>
  <c r="CC23" i="2"/>
  <c r="BT23" i="2"/>
  <c r="L23" i="2"/>
  <c r="AA23" i="2" s="1"/>
  <c r="BX23" i="2"/>
  <c r="BV23" i="2" s="1"/>
  <c r="DM23" i="2"/>
  <c r="DN24" i="2"/>
  <c r="DC24" i="2"/>
  <c r="CG24" i="2"/>
  <c r="CX24" i="2" s="1"/>
  <c r="CC24" i="2"/>
  <c r="V24" i="2"/>
  <c r="AK24" i="2" s="1"/>
  <c r="J24" i="2"/>
  <c r="Y24" i="2" s="1"/>
  <c r="DM24" i="2"/>
  <c r="CE24" i="2"/>
  <c r="L24" i="2"/>
  <c r="AA24" i="2" s="1"/>
  <c r="AP24" i="2" s="1"/>
  <c r="DM33" i="2"/>
  <c r="K33" i="2"/>
  <c r="W33" i="2"/>
  <c r="DN25" i="2"/>
  <c r="DC25" i="2"/>
  <c r="CG25" i="2"/>
  <c r="CX25" i="2" s="1"/>
  <c r="CC25" i="2"/>
  <c r="AP25" i="2"/>
  <c r="V25" i="2"/>
  <c r="AK25" i="2" s="1"/>
  <c r="J25" i="2"/>
  <c r="Y25" i="2" s="1"/>
  <c r="CE25" i="2"/>
  <c r="DM25" i="2"/>
  <c r="DM26" i="2"/>
  <c r="BX26" i="2"/>
  <c r="BT26" i="2"/>
  <c r="AP26" i="2"/>
  <c r="V26" i="2"/>
  <c r="AK26" i="2" s="1"/>
  <c r="J26" i="2"/>
  <c r="Y26" i="2" s="1"/>
  <c r="BN26" i="2"/>
  <c r="W31" i="2"/>
  <c r="CH31" i="2"/>
  <c r="L34" i="2"/>
  <c r="AA34" i="2" s="1"/>
  <c r="AN34" i="2"/>
  <c r="AR34" i="2"/>
  <c r="BI34" i="2" s="1"/>
  <c r="BT34" i="2"/>
  <c r="BX34" i="2"/>
  <c r="BV34" i="2" s="1"/>
  <c r="CC34" i="2"/>
  <c r="CG34" i="2"/>
  <c r="CX34" i="2" s="1"/>
  <c r="DA34" i="2"/>
  <c r="DM34" i="2"/>
  <c r="BH3" i="2"/>
  <c r="BF3" i="2"/>
  <c r="BG3" i="2"/>
  <c r="BP3" i="2"/>
  <c r="BW3" i="2"/>
  <c r="BU3" i="2"/>
  <c r="BV3" i="2"/>
  <c r="BS4" i="2"/>
  <c r="BQ4" i="2"/>
  <c r="BW4" i="2"/>
  <c r="BU4" i="2"/>
  <c r="BS3" i="2"/>
  <c r="BQ3" i="2"/>
  <c r="BV5" i="2"/>
  <c r="BV7" i="2"/>
  <c r="BP8" i="2"/>
  <c r="BR8" i="2"/>
  <c r="BR9" i="2"/>
  <c r="DG14" i="2"/>
  <c r="DE14" i="2"/>
  <c r="DK14" i="2"/>
  <c r="DI14" i="2"/>
  <c r="DM16" i="2"/>
  <c r="DC16" i="2"/>
  <c r="DA16" i="2"/>
  <c r="CG16" i="2"/>
  <c r="CX16" i="2" s="1"/>
  <c r="CE16" i="2"/>
  <c r="CC16" i="2"/>
  <c r="CM16" i="2" s="1"/>
  <c r="BZ16" i="2"/>
  <c r="BX16" i="2"/>
  <c r="BT16" i="2"/>
  <c r="BN16" i="2"/>
  <c r="V16" i="2"/>
  <c r="AK16" i="2" s="1"/>
  <c r="AS16" i="2" s="1"/>
  <c r="BJ16" i="2" s="1"/>
  <c r="L16" i="2"/>
  <c r="AA16" i="2" s="1"/>
  <c r="J16" i="2"/>
  <c r="Y16" i="2" s="1"/>
  <c r="AN16" i="2" s="1"/>
  <c r="AX16" i="2" s="1"/>
  <c r="DN16" i="2"/>
  <c r="DL16" i="2"/>
  <c r="DH16" i="2"/>
  <c r="CS16" i="2"/>
  <c r="CH16" i="2"/>
  <c r="CY16" i="2" s="1"/>
  <c r="CF16" i="2"/>
  <c r="CW16" i="2" s="1"/>
  <c r="CD16" i="2"/>
  <c r="CN16" i="2" s="1"/>
  <c r="CB16" i="2"/>
  <c r="CL16" i="2" s="1"/>
  <c r="BY16" i="2"/>
  <c r="BO16" i="2"/>
  <c r="BM16" i="2"/>
  <c r="Q16" i="2"/>
  <c r="U16" i="2"/>
  <c r="BP5" i="2"/>
  <c r="BR5" i="2"/>
  <c r="BP6" i="2"/>
  <c r="BR6" i="2"/>
  <c r="BR7" i="2"/>
  <c r="BV9" i="2"/>
  <c r="K3" i="2"/>
  <c r="Q3" i="2"/>
  <c r="U3" i="2"/>
  <c r="W3" i="2"/>
  <c r="Z3" i="2"/>
  <c r="AF3" i="2"/>
  <c r="AJ3" i="2"/>
  <c r="AL3" i="2"/>
  <c r="AO3" i="2"/>
  <c r="AY3" i="2" s="1"/>
  <c r="AQ3" i="2"/>
  <c r="BE3" i="2" s="1"/>
  <c r="AS3" i="2"/>
  <c r="BJ3" i="2" s="1"/>
  <c r="AX3" i="2"/>
  <c r="AZ3" i="2"/>
  <c r="BM3" i="2"/>
  <c r="BO3" i="2"/>
  <c r="BY3" i="2"/>
  <c r="CB3" i="2"/>
  <c r="CL3" i="2" s="1"/>
  <c r="CD3" i="2"/>
  <c r="CN3" i="2" s="1"/>
  <c r="CF3" i="2"/>
  <c r="CH3" i="2"/>
  <c r="CM3" i="2"/>
  <c r="CS3" i="2"/>
  <c r="CW3" i="2"/>
  <c r="CY3" i="2"/>
  <c r="DH3" i="2"/>
  <c r="DL3" i="2"/>
  <c r="K4" i="2"/>
  <c r="Q4" i="2"/>
  <c r="U4" i="2"/>
  <c r="W4" i="2"/>
  <c r="Z4" i="2"/>
  <c r="AF4" i="2"/>
  <c r="AJ4" i="2"/>
  <c r="AL4" i="2"/>
  <c r="AO4" i="2"/>
  <c r="AY4" i="2" s="1"/>
  <c r="AQ4" i="2"/>
  <c r="BE4" i="2" s="1"/>
  <c r="AS4" i="2"/>
  <c r="BJ4" i="2" s="1"/>
  <c r="AX4" i="2"/>
  <c r="AZ4" i="2"/>
  <c r="BM4" i="2"/>
  <c r="BO4" i="2"/>
  <c r="BY4" i="2"/>
  <c r="CB4" i="2"/>
  <c r="CL4" i="2" s="1"/>
  <c r="CD4" i="2"/>
  <c r="CN4" i="2" s="1"/>
  <c r="CF4" i="2"/>
  <c r="CH4" i="2"/>
  <c r="CM4" i="2"/>
  <c r="CS4" i="2"/>
  <c r="CW4" i="2"/>
  <c r="CY4" i="2"/>
  <c r="DH4" i="2"/>
  <c r="DL4" i="2"/>
  <c r="K5" i="2"/>
  <c r="Q5" i="2"/>
  <c r="U5" i="2"/>
  <c r="W5" i="2"/>
  <c r="Z5" i="2"/>
  <c r="AF5" i="2"/>
  <c r="AJ5" i="2"/>
  <c r="AL5" i="2"/>
  <c r="AO5" i="2"/>
  <c r="AY5" i="2" s="1"/>
  <c r="AQ5" i="2"/>
  <c r="BE5" i="2" s="1"/>
  <c r="AS5" i="2"/>
  <c r="AX5" i="2"/>
  <c r="BJ5" i="2"/>
  <c r="BM5" i="2"/>
  <c r="BO5" i="2"/>
  <c r="BQ5" i="2"/>
  <c r="BU5" i="2"/>
  <c r="BY5" i="2"/>
  <c r="CB5" i="2"/>
  <c r="CL5" i="2" s="1"/>
  <c r="CD5" i="2"/>
  <c r="CN5" i="2" s="1"/>
  <c r="CF5" i="2"/>
  <c r="CH5" i="2"/>
  <c r="CM5" i="2"/>
  <c r="CS5" i="2"/>
  <c r="CW5" i="2"/>
  <c r="CY5" i="2"/>
  <c r="DH5" i="2"/>
  <c r="DL5" i="2"/>
  <c r="K6" i="2"/>
  <c r="Q6" i="2"/>
  <c r="U6" i="2"/>
  <c r="W6" i="2"/>
  <c r="Z6" i="2"/>
  <c r="AF6" i="2"/>
  <c r="AJ6" i="2"/>
  <c r="AL6" i="2"/>
  <c r="AO6" i="2"/>
  <c r="AY6" i="2" s="1"/>
  <c r="AQ6" i="2"/>
  <c r="BE6" i="2" s="1"/>
  <c r="AS6" i="2"/>
  <c r="BJ6" i="2" s="1"/>
  <c r="AX6" i="2"/>
  <c r="BM6" i="2"/>
  <c r="BO6" i="2"/>
  <c r="BQ6" i="2"/>
  <c r="BU6" i="2"/>
  <c r="BY6" i="2"/>
  <c r="CB6" i="2"/>
  <c r="CL6" i="2" s="1"/>
  <c r="CD6" i="2"/>
  <c r="CN6" i="2" s="1"/>
  <c r="CF6" i="2"/>
  <c r="CH6" i="2"/>
  <c r="CM6" i="2"/>
  <c r="CS6" i="2"/>
  <c r="CW6" i="2"/>
  <c r="CY6" i="2"/>
  <c r="DH6" i="2"/>
  <c r="DL6" i="2"/>
  <c r="K7" i="2"/>
  <c r="Q7" i="2"/>
  <c r="U7" i="2"/>
  <c r="W7" i="2"/>
  <c r="Z7" i="2"/>
  <c r="AF7" i="2"/>
  <c r="AJ7" i="2"/>
  <c r="AL7" i="2"/>
  <c r="AO7" i="2"/>
  <c r="AY7" i="2" s="1"/>
  <c r="AQ7" i="2"/>
  <c r="BE7" i="2" s="1"/>
  <c r="AS7" i="2"/>
  <c r="BJ7" i="2" s="1"/>
  <c r="BM7" i="2"/>
  <c r="BO7" i="2"/>
  <c r="BQ7" i="2"/>
  <c r="BU7" i="2"/>
  <c r="BY7" i="2"/>
  <c r="CB7" i="2"/>
  <c r="CL7" i="2" s="1"/>
  <c r="CD7" i="2"/>
  <c r="CN7" i="2" s="1"/>
  <c r="CF7" i="2"/>
  <c r="CH7" i="2"/>
  <c r="CM7" i="2"/>
  <c r="CS7" i="2"/>
  <c r="CW7" i="2"/>
  <c r="CY7" i="2"/>
  <c r="DH7" i="2"/>
  <c r="DL7" i="2"/>
  <c r="K8" i="2"/>
  <c r="Q8" i="2"/>
  <c r="U8" i="2"/>
  <c r="W8" i="2"/>
  <c r="Z8" i="2"/>
  <c r="AF8" i="2"/>
  <c r="AJ8" i="2"/>
  <c r="AL8" i="2"/>
  <c r="AO8" i="2"/>
  <c r="AY8" i="2" s="1"/>
  <c r="AQ8" i="2"/>
  <c r="BE8" i="2" s="1"/>
  <c r="AS8" i="2"/>
  <c r="BJ8" i="2" s="1"/>
  <c r="AX8" i="2"/>
  <c r="BM8" i="2"/>
  <c r="BO8" i="2"/>
  <c r="BQ8" i="2"/>
  <c r="BU8" i="2"/>
  <c r="BY8" i="2"/>
  <c r="CB8" i="2"/>
  <c r="CL8" i="2" s="1"/>
  <c r="CD8" i="2"/>
  <c r="CN8" i="2" s="1"/>
  <c r="CF8" i="2"/>
  <c r="CH8" i="2"/>
  <c r="CM8" i="2"/>
  <c r="CS8" i="2"/>
  <c r="CW8" i="2"/>
  <c r="CY8" i="2"/>
  <c r="DH8" i="2"/>
  <c r="DL8" i="2"/>
  <c r="K9" i="2"/>
  <c r="Q9" i="2"/>
  <c r="U9" i="2"/>
  <c r="W9" i="2"/>
  <c r="Z9" i="2"/>
  <c r="AF9" i="2"/>
  <c r="AJ9" i="2"/>
  <c r="AL9" i="2"/>
  <c r="AO9" i="2"/>
  <c r="AY9" i="2" s="1"/>
  <c r="AQ9" i="2"/>
  <c r="BE9" i="2" s="1"/>
  <c r="AS9" i="2"/>
  <c r="AX9" i="2"/>
  <c r="BJ9" i="2"/>
  <c r="BM9" i="2"/>
  <c r="BO9" i="2"/>
  <c r="BQ9" i="2"/>
  <c r="BU9" i="2"/>
  <c r="BY9" i="2"/>
  <c r="CB9" i="2"/>
  <c r="CL9" i="2" s="1"/>
  <c r="CD9" i="2"/>
  <c r="CN9" i="2" s="1"/>
  <c r="CF9" i="2"/>
  <c r="CH9" i="2"/>
  <c r="CM9" i="2"/>
  <c r="CS9" i="2"/>
  <c r="CW9" i="2"/>
  <c r="CY9" i="2"/>
  <c r="DH9" i="2"/>
  <c r="DL9" i="2"/>
  <c r="K10" i="2"/>
  <c r="Q10" i="2"/>
  <c r="U10" i="2"/>
  <c r="W10" i="2"/>
  <c r="Z10" i="2"/>
  <c r="AF10" i="2"/>
  <c r="AJ10" i="2"/>
  <c r="AL10" i="2"/>
  <c r="AO10" i="2"/>
  <c r="AY10" i="2" s="1"/>
  <c r="AQ10" i="2"/>
  <c r="AS10" i="2"/>
  <c r="BJ10" i="2" s="1"/>
  <c r="AX10" i="2"/>
  <c r="BM10" i="2" s="1"/>
  <c r="CB10" i="2"/>
  <c r="CL10" i="2" s="1"/>
  <c r="CD10" i="2"/>
  <c r="CN10" i="2" s="1"/>
  <c r="CF10" i="2"/>
  <c r="CH10" i="2"/>
  <c r="CM10" i="2"/>
  <c r="CS10" i="2"/>
  <c r="CW10" i="2"/>
  <c r="CY10" i="2"/>
  <c r="DH10" i="2"/>
  <c r="DL10" i="2"/>
  <c r="K11" i="2"/>
  <c r="Q11" i="2"/>
  <c r="U11" i="2"/>
  <c r="W11" i="2"/>
  <c r="Z11" i="2"/>
  <c r="AF11" i="2"/>
  <c r="AJ11" i="2"/>
  <c r="AL11" i="2"/>
  <c r="AO11" i="2"/>
  <c r="AY11" i="2" s="1"/>
  <c r="AQ11" i="2"/>
  <c r="BE11" i="2" s="1"/>
  <c r="AS11" i="2"/>
  <c r="BJ11" i="2" s="1"/>
  <c r="AZ11" i="2"/>
  <c r="BM11" i="2"/>
  <c r="BO11" i="2"/>
  <c r="BQ11" i="2"/>
  <c r="BU11" i="2"/>
  <c r="BY11" i="2"/>
  <c r="CB11" i="2"/>
  <c r="CL11" i="2" s="1"/>
  <c r="CD11" i="2"/>
  <c r="CN11" i="2" s="1"/>
  <c r="CF11" i="2"/>
  <c r="CH11" i="2"/>
  <c r="CM11" i="2"/>
  <c r="CS11" i="2"/>
  <c r="CW11" i="2"/>
  <c r="CY11" i="2"/>
  <c r="DH11" i="2"/>
  <c r="DL11" i="2"/>
  <c r="K12" i="2"/>
  <c r="Q12" i="2"/>
  <c r="AQ12" i="2" s="1"/>
  <c r="BE12" i="2" s="1"/>
  <c r="U12" i="2"/>
  <c r="W12" i="2"/>
  <c r="Z12" i="2"/>
  <c r="AO12" i="2" s="1"/>
  <c r="AY12" i="2" s="1"/>
  <c r="AF12" i="2"/>
  <c r="AJ12" i="2"/>
  <c r="AL12" i="2"/>
  <c r="AS12" i="2"/>
  <c r="BJ12" i="2" s="1"/>
  <c r="BM12" i="2"/>
  <c r="BO12" i="2"/>
  <c r="BQ12" i="2"/>
  <c r="BU12" i="2"/>
  <c r="BY12" i="2"/>
  <c r="CB12" i="2"/>
  <c r="CL12" i="2" s="1"/>
  <c r="CD12" i="2"/>
  <c r="CN12" i="2" s="1"/>
  <c r="CF12" i="2"/>
  <c r="CH12" i="2"/>
  <c r="CM12" i="2"/>
  <c r="CS12" i="2"/>
  <c r="CW12" i="2"/>
  <c r="CY12" i="2"/>
  <c r="DH12" i="2"/>
  <c r="DL12" i="2"/>
  <c r="K13" i="2"/>
  <c r="Q13" i="2"/>
  <c r="U13" i="2"/>
  <c r="W13" i="2"/>
  <c r="Z13" i="2"/>
  <c r="AF13" i="2"/>
  <c r="AJ13" i="2"/>
  <c r="AL13" i="2"/>
  <c r="AO13" i="2"/>
  <c r="AY13" i="2" s="1"/>
  <c r="AQ13" i="2"/>
  <c r="BE13" i="2" s="1"/>
  <c r="AS13" i="2"/>
  <c r="BJ13" i="2" s="1"/>
  <c r="AZ13" i="2"/>
  <c r="BM13" i="2"/>
  <c r="BO13" i="2"/>
  <c r="BQ13" i="2"/>
  <c r="BU13" i="2"/>
  <c r="BY13" i="2"/>
  <c r="CB13" i="2"/>
  <c r="CL13" i="2" s="1"/>
  <c r="CD13" i="2"/>
  <c r="CN13" i="2" s="1"/>
  <c r="CF13" i="2"/>
  <c r="CH13" i="2"/>
  <c r="CM13" i="2"/>
  <c r="CS13" i="2"/>
  <c r="CW13" i="2"/>
  <c r="CY13" i="2"/>
  <c r="DH13" i="2"/>
  <c r="DL13" i="2"/>
  <c r="DM14" i="2"/>
  <c r="DC14" i="2"/>
  <c r="DA14" i="2"/>
  <c r="CX14" i="2"/>
  <c r="K14" i="2"/>
  <c r="Q14" i="2"/>
  <c r="U14" i="2"/>
  <c r="W14" i="2"/>
  <c r="Z14" i="2"/>
  <c r="AF14" i="2"/>
  <c r="AJ14" i="2"/>
  <c r="AL14" i="2"/>
  <c r="AO14" i="2"/>
  <c r="AY14" i="2" s="1"/>
  <c r="AQ14" i="2"/>
  <c r="BE14" i="2" s="1"/>
  <c r="AS14" i="2"/>
  <c r="BJ14" i="2" s="1"/>
  <c r="AZ14" i="2"/>
  <c r="BM14" i="2"/>
  <c r="BO14" i="2"/>
  <c r="BQ14" i="2"/>
  <c r="BU14" i="2"/>
  <c r="BY14" i="2"/>
  <c r="CB14" i="2"/>
  <c r="CL14" i="2" s="1"/>
  <c r="CD14" i="2"/>
  <c r="CN14" i="2" s="1"/>
  <c r="CF14" i="2"/>
  <c r="CH14" i="2"/>
  <c r="CY14" i="2" s="1"/>
  <c r="CM14" i="2"/>
  <c r="CS14" i="2"/>
  <c r="CW14" i="2"/>
  <c r="DF14" i="2"/>
  <c r="DJ14" i="2"/>
  <c r="DN14" i="2"/>
  <c r="DM15" i="2"/>
  <c r="DC15" i="2"/>
  <c r="DA15" i="2"/>
  <c r="CN15" i="2"/>
  <c r="CG15" i="2"/>
  <c r="CX15" i="2" s="1"/>
  <c r="CE15" i="2"/>
  <c r="CS15" i="2" s="1"/>
  <c r="CC15" i="2"/>
  <c r="BZ15" i="2"/>
  <c r="BX15" i="2"/>
  <c r="BT15" i="2"/>
  <c r="BN15" i="2"/>
  <c r="V15" i="2"/>
  <c r="L15" i="2"/>
  <c r="AA15" i="2" s="1"/>
  <c r="J15" i="2"/>
  <c r="Y15" i="2" s="1"/>
  <c r="AN15" i="2" s="1"/>
  <c r="AX15" i="2" s="1"/>
  <c r="Q15" i="2"/>
  <c r="U15" i="2"/>
  <c r="Z15" i="2"/>
  <c r="AO15" i="2" s="1"/>
  <c r="AY15" i="2" s="1"/>
  <c r="AL15" i="2"/>
  <c r="AT15" i="2" s="1"/>
  <c r="BK15" i="2" s="1"/>
  <c r="BO15" i="2"/>
  <c r="CB15" i="2"/>
  <c r="CL15" i="2" s="1"/>
  <c r="CF15" i="2"/>
  <c r="CW15" i="2" s="1"/>
  <c r="CM15" i="2"/>
  <c r="CY15" i="2"/>
  <c r="DH15" i="2"/>
  <c r="DL15" i="2"/>
  <c r="K16" i="2"/>
  <c r="Z16" i="2" s="1"/>
  <c r="W16" i="2"/>
  <c r="AL16" i="2" s="1"/>
  <c r="AF16" i="2"/>
  <c r="K17" i="2"/>
  <c r="Q17" i="2"/>
  <c r="U17" i="2"/>
  <c r="W17" i="2"/>
  <c r="Z17" i="2"/>
  <c r="AF17" i="2"/>
  <c r="AJ17" i="2"/>
  <c r="AL17" i="2"/>
  <c r="AO17" i="2"/>
  <c r="AQ17" i="2"/>
  <c r="BE17" i="2" s="1"/>
  <c r="BM17" i="2"/>
  <c r="BO17" i="2"/>
  <c r="BY17" i="2"/>
  <c r="CB17" i="2"/>
  <c r="CL17" i="2" s="1"/>
  <c r="CD17" i="2"/>
  <c r="CF17" i="2"/>
  <c r="CH17" i="2"/>
  <c r="CW17" i="2"/>
  <c r="CY17" i="2"/>
  <c r="DH17" i="2"/>
  <c r="DL17" i="2"/>
  <c r="DN17" i="2"/>
  <c r="K18" i="2"/>
  <c r="Q18" i="2"/>
  <c r="U18" i="2"/>
  <c r="W18" i="2"/>
  <c r="Z18" i="2"/>
  <c r="AF18" i="2"/>
  <c r="AJ18" i="2"/>
  <c r="AL18" i="2"/>
  <c r="AO18" i="2"/>
  <c r="AQ18" i="2"/>
  <c r="BE18" i="2" s="1"/>
  <c r="BM18" i="2"/>
  <c r="BO18" i="2"/>
  <c r="BY18" i="2"/>
  <c r="CB18" i="2"/>
  <c r="CL18" i="2" s="1"/>
  <c r="CD18" i="2"/>
  <c r="CF18" i="2"/>
  <c r="CH18" i="2"/>
  <c r="CW18" i="2"/>
  <c r="CY18" i="2"/>
  <c r="DH18" i="2"/>
  <c r="DL18" i="2"/>
  <c r="DN18" i="2"/>
  <c r="K19" i="2"/>
  <c r="Q19" i="2"/>
  <c r="U19" i="2"/>
  <c r="W19" i="2"/>
  <c r="Z19" i="2"/>
  <c r="AF19" i="2"/>
  <c r="AJ19" i="2"/>
  <c r="AL19" i="2"/>
  <c r="AO19" i="2"/>
  <c r="AQ19" i="2"/>
  <c r="BE19" i="2" s="1"/>
  <c r="CB19" i="2"/>
  <c r="CD19" i="2"/>
  <c r="CF19" i="2"/>
  <c r="CH19" i="2"/>
  <c r="CW19" i="2"/>
  <c r="CY19" i="2"/>
  <c r="DH19" i="2"/>
  <c r="DL19" i="2"/>
  <c r="DN19" i="2"/>
  <c r="DN20" i="2"/>
  <c r="DL20" i="2"/>
  <c r="DH20" i="2"/>
  <c r="CH20" i="2"/>
  <c r="CY20" i="2" s="1"/>
  <c r="CF20" i="2"/>
  <c r="CW20" i="2" s="1"/>
  <c r="CD20" i="2"/>
  <c r="CB20" i="2"/>
  <c r="CL20" i="2" s="1"/>
  <c r="BY20" i="2"/>
  <c r="BO20" i="2"/>
  <c r="BM20" i="2"/>
  <c r="K20" i="2"/>
  <c r="Q20" i="2"/>
  <c r="U20" i="2"/>
  <c r="W20" i="2"/>
  <c r="Z20" i="2"/>
  <c r="AF20" i="2"/>
  <c r="AJ20" i="2"/>
  <c r="AL20" i="2"/>
  <c r="AO20" i="2"/>
  <c r="AY20" i="2" s="1"/>
  <c r="BT20" i="2"/>
  <c r="BX20" i="2"/>
  <c r="CC20" i="2"/>
  <c r="CM20" i="2" s="1"/>
  <c r="CG20" i="2"/>
  <c r="CN20" i="2"/>
  <c r="DA20" i="2"/>
  <c r="DM20" i="2"/>
  <c r="J17" i="2"/>
  <c r="Y17" i="2" s="1"/>
  <c r="L17" i="2"/>
  <c r="AA17" i="2" s="1"/>
  <c r="V17" i="2"/>
  <c r="AK17" i="2" s="1"/>
  <c r="AR17" i="2"/>
  <c r="AY17" i="2"/>
  <c r="BI17" i="2"/>
  <c r="BN17" i="2"/>
  <c r="BT17" i="2"/>
  <c r="BX17" i="2"/>
  <c r="BZ17" i="2"/>
  <c r="CC17" i="2"/>
  <c r="CM17" i="2" s="1"/>
  <c r="CE17" i="2"/>
  <c r="CS17" i="2" s="1"/>
  <c r="CG17" i="2"/>
  <c r="CX17" i="2" s="1"/>
  <c r="CN17" i="2"/>
  <c r="DA17" i="2"/>
  <c r="DC17" i="2"/>
  <c r="J18" i="2"/>
  <c r="Y18" i="2" s="1"/>
  <c r="L18" i="2"/>
  <c r="AA18" i="2" s="1"/>
  <c r="V18" i="2"/>
  <c r="AK18" i="2"/>
  <c r="AR18" i="2"/>
  <c r="AY18" i="2"/>
  <c r="BI18" i="2"/>
  <c r="BN18" i="2"/>
  <c r="BT18" i="2"/>
  <c r="BX18" i="2"/>
  <c r="BZ18" i="2"/>
  <c r="CC18" i="2"/>
  <c r="CM18" i="2" s="1"/>
  <c r="CE18" i="2"/>
  <c r="CS18" i="2" s="1"/>
  <c r="CG18" i="2"/>
  <c r="CX18" i="2" s="1"/>
  <c r="CN18" i="2"/>
  <c r="DA18" i="2"/>
  <c r="DC18" i="2"/>
  <c r="J19" i="2"/>
  <c r="Y19" i="2" s="1"/>
  <c r="L19" i="2"/>
  <c r="AA19" i="2" s="1"/>
  <c r="V19" i="2"/>
  <c r="AK19" i="2" s="1"/>
  <c r="AR19" i="2"/>
  <c r="AY19" i="2"/>
  <c r="BI19" i="2"/>
  <c r="BN19" i="2"/>
  <c r="BX19" i="2"/>
  <c r="CC19" i="2"/>
  <c r="CM19" i="2" s="1"/>
  <c r="CE19" i="2"/>
  <c r="CS19" i="2" s="1"/>
  <c r="CG19" i="2"/>
  <c r="CX19" i="2" s="1"/>
  <c r="CL19" i="2"/>
  <c r="CN19" i="2"/>
  <c r="DA19" i="2"/>
  <c r="DC19" i="2"/>
  <c r="J20" i="2"/>
  <c r="Y20" i="2" s="1"/>
  <c r="L20" i="2"/>
  <c r="AA20" i="2" s="1"/>
  <c r="V20" i="2"/>
  <c r="AK20" i="2" s="1"/>
  <c r="AT20" i="2"/>
  <c r="BK20" i="2" s="1"/>
  <c r="BN20" i="2"/>
  <c r="BZ20" i="2"/>
  <c r="CE20" i="2"/>
  <c r="CS20" i="2" s="1"/>
  <c r="CX20" i="2"/>
  <c r="DC20" i="2"/>
  <c r="BS21" i="2"/>
  <c r="BQ21" i="2"/>
  <c r="BW21" i="2"/>
  <c r="BU21" i="2"/>
  <c r="BS23" i="2"/>
  <c r="BQ23" i="2"/>
  <c r="BW23" i="2"/>
  <c r="BU23" i="2"/>
  <c r="K21" i="2"/>
  <c r="Q21" i="2"/>
  <c r="U21" i="2"/>
  <c r="W21" i="2"/>
  <c r="Z21" i="2"/>
  <c r="AF21" i="2"/>
  <c r="AJ21" i="2"/>
  <c r="AL21" i="2"/>
  <c r="AO21" i="2"/>
  <c r="AY21" i="2" s="1"/>
  <c r="AQ21" i="2"/>
  <c r="BE21" i="2" s="1"/>
  <c r="BM21" i="2"/>
  <c r="BO21" i="2"/>
  <c r="BY21" i="2"/>
  <c r="CB21" i="2"/>
  <c r="CL21" i="2" s="1"/>
  <c r="CD21" i="2"/>
  <c r="CN21" i="2" s="1"/>
  <c r="CF21" i="2"/>
  <c r="CH21" i="2"/>
  <c r="CM21" i="2"/>
  <c r="CS21" i="2"/>
  <c r="CW21" i="2"/>
  <c r="CY21" i="2"/>
  <c r="DH21" i="2"/>
  <c r="DL21" i="2"/>
  <c r="K22" i="2"/>
  <c r="Q22" i="2"/>
  <c r="U22" i="2"/>
  <c r="W22" i="2"/>
  <c r="Z22" i="2"/>
  <c r="AF22" i="2"/>
  <c r="AJ22" i="2"/>
  <c r="AL22" i="2"/>
  <c r="AO22" i="2"/>
  <c r="AY22" i="2" s="1"/>
  <c r="AQ22" i="2"/>
  <c r="AS22" i="2"/>
  <c r="BJ22" i="2" s="1"/>
  <c r="BY22" i="2" s="1"/>
  <c r="CB22" i="2"/>
  <c r="CL22" i="2" s="1"/>
  <c r="CD22" i="2"/>
  <c r="CN22" i="2" s="1"/>
  <c r="CF22" i="2"/>
  <c r="CH22" i="2"/>
  <c r="CM22" i="2"/>
  <c r="CS22" i="2"/>
  <c r="CW22" i="2"/>
  <c r="CY22" i="2"/>
  <c r="DH22" i="2"/>
  <c r="DL22" i="2"/>
  <c r="K23" i="2"/>
  <c r="Q23" i="2"/>
  <c r="U23" i="2"/>
  <c r="W23" i="2"/>
  <c r="Z23" i="2"/>
  <c r="AF23" i="2"/>
  <c r="AJ23" i="2"/>
  <c r="AL23" i="2"/>
  <c r="AO23" i="2"/>
  <c r="AY23" i="2" s="1"/>
  <c r="AQ23" i="2"/>
  <c r="BE23" i="2" s="1"/>
  <c r="BM23" i="2"/>
  <c r="BO23" i="2"/>
  <c r="BY23" i="2"/>
  <c r="CB23" i="2"/>
  <c r="CL23" i="2" s="1"/>
  <c r="CD23" i="2"/>
  <c r="CN23" i="2" s="1"/>
  <c r="CF23" i="2"/>
  <c r="CH23" i="2"/>
  <c r="CM23" i="2"/>
  <c r="CS23" i="2"/>
  <c r="CW23" i="2"/>
  <c r="CY23" i="2"/>
  <c r="DH23" i="2"/>
  <c r="DL23" i="2"/>
  <c r="K24" i="2"/>
  <c r="Q24" i="2"/>
  <c r="U24" i="2"/>
  <c r="W24" i="2"/>
  <c r="Z24" i="2"/>
  <c r="AF24" i="2"/>
  <c r="AJ24" i="2"/>
  <c r="AL24" i="2"/>
  <c r="AO24" i="2"/>
  <c r="AY24" i="2" s="1"/>
  <c r="AQ24" i="2"/>
  <c r="BE24" i="2" s="1"/>
  <c r="AS24" i="2"/>
  <c r="BJ24" i="2" s="1"/>
  <c r="BY24" i="2" s="1"/>
  <c r="CB24" i="2"/>
  <c r="CL24" i="2" s="1"/>
  <c r="CD24" i="2"/>
  <c r="CN24" i="2" s="1"/>
  <c r="CF24" i="2"/>
  <c r="CH24" i="2"/>
  <c r="CM24" i="2"/>
  <c r="CS24" i="2"/>
  <c r="CW24" i="2"/>
  <c r="CY24" i="2"/>
  <c r="DH24" i="2"/>
  <c r="DL24" i="2"/>
  <c r="K25" i="2"/>
  <c r="Q25" i="2"/>
  <c r="U25" i="2"/>
  <c r="W25" i="2"/>
  <c r="Z25" i="2"/>
  <c r="AF25" i="2"/>
  <c r="AJ25" i="2"/>
  <c r="AL25" i="2"/>
  <c r="AO25" i="2"/>
  <c r="AY25" i="2" s="1"/>
  <c r="AQ25" i="2"/>
  <c r="BE25" i="2" s="1"/>
  <c r="AS25" i="2"/>
  <c r="BJ25" i="2" s="1"/>
  <c r="AZ25" i="2"/>
  <c r="BO25" i="2"/>
  <c r="CB25" i="2"/>
  <c r="CL25" i="2" s="1"/>
  <c r="CD25" i="2"/>
  <c r="CN25" i="2" s="1"/>
  <c r="CF25" i="2"/>
  <c r="CH25" i="2"/>
  <c r="CM25" i="2"/>
  <c r="CS25" i="2"/>
  <c r="CW25" i="2"/>
  <c r="CY25" i="2"/>
  <c r="DH25" i="2"/>
  <c r="DL25" i="2"/>
  <c r="K26" i="2"/>
  <c r="Q26" i="2"/>
  <c r="U26" i="2"/>
  <c r="W26" i="2"/>
  <c r="Z26" i="2"/>
  <c r="AF26" i="2"/>
  <c r="AJ26" i="2"/>
  <c r="AL26" i="2"/>
  <c r="AO26" i="2"/>
  <c r="AY26" i="2" s="1"/>
  <c r="AQ26" i="2"/>
  <c r="BE26" i="2" s="1"/>
  <c r="AS26" i="2"/>
  <c r="BJ26" i="2" s="1"/>
  <c r="AZ26" i="2"/>
  <c r="BM26" i="2"/>
  <c r="BO26" i="2"/>
  <c r="BQ26" i="2"/>
  <c r="BU26" i="2"/>
  <c r="BY26" i="2"/>
  <c r="CB26" i="2"/>
  <c r="CL26" i="2" s="1"/>
  <c r="CD26" i="2"/>
  <c r="CN26" i="2" s="1"/>
  <c r="CF26" i="2"/>
  <c r="CH26" i="2"/>
  <c r="CY26" i="2" s="1"/>
  <c r="CW26" i="2"/>
  <c r="DH26" i="2"/>
  <c r="DL26" i="2"/>
  <c r="DN26" i="2"/>
  <c r="DN27" i="2"/>
  <c r="DL27" i="2"/>
  <c r="DH27" i="2"/>
  <c r="CH27" i="2"/>
  <c r="CY27" i="2" s="1"/>
  <c r="CF27" i="2"/>
  <c r="CW27" i="2" s="1"/>
  <c r="CD27" i="2"/>
  <c r="CN27" i="2" s="1"/>
  <c r="CB27" i="2"/>
  <c r="CL27" i="2" s="1"/>
  <c r="BY27" i="2"/>
  <c r="BO27" i="2"/>
  <c r="BM27" i="2"/>
  <c r="AS27" i="2"/>
  <c r="BJ27" i="2" s="1"/>
  <c r="AQ27" i="2"/>
  <c r="BE27" i="2" s="1"/>
  <c r="AO27" i="2"/>
  <c r="AY27" i="2" s="1"/>
  <c r="DM27" i="2"/>
  <c r="DC27" i="2"/>
  <c r="DA27" i="2"/>
  <c r="CG27" i="2"/>
  <c r="CX27" i="2" s="1"/>
  <c r="CE27" i="2"/>
  <c r="CS27" i="2" s="1"/>
  <c r="CC27" i="2"/>
  <c r="CM27" i="2" s="1"/>
  <c r="BZ27" i="2"/>
  <c r="BX27" i="2"/>
  <c r="BT27" i="2"/>
  <c r="BN27" i="2"/>
  <c r="AT27" i="2"/>
  <c r="BK27" i="2" s="1"/>
  <c r="AR27" i="2"/>
  <c r="BI27" i="2" s="1"/>
  <c r="K27" i="2"/>
  <c r="Q27" i="2"/>
  <c r="AF27" i="2" s="1"/>
  <c r="U27" i="2"/>
  <c r="AJ27" i="2" s="1"/>
  <c r="W27" i="2"/>
  <c r="AL27" i="2" s="1"/>
  <c r="Z27" i="2"/>
  <c r="AP27" i="2"/>
  <c r="AZ27" i="2" s="1"/>
  <c r="DG30" i="2"/>
  <c r="DE30" i="2"/>
  <c r="DF30" i="2"/>
  <c r="DD30" i="2"/>
  <c r="BZ26" i="2"/>
  <c r="CC26" i="2"/>
  <c r="CM26" i="2" s="1"/>
  <c r="CE26" i="2"/>
  <c r="CS26" i="2" s="1"/>
  <c r="CG26" i="2"/>
  <c r="CX26" i="2" s="1"/>
  <c r="DA26" i="2"/>
  <c r="DC26" i="2"/>
  <c r="V27" i="2"/>
  <c r="AK27" i="2" s="1"/>
  <c r="Y27" i="2"/>
  <c r="AA27" i="2"/>
  <c r="AN27" i="2"/>
  <c r="AX27" i="2" s="1"/>
  <c r="J28" i="2"/>
  <c r="L28" i="2"/>
  <c r="AA28" i="2" s="1"/>
  <c r="V28" i="2"/>
  <c r="Y28" i="2"/>
  <c r="AK28" i="2"/>
  <c r="AN28" i="2"/>
  <c r="AX28" i="2" s="1"/>
  <c r="AP28" i="2"/>
  <c r="AZ28" i="2" s="1"/>
  <c r="AR28" i="2"/>
  <c r="AT28" i="2"/>
  <c r="BI28" i="2"/>
  <c r="BK28" i="2"/>
  <c r="BN28" i="2"/>
  <c r="BT28" i="2"/>
  <c r="BX28" i="2"/>
  <c r="BZ28" i="2"/>
  <c r="CC28" i="2"/>
  <c r="CM28" i="2" s="1"/>
  <c r="CE28" i="2"/>
  <c r="CS28" i="2" s="1"/>
  <c r="CG28" i="2"/>
  <c r="CX28" i="2" s="1"/>
  <c r="DA28" i="2"/>
  <c r="DC28" i="2"/>
  <c r="DM28" i="2"/>
  <c r="J29" i="2"/>
  <c r="Y29" i="2" s="1"/>
  <c r="L29" i="2"/>
  <c r="V29" i="2"/>
  <c r="AA29" i="2"/>
  <c r="AN29" i="2"/>
  <c r="AX29" i="2" s="1"/>
  <c r="AP29" i="2"/>
  <c r="BN29" i="2"/>
  <c r="BT29" i="2"/>
  <c r="BX29" i="2"/>
  <c r="BZ29" i="2"/>
  <c r="CC29" i="2"/>
  <c r="CM29" i="2" s="1"/>
  <c r="CE29" i="2"/>
  <c r="CG29" i="2"/>
  <c r="CX29" i="2" s="1"/>
  <c r="DA29" i="2"/>
  <c r="DC29" i="2"/>
  <c r="DM29" i="2"/>
  <c r="J30" i="2"/>
  <c r="L30" i="2"/>
  <c r="AA30" i="2" s="1"/>
  <c r="V30" i="2"/>
  <c r="Y30" i="2"/>
  <c r="AK30" i="2"/>
  <c r="AN30" i="2"/>
  <c r="AQ30" i="2"/>
  <c r="BE30" i="2" s="1"/>
  <c r="AX30" i="2"/>
  <c r="BO30" i="2"/>
  <c r="CF30" i="2"/>
  <c r="K28" i="2"/>
  <c r="Q28" i="2"/>
  <c r="U28" i="2"/>
  <c r="W28" i="2"/>
  <c r="Z28" i="2"/>
  <c r="AF28" i="2"/>
  <c r="AJ28" i="2"/>
  <c r="AL28" i="2"/>
  <c r="AO28" i="2"/>
  <c r="AY28" i="2" s="1"/>
  <c r="AQ28" i="2"/>
  <c r="BE28" i="2" s="1"/>
  <c r="AS28" i="2"/>
  <c r="BJ28" i="2" s="1"/>
  <c r="BM28" i="2"/>
  <c r="BO28" i="2"/>
  <c r="BY28" i="2"/>
  <c r="CB28" i="2"/>
  <c r="CL28" i="2" s="1"/>
  <c r="CD28" i="2"/>
  <c r="CN28" i="2" s="1"/>
  <c r="CF28" i="2"/>
  <c r="CW28" i="2" s="1"/>
  <c r="CH28" i="2"/>
  <c r="CY28" i="2" s="1"/>
  <c r="DH28" i="2"/>
  <c r="DL28" i="2"/>
  <c r="K29" i="2"/>
  <c r="Q29" i="2"/>
  <c r="U29" i="2"/>
  <c r="W29" i="2"/>
  <c r="Z29" i="2"/>
  <c r="AF29" i="2"/>
  <c r="AJ29" i="2"/>
  <c r="AL29" i="2"/>
  <c r="AO29" i="2"/>
  <c r="AY29" i="2" s="1"/>
  <c r="AQ29" i="2"/>
  <c r="BE29" i="2" s="1"/>
  <c r="AZ29" i="2"/>
  <c r="BM29" i="2"/>
  <c r="BO29" i="2"/>
  <c r="BY29" i="2"/>
  <c r="CB29" i="2"/>
  <c r="CL29" i="2" s="1"/>
  <c r="CD29" i="2"/>
  <c r="CN29" i="2" s="1"/>
  <c r="CF29" i="2"/>
  <c r="CW29" i="2" s="1"/>
  <c r="CH29" i="2"/>
  <c r="CS29" i="2"/>
  <c r="CY29" i="2"/>
  <c r="DH29" i="2"/>
  <c r="DL29" i="2"/>
  <c r="DM30" i="2"/>
  <c r="DC30" i="2"/>
  <c r="DA30" i="2"/>
  <c r="CG30" i="2"/>
  <c r="CX30" i="2" s="1"/>
  <c r="CE30" i="2"/>
  <c r="CS30" i="2" s="1"/>
  <c r="CC30" i="2"/>
  <c r="BZ30" i="2"/>
  <c r="BX30" i="2"/>
  <c r="BT30" i="2"/>
  <c r="BN30" i="2"/>
  <c r="DN30" i="2"/>
  <c r="CW30" i="2"/>
  <c r="CH30" i="2"/>
  <c r="CY30" i="2" s="1"/>
  <c r="CD30" i="2"/>
  <c r="CN30" i="2" s="1"/>
  <c r="BY30" i="2"/>
  <c r="BM30" i="2"/>
  <c r="AT30" i="2"/>
  <c r="BK30" i="2" s="1"/>
  <c r="AR30" i="2"/>
  <c r="BI30" i="2" s="1"/>
  <c r="AP30" i="2"/>
  <c r="AZ30" i="2" s="1"/>
  <c r="K30" i="2"/>
  <c r="Q30" i="2"/>
  <c r="U30" i="2"/>
  <c r="W30" i="2"/>
  <c r="Z30" i="2"/>
  <c r="AF30" i="2"/>
  <c r="AJ30" i="2"/>
  <c r="AL30" i="2"/>
  <c r="AO30" i="2"/>
  <c r="AY30" i="2" s="1"/>
  <c r="AS30" i="2"/>
  <c r="BJ30" i="2" s="1"/>
  <c r="CB30" i="2"/>
  <c r="CL30" i="2" s="1"/>
  <c r="CM30" i="2"/>
  <c r="DL30" i="2"/>
  <c r="DM32" i="2"/>
  <c r="DC32" i="2"/>
  <c r="DA32" i="2"/>
  <c r="CG32" i="2"/>
  <c r="CX32" i="2" s="1"/>
  <c r="CE32" i="2"/>
  <c r="CS32" i="2" s="1"/>
  <c r="CC32" i="2"/>
  <c r="BZ32" i="2"/>
  <c r="BX32" i="2"/>
  <c r="BT32" i="2"/>
  <c r="BN32" i="2"/>
  <c r="V32" i="2"/>
  <c r="AK32" i="2" s="1"/>
  <c r="AS32" i="2" s="1"/>
  <c r="BJ32" i="2" s="1"/>
  <c r="L32" i="2"/>
  <c r="AA32" i="2" s="1"/>
  <c r="J32" i="2"/>
  <c r="Y32" i="2" s="1"/>
  <c r="AN32" i="2" s="1"/>
  <c r="AX32" i="2" s="1"/>
  <c r="Q32" i="2"/>
  <c r="AF32" i="2" s="1"/>
  <c r="U32" i="2"/>
  <c r="BO32" i="2"/>
  <c r="CB32" i="2"/>
  <c r="CL32" i="2" s="1"/>
  <c r="CF32" i="2"/>
  <c r="CM32" i="2"/>
  <c r="DH32" i="2"/>
  <c r="DL32" i="2"/>
  <c r="BT33" i="2"/>
  <c r="CC33" i="2"/>
  <c r="CM33" i="2" s="1"/>
  <c r="DM31" i="2"/>
  <c r="DC31" i="2"/>
  <c r="DA31" i="2"/>
  <c r="CN31" i="2"/>
  <c r="CG31" i="2"/>
  <c r="CX31" i="2" s="1"/>
  <c r="CE31" i="2"/>
  <c r="CS31" i="2" s="1"/>
  <c r="CC31" i="2"/>
  <c r="CM31" i="2" s="1"/>
  <c r="V31" i="2"/>
  <c r="AK31" i="2" s="1"/>
  <c r="L31" i="2"/>
  <c r="J31" i="2"/>
  <c r="Y31" i="2" s="1"/>
  <c r="Q31" i="2"/>
  <c r="U31" i="2"/>
  <c r="Z31" i="2"/>
  <c r="AO31" i="2" s="1"/>
  <c r="AL31" i="2"/>
  <c r="AT31" i="2" s="1"/>
  <c r="CB31" i="2"/>
  <c r="CL31" i="2" s="1"/>
  <c r="CF31" i="2"/>
  <c r="CW31" i="2" s="1"/>
  <c r="CY31" i="2"/>
  <c r="DH31" i="2"/>
  <c r="DL31" i="2"/>
  <c r="K32" i="2"/>
  <c r="Z32" i="2" s="1"/>
  <c r="W32" i="2"/>
  <c r="AL32" i="2" s="1"/>
  <c r="AJ32" i="2"/>
  <c r="AR32" i="2" s="1"/>
  <c r="BI32" i="2" s="1"/>
  <c r="BM32" i="2"/>
  <c r="BY32" i="2"/>
  <c r="CD32" i="2"/>
  <c r="CN32" i="2" s="1"/>
  <c r="CH32" i="2"/>
  <c r="CY32" i="2" s="1"/>
  <c r="CW32" i="2"/>
  <c r="DN32" i="2"/>
  <c r="DN33" i="2"/>
  <c r="DL33" i="2"/>
  <c r="DH33" i="2"/>
  <c r="CH33" i="2"/>
  <c r="CY33" i="2" s="1"/>
  <c r="CF33" i="2"/>
  <c r="CW33" i="2" s="1"/>
  <c r="CD33" i="2"/>
  <c r="CN33" i="2" s="1"/>
  <c r="CB33" i="2"/>
  <c r="BY33" i="2"/>
  <c r="BO33" i="2"/>
  <c r="BM33" i="2"/>
  <c r="AL33" i="2"/>
  <c r="DC33" i="2"/>
  <c r="CL33" i="2"/>
  <c r="CE33" i="2"/>
  <c r="CS33" i="2" s="1"/>
  <c r="BZ33" i="2"/>
  <c r="BN33" i="2"/>
  <c r="AT33" i="2"/>
  <c r="BK33" i="2" s="1"/>
  <c r="V33" i="2"/>
  <c r="AK33" i="2" s="1"/>
  <c r="AS33" i="2" s="1"/>
  <c r="BJ33" i="2" s="1"/>
  <c r="L33" i="2"/>
  <c r="AA33" i="2" s="1"/>
  <c r="J33" i="2"/>
  <c r="Y33" i="2" s="1"/>
  <c r="AN33" i="2" s="1"/>
  <c r="AX33" i="2" s="1"/>
  <c r="Q33" i="2"/>
  <c r="U33" i="2"/>
  <c r="Z33" i="2"/>
  <c r="AO33" i="2" s="1"/>
  <c r="AY33" i="2" s="1"/>
  <c r="BX33" i="2"/>
  <c r="CG33" i="2"/>
  <c r="CX33" i="2" s="1"/>
  <c r="DA33" i="2"/>
  <c r="BS34" i="2"/>
  <c r="BQ34" i="2"/>
  <c r="BW34" i="2"/>
  <c r="BU34" i="2"/>
  <c r="K34" i="2"/>
  <c r="Q34" i="2"/>
  <c r="U34" i="2"/>
  <c r="W34" i="2"/>
  <c r="Z34" i="2"/>
  <c r="AF34" i="2"/>
  <c r="AJ34" i="2"/>
  <c r="AL34" i="2"/>
  <c r="AO34" i="2"/>
  <c r="AY34" i="2" s="1"/>
  <c r="AQ34" i="2"/>
  <c r="BE34" i="2" s="1"/>
  <c r="AS34" i="2"/>
  <c r="BJ34" i="2" s="1"/>
  <c r="AX34" i="2"/>
  <c r="AZ34" i="2"/>
  <c r="BM34" i="2"/>
  <c r="BO34" i="2"/>
  <c r="BY34" i="2"/>
  <c r="CB34" i="2"/>
  <c r="CL34" i="2" s="1"/>
  <c r="CD34" i="2"/>
  <c r="CN34" i="2" s="1"/>
  <c r="CF34" i="2"/>
  <c r="CH34" i="2"/>
  <c r="CM34" i="2"/>
  <c r="CS34" i="2"/>
  <c r="CW34" i="2"/>
  <c r="CY34" i="2"/>
  <c r="DH34" i="2"/>
  <c r="DL34" i="2"/>
  <c r="EI3" i="5" l="1"/>
  <c r="EF5" i="5"/>
  <c r="EF20" i="5"/>
  <c r="EF22" i="5"/>
  <c r="EI12" i="5"/>
  <c r="EI24" i="5"/>
  <c r="EF33" i="5"/>
  <c r="EI10" i="5"/>
  <c r="EI15" i="5"/>
  <c r="EI19" i="5"/>
  <c r="EI13" i="5"/>
  <c r="EI17" i="5"/>
  <c r="EI21" i="5"/>
  <c r="EI27" i="5"/>
  <c r="EF7" i="5"/>
  <c r="EF25" i="5"/>
  <c r="EF30" i="5"/>
  <c r="BG34" i="2"/>
  <c r="BH34" i="2"/>
  <c r="BF34" i="2"/>
  <c r="AR20" i="2"/>
  <c r="BI20" i="2" s="1"/>
  <c r="AT19" i="2"/>
  <c r="AT18" i="2"/>
  <c r="BK18" i="2" s="1"/>
  <c r="AT17" i="2"/>
  <c r="BK17" i="2" s="1"/>
  <c r="AN12" i="2"/>
  <c r="AX12" i="2" s="1"/>
  <c r="BK19" i="2"/>
  <c r="BZ19" i="2" s="1"/>
  <c r="AT29" i="2"/>
  <c r="BK29" i="2" s="1"/>
  <c r="AK29" i="2"/>
  <c r="AS29" i="2" s="1"/>
  <c r="BJ29" i="2" s="1"/>
  <c r="AR24" i="2"/>
  <c r="AR23" i="2"/>
  <c r="BI23" i="2" s="1"/>
  <c r="AT22" i="2"/>
  <c r="AS19" i="2"/>
  <c r="AS17" i="2"/>
  <c r="BJ17" i="2" s="1"/>
  <c r="AR12" i="2"/>
  <c r="BI12" i="2" s="1"/>
  <c r="AR11" i="2"/>
  <c r="BI11" i="2" s="1"/>
  <c r="AT9" i="2"/>
  <c r="BK9" i="2" s="1"/>
  <c r="AR8" i="2"/>
  <c r="BI8" i="2" s="1"/>
  <c r="AT7" i="2"/>
  <c r="BK7" i="2" s="1"/>
  <c r="AR6" i="2"/>
  <c r="BI6" i="2" s="1"/>
  <c r="AT5" i="2"/>
  <c r="BK5" i="2" s="1"/>
  <c r="AT26" i="2"/>
  <c r="BK26" i="2" s="1"/>
  <c r="AR21" i="2"/>
  <c r="BI21" i="2" s="1"/>
  <c r="AT14" i="2"/>
  <c r="BK14" i="2" s="1"/>
  <c r="AR13" i="2"/>
  <c r="BI13" i="2" s="1"/>
  <c r="AY31" i="2"/>
  <c r="BN31" i="2" s="1"/>
  <c r="AR29" i="2"/>
  <c r="BI29" i="2" s="1"/>
  <c r="AT25" i="2"/>
  <c r="AT24" i="2"/>
  <c r="AT23" i="2"/>
  <c r="BK23" i="2" s="1"/>
  <c r="AR22" i="2"/>
  <c r="AT21" i="2"/>
  <c r="BK21" i="2" s="1"/>
  <c r="AP20" i="2"/>
  <c r="AZ20" i="2" s="1"/>
  <c r="AS20" i="2"/>
  <c r="BJ20" i="2" s="1"/>
  <c r="BT19" i="2"/>
  <c r="AN19" i="2"/>
  <c r="AX19" i="2" s="1"/>
  <c r="AP18" i="2"/>
  <c r="AZ18" i="2" s="1"/>
  <c r="AS18" i="2"/>
  <c r="BJ18" i="2" s="1"/>
  <c r="AN17" i="2"/>
  <c r="AX17" i="2" s="1"/>
  <c r="AQ20" i="2"/>
  <c r="BE20" i="2" s="1"/>
  <c r="AR14" i="2"/>
  <c r="BI14" i="2" s="1"/>
  <c r="AT13" i="2"/>
  <c r="BK13" i="2" s="1"/>
  <c r="AT12" i="2"/>
  <c r="BK12" i="2" s="1"/>
  <c r="AT11" i="2"/>
  <c r="BK11" i="2" s="1"/>
  <c r="AR10" i="2"/>
  <c r="AR9" i="2"/>
  <c r="BI9" i="2" s="1"/>
  <c r="AR7" i="2"/>
  <c r="BI7" i="2" s="1"/>
  <c r="AR5" i="2"/>
  <c r="BI5" i="2" s="1"/>
  <c r="BV8" i="2"/>
  <c r="BP7" i="2"/>
  <c r="AQ16" i="2"/>
  <c r="BE16" i="2" s="1"/>
  <c r="BP9" i="2"/>
  <c r="BV6" i="2"/>
  <c r="AN25" i="2"/>
  <c r="AN13" i="2"/>
  <c r="AX13" i="2" s="1"/>
  <c r="AP12" i="2"/>
  <c r="AZ12" i="2" s="1"/>
  <c r="AN11" i="2"/>
  <c r="AX11" i="2" s="1"/>
  <c r="AN7" i="2"/>
  <c r="AX7" i="2" s="1"/>
  <c r="AP5" i="2"/>
  <c r="AZ5" i="2" s="1"/>
  <c r="BK31" i="2"/>
  <c r="BZ31" i="2" s="1"/>
  <c r="BI24" i="2"/>
  <c r="BX24" i="2" s="1"/>
  <c r="BF23" i="2"/>
  <c r="BH23" i="2"/>
  <c r="BG23" i="2"/>
  <c r="BK22" i="2"/>
  <c r="BZ22" i="2" s="1"/>
  <c r="BF21" i="2"/>
  <c r="BG21" i="2"/>
  <c r="BH21" i="2"/>
  <c r="BJ19" i="2"/>
  <c r="BY19" i="2" s="1"/>
  <c r="BH13" i="2"/>
  <c r="BG13" i="2"/>
  <c r="BF13" i="2"/>
  <c r="BF12" i="2"/>
  <c r="BH12" i="2"/>
  <c r="BG12" i="2"/>
  <c r="BH11" i="2"/>
  <c r="BG11" i="2"/>
  <c r="BF11" i="2"/>
  <c r="BH8" i="2"/>
  <c r="BG8" i="2"/>
  <c r="BF8" i="2"/>
  <c r="BF6" i="2"/>
  <c r="BH6" i="2"/>
  <c r="BG6" i="2"/>
  <c r="AZ24" i="2"/>
  <c r="BO24" i="2" s="1"/>
  <c r="BF4" i="2"/>
  <c r="BG4" i="2"/>
  <c r="BH4" i="2"/>
  <c r="BK25" i="2"/>
  <c r="BZ25" i="2" s="1"/>
  <c r="BK24" i="2"/>
  <c r="BZ24" i="2" s="1"/>
  <c r="BI22" i="2"/>
  <c r="BX22" i="2" s="1"/>
  <c r="BH14" i="2"/>
  <c r="BG14" i="2"/>
  <c r="BF14" i="2"/>
  <c r="BI10" i="2"/>
  <c r="BX10" i="2" s="1"/>
  <c r="BF9" i="2"/>
  <c r="BH9" i="2"/>
  <c r="BG9" i="2"/>
  <c r="BH7" i="2"/>
  <c r="BG7" i="2"/>
  <c r="BF7" i="2"/>
  <c r="BF5" i="2"/>
  <c r="BH5" i="2"/>
  <c r="BG5" i="2"/>
  <c r="AO32" i="2"/>
  <c r="AY32" i="2" s="1"/>
  <c r="AA31" i="2"/>
  <c r="AP31" i="2" s="1"/>
  <c r="AQ32" i="2"/>
  <c r="BE32" i="2" s="1"/>
  <c r="AP32" i="2"/>
  <c r="AZ32" i="2" s="1"/>
  <c r="AT32" i="2"/>
  <c r="BK32" i="2" s="1"/>
  <c r="BY25" i="2"/>
  <c r="BE22" i="2"/>
  <c r="BT22" i="2" s="1"/>
  <c r="AN20" i="2"/>
  <c r="AX20" i="2" s="1"/>
  <c r="AP19" i="2"/>
  <c r="AN18" i="2"/>
  <c r="AX18" i="2" s="1"/>
  <c r="AP17" i="2"/>
  <c r="AZ17" i="2" s="1"/>
  <c r="BM19" i="2"/>
  <c r="AK15" i="2"/>
  <c r="AS15" i="2" s="1"/>
  <c r="BJ15" i="2" s="1"/>
  <c r="AP15" i="2"/>
  <c r="AZ15" i="2" s="1"/>
  <c r="BY10" i="2"/>
  <c r="BE10" i="2"/>
  <c r="BT10" i="2" s="1"/>
  <c r="AT10" i="2"/>
  <c r="AT6" i="2"/>
  <c r="BK6" i="2" s="1"/>
  <c r="AO16" i="2"/>
  <c r="AY16" i="2" s="1"/>
  <c r="AP16" i="2"/>
  <c r="AZ16" i="2" s="1"/>
  <c r="AT16" i="2"/>
  <c r="BK16" i="2" s="1"/>
  <c r="BP34" i="2"/>
  <c r="BR34" i="2"/>
  <c r="AN26" i="2"/>
  <c r="AX26" i="2" s="1"/>
  <c r="BW26" i="2"/>
  <c r="BV26" i="2"/>
  <c r="BN25" i="2"/>
  <c r="BT25" i="2"/>
  <c r="BN24" i="2"/>
  <c r="BT24" i="2"/>
  <c r="AN23" i="2"/>
  <c r="AX23" i="2" s="1"/>
  <c r="BR23" i="2"/>
  <c r="BP23" i="2"/>
  <c r="AP23" i="2"/>
  <c r="AZ23" i="2" s="1"/>
  <c r="AN14" i="2"/>
  <c r="AX14" i="2" s="1"/>
  <c r="BW14" i="2"/>
  <c r="BV14" i="2"/>
  <c r="BS13" i="2"/>
  <c r="BP13" i="2"/>
  <c r="BR13" i="2"/>
  <c r="BS12" i="2"/>
  <c r="BP12" i="2"/>
  <c r="BR12" i="2"/>
  <c r="BS11" i="2"/>
  <c r="BP11" i="2"/>
  <c r="BR11" i="2"/>
  <c r="AP22" i="2"/>
  <c r="AN22" i="2"/>
  <c r="BR21" i="2"/>
  <c r="BP21" i="2"/>
  <c r="AP21" i="2"/>
  <c r="AZ21" i="2" s="1"/>
  <c r="BN10" i="2"/>
  <c r="AP9" i="2"/>
  <c r="AZ9" i="2" s="1"/>
  <c r="AA8" i="2"/>
  <c r="AP8" i="2" s="1"/>
  <c r="AZ8" i="2" s="1"/>
  <c r="BR4" i="2"/>
  <c r="BP4" i="2"/>
  <c r="AP33" i="2"/>
  <c r="AZ33" i="2" s="1"/>
  <c r="AN31" i="2"/>
  <c r="AR26" i="2"/>
  <c r="BI26" i="2" s="1"/>
  <c r="AR25" i="2"/>
  <c r="AT8" i="2"/>
  <c r="BK8" i="2" s="1"/>
  <c r="AS31" i="2"/>
  <c r="BS26" i="2"/>
  <c r="BP26" i="2"/>
  <c r="BR26" i="2"/>
  <c r="AN24" i="2"/>
  <c r="BS14" i="2"/>
  <c r="BP14" i="2"/>
  <c r="BR14" i="2"/>
  <c r="BW13" i="2"/>
  <c r="BV13" i="2"/>
  <c r="BW12" i="2"/>
  <c r="BV12" i="2"/>
  <c r="BW11" i="2"/>
  <c r="BV11" i="2"/>
  <c r="BN22" i="2"/>
  <c r="AA10" i="2"/>
  <c r="AP10" i="2"/>
  <c r="AP7" i="2"/>
  <c r="AZ7" i="2" s="1"/>
  <c r="AA6" i="2"/>
  <c r="AP6" i="2" s="1"/>
  <c r="AZ6" i="2" s="1"/>
  <c r="AE32" i="2"/>
  <c r="AC32" i="2"/>
  <c r="AB32" i="2"/>
  <c r="AD32" i="2"/>
  <c r="BG32" i="2"/>
  <c r="BH32" i="2"/>
  <c r="BF32" i="2"/>
  <c r="BD29" i="2"/>
  <c r="BB29" i="2"/>
  <c r="BC29" i="2"/>
  <c r="BA29" i="2"/>
  <c r="CR26" i="2"/>
  <c r="CP26" i="2"/>
  <c r="CQ26" i="2"/>
  <c r="CO26" i="2"/>
  <c r="AD27" i="2"/>
  <c r="AB27" i="2"/>
  <c r="AE27" i="2"/>
  <c r="AC27" i="2"/>
  <c r="BH27" i="2"/>
  <c r="BF27" i="2"/>
  <c r="BG27" i="2"/>
  <c r="CU27" i="2"/>
  <c r="CV27" i="2"/>
  <c r="CT27" i="2"/>
  <c r="CQ20" i="2"/>
  <c r="CO20" i="2"/>
  <c r="CP20" i="2"/>
  <c r="CR20" i="2"/>
  <c r="CR18" i="2"/>
  <c r="CP18" i="2"/>
  <c r="CQ18" i="2"/>
  <c r="CO18" i="2"/>
  <c r="BC16" i="2"/>
  <c r="BA16" i="2"/>
  <c r="BD16" i="2"/>
  <c r="BB16" i="2"/>
  <c r="CV16" i="2"/>
  <c r="CT16" i="2"/>
  <c r="CU16" i="2"/>
  <c r="CU33" i="2"/>
  <c r="CT33" i="2"/>
  <c r="CV33" i="2"/>
  <c r="BC32" i="2"/>
  <c r="BA32" i="2"/>
  <c r="BD32" i="2"/>
  <c r="BB32" i="2"/>
  <c r="BG30" i="2"/>
  <c r="BH30" i="2"/>
  <c r="BF30" i="2"/>
  <c r="BD28" i="2"/>
  <c r="BB28" i="2"/>
  <c r="BC28" i="2"/>
  <c r="BA28" i="2"/>
  <c r="BC30" i="2"/>
  <c r="BA30" i="2"/>
  <c r="BD30" i="2"/>
  <c r="BB30" i="2"/>
  <c r="CQ28" i="2"/>
  <c r="CO28" i="2"/>
  <c r="CR28" i="2"/>
  <c r="CP28" i="2"/>
  <c r="CR19" i="2"/>
  <c r="CP19" i="2"/>
  <c r="CQ19" i="2"/>
  <c r="CO19" i="2"/>
  <c r="CR17" i="2"/>
  <c r="CP17" i="2"/>
  <c r="CQ17" i="2"/>
  <c r="CO17" i="2"/>
  <c r="CU20" i="2"/>
  <c r="CT20" i="2"/>
  <c r="CV20" i="2"/>
  <c r="DJ34" i="2"/>
  <c r="DK34" i="2"/>
  <c r="DI34" i="2"/>
  <c r="CQ34" i="2"/>
  <c r="CO34" i="2"/>
  <c r="CP34" i="2"/>
  <c r="CR34" i="2"/>
  <c r="DF34" i="2"/>
  <c r="DD34" i="2"/>
  <c r="DG34" i="2"/>
  <c r="DE34" i="2"/>
  <c r="CU34" i="2"/>
  <c r="CT34" i="2"/>
  <c r="CV34" i="2"/>
  <c r="BD34" i="2"/>
  <c r="BB34" i="2"/>
  <c r="BA34" i="2"/>
  <c r="BC34" i="2"/>
  <c r="AD34" i="2"/>
  <c r="AB34" i="2"/>
  <c r="AC34" i="2"/>
  <c r="AE34" i="2"/>
  <c r="O34" i="2"/>
  <c r="M34" i="2"/>
  <c r="P34" i="2"/>
  <c r="N34" i="2"/>
  <c r="BW33" i="2"/>
  <c r="BU33" i="2"/>
  <c r="BV33" i="2"/>
  <c r="T33" i="2"/>
  <c r="R33" i="2"/>
  <c r="AJ33" i="2"/>
  <c r="AR33" i="2" s="1"/>
  <c r="BI33" i="2" s="1"/>
  <c r="S33" i="2"/>
  <c r="DF33" i="2"/>
  <c r="DD33" i="2"/>
  <c r="DG33" i="2"/>
  <c r="DE33" i="2"/>
  <c r="CV32" i="2"/>
  <c r="CT32" i="2"/>
  <c r="CU32" i="2"/>
  <c r="DG31" i="2"/>
  <c r="DE31" i="2"/>
  <c r="DD31" i="2"/>
  <c r="DF31" i="2"/>
  <c r="P31" i="2"/>
  <c r="N31" i="2"/>
  <c r="M31" i="2"/>
  <c r="AF31" i="2"/>
  <c r="AQ31" i="2" s="1"/>
  <c r="O31" i="2"/>
  <c r="CR31" i="2"/>
  <c r="CP31" i="2"/>
  <c r="CQ31" i="2"/>
  <c r="CO31" i="2"/>
  <c r="BS33" i="2"/>
  <c r="BQ33" i="2"/>
  <c r="BR33" i="2"/>
  <c r="BP33" i="2"/>
  <c r="DK32" i="2"/>
  <c r="DI32" i="2"/>
  <c r="DJ32" i="2"/>
  <c r="T32" i="2"/>
  <c r="R32" i="2"/>
  <c r="S32" i="2"/>
  <c r="BV32" i="2"/>
  <c r="BU32" i="2"/>
  <c r="BW32" i="2"/>
  <c r="AD30" i="2"/>
  <c r="AB30" i="2"/>
  <c r="AE30" i="2"/>
  <c r="AC30" i="2"/>
  <c r="O30" i="2"/>
  <c r="M30" i="2"/>
  <c r="P30" i="2"/>
  <c r="N30" i="2"/>
  <c r="CV30" i="2"/>
  <c r="CT30" i="2"/>
  <c r="CU30" i="2"/>
  <c r="BV30" i="2"/>
  <c r="BU30" i="2"/>
  <c r="BW30" i="2"/>
  <c r="DF29" i="2"/>
  <c r="DD29" i="2"/>
  <c r="DG29" i="2"/>
  <c r="DE29" i="2"/>
  <c r="CU29" i="2"/>
  <c r="CV29" i="2"/>
  <c r="CT29" i="2"/>
  <c r="AD29" i="2"/>
  <c r="AB29" i="2"/>
  <c r="AE29" i="2"/>
  <c r="AC29" i="2"/>
  <c r="O29" i="2"/>
  <c r="M29" i="2"/>
  <c r="P29" i="2"/>
  <c r="N29" i="2"/>
  <c r="DJ28" i="2"/>
  <c r="DK28" i="2"/>
  <c r="DI28" i="2"/>
  <c r="AH28" i="2"/>
  <c r="AI28" i="2"/>
  <c r="AG28" i="2"/>
  <c r="S28" i="2"/>
  <c r="T28" i="2"/>
  <c r="R28" i="2"/>
  <c r="BS29" i="2"/>
  <c r="BQ29" i="2"/>
  <c r="BR29" i="2"/>
  <c r="BP29" i="2"/>
  <c r="BW28" i="2"/>
  <c r="BU28" i="2"/>
  <c r="BV28" i="2"/>
  <c r="BH28" i="2"/>
  <c r="BF28" i="2"/>
  <c r="BG28" i="2"/>
  <c r="T27" i="2"/>
  <c r="R27" i="2"/>
  <c r="S27" i="2"/>
  <c r="BD27" i="2"/>
  <c r="BB27" i="2"/>
  <c r="BC27" i="2"/>
  <c r="BA27" i="2"/>
  <c r="BS27" i="2"/>
  <c r="BQ27" i="2"/>
  <c r="BR27" i="2"/>
  <c r="BP27" i="2"/>
  <c r="DF27" i="2"/>
  <c r="DD27" i="2"/>
  <c r="DG27" i="2"/>
  <c r="DE27" i="2"/>
  <c r="DK26" i="2"/>
  <c r="DI26" i="2"/>
  <c r="DJ26" i="2"/>
  <c r="AI26" i="2"/>
  <c r="AG26" i="2"/>
  <c r="AH26" i="2"/>
  <c r="T26" i="2"/>
  <c r="R26" i="2"/>
  <c r="S26" i="2"/>
  <c r="DG25" i="2"/>
  <c r="DE25" i="2"/>
  <c r="DF25" i="2"/>
  <c r="DD25" i="2"/>
  <c r="CV25" i="2"/>
  <c r="CT25" i="2"/>
  <c r="CU25" i="2"/>
  <c r="BC25" i="2"/>
  <c r="BA25" i="2"/>
  <c r="BD25" i="2"/>
  <c r="BB25" i="2"/>
  <c r="AE25" i="2"/>
  <c r="AC25" i="2"/>
  <c r="AD25" i="2"/>
  <c r="AB25" i="2"/>
  <c r="P25" i="2"/>
  <c r="N25" i="2"/>
  <c r="O25" i="2"/>
  <c r="M25" i="2"/>
  <c r="DK24" i="2"/>
  <c r="DI24" i="2"/>
  <c r="DJ24" i="2"/>
  <c r="CR24" i="2"/>
  <c r="CP24" i="2"/>
  <c r="CQ24" i="2"/>
  <c r="CO24" i="2"/>
  <c r="AH24" i="2"/>
  <c r="AG24" i="2"/>
  <c r="AI24" i="2"/>
  <c r="S24" i="2"/>
  <c r="T24" i="2"/>
  <c r="R24" i="2"/>
  <c r="DF23" i="2"/>
  <c r="DD23" i="2"/>
  <c r="DE23" i="2"/>
  <c r="DG23" i="2"/>
  <c r="CU23" i="2"/>
  <c r="CV23" i="2"/>
  <c r="CT23" i="2"/>
  <c r="BD23" i="2"/>
  <c r="BB23" i="2"/>
  <c r="BC23" i="2"/>
  <c r="BA23" i="2"/>
  <c r="AD23" i="2"/>
  <c r="AB23" i="2"/>
  <c r="AE23" i="2"/>
  <c r="AC23" i="2"/>
  <c r="O23" i="2"/>
  <c r="M23" i="2"/>
  <c r="N23" i="2"/>
  <c r="P23" i="2"/>
  <c r="DJ22" i="2"/>
  <c r="DK22" i="2"/>
  <c r="DI22" i="2"/>
  <c r="CQ22" i="2"/>
  <c r="CO22" i="2"/>
  <c r="CP22" i="2"/>
  <c r="CR22" i="2"/>
  <c r="AH22" i="2"/>
  <c r="AG22" i="2"/>
  <c r="AI22" i="2"/>
  <c r="S22" i="2"/>
  <c r="T22" i="2"/>
  <c r="R22" i="2"/>
  <c r="DF21" i="2"/>
  <c r="DD21" i="2"/>
  <c r="DE21" i="2"/>
  <c r="DG21" i="2"/>
  <c r="CU21" i="2"/>
  <c r="CV21" i="2"/>
  <c r="CT21" i="2"/>
  <c r="BD21" i="2"/>
  <c r="BB21" i="2"/>
  <c r="BC21" i="2"/>
  <c r="BA21" i="2"/>
  <c r="AD21" i="2"/>
  <c r="AB21" i="2"/>
  <c r="AE21" i="2"/>
  <c r="AC21" i="2"/>
  <c r="O21" i="2"/>
  <c r="M21" i="2"/>
  <c r="N21" i="2"/>
  <c r="P21" i="2"/>
  <c r="BH20" i="2"/>
  <c r="BF20" i="2"/>
  <c r="BG20" i="2"/>
  <c r="BV19" i="2"/>
  <c r="BW19" i="2"/>
  <c r="BU19" i="2"/>
  <c r="BG19" i="2"/>
  <c r="BH19" i="2"/>
  <c r="BF19" i="2"/>
  <c r="BV18" i="2"/>
  <c r="BW18" i="2"/>
  <c r="BU18" i="2"/>
  <c r="BG18" i="2"/>
  <c r="BH18" i="2"/>
  <c r="BF18" i="2"/>
  <c r="BV17" i="2"/>
  <c r="BW17" i="2"/>
  <c r="BU17" i="2"/>
  <c r="BG17" i="2"/>
  <c r="BH17" i="2"/>
  <c r="BF17" i="2"/>
  <c r="BW20" i="2"/>
  <c r="BU20" i="2"/>
  <c r="BV20" i="2"/>
  <c r="AE20" i="2"/>
  <c r="AC20" i="2"/>
  <c r="AD20" i="2"/>
  <c r="AB20" i="2"/>
  <c r="P20" i="2"/>
  <c r="N20" i="2"/>
  <c r="O20" i="2"/>
  <c r="M20" i="2"/>
  <c r="DF20" i="2"/>
  <c r="DD20" i="2"/>
  <c r="DG20" i="2"/>
  <c r="DE20" i="2"/>
  <c r="DK19" i="2"/>
  <c r="DI19" i="2"/>
  <c r="DJ19" i="2"/>
  <c r="AI19" i="2"/>
  <c r="AG19" i="2"/>
  <c r="AH19" i="2"/>
  <c r="T19" i="2"/>
  <c r="R19" i="2"/>
  <c r="S19" i="2"/>
  <c r="DK18" i="2"/>
  <c r="DI18" i="2"/>
  <c r="DJ18" i="2"/>
  <c r="AI18" i="2"/>
  <c r="AG18" i="2"/>
  <c r="AH18" i="2"/>
  <c r="T18" i="2"/>
  <c r="R18" i="2"/>
  <c r="S18" i="2"/>
  <c r="DK17" i="2"/>
  <c r="DI17" i="2"/>
  <c r="DJ17" i="2"/>
  <c r="AI17" i="2"/>
  <c r="AG17" i="2"/>
  <c r="AH17" i="2"/>
  <c r="T17" i="2"/>
  <c r="R17" i="2"/>
  <c r="S17" i="2"/>
  <c r="DK15" i="2"/>
  <c r="DI15" i="2"/>
  <c r="DJ15" i="2"/>
  <c r="CV15" i="2"/>
  <c r="CT15" i="2"/>
  <c r="CU15" i="2"/>
  <c r="T15" i="2"/>
  <c r="R15" i="2"/>
  <c r="AJ15" i="2"/>
  <c r="AR15" i="2" s="1"/>
  <c r="BI15" i="2" s="1"/>
  <c r="BF15" i="2" s="1"/>
  <c r="S15" i="2"/>
  <c r="BV15" i="2"/>
  <c r="BW15" i="2"/>
  <c r="BU15" i="2"/>
  <c r="CU14" i="2"/>
  <c r="CV14" i="2"/>
  <c r="CT14" i="2"/>
  <c r="BD14" i="2"/>
  <c r="BB14" i="2"/>
  <c r="BC14" i="2"/>
  <c r="BA14" i="2"/>
  <c r="AD14" i="2"/>
  <c r="AB14" i="2"/>
  <c r="AE14" i="2"/>
  <c r="AC14" i="2"/>
  <c r="O14" i="2"/>
  <c r="M14" i="2"/>
  <c r="P14" i="2"/>
  <c r="N14" i="2"/>
  <c r="DJ13" i="2"/>
  <c r="DK13" i="2"/>
  <c r="DI13" i="2"/>
  <c r="CQ13" i="2"/>
  <c r="CO13" i="2"/>
  <c r="CR13" i="2"/>
  <c r="CP13" i="2"/>
  <c r="AH13" i="2"/>
  <c r="AI13" i="2"/>
  <c r="AG13" i="2"/>
  <c r="S13" i="2"/>
  <c r="T13" i="2"/>
  <c r="R13" i="2"/>
  <c r="DF12" i="2"/>
  <c r="DD12" i="2"/>
  <c r="DG12" i="2"/>
  <c r="DE12" i="2"/>
  <c r="CU12" i="2"/>
  <c r="CV12" i="2"/>
  <c r="CT12" i="2"/>
  <c r="BD12" i="2"/>
  <c r="BB12" i="2"/>
  <c r="BC12" i="2"/>
  <c r="BA12" i="2"/>
  <c r="AD12" i="2"/>
  <c r="AB12" i="2"/>
  <c r="AE12" i="2"/>
  <c r="AC12" i="2"/>
  <c r="O12" i="2"/>
  <c r="M12" i="2"/>
  <c r="P12" i="2"/>
  <c r="N12" i="2"/>
  <c r="DJ11" i="2"/>
  <c r="DK11" i="2"/>
  <c r="DI11" i="2"/>
  <c r="CQ11" i="2"/>
  <c r="CO11" i="2"/>
  <c r="CR11" i="2"/>
  <c r="CP11" i="2"/>
  <c r="AH11" i="2"/>
  <c r="AI11" i="2"/>
  <c r="AG11" i="2"/>
  <c r="S11" i="2"/>
  <c r="T11" i="2"/>
  <c r="R11" i="2"/>
  <c r="DF10" i="2"/>
  <c r="DD10" i="2"/>
  <c r="DG10" i="2"/>
  <c r="DE10" i="2"/>
  <c r="CU10" i="2"/>
  <c r="CV10" i="2"/>
  <c r="CT10" i="2"/>
  <c r="BD10" i="2"/>
  <c r="BB10" i="2"/>
  <c r="BC10" i="2"/>
  <c r="BA10" i="2"/>
  <c r="AD10" i="2"/>
  <c r="AB10" i="2"/>
  <c r="AE10" i="2"/>
  <c r="AC10" i="2"/>
  <c r="O10" i="2"/>
  <c r="M10" i="2"/>
  <c r="P10" i="2"/>
  <c r="N10" i="2"/>
  <c r="DJ9" i="2"/>
  <c r="DK9" i="2"/>
  <c r="DI9" i="2"/>
  <c r="CQ9" i="2"/>
  <c r="CO9" i="2"/>
  <c r="CR9" i="2"/>
  <c r="CP9" i="2"/>
  <c r="AH9" i="2"/>
  <c r="AI9" i="2"/>
  <c r="AG9" i="2"/>
  <c r="S9" i="2"/>
  <c r="T9" i="2"/>
  <c r="R9" i="2"/>
  <c r="DF8" i="2"/>
  <c r="DD8" i="2"/>
  <c r="DE8" i="2"/>
  <c r="DG8" i="2"/>
  <c r="CU8" i="2"/>
  <c r="CV8" i="2"/>
  <c r="CT8" i="2"/>
  <c r="BD8" i="2"/>
  <c r="BB8" i="2"/>
  <c r="BC8" i="2"/>
  <c r="BA8" i="2"/>
  <c r="AD8" i="2"/>
  <c r="AB8" i="2"/>
  <c r="AE8" i="2"/>
  <c r="AC8" i="2"/>
  <c r="O8" i="2"/>
  <c r="M8" i="2"/>
  <c r="P8" i="2"/>
  <c r="N8" i="2"/>
  <c r="DJ7" i="2"/>
  <c r="DK7" i="2"/>
  <c r="DI7" i="2"/>
  <c r="CQ7" i="2"/>
  <c r="CO7" i="2"/>
  <c r="CR7" i="2"/>
  <c r="CP7" i="2"/>
  <c r="AH7" i="2"/>
  <c r="AI7" i="2"/>
  <c r="AG7" i="2"/>
  <c r="S7" i="2"/>
  <c r="T7" i="2"/>
  <c r="R7" i="2"/>
  <c r="DF6" i="2"/>
  <c r="DD6" i="2"/>
  <c r="DG6" i="2"/>
  <c r="DE6" i="2"/>
  <c r="CU6" i="2"/>
  <c r="CV6" i="2"/>
  <c r="CT6" i="2"/>
  <c r="BD6" i="2"/>
  <c r="BB6" i="2"/>
  <c r="BC6" i="2"/>
  <c r="BA6" i="2"/>
  <c r="AD6" i="2"/>
  <c r="AB6" i="2"/>
  <c r="AE6" i="2"/>
  <c r="AC6" i="2"/>
  <c r="O6" i="2"/>
  <c r="M6" i="2"/>
  <c r="P6" i="2"/>
  <c r="N6" i="2"/>
  <c r="DJ5" i="2"/>
  <c r="DK5" i="2"/>
  <c r="DI5" i="2"/>
  <c r="CQ5" i="2"/>
  <c r="CO5" i="2"/>
  <c r="CP5" i="2"/>
  <c r="CR5" i="2"/>
  <c r="AH5" i="2"/>
  <c r="AI5" i="2"/>
  <c r="AG5" i="2"/>
  <c r="S5" i="2"/>
  <c r="R5" i="2"/>
  <c r="T5" i="2"/>
  <c r="DF4" i="2"/>
  <c r="DD4" i="2"/>
  <c r="DE4" i="2"/>
  <c r="DG4" i="2"/>
  <c r="CU4" i="2"/>
  <c r="CV4" i="2"/>
  <c r="CT4" i="2"/>
  <c r="BD4" i="2"/>
  <c r="BB4" i="2"/>
  <c r="BC4" i="2"/>
  <c r="BA4" i="2"/>
  <c r="AD4" i="2"/>
  <c r="AB4" i="2"/>
  <c r="AE4" i="2"/>
  <c r="AC4" i="2"/>
  <c r="O4" i="2"/>
  <c r="M4" i="2"/>
  <c r="P4" i="2"/>
  <c r="N4" i="2"/>
  <c r="DJ3" i="2"/>
  <c r="DK3" i="2"/>
  <c r="DI3" i="2"/>
  <c r="CQ3" i="2"/>
  <c r="CO3" i="2"/>
  <c r="CP3" i="2"/>
  <c r="CR3" i="2"/>
  <c r="AH3" i="2"/>
  <c r="AI3" i="2"/>
  <c r="AG3" i="2"/>
  <c r="S3" i="2"/>
  <c r="T3" i="2"/>
  <c r="R3" i="2"/>
  <c r="T16" i="2"/>
  <c r="R16" i="2"/>
  <c r="S16" i="2"/>
  <c r="AJ16" i="2"/>
  <c r="AR16" i="2" s="1"/>
  <c r="BI16" i="2" s="1"/>
  <c r="BH16" i="2" s="1"/>
  <c r="CR16" i="2"/>
  <c r="CP16" i="2"/>
  <c r="CQ16" i="2"/>
  <c r="CO16" i="2"/>
  <c r="DK16" i="2"/>
  <c r="DI16" i="2"/>
  <c r="DJ16" i="2"/>
  <c r="BV16" i="2"/>
  <c r="BW16" i="2"/>
  <c r="BU16" i="2"/>
  <c r="AH34" i="2"/>
  <c r="AG34" i="2"/>
  <c r="AI34" i="2"/>
  <c r="S34" i="2"/>
  <c r="T34" i="2"/>
  <c r="R34" i="2"/>
  <c r="P33" i="2"/>
  <c r="N33" i="2"/>
  <c r="M33" i="2"/>
  <c r="AF33" i="2"/>
  <c r="AQ33" i="2" s="1"/>
  <c r="BE33" i="2" s="1"/>
  <c r="O33" i="2"/>
  <c r="CQ33" i="2"/>
  <c r="CO33" i="2"/>
  <c r="CP33" i="2"/>
  <c r="CR33" i="2"/>
  <c r="DJ33" i="2"/>
  <c r="DK33" i="2"/>
  <c r="DI33" i="2"/>
  <c r="CR32" i="2"/>
  <c r="CP32" i="2"/>
  <c r="CO32" i="2"/>
  <c r="CQ32" i="2"/>
  <c r="AI32" i="2"/>
  <c r="AG32" i="2"/>
  <c r="AH32" i="2"/>
  <c r="DK31" i="2"/>
  <c r="DI31" i="2"/>
  <c r="DJ31" i="2"/>
  <c r="CV31" i="2"/>
  <c r="CT31" i="2"/>
  <c r="CU31" i="2"/>
  <c r="T31" i="2"/>
  <c r="R31" i="2"/>
  <c r="AJ31" i="2"/>
  <c r="AR31" i="2" s="1"/>
  <c r="S31" i="2"/>
  <c r="DG32" i="2"/>
  <c r="DE32" i="2"/>
  <c r="DF32" i="2"/>
  <c r="DD32" i="2"/>
  <c r="P32" i="2"/>
  <c r="N32" i="2"/>
  <c r="O32" i="2"/>
  <c r="M32" i="2"/>
  <c r="BR32" i="2"/>
  <c r="BP32" i="2"/>
  <c r="BQ32" i="2"/>
  <c r="BS32" i="2"/>
  <c r="DK30" i="2"/>
  <c r="DI30" i="2"/>
  <c r="DJ30" i="2"/>
  <c r="AH30" i="2"/>
  <c r="AI30" i="2"/>
  <c r="AG30" i="2"/>
  <c r="S30" i="2"/>
  <c r="T30" i="2"/>
  <c r="R30" i="2"/>
  <c r="CR30" i="2"/>
  <c r="CP30" i="2"/>
  <c r="CO30" i="2"/>
  <c r="CQ30" i="2"/>
  <c r="BR30" i="2"/>
  <c r="BP30" i="2"/>
  <c r="BQ30" i="2"/>
  <c r="BS30" i="2"/>
  <c r="DJ29" i="2"/>
  <c r="DK29" i="2"/>
  <c r="DI29" i="2"/>
  <c r="CQ29" i="2"/>
  <c r="CO29" i="2"/>
  <c r="CR29" i="2"/>
  <c r="CP29" i="2"/>
  <c r="AH29" i="2"/>
  <c r="AI29" i="2"/>
  <c r="AG29" i="2"/>
  <c r="S29" i="2"/>
  <c r="T29" i="2"/>
  <c r="R29" i="2"/>
  <c r="DF28" i="2"/>
  <c r="DD28" i="2"/>
  <c r="DG28" i="2"/>
  <c r="DE28" i="2"/>
  <c r="CU28" i="2"/>
  <c r="CV28" i="2"/>
  <c r="CT28" i="2"/>
  <c r="AD28" i="2"/>
  <c r="AB28" i="2"/>
  <c r="AE28" i="2"/>
  <c r="AC28" i="2"/>
  <c r="O28" i="2"/>
  <c r="M28" i="2"/>
  <c r="P28" i="2"/>
  <c r="N28" i="2"/>
  <c r="BW29" i="2"/>
  <c r="BU29" i="2"/>
  <c r="BV29" i="2"/>
  <c r="BH29" i="2"/>
  <c r="BF29" i="2"/>
  <c r="BG29" i="2"/>
  <c r="BS28" i="2"/>
  <c r="BQ28" i="2"/>
  <c r="BR28" i="2"/>
  <c r="BP28" i="2"/>
  <c r="P27" i="2"/>
  <c r="N27" i="2"/>
  <c r="O27" i="2"/>
  <c r="M27" i="2"/>
  <c r="BW27" i="2"/>
  <c r="BU27" i="2"/>
  <c r="BV27" i="2"/>
  <c r="AH27" i="2"/>
  <c r="AI27" i="2"/>
  <c r="AG27" i="2"/>
  <c r="CQ27" i="2"/>
  <c r="CO27" i="2"/>
  <c r="CR27" i="2"/>
  <c r="CP27" i="2"/>
  <c r="DJ27" i="2"/>
  <c r="DK27" i="2"/>
  <c r="DI27" i="2"/>
  <c r="DG26" i="2"/>
  <c r="DE26" i="2"/>
  <c r="DF26" i="2"/>
  <c r="DD26" i="2"/>
  <c r="CV26" i="2"/>
  <c r="CT26" i="2"/>
  <c r="CU26" i="2"/>
  <c r="BC26" i="2"/>
  <c r="BA26" i="2"/>
  <c r="BD26" i="2"/>
  <c r="BB26" i="2"/>
  <c r="AE26" i="2"/>
  <c r="AC26" i="2"/>
  <c r="AD26" i="2"/>
  <c r="AB26" i="2"/>
  <c r="P26" i="2"/>
  <c r="N26" i="2"/>
  <c r="O26" i="2"/>
  <c r="M26" i="2"/>
  <c r="DK25" i="2"/>
  <c r="DI25" i="2"/>
  <c r="DJ25" i="2"/>
  <c r="CR25" i="2"/>
  <c r="CP25" i="2"/>
  <c r="CQ25" i="2"/>
  <c r="CO25" i="2"/>
  <c r="AI25" i="2"/>
  <c r="AG25" i="2"/>
  <c r="AH25" i="2"/>
  <c r="T25" i="2"/>
  <c r="R25" i="2"/>
  <c r="S25" i="2"/>
  <c r="DG24" i="2"/>
  <c r="DE24" i="2"/>
  <c r="DF24" i="2"/>
  <c r="DD24" i="2"/>
  <c r="CV24" i="2"/>
  <c r="CT24" i="2"/>
  <c r="CU24" i="2"/>
  <c r="BD24" i="2"/>
  <c r="BB24" i="2"/>
  <c r="BA24" i="2"/>
  <c r="BC24" i="2"/>
  <c r="AD24" i="2"/>
  <c r="AB24" i="2"/>
  <c r="AC24" i="2"/>
  <c r="AE24" i="2"/>
  <c r="O24" i="2"/>
  <c r="M24" i="2"/>
  <c r="P24" i="2"/>
  <c r="N24" i="2"/>
  <c r="DJ23" i="2"/>
  <c r="DI23" i="2"/>
  <c r="DK23" i="2"/>
  <c r="CQ23" i="2"/>
  <c r="CO23" i="2"/>
  <c r="CR23" i="2"/>
  <c r="CP23" i="2"/>
  <c r="AH23" i="2"/>
  <c r="AI23" i="2"/>
  <c r="AG23" i="2"/>
  <c r="S23" i="2"/>
  <c r="R23" i="2"/>
  <c r="T23" i="2"/>
  <c r="DF22" i="2"/>
  <c r="DD22" i="2"/>
  <c r="DG22" i="2"/>
  <c r="DE22" i="2"/>
  <c r="CU22" i="2"/>
  <c r="CT22" i="2"/>
  <c r="CV22" i="2"/>
  <c r="BD22" i="2"/>
  <c r="BB22" i="2"/>
  <c r="BA22" i="2"/>
  <c r="BC22" i="2"/>
  <c r="AD22" i="2"/>
  <c r="AB22" i="2"/>
  <c r="AC22" i="2"/>
  <c r="AE22" i="2"/>
  <c r="O22" i="2"/>
  <c r="M22" i="2"/>
  <c r="P22" i="2"/>
  <c r="N22" i="2"/>
  <c r="DJ21" i="2"/>
  <c r="DI21" i="2"/>
  <c r="DK21" i="2"/>
  <c r="CQ21" i="2"/>
  <c r="CO21" i="2"/>
  <c r="CR21" i="2"/>
  <c r="CP21" i="2"/>
  <c r="AH21" i="2"/>
  <c r="AI21" i="2"/>
  <c r="AG21" i="2"/>
  <c r="S21" i="2"/>
  <c r="R21" i="2"/>
  <c r="T21" i="2"/>
  <c r="BD20" i="2"/>
  <c r="BB20" i="2"/>
  <c r="BA20" i="2"/>
  <c r="BC20" i="2"/>
  <c r="BR19" i="2"/>
  <c r="BP19" i="2"/>
  <c r="BS19" i="2"/>
  <c r="BQ19" i="2"/>
  <c r="BC19" i="2"/>
  <c r="BA19" i="2"/>
  <c r="BD19" i="2"/>
  <c r="BB19" i="2"/>
  <c r="BR18" i="2"/>
  <c r="BP18" i="2"/>
  <c r="BS18" i="2"/>
  <c r="BQ18" i="2"/>
  <c r="BC18" i="2"/>
  <c r="BA18" i="2"/>
  <c r="BD18" i="2"/>
  <c r="BB18" i="2"/>
  <c r="BR17" i="2"/>
  <c r="BP17" i="2"/>
  <c r="BS17" i="2"/>
  <c r="BQ17" i="2"/>
  <c r="BC17" i="2"/>
  <c r="BA17" i="2"/>
  <c r="BD17" i="2"/>
  <c r="BB17" i="2"/>
  <c r="BS20" i="2"/>
  <c r="BQ20" i="2"/>
  <c r="BR20" i="2"/>
  <c r="BP20" i="2"/>
  <c r="AI20" i="2"/>
  <c r="AG20" i="2"/>
  <c r="AH20" i="2"/>
  <c r="T20" i="2"/>
  <c r="R20" i="2"/>
  <c r="S20" i="2"/>
  <c r="DJ20" i="2"/>
  <c r="DK20" i="2"/>
  <c r="DI20" i="2"/>
  <c r="DG19" i="2"/>
  <c r="DE19" i="2"/>
  <c r="DF19" i="2"/>
  <c r="DD19" i="2"/>
  <c r="CV19" i="2"/>
  <c r="CT19" i="2"/>
  <c r="CU19" i="2"/>
  <c r="AE19" i="2"/>
  <c r="AC19" i="2"/>
  <c r="AD19" i="2"/>
  <c r="AB19" i="2"/>
  <c r="P19" i="2"/>
  <c r="N19" i="2"/>
  <c r="O19" i="2"/>
  <c r="M19" i="2"/>
  <c r="DG18" i="2"/>
  <c r="DE18" i="2"/>
  <c r="DF18" i="2"/>
  <c r="DD18" i="2"/>
  <c r="CV18" i="2"/>
  <c r="CT18" i="2"/>
  <c r="CU18" i="2"/>
  <c r="AE18" i="2"/>
  <c r="AC18" i="2"/>
  <c r="AD18" i="2"/>
  <c r="AB18" i="2"/>
  <c r="P18" i="2"/>
  <c r="N18" i="2"/>
  <c r="O18" i="2"/>
  <c r="M18" i="2"/>
  <c r="DG17" i="2"/>
  <c r="DE17" i="2"/>
  <c r="DF17" i="2"/>
  <c r="DD17" i="2"/>
  <c r="CV17" i="2"/>
  <c r="CT17" i="2"/>
  <c r="CU17" i="2"/>
  <c r="AE17" i="2"/>
  <c r="AC17" i="2"/>
  <c r="AD17" i="2"/>
  <c r="AB17" i="2"/>
  <c r="P17" i="2"/>
  <c r="N17" i="2"/>
  <c r="O17" i="2"/>
  <c r="M17" i="2"/>
  <c r="AE16" i="2"/>
  <c r="AC16" i="2"/>
  <c r="AB16" i="2"/>
  <c r="AD16" i="2"/>
  <c r="DG15" i="2"/>
  <c r="DE15" i="2"/>
  <c r="DD15" i="2"/>
  <c r="DF15" i="2"/>
  <c r="P15" i="2"/>
  <c r="N15" i="2"/>
  <c r="M15" i="2"/>
  <c r="AF15" i="2"/>
  <c r="AQ15" i="2" s="1"/>
  <c r="BE15" i="2" s="1"/>
  <c r="BA15" i="2" s="1"/>
  <c r="O15" i="2"/>
  <c r="BR15" i="2"/>
  <c r="BP15" i="2"/>
  <c r="BS15" i="2"/>
  <c r="BQ15" i="2"/>
  <c r="CR15" i="2"/>
  <c r="CP15" i="2"/>
  <c r="CQ15" i="2"/>
  <c r="CO15" i="2"/>
  <c r="CQ14" i="2"/>
  <c r="CO14" i="2"/>
  <c r="CR14" i="2"/>
  <c r="CP14" i="2"/>
  <c r="AH14" i="2"/>
  <c r="AI14" i="2"/>
  <c r="AG14" i="2"/>
  <c r="S14" i="2"/>
  <c r="T14" i="2"/>
  <c r="R14" i="2"/>
  <c r="DF13" i="2"/>
  <c r="DD13" i="2"/>
  <c r="DG13" i="2"/>
  <c r="DE13" i="2"/>
  <c r="CU13" i="2"/>
  <c r="CV13" i="2"/>
  <c r="CT13" i="2"/>
  <c r="BD13" i="2"/>
  <c r="BB13" i="2"/>
  <c r="BC13" i="2"/>
  <c r="BA13" i="2"/>
  <c r="AD13" i="2"/>
  <c r="AB13" i="2"/>
  <c r="AE13" i="2"/>
  <c r="AC13" i="2"/>
  <c r="O13" i="2"/>
  <c r="M13" i="2"/>
  <c r="P13" i="2"/>
  <c r="N13" i="2"/>
  <c r="DJ12" i="2"/>
  <c r="DK12" i="2"/>
  <c r="DI12" i="2"/>
  <c r="CQ12" i="2"/>
  <c r="CO12" i="2"/>
  <c r="CR12" i="2"/>
  <c r="CP12" i="2"/>
  <c r="AH12" i="2"/>
  <c r="AI12" i="2"/>
  <c r="AG12" i="2"/>
  <c r="S12" i="2"/>
  <c r="T12" i="2"/>
  <c r="R12" i="2"/>
  <c r="DF11" i="2"/>
  <c r="DD11" i="2"/>
  <c r="DG11" i="2"/>
  <c r="DE11" i="2"/>
  <c r="CU11" i="2"/>
  <c r="CV11" i="2"/>
  <c r="CT11" i="2"/>
  <c r="BD11" i="2"/>
  <c r="BB11" i="2"/>
  <c r="BC11" i="2"/>
  <c r="BA11" i="2"/>
  <c r="AD11" i="2"/>
  <c r="AB11" i="2"/>
  <c r="AE11" i="2"/>
  <c r="AC11" i="2"/>
  <c r="O11" i="2"/>
  <c r="M11" i="2"/>
  <c r="P11" i="2"/>
  <c r="N11" i="2"/>
  <c r="DJ10" i="2"/>
  <c r="DK10" i="2"/>
  <c r="DI10" i="2"/>
  <c r="CQ10" i="2"/>
  <c r="CO10" i="2"/>
  <c r="CR10" i="2"/>
  <c r="CP10" i="2"/>
  <c r="AH10" i="2"/>
  <c r="AI10" i="2"/>
  <c r="AG10" i="2"/>
  <c r="S10" i="2"/>
  <c r="T10" i="2"/>
  <c r="R10" i="2"/>
  <c r="DF9" i="2"/>
  <c r="DD9" i="2"/>
  <c r="DG9" i="2"/>
  <c r="DE9" i="2"/>
  <c r="CU9" i="2"/>
  <c r="CV9" i="2"/>
  <c r="CT9" i="2"/>
  <c r="BD9" i="2"/>
  <c r="BB9" i="2"/>
  <c r="BC9" i="2"/>
  <c r="BA9" i="2"/>
  <c r="AD9" i="2"/>
  <c r="AB9" i="2"/>
  <c r="AC9" i="2"/>
  <c r="AE9" i="2"/>
  <c r="O9" i="2"/>
  <c r="M9" i="2"/>
  <c r="P9" i="2"/>
  <c r="N9" i="2"/>
  <c r="DJ8" i="2"/>
  <c r="DI8" i="2"/>
  <c r="DK8" i="2"/>
  <c r="CQ8" i="2"/>
  <c r="CO8" i="2"/>
  <c r="CR8" i="2"/>
  <c r="CP8" i="2"/>
  <c r="AH8" i="2"/>
  <c r="AI8" i="2"/>
  <c r="AG8" i="2"/>
  <c r="S8" i="2"/>
  <c r="T8" i="2"/>
  <c r="R8" i="2"/>
  <c r="DF7" i="2"/>
  <c r="DD7" i="2"/>
  <c r="DE7" i="2"/>
  <c r="DG7" i="2"/>
  <c r="CU7" i="2"/>
  <c r="CV7" i="2"/>
  <c r="CT7" i="2"/>
  <c r="BD7" i="2"/>
  <c r="BB7" i="2"/>
  <c r="BC7" i="2"/>
  <c r="BA7" i="2"/>
  <c r="AD7" i="2"/>
  <c r="AB7" i="2"/>
  <c r="AE7" i="2"/>
  <c r="AC7" i="2"/>
  <c r="O7" i="2"/>
  <c r="M7" i="2"/>
  <c r="P7" i="2"/>
  <c r="N7" i="2"/>
  <c r="DJ6" i="2"/>
  <c r="DK6" i="2"/>
  <c r="DI6" i="2"/>
  <c r="CQ6" i="2"/>
  <c r="CO6" i="2"/>
  <c r="CR6" i="2"/>
  <c r="CP6" i="2"/>
  <c r="AH6" i="2"/>
  <c r="AI6" i="2"/>
  <c r="AG6" i="2"/>
  <c r="S6" i="2"/>
  <c r="T6" i="2"/>
  <c r="R6" i="2"/>
  <c r="DF5" i="2"/>
  <c r="DD5" i="2"/>
  <c r="DG5" i="2"/>
  <c r="DE5" i="2"/>
  <c r="CU5" i="2"/>
  <c r="CV5" i="2"/>
  <c r="CT5" i="2"/>
  <c r="BD5" i="2"/>
  <c r="BB5" i="2"/>
  <c r="BC5" i="2"/>
  <c r="BA5" i="2"/>
  <c r="AD5" i="2"/>
  <c r="AB5" i="2"/>
  <c r="AE5" i="2"/>
  <c r="AC5" i="2"/>
  <c r="O5" i="2"/>
  <c r="M5" i="2"/>
  <c r="N5" i="2"/>
  <c r="P5" i="2"/>
  <c r="DJ4" i="2"/>
  <c r="DI4" i="2"/>
  <c r="DK4" i="2"/>
  <c r="CQ4" i="2"/>
  <c r="CO4" i="2"/>
  <c r="CR4" i="2"/>
  <c r="CP4" i="2"/>
  <c r="AH4" i="2"/>
  <c r="AI4" i="2"/>
  <c r="AG4" i="2"/>
  <c r="S4" i="2"/>
  <c r="R4" i="2"/>
  <c r="T4" i="2"/>
  <c r="DF3" i="2"/>
  <c r="DD3" i="2"/>
  <c r="DG3" i="2"/>
  <c r="DE3" i="2"/>
  <c r="CU3" i="2"/>
  <c r="CT3" i="2"/>
  <c r="CV3" i="2"/>
  <c r="BD3" i="2"/>
  <c r="BB3" i="2"/>
  <c r="BC3" i="2"/>
  <c r="BA3" i="2"/>
  <c r="AD3" i="2"/>
  <c r="AB3" i="2"/>
  <c r="AC3" i="2"/>
  <c r="AE3" i="2"/>
  <c r="O3" i="2"/>
  <c r="M3" i="2"/>
  <c r="P3" i="2"/>
  <c r="N3" i="2"/>
  <c r="P16" i="2"/>
  <c r="N16" i="2"/>
  <c r="O16" i="2"/>
  <c r="M16" i="2"/>
  <c r="DG16" i="2"/>
  <c r="DE16" i="2"/>
  <c r="DF16" i="2"/>
  <c r="DD16" i="2"/>
  <c r="BR16" i="2"/>
  <c r="BP16" i="2"/>
  <c r="BS16" i="2"/>
  <c r="BQ16" i="2"/>
  <c r="AX25" i="2" l="1"/>
  <c r="BM25" i="2" s="1"/>
  <c r="BI31" i="2"/>
  <c r="BX31" i="2" s="1"/>
  <c r="BD33" i="2"/>
  <c r="BA33" i="2"/>
  <c r="BB33" i="2"/>
  <c r="BC33" i="2"/>
  <c r="AZ31" i="2"/>
  <c r="BO31" i="2" s="1"/>
  <c r="BW24" i="2"/>
  <c r="BV24" i="2"/>
  <c r="BU24" i="2"/>
  <c r="BF33" i="2"/>
  <c r="BH33" i="2"/>
  <c r="BG33" i="2"/>
  <c r="BS10" i="2"/>
  <c r="BP10" i="2"/>
  <c r="BR10" i="2"/>
  <c r="BQ10" i="2"/>
  <c r="BW10" i="2"/>
  <c r="BV10" i="2"/>
  <c r="BU10" i="2"/>
  <c r="BF16" i="2"/>
  <c r="BG16" i="2"/>
  <c r="BH15" i="2"/>
  <c r="BG15" i="2"/>
  <c r="BB15" i="2"/>
  <c r="BC15" i="2"/>
  <c r="AZ10" i="2"/>
  <c r="BO10" i="2" s="1"/>
  <c r="AX24" i="2"/>
  <c r="BM24" i="2" s="1"/>
  <c r="BJ31" i="2"/>
  <c r="BY31" i="2" s="1"/>
  <c r="BI25" i="2"/>
  <c r="BX25" i="2" s="1"/>
  <c r="AX31" i="2"/>
  <c r="BM31" i="2" s="1"/>
  <c r="AZ22" i="2"/>
  <c r="BO22" i="2"/>
  <c r="BK10" i="2"/>
  <c r="BZ10" i="2"/>
  <c r="BH22" i="2"/>
  <c r="BG22" i="2"/>
  <c r="BF22" i="2"/>
  <c r="BE31" i="2"/>
  <c r="BT31" i="2" s="1"/>
  <c r="BD15" i="2"/>
  <c r="BH26" i="2"/>
  <c r="BG26" i="2"/>
  <c r="BF26" i="2"/>
  <c r="AX22" i="2"/>
  <c r="BM22" i="2" s="1"/>
  <c r="BS24" i="2"/>
  <c r="BP24" i="2"/>
  <c r="BR24" i="2"/>
  <c r="BQ24" i="2"/>
  <c r="BS25" i="2"/>
  <c r="BP25" i="2"/>
  <c r="BR25" i="2"/>
  <c r="BQ25" i="2"/>
  <c r="AZ19" i="2"/>
  <c r="BO19" i="2" s="1"/>
  <c r="BP22" i="2"/>
  <c r="BQ22" i="2"/>
  <c r="BS22" i="2"/>
  <c r="BR22" i="2"/>
  <c r="BF10" i="2"/>
  <c r="BH10" i="2"/>
  <c r="BG10" i="2"/>
  <c r="BU22" i="2"/>
  <c r="BV22" i="2"/>
  <c r="BW22" i="2"/>
  <c r="BF24" i="2"/>
  <c r="BH24" i="2"/>
  <c r="BG24" i="2"/>
  <c r="AE15" i="2"/>
  <c r="AC15" i="2"/>
  <c r="AD15" i="2"/>
  <c r="AB15" i="2"/>
  <c r="AI31" i="2"/>
  <c r="AG31" i="2"/>
  <c r="AH31" i="2"/>
  <c r="AE31" i="2"/>
  <c r="AC31" i="2"/>
  <c r="AD31" i="2"/>
  <c r="AB31" i="2"/>
  <c r="AI33" i="2"/>
  <c r="AG33" i="2"/>
  <c r="AH33" i="2"/>
  <c r="AE33" i="2"/>
  <c r="AC33" i="2"/>
  <c r="AD33" i="2"/>
  <c r="AB33" i="2"/>
  <c r="AI16" i="2"/>
  <c r="AG16" i="2"/>
  <c r="AH16" i="2"/>
  <c r="AI15" i="2"/>
  <c r="AG15" i="2"/>
  <c r="AH15" i="2"/>
  <c r="BR31" i="2" l="1"/>
  <c r="BS31" i="2"/>
  <c r="BP31" i="2"/>
  <c r="BQ31" i="2"/>
  <c r="BV31" i="2"/>
  <c r="BU31" i="2"/>
  <c r="BW31" i="2"/>
  <c r="BG25" i="2"/>
  <c r="BF25" i="2"/>
  <c r="BH25" i="2"/>
  <c r="BA31" i="2"/>
  <c r="BD31" i="2"/>
  <c r="BC31" i="2"/>
  <c r="BB31" i="2"/>
  <c r="BW25" i="2"/>
  <c r="BV25" i="2"/>
  <c r="BU25" i="2"/>
  <c r="BF31" i="2"/>
  <c r="BG31" i="2"/>
  <c r="BH31" i="2"/>
  <c r="AE50" i="30" l="1"/>
  <c r="AD50" i="30"/>
  <c r="AC50" i="30"/>
  <c r="AB50" i="30"/>
  <c r="AA50" i="30"/>
  <c r="Z50" i="30"/>
  <c r="Y50" i="30"/>
  <c r="X50" i="30"/>
  <c r="W50" i="30"/>
  <c r="V50" i="30"/>
  <c r="U50" i="30"/>
  <c r="T50" i="30"/>
  <c r="S50" i="30"/>
  <c r="O50" i="30"/>
  <c r="K50" i="30"/>
  <c r="J50" i="30"/>
  <c r="I50" i="30"/>
  <c r="H50" i="30"/>
  <c r="R50" i="30" s="1"/>
  <c r="F50" i="30"/>
  <c r="G50" i="30" s="1"/>
  <c r="E50" i="30"/>
  <c r="D50" i="30"/>
  <c r="C50" i="30"/>
  <c r="B50" i="30"/>
  <c r="A50" i="30"/>
  <c r="AE49" i="30"/>
  <c r="AD49" i="30"/>
  <c r="AC49" i="30"/>
  <c r="AB49" i="30"/>
  <c r="AA49" i="30"/>
  <c r="Z49" i="30"/>
  <c r="Y49" i="30"/>
  <c r="X49" i="30"/>
  <c r="W49" i="30"/>
  <c r="V49" i="30"/>
  <c r="T49" i="30"/>
  <c r="O49" i="30"/>
  <c r="K49" i="30"/>
  <c r="J49" i="30"/>
  <c r="I49" i="30"/>
  <c r="H49" i="30"/>
  <c r="R49" i="30" s="1"/>
  <c r="F49" i="30"/>
  <c r="G49" i="30" s="1"/>
  <c r="E49" i="30"/>
  <c r="D49" i="30"/>
  <c r="C49" i="30"/>
  <c r="B49" i="30"/>
  <c r="A49" i="30"/>
  <c r="AE48" i="30"/>
  <c r="AD48" i="30"/>
  <c r="AC48" i="30"/>
  <c r="AB48" i="30"/>
  <c r="AA48" i="30"/>
  <c r="Z48" i="30"/>
  <c r="Y48" i="30"/>
  <c r="X48" i="30"/>
  <c r="W48" i="30"/>
  <c r="V48" i="30"/>
  <c r="T48" i="30"/>
  <c r="O48" i="30"/>
  <c r="K48" i="30"/>
  <c r="J48" i="30"/>
  <c r="I48" i="30"/>
  <c r="H48" i="30"/>
  <c r="R48" i="30" s="1"/>
  <c r="F48" i="30"/>
  <c r="G48" i="30" s="1"/>
  <c r="E48" i="30"/>
  <c r="D48" i="30"/>
  <c r="C48" i="30"/>
  <c r="B48" i="30"/>
  <c r="A48" i="30"/>
  <c r="AE47" i="30"/>
  <c r="AD47" i="30"/>
  <c r="AC47" i="30"/>
  <c r="AB47" i="30"/>
  <c r="AA47" i="30"/>
  <c r="Z47" i="30"/>
  <c r="Y47" i="30"/>
  <c r="X47" i="30"/>
  <c r="W47" i="30"/>
  <c r="V47" i="30"/>
  <c r="T47" i="30"/>
  <c r="O47" i="30"/>
  <c r="K47" i="30"/>
  <c r="J47" i="30"/>
  <c r="I47" i="30"/>
  <c r="H47" i="30"/>
  <c r="R47" i="30" s="1"/>
  <c r="F47" i="30"/>
  <c r="G47" i="30" s="1"/>
  <c r="E47" i="30"/>
  <c r="D47" i="30"/>
  <c r="C47" i="30"/>
  <c r="B47" i="30"/>
  <c r="A47" i="30"/>
  <c r="AE46" i="30"/>
  <c r="AD46" i="30"/>
  <c r="AC46" i="30"/>
  <c r="AB46" i="30"/>
  <c r="AA46" i="30"/>
  <c r="Z46" i="30"/>
  <c r="Y46" i="30"/>
  <c r="X46" i="30"/>
  <c r="W46" i="30"/>
  <c r="V46" i="30"/>
  <c r="T46" i="30"/>
  <c r="O46" i="30"/>
  <c r="K46" i="30"/>
  <c r="J46" i="30"/>
  <c r="I46" i="30"/>
  <c r="H46" i="30"/>
  <c r="R46" i="30" s="1"/>
  <c r="F46" i="30"/>
  <c r="G46" i="30" s="1"/>
  <c r="E46" i="30"/>
  <c r="D46" i="30"/>
  <c r="C46" i="30"/>
  <c r="B46" i="30"/>
  <c r="A46" i="30"/>
  <c r="AE45" i="30"/>
  <c r="AD45" i="30"/>
  <c r="AC45" i="30"/>
  <c r="AB45" i="30"/>
  <c r="AA45" i="30"/>
  <c r="Z45" i="30"/>
  <c r="Y45" i="30"/>
  <c r="X45" i="30"/>
  <c r="W45" i="30"/>
  <c r="V45" i="30"/>
  <c r="T45" i="30"/>
  <c r="O45" i="30"/>
  <c r="K45" i="30"/>
  <c r="J45" i="30"/>
  <c r="I45" i="30"/>
  <c r="H45" i="30"/>
  <c r="R45" i="30" s="1"/>
  <c r="F45" i="30"/>
  <c r="G45" i="30" s="1"/>
  <c r="E45" i="30"/>
  <c r="D45" i="30"/>
  <c r="C45" i="30"/>
  <c r="B45" i="30"/>
  <c r="A45" i="30"/>
  <c r="AE44" i="30"/>
  <c r="AD44" i="30"/>
  <c r="AC44" i="30"/>
  <c r="AB44" i="30"/>
  <c r="AA44" i="30"/>
  <c r="Z44" i="30"/>
  <c r="Y44" i="30"/>
  <c r="X44" i="30"/>
  <c r="W44" i="30"/>
  <c r="V44" i="30"/>
  <c r="T44" i="30"/>
  <c r="O44" i="30"/>
  <c r="K44" i="30"/>
  <c r="J44" i="30"/>
  <c r="I44" i="30"/>
  <c r="H44" i="30"/>
  <c r="R44" i="30" s="1"/>
  <c r="F44" i="30"/>
  <c r="G44" i="30" s="1"/>
  <c r="E44" i="30"/>
  <c r="D44" i="30"/>
  <c r="C44" i="30"/>
  <c r="B44" i="30"/>
  <c r="A44" i="30"/>
  <c r="AE43" i="30"/>
  <c r="AD43" i="30"/>
  <c r="AC43" i="30"/>
  <c r="AB43" i="30"/>
  <c r="AA43" i="30"/>
  <c r="Z43" i="30"/>
  <c r="Y43" i="30"/>
  <c r="X43" i="30"/>
  <c r="W43" i="30"/>
  <c r="V43" i="30"/>
  <c r="T43" i="30"/>
  <c r="O43" i="30"/>
  <c r="K43" i="30"/>
  <c r="J43" i="30"/>
  <c r="I43" i="30"/>
  <c r="H43" i="30"/>
  <c r="R43" i="30" s="1"/>
  <c r="F43" i="30"/>
  <c r="G43" i="30" s="1"/>
  <c r="E43" i="30"/>
  <c r="D43" i="30"/>
  <c r="C43" i="30"/>
  <c r="B43" i="30"/>
  <c r="A43" i="30"/>
  <c r="AE42" i="30"/>
  <c r="AD42" i="30"/>
  <c r="AC42" i="30"/>
  <c r="AB42" i="30"/>
  <c r="AA42" i="30"/>
  <c r="Z42" i="30"/>
  <c r="Y42" i="30"/>
  <c r="X42" i="30"/>
  <c r="W42" i="30"/>
  <c r="V42" i="30"/>
  <c r="T42" i="30"/>
  <c r="O42" i="30"/>
  <c r="K42" i="30"/>
  <c r="J42" i="30"/>
  <c r="I42" i="30"/>
  <c r="H42" i="30"/>
  <c r="R42" i="30" s="1"/>
  <c r="F42" i="30"/>
  <c r="G42" i="30" s="1"/>
  <c r="E42" i="30"/>
  <c r="D42" i="30"/>
  <c r="C42" i="30"/>
  <c r="B42" i="30"/>
  <c r="A42" i="30"/>
  <c r="AE41" i="30"/>
  <c r="AD41" i="30"/>
  <c r="AC41" i="30"/>
  <c r="AB41" i="30"/>
  <c r="AA41" i="30"/>
  <c r="Z41" i="30"/>
  <c r="Y41" i="30"/>
  <c r="X41" i="30"/>
  <c r="W41" i="30"/>
  <c r="V41" i="30"/>
  <c r="T41" i="30"/>
  <c r="O41" i="30"/>
  <c r="K41" i="30"/>
  <c r="J41" i="30"/>
  <c r="I41" i="30"/>
  <c r="H41" i="30"/>
  <c r="R41" i="30" s="1"/>
  <c r="F41" i="30"/>
  <c r="G41" i="30" s="1"/>
  <c r="E41" i="30"/>
  <c r="D41" i="30"/>
  <c r="C41" i="30"/>
  <c r="B41" i="30"/>
  <c r="A41" i="30"/>
  <c r="AE40" i="30"/>
  <c r="AD40" i="30"/>
  <c r="AC40" i="30"/>
  <c r="AB40" i="30"/>
  <c r="AA40" i="30"/>
  <c r="Z40" i="30"/>
  <c r="Y40" i="30"/>
  <c r="X40" i="30"/>
  <c r="W40" i="30"/>
  <c r="V40" i="30"/>
  <c r="T40" i="30"/>
  <c r="O40" i="30"/>
  <c r="K40" i="30"/>
  <c r="J40" i="30"/>
  <c r="I40" i="30"/>
  <c r="H40" i="30"/>
  <c r="R40" i="30" s="1"/>
  <c r="F40" i="30"/>
  <c r="G40" i="30" s="1"/>
  <c r="E40" i="30"/>
  <c r="D40" i="30"/>
  <c r="C40" i="30"/>
  <c r="B40" i="30"/>
  <c r="A40" i="30"/>
  <c r="AE39" i="30"/>
  <c r="AD39" i="30"/>
  <c r="AC39" i="30"/>
  <c r="AB39" i="30"/>
  <c r="AA39" i="30"/>
  <c r="Z39" i="30"/>
  <c r="Y39" i="30"/>
  <c r="X39" i="30"/>
  <c r="W39" i="30"/>
  <c r="V39" i="30"/>
  <c r="T39" i="30"/>
  <c r="O39" i="30"/>
  <c r="K39" i="30"/>
  <c r="J39" i="30"/>
  <c r="I39" i="30"/>
  <c r="H39" i="30"/>
  <c r="R39" i="30" s="1"/>
  <c r="F39" i="30"/>
  <c r="G39" i="30" s="1"/>
  <c r="E39" i="30"/>
  <c r="D39" i="30"/>
  <c r="C39" i="30"/>
  <c r="B39" i="30"/>
  <c r="A39" i="30"/>
  <c r="AE38" i="30"/>
  <c r="AD38" i="30"/>
  <c r="AC38" i="30"/>
  <c r="AB38" i="30"/>
  <c r="AA38" i="30"/>
  <c r="Z38" i="30"/>
  <c r="Y38" i="30"/>
  <c r="X38" i="30"/>
  <c r="W38" i="30"/>
  <c r="V38" i="30"/>
  <c r="T38" i="30"/>
  <c r="O38" i="30"/>
  <c r="K38" i="30"/>
  <c r="J38" i="30"/>
  <c r="I38" i="30"/>
  <c r="H38" i="30"/>
  <c r="R38" i="30" s="1"/>
  <c r="F38" i="30"/>
  <c r="G38" i="30" s="1"/>
  <c r="E38" i="30"/>
  <c r="D38" i="30"/>
  <c r="C38" i="30"/>
  <c r="B38" i="30"/>
  <c r="A38" i="30"/>
  <c r="AE37" i="30"/>
  <c r="AD37" i="30"/>
  <c r="AC37" i="30"/>
  <c r="AB37" i="30"/>
  <c r="AA37" i="30"/>
  <c r="Z37" i="30"/>
  <c r="Y37" i="30"/>
  <c r="X37" i="30"/>
  <c r="W37" i="30"/>
  <c r="V37" i="30"/>
  <c r="T37" i="30"/>
  <c r="O37" i="30"/>
  <c r="K37" i="30"/>
  <c r="J37" i="30"/>
  <c r="I37" i="30"/>
  <c r="H37" i="30"/>
  <c r="R37" i="30" s="1"/>
  <c r="F37" i="30"/>
  <c r="G37" i="30" s="1"/>
  <c r="E37" i="30"/>
  <c r="D37" i="30"/>
  <c r="C37" i="30"/>
  <c r="B37" i="30"/>
  <c r="A37" i="30"/>
  <c r="AE36" i="30"/>
  <c r="AD36" i="30"/>
  <c r="AC36" i="30"/>
  <c r="AB36" i="30"/>
  <c r="AA36" i="30"/>
  <c r="Z36" i="30"/>
  <c r="Y36" i="30"/>
  <c r="X36" i="30"/>
  <c r="W36" i="30"/>
  <c r="V36" i="30"/>
  <c r="T36" i="30"/>
  <c r="O36" i="30"/>
  <c r="K36" i="30"/>
  <c r="J36" i="30"/>
  <c r="I36" i="30"/>
  <c r="H36" i="30"/>
  <c r="F36" i="30"/>
  <c r="G36" i="30" s="1"/>
  <c r="E36" i="30"/>
  <c r="D36" i="30"/>
  <c r="C36" i="30"/>
  <c r="B36" i="30"/>
  <c r="A36" i="30"/>
  <c r="AE35" i="30"/>
  <c r="AD35" i="30"/>
  <c r="AC35" i="30"/>
  <c r="AB35" i="30"/>
  <c r="AA35" i="30"/>
  <c r="Z35" i="30"/>
  <c r="Y35" i="30"/>
  <c r="X35" i="30"/>
  <c r="W35" i="30"/>
  <c r="V35" i="30"/>
  <c r="T35" i="30"/>
  <c r="O35" i="30"/>
  <c r="K35" i="30"/>
  <c r="J35" i="30"/>
  <c r="I35" i="30"/>
  <c r="H35" i="30"/>
  <c r="R35" i="30" s="1"/>
  <c r="F35" i="30"/>
  <c r="G35" i="30" s="1"/>
  <c r="E35" i="30"/>
  <c r="D35" i="30"/>
  <c r="C35" i="30"/>
  <c r="B35" i="30"/>
  <c r="A35" i="30"/>
  <c r="AE34" i="30"/>
  <c r="AD34" i="30"/>
  <c r="AC34" i="30"/>
  <c r="AB34" i="30"/>
  <c r="AA34" i="30"/>
  <c r="Z34" i="30"/>
  <c r="Y34" i="30"/>
  <c r="X34" i="30"/>
  <c r="W34" i="30"/>
  <c r="V34" i="30"/>
  <c r="T34" i="30"/>
  <c r="O34" i="30"/>
  <c r="K34" i="30"/>
  <c r="J34" i="30"/>
  <c r="I34" i="30"/>
  <c r="H34" i="30"/>
  <c r="P34" i="30" s="1"/>
  <c r="F34" i="30"/>
  <c r="G34" i="30" s="1"/>
  <c r="E34" i="30"/>
  <c r="D34" i="30"/>
  <c r="C34" i="30"/>
  <c r="B34" i="30"/>
  <c r="A34" i="30"/>
  <c r="AE33" i="30"/>
  <c r="AD33" i="30"/>
  <c r="AC33" i="30"/>
  <c r="AB33" i="30"/>
  <c r="AA33" i="30"/>
  <c r="Z33" i="30"/>
  <c r="Y33" i="30"/>
  <c r="X33" i="30"/>
  <c r="W33" i="30"/>
  <c r="V33" i="30"/>
  <c r="T33" i="30"/>
  <c r="O33" i="30"/>
  <c r="K33" i="30"/>
  <c r="J33" i="30"/>
  <c r="I33" i="30"/>
  <c r="H33" i="30"/>
  <c r="U33" i="30" s="1"/>
  <c r="F33" i="30"/>
  <c r="G33" i="30" s="1"/>
  <c r="E33" i="30"/>
  <c r="D33" i="30"/>
  <c r="C33" i="30"/>
  <c r="B33" i="30"/>
  <c r="A33" i="30"/>
  <c r="AE32" i="30"/>
  <c r="AD32" i="30"/>
  <c r="AC32" i="30"/>
  <c r="AB32" i="30"/>
  <c r="AA32" i="30"/>
  <c r="Z32" i="30"/>
  <c r="Y32" i="30"/>
  <c r="X32" i="30"/>
  <c r="W32" i="30"/>
  <c r="V32" i="30"/>
  <c r="T32" i="30"/>
  <c r="O32" i="30"/>
  <c r="K32" i="30"/>
  <c r="J32" i="30"/>
  <c r="I32" i="30"/>
  <c r="H32" i="30"/>
  <c r="U32" i="30" s="1"/>
  <c r="F32" i="30"/>
  <c r="G32" i="30" s="1"/>
  <c r="E32" i="30"/>
  <c r="D32" i="30"/>
  <c r="C32" i="30"/>
  <c r="B32" i="30"/>
  <c r="A32" i="30"/>
  <c r="AE31" i="30"/>
  <c r="AD31" i="30"/>
  <c r="AC31" i="30"/>
  <c r="AB31" i="30"/>
  <c r="AA31" i="30"/>
  <c r="Z31" i="30"/>
  <c r="Y31" i="30"/>
  <c r="X31" i="30"/>
  <c r="W31" i="30"/>
  <c r="V31" i="30"/>
  <c r="T31" i="30"/>
  <c r="O31" i="30"/>
  <c r="K31" i="30"/>
  <c r="J31" i="30"/>
  <c r="I31" i="30"/>
  <c r="H31" i="30"/>
  <c r="R31" i="30" s="1"/>
  <c r="F31" i="30"/>
  <c r="G31" i="30" s="1"/>
  <c r="E31" i="30"/>
  <c r="D31" i="30"/>
  <c r="C31" i="30"/>
  <c r="B31" i="30"/>
  <c r="A31" i="30"/>
  <c r="AE30" i="30"/>
  <c r="AD30" i="30"/>
  <c r="AC30" i="30"/>
  <c r="AB30" i="30"/>
  <c r="AA30" i="30"/>
  <c r="Z30" i="30"/>
  <c r="Y30" i="30"/>
  <c r="X30" i="30"/>
  <c r="W30" i="30"/>
  <c r="V30" i="30"/>
  <c r="T30" i="30"/>
  <c r="O30" i="30"/>
  <c r="K30" i="30"/>
  <c r="J30" i="30"/>
  <c r="I30" i="30"/>
  <c r="H30" i="30"/>
  <c r="U30" i="30" s="1"/>
  <c r="F30" i="30"/>
  <c r="G30" i="30" s="1"/>
  <c r="E30" i="30"/>
  <c r="D30" i="30"/>
  <c r="C30" i="30"/>
  <c r="B30" i="30"/>
  <c r="A30" i="30"/>
  <c r="AE29" i="30"/>
  <c r="AD29" i="30"/>
  <c r="AC29" i="30"/>
  <c r="AB29" i="30"/>
  <c r="AA29" i="30"/>
  <c r="Z29" i="30"/>
  <c r="Y29" i="30"/>
  <c r="X29" i="30"/>
  <c r="W29" i="30"/>
  <c r="V29" i="30"/>
  <c r="T29" i="30"/>
  <c r="O29" i="30"/>
  <c r="K29" i="30"/>
  <c r="J29" i="30"/>
  <c r="I29" i="30"/>
  <c r="H29" i="30"/>
  <c r="R29" i="30" s="1"/>
  <c r="F29" i="30"/>
  <c r="G29" i="30" s="1"/>
  <c r="E29" i="30"/>
  <c r="D29" i="30"/>
  <c r="C29" i="30"/>
  <c r="B29" i="30"/>
  <c r="A29" i="30"/>
  <c r="AE28" i="30"/>
  <c r="AD28" i="30"/>
  <c r="AC28" i="30"/>
  <c r="AB28" i="30"/>
  <c r="AA28" i="30"/>
  <c r="Z28" i="30"/>
  <c r="Y28" i="30"/>
  <c r="X28" i="30"/>
  <c r="W28" i="30"/>
  <c r="V28" i="30"/>
  <c r="T28" i="30"/>
  <c r="O28" i="30"/>
  <c r="K28" i="30"/>
  <c r="J28" i="30"/>
  <c r="I28" i="30"/>
  <c r="H28" i="30"/>
  <c r="U28" i="30" s="1"/>
  <c r="F28" i="30"/>
  <c r="G28" i="30" s="1"/>
  <c r="E28" i="30"/>
  <c r="D28" i="30"/>
  <c r="C28" i="30"/>
  <c r="B28" i="30"/>
  <c r="A28" i="30"/>
  <c r="AE27" i="30"/>
  <c r="AD27" i="30"/>
  <c r="AC27" i="30"/>
  <c r="AB27" i="30"/>
  <c r="AA27" i="30"/>
  <c r="Z27" i="30"/>
  <c r="Y27" i="30"/>
  <c r="X27" i="30"/>
  <c r="W27" i="30"/>
  <c r="V27" i="30"/>
  <c r="T27" i="30"/>
  <c r="O27" i="30"/>
  <c r="K27" i="30"/>
  <c r="J27" i="30"/>
  <c r="I27" i="30"/>
  <c r="H27" i="30"/>
  <c r="R27" i="30" s="1"/>
  <c r="F27" i="30"/>
  <c r="G27" i="30" s="1"/>
  <c r="E27" i="30"/>
  <c r="D27" i="30"/>
  <c r="C27" i="30"/>
  <c r="B27" i="30"/>
  <c r="A27" i="30"/>
  <c r="AE26" i="30"/>
  <c r="AD26" i="30"/>
  <c r="AC26" i="30"/>
  <c r="AB26" i="30"/>
  <c r="AA26" i="30"/>
  <c r="Z26" i="30"/>
  <c r="Y26" i="30"/>
  <c r="X26" i="30"/>
  <c r="W26" i="30"/>
  <c r="V26" i="30"/>
  <c r="T26" i="30"/>
  <c r="O26" i="30"/>
  <c r="K26" i="30"/>
  <c r="J26" i="30"/>
  <c r="I26" i="30"/>
  <c r="H26" i="30"/>
  <c r="U26" i="30" s="1"/>
  <c r="F26" i="30"/>
  <c r="G26" i="30" s="1"/>
  <c r="E26" i="30"/>
  <c r="D26" i="30"/>
  <c r="C26" i="30"/>
  <c r="B26" i="30"/>
  <c r="A26" i="30"/>
  <c r="AE25" i="30"/>
  <c r="AD25" i="30"/>
  <c r="AC25" i="30"/>
  <c r="AB25" i="30"/>
  <c r="AA25" i="30"/>
  <c r="Z25" i="30"/>
  <c r="Y25" i="30"/>
  <c r="X25" i="30"/>
  <c r="W25" i="30"/>
  <c r="V25" i="30"/>
  <c r="T25" i="30"/>
  <c r="O25" i="30"/>
  <c r="K25" i="30"/>
  <c r="J25" i="30"/>
  <c r="I25" i="30"/>
  <c r="H25" i="30"/>
  <c r="R25" i="30" s="1"/>
  <c r="F25" i="30"/>
  <c r="G25" i="30" s="1"/>
  <c r="E25" i="30"/>
  <c r="D25" i="30"/>
  <c r="C25" i="30"/>
  <c r="B25" i="30"/>
  <c r="A25" i="30"/>
  <c r="AE24" i="30"/>
  <c r="AD24" i="30"/>
  <c r="AC24" i="30"/>
  <c r="AB24" i="30"/>
  <c r="AA24" i="30"/>
  <c r="Z24" i="30"/>
  <c r="Y24" i="30"/>
  <c r="X24" i="30"/>
  <c r="W24" i="30"/>
  <c r="V24" i="30"/>
  <c r="T24" i="30"/>
  <c r="O24" i="30"/>
  <c r="K24" i="30"/>
  <c r="J24" i="30"/>
  <c r="I24" i="30"/>
  <c r="H24" i="30"/>
  <c r="U24" i="30" s="1"/>
  <c r="F24" i="30"/>
  <c r="G24" i="30" s="1"/>
  <c r="E24" i="30"/>
  <c r="D24" i="30"/>
  <c r="C24" i="30"/>
  <c r="B24" i="30"/>
  <c r="A24" i="30"/>
  <c r="AE23" i="30"/>
  <c r="AD23" i="30"/>
  <c r="AC23" i="30"/>
  <c r="AB23" i="30"/>
  <c r="AA23" i="30"/>
  <c r="Z23" i="30"/>
  <c r="Y23" i="30"/>
  <c r="X23" i="30"/>
  <c r="W23" i="30"/>
  <c r="V23" i="30"/>
  <c r="T23" i="30"/>
  <c r="O23" i="30"/>
  <c r="K23" i="30"/>
  <c r="J23" i="30"/>
  <c r="I23" i="30"/>
  <c r="H23" i="30"/>
  <c r="R23" i="30" s="1"/>
  <c r="F23" i="30"/>
  <c r="G23" i="30" s="1"/>
  <c r="E23" i="30"/>
  <c r="D23" i="30"/>
  <c r="C23" i="30"/>
  <c r="B23" i="30"/>
  <c r="A23" i="30"/>
  <c r="AE22" i="30"/>
  <c r="AD22" i="30"/>
  <c r="AC22" i="30"/>
  <c r="AB22" i="30"/>
  <c r="AA22" i="30"/>
  <c r="Z22" i="30"/>
  <c r="Y22" i="30"/>
  <c r="X22" i="30"/>
  <c r="W22" i="30"/>
  <c r="V22" i="30"/>
  <c r="T22" i="30"/>
  <c r="O22" i="30"/>
  <c r="K22" i="30"/>
  <c r="J22" i="30"/>
  <c r="I22" i="30"/>
  <c r="H22" i="30"/>
  <c r="U22" i="30" s="1"/>
  <c r="F22" i="30"/>
  <c r="G22" i="30" s="1"/>
  <c r="E22" i="30"/>
  <c r="D22" i="30"/>
  <c r="C22" i="30"/>
  <c r="B22" i="30"/>
  <c r="A22" i="30"/>
  <c r="AE21" i="30"/>
  <c r="AD21" i="30"/>
  <c r="AC21" i="30"/>
  <c r="AB21" i="30"/>
  <c r="AA21" i="30"/>
  <c r="Z21" i="30"/>
  <c r="Y21" i="30"/>
  <c r="X21" i="30"/>
  <c r="W21" i="30"/>
  <c r="V21" i="30"/>
  <c r="T21" i="30"/>
  <c r="O21" i="30"/>
  <c r="K21" i="30"/>
  <c r="J21" i="30"/>
  <c r="I21" i="30"/>
  <c r="H21" i="30"/>
  <c r="R21" i="30" s="1"/>
  <c r="F21" i="30"/>
  <c r="G21" i="30" s="1"/>
  <c r="E21" i="30"/>
  <c r="D21" i="30"/>
  <c r="C21" i="30"/>
  <c r="B21" i="30"/>
  <c r="A21" i="30"/>
  <c r="AE20" i="30"/>
  <c r="AD20" i="30"/>
  <c r="AC20" i="30"/>
  <c r="AB20" i="30"/>
  <c r="AA20" i="30"/>
  <c r="Z20" i="30"/>
  <c r="Y20" i="30"/>
  <c r="X20" i="30"/>
  <c r="W20" i="30"/>
  <c r="V20" i="30"/>
  <c r="T20" i="30"/>
  <c r="O20" i="30"/>
  <c r="K20" i="30"/>
  <c r="J20" i="30"/>
  <c r="I20" i="30"/>
  <c r="H20" i="30"/>
  <c r="U20" i="30" s="1"/>
  <c r="F20" i="30"/>
  <c r="G20" i="30" s="1"/>
  <c r="E20" i="30"/>
  <c r="D20" i="30"/>
  <c r="C20" i="30"/>
  <c r="B20" i="30"/>
  <c r="A20" i="30"/>
  <c r="AE19" i="30"/>
  <c r="AD19" i="30"/>
  <c r="AC19" i="30"/>
  <c r="AB19" i="30"/>
  <c r="AA19" i="30"/>
  <c r="Z19" i="30"/>
  <c r="Y19" i="30"/>
  <c r="X19" i="30"/>
  <c r="W19" i="30"/>
  <c r="V19" i="30"/>
  <c r="T19" i="30"/>
  <c r="O19" i="30"/>
  <c r="K19" i="30"/>
  <c r="J19" i="30"/>
  <c r="I19" i="30"/>
  <c r="H19" i="30"/>
  <c r="R19" i="30" s="1"/>
  <c r="F19" i="30"/>
  <c r="G19" i="30" s="1"/>
  <c r="E19" i="30"/>
  <c r="D19" i="30"/>
  <c r="C19" i="30"/>
  <c r="B19" i="30"/>
  <c r="A19" i="30"/>
  <c r="AE18" i="30"/>
  <c r="AD18" i="30"/>
  <c r="AC18" i="30"/>
  <c r="AB18" i="30"/>
  <c r="AA18" i="30"/>
  <c r="Z18" i="30"/>
  <c r="Y18" i="30"/>
  <c r="X18" i="30"/>
  <c r="W18" i="30"/>
  <c r="V18" i="30"/>
  <c r="T18" i="30"/>
  <c r="O18" i="30"/>
  <c r="K18" i="30"/>
  <c r="J18" i="30"/>
  <c r="I18" i="30"/>
  <c r="H18" i="30"/>
  <c r="F18" i="30"/>
  <c r="G18" i="30" s="1"/>
  <c r="E18" i="30"/>
  <c r="D18" i="30"/>
  <c r="C18" i="30"/>
  <c r="B18" i="30"/>
  <c r="A18" i="30"/>
  <c r="AE17" i="30"/>
  <c r="AD17" i="30"/>
  <c r="AC17" i="30"/>
  <c r="AB17" i="30"/>
  <c r="AA17" i="30"/>
  <c r="Z17" i="30"/>
  <c r="Y17" i="30"/>
  <c r="X17" i="30"/>
  <c r="W17" i="30"/>
  <c r="V17" i="30"/>
  <c r="T17" i="30"/>
  <c r="O17" i="30"/>
  <c r="K17" i="30"/>
  <c r="J17" i="30"/>
  <c r="I17" i="30"/>
  <c r="H17" i="30"/>
  <c r="R17" i="30" s="1"/>
  <c r="F17" i="30"/>
  <c r="G17" i="30" s="1"/>
  <c r="E17" i="30"/>
  <c r="D17" i="30"/>
  <c r="C17" i="30"/>
  <c r="B17" i="30"/>
  <c r="A17" i="30"/>
  <c r="AE16" i="30"/>
  <c r="AD16" i="30"/>
  <c r="AC16" i="30"/>
  <c r="AB16" i="30"/>
  <c r="AA16" i="30"/>
  <c r="Z16" i="30"/>
  <c r="Y16" i="30"/>
  <c r="X16" i="30"/>
  <c r="W16" i="30"/>
  <c r="V16" i="30"/>
  <c r="T16" i="30"/>
  <c r="O16" i="30"/>
  <c r="K16" i="30"/>
  <c r="J16" i="30"/>
  <c r="I16" i="30"/>
  <c r="H16" i="30"/>
  <c r="P16" i="30" s="1"/>
  <c r="F16" i="30"/>
  <c r="G16" i="30" s="1"/>
  <c r="E16" i="30"/>
  <c r="D16" i="30"/>
  <c r="C16" i="30"/>
  <c r="B16" i="30"/>
  <c r="A16" i="30"/>
  <c r="AE15" i="30"/>
  <c r="AD15" i="30"/>
  <c r="AC15" i="30"/>
  <c r="AB15" i="30"/>
  <c r="AA15" i="30"/>
  <c r="Z15" i="30"/>
  <c r="Y15" i="30"/>
  <c r="X15" i="30"/>
  <c r="W15" i="30"/>
  <c r="V15" i="30"/>
  <c r="T15" i="30"/>
  <c r="O15" i="30"/>
  <c r="K15" i="30"/>
  <c r="J15" i="30"/>
  <c r="I15" i="30"/>
  <c r="H15" i="30"/>
  <c r="R15" i="30" s="1"/>
  <c r="G15" i="30"/>
  <c r="F15" i="30"/>
  <c r="E15" i="30"/>
  <c r="D15" i="30"/>
  <c r="C15" i="30"/>
  <c r="B15" i="30"/>
  <c r="A15" i="30"/>
  <c r="AE14" i="30"/>
  <c r="AD14" i="30"/>
  <c r="AC14" i="30"/>
  <c r="AB14" i="30"/>
  <c r="AA14" i="30"/>
  <c r="Z14" i="30"/>
  <c r="Y14" i="30"/>
  <c r="X14" i="30"/>
  <c r="W14" i="30"/>
  <c r="V14" i="30"/>
  <c r="T14" i="30"/>
  <c r="O14" i="30"/>
  <c r="K14" i="30"/>
  <c r="J14" i="30"/>
  <c r="I14" i="30"/>
  <c r="H14" i="30"/>
  <c r="R14" i="30" s="1"/>
  <c r="F14" i="30"/>
  <c r="G14" i="30" s="1"/>
  <c r="E14" i="30"/>
  <c r="D14" i="30"/>
  <c r="C14" i="30"/>
  <c r="B14" i="30"/>
  <c r="A14" i="30"/>
  <c r="AE13" i="30"/>
  <c r="AD13" i="30"/>
  <c r="AC13" i="30"/>
  <c r="AB13" i="30"/>
  <c r="AA13" i="30"/>
  <c r="Z13" i="30"/>
  <c r="Y13" i="30"/>
  <c r="X13" i="30"/>
  <c r="W13" i="30"/>
  <c r="V13" i="30"/>
  <c r="T13" i="30"/>
  <c r="O13" i="30"/>
  <c r="K13" i="30"/>
  <c r="J13" i="30"/>
  <c r="I13" i="30"/>
  <c r="H13" i="30"/>
  <c r="R13" i="30" s="1"/>
  <c r="F13" i="30"/>
  <c r="G13" i="30" s="1"/>
  <c r="E13" i="30"/>
  <c r="D13" i="30"/>
  <c r="C13" i="30"/>
  <c r="B13" i="30"/>
  <c r="A13" i="30"/>
  <c r="AE12" i="30"/>
  <c r="AD12" i="30"/>
  <c r="AC12" i="30"/>
  <c r="AB12" i="30"/>
  <c r="AA12" i="30"/>
  <c r="Z12" i="30"/>
  <c r="Y12" i="30"/>
  <c r="X12" i="30"/>
  <c r="W12" i="30"/>
  <c r="V12" i="30"/>
  <c r="T12" i="30"/>
  <c r="O12" i="30"/>
  <c r="K12" i="30"/>
  <c r="J12" i="30"/>
  <c r="I12" i="30"/>
  <c r="H12" i="30"/>
  <c r="R12" i="30" s="1"/>
  <c r="F12" i="30"/>
  <c r="G12" i="30" s="1"/>
  <c r="E12" i="30"/>
  <c r="D12" i="30"/>
  <c r="C12" i="30"/>
  <c r="B12" i="30"/>
  <c r="A12" i="30"/>
  <c r="AE11" i="30"/>
  <c r="AD11" i="30"/>
  <c r="AC11" i="30"/>
  <c r="AB11" i="30"/>
  <c r="AA11" i="30"/>
  <c r="Z11" i="30"/>
  <c r="Y11" i="30"/>
  <c r="X11" i="30"/>
  <c r="W11" i="30"/>
  <c r="V11" i="30"/>
  <c r="T11" i="30"/>
  <c r="O11" i="30"/>
  <c r="K11" i="30"/>
  <c r="J11" i="30"/>
  <c r="I11" i="30"/>
  <c r="H11" i="30"/>
  <c r="R11" i="30" s="1"/>
  <c r="F11" i="30"/>
  <c r="G11" i="30" s="1"/>
  <c r="E11" i="30"/>
  <c r="D11" i="30"/>
  <c r="C11" i="30"/>
  <c r="B11" i="30"/>
  <c r="A11" i="30"/>
  <c r="AE10" i="30"/>
  <c r="AD10" i="30"/>
  <c r="AC10" i="30"/>
  <c r="AB10" i="30"/>
  <c r="AA10" i="30"/>
  <c r="Z10" i="30"/>
  <c r="Y10" i="30"/>
  <c r="X10" i="30"/>
  <c r="W10" i="30"/>
  <c r="V10" i="30"/>
  <c r="T10" i="30"/>
  <c r="O10" i="30"/>
  <c r="K10" i="30"/>
  <c r="J10" i="30"/>
  <c r="I10" i="30"/>
  <c r="H10" i="30"/>
  <c r="R10" i="30" s="1"/>
  <c r="F10" i="30"/>
  <c r="G10" i="30" s="1"/>
  <c r="E10" i="30"/>
  <c r="D10" i="30"/>
  <c r="C10" i="30"/>
  <c r="B10" i="30"/>
  <c r="A10" i="30"/>
  <c r="AE9" i="30"/>
  <c r="AD9" i="30"/>
  <c r="AC9" i="30"/>
  <c r="AB9" i="30"/>
  <c r="AA9" i="30"/>
  <c r="Z9" i="30"/>
  <c r="Y9" i="30"/>
  <c r="X9" i="30"/>
  <c r="W9" i="30"/>
  <c r="V9" i="30"/>
  <c r="T9" i="30"/>
  <c r="O9" i="30"/>
  <c r="K9" i="30"/>
  <c r="J9" i="30"/>
  <c r="I9" i="30"/>
  <c r="H9" i="30"/>
  <c r="R9" i="30" s="1"/>
  <c r="F9" i="30"/>
  <c r="G9" i="30" s="1"/>
  <c r="E9" i="30"/>
  <c r="D9" i="30"/>
  <c r="C9" i="30"/>
  <c r="B9" i="30"/>
  <c r="A9" i="30"/>
  <c r="AE8" i="30"/>
  <c r="AD8" i="30"/>
  <c r="AC8" i="30"/>
  <c r="AB8" i="30"/>
  <c r="AA8" i="30"/>
  <c r="Z8" i="30"/>
  <c r="Y8" i="30"/>
  <c r="X8" i="30"/>
  <c r="W8" i="30"/>
  <c r="V8" i="30"/>
  <c r="T8" i="30"/>
  <c r="O8" i="30"/>
  <c r="K8" i="30"/>
  <c r="J8" i="30"/>
  <c r="I8" i="30"/>
  <c r="H8" i="30"/>
  <c r="R8" i="30" s="1"/>
  <c r="F8" i="30"/>
  <c r="G8" i="30" s="1"/>
  <c r="E8" i="30"/>
  <c r="D8" i="30"/>
  <c r="C8" i="30"/>
  <c r="B8" i="30"/>
  <c r="A8" i="30"/>
  <c r="AE7" i="30"/>
  <c r="AD7" i="30"/>
  <c r="AC7" i="30"/>
  <c r="AB7" i="30"/>
  <c r="AA7" i="30"/>
  <c r="Z7" i="30"/>
  <c r="Y7" i="30"/>
  <c r="X7" i="30"/>
  <c r="W7" i="30"/>
  <c r="V7" i="30"/>
  <c r="T7" i="30"/>
  <c r="O7" i="30"/>
  <c r="K7" i="30"/>
  <c r="J7" i="30"/>
  <c r="I7" i="30"/>
  <c r="H7" i="30"/>
  <c r="R7" i="30" s="1"/>
  <c r="F7" i="30"/>
  <c r="G7" i="30" s="1"/>
  <c r="E7" i="30"/>
  <c r="D7" i="30"/>
  <c r="C7" i="30"/>
  <c r="B7" i="30"/>
  <c r="A7" i="30"/>
  <c r="AE6" i="30"/>
  <c r="AD6" i="30"/>
  <c r="AC6" i="30"/>
  <c r="AB6" i="30"/>
  <c r="AA6" i="30"/>
  <c r="Z6" i="30"/>
  <c r="Y6" i="30"/>
  <c r="X6" i="30"/>
  <c r="W6" i="30"/>
  <c r="V6" i="30"/>
  <c r="T6" i="30"/>
  <c r="O6" i="30"/>
  <c r="K6" i="30"/>
  <c r="J6" i="30"/>
  <c r="I6" i="30"/>
  <c r="H6" i="30"/>
  <c r="L6" i="30" s="1"/>
  <c r="F6" i="30"/>
  <c r="G6" i="30" s="1"/>
  <c r="E6" i="30"/>
  <c r="D6" i="30"/>
  <c r="C6" i="30"/>
  <c r="B6" i="30"/>
  <c r="A6" i="30"/>
  <c r="AE5" i="30"/>
  <c r="AD5" i="30"/>
  <c r="AC5" i="30"/>
  <c r="AB5" i="30"/>
  <c r="AA5" i="30"/>
  <c r="Z5" i="30"/>
  <c r="Y5" i="30"/>
  <c r="X5" i="30"/>
  <c r="W5" i="30"/>
  <c r="V5" i="30"/>
  <c r="T5" i="30"/>
  <c r="O5" i="30"/>
  <c r="K5" i="30"/>
  <c r="J5" i="30"/>
  <c r="I5" i="30"/>
  <c r="H5" i="30"/>
  <c r="R5" i="30" s="1"/>
  <c r="F5" i="30"/>
  <c r="G5" i="30" s="1"/>
  <c r="E5" i="30"/>
  <c r="D5" i="30"/>
  <c r="C5" i="30"/>
  <c r="B5" i="30"/>
  <c r="A5" i="30"/>
  <c r="AE4" i="30"/>
  <c r="AD4" i="30"/>
  <c r="AC4" i="30"/>
  <c r="AB4" i="30"/>
  <c r="AA4" i="30"/>
  <c r="Z4" i="30"/>
  <c r="Y4" i="30"/>
  <c r="X4" i="30"/>
  <c r="W4" i="30"/>
  <c r="V4" i="30"/>
  <c r="T4" i="30"/>
  <c r="O4" i="30"/>
  <c r="K4" i="30"/>
  <c r="J4" i="30"/>
  <c r="I4" i="30"/>
  <c r="H4" i="30"/>
  <c r="L4" i="30" s="1"/>
  <c r="F4" i="30"/>
  <c r="G4" i="30" s="1"/>
  <c r="E4" i="30"/>
  <c r="D4" i="30"/>
  <c r="C4" i="30"/>
  <c r="B4" i="30"/>
  <c r="A4" i="30"/>
  <c r="U31" i="30" l="1"/>
  <c r="S31" i="30"/>
  <c r="S7" i="30"/>
  <c r="U7" i="30"/>
  <c r="S23" i="30"/>
  <c r="U23" i="30"/>
  <c r="S41" i="30"/>
  <c r="U41" i="30"/>
  <c r="S11" i="30"/>
  <c r="U11" i="30"/>
  <c r="S19" i="30"/>
  <c r="U19" i="30"/>
  <c r="S27" i="30"/>
  <c r="U27" i="30"/>
  <c r="S37" i="30"/>
  <c r="U37" i="30"/>
  <c r="S46" i="30"/>
  <c r="U46" i="30"/>
  <c r="M5" i="30"/>
  <c r="Q5" i="30"/>
  <c r="M9" i="30"/>
  <c r="Q9" i="30"/>
  <c r="M13" i="30"/>
  <c r="Q13" i="30"/>
  <c r="M17" i="30"/>
  <c r="Q17" i="30"/>
  <c r="M21" i="30"/>
  <c r="Q21" i="30"/>
  <c r="M25" i="30"/>
  <c r="Q25" i="30"/>
  <c r="M29" i="30"/>
  <c r="Q29" i="30"/>
  <c r="M35" i="30"/>
  <c r="Q35" i="30"/>
  <c r="M39" i="30"/>
  <c r="Q39" i="30"/>
  <c r="S44" i="30"/>
  <c r="U44" i="30"/>
  <c r="M46" i="30"/>
  <c r="Q46" i="30"/>
  <c r="S48" i="30"/>
  <c r="U48" i="30"/>
  <c r="M50" i="30"/>
  <c r="Q50" i="30"/>
  <c r="S5" i="30"/>
  <c r="U5" i="30"/>
  <c r="M7" i="30"/>
  <c r="Q7" i="30"/>
  <c r="S9" i="30"/>
  <c r="U9" i="30"/>
  <c r="M11" i="30"/>
  <c r="Q11" i="30"/>
  <c r="S13" i="30"/>
  <c r="U13" i="30"/>
  <c r="M15" i="30"/>
  <c r="Q15" i="30"/>
  <c r="S17" i="30"/>
  <c r="U17" i="30"/>
  <c r="M19" i="30"/>
  <c r="Q19" i="30"/>
  <c r="S21" i="30"/>
  <c r="U21" i="30"/>
  <c r="M23" i="30"/>
  <c r="Q23" i="30"/>
  <c r="S25" i="30"/>
  <c r="U25" i="30"/>
  <c r="M27" i="30"/>
  <c r="Q27" i="30"/>
  <c r="S29" i="30"/>
  <c r="U29" i="30"/>
  <c r="M31" i="30"/>
  <c r="Q31" i="30"/>
  <c r="S33" i="30"/>
  <c r="S35" i="30"/>
  <c r="U35" i="30"/>
  <c r="M37" i="30"/>
  <c r="Q37" i="30"/>
  <c r="S39" i="30"/>
  <c r="U39" i="30"/>
  <c r="M41" i="30"/>
  <c r="Q41" i="30"/>
  <c r="M44" i="30"/>
  <c r="Q44" i="30"/>
  <c r="M48" i="30"/>
  <c r="Q48" i="30"/>
  <c r="N4" i="30"/>
  <c r="P4" i="30"/>
  <c r="R4" i="30"/>
  <c r="N6" i="30"/>
  <c r="P6" i="30"/>
  <c r="R6" i="30"/>
  <c r="M4" i="30"/>
  <c r="Q4" i="30"/>
  <c r="S4" i="30"/>
  <c r="U4" i="30"/>
  <c r="L5" i="30"/>
  <c r="N5" i="30"/>
  <c r="P5" i="30"/>
  <c r="M6" i="30"/>
  <c r="Q6" i="30"/>
  <c r="S6" i="30"/>
  <c r="U6" i="30"/>
  <c r="L7" i="30"/>
  <c r="N7" i="30"/>
  <c r="P7" i="30"/>
  <c r="M8" i="30"/>
  <c r="Q8" i="30"/>
  <c r="S8" i="30"/>
  <c r="U8" i="30"/>
  <c r="L9" i="30"/>
  <c r="N9" i="30"/>
  <c r="P9" i="30"/>
  <c r="M10" i="30"/>
  <c r="Q10" i="30"/>
  <c r="S10" i="30"/>
  <c r="U10" i="30"/>
  <c r="L11" i="30"/>
  <c r="N11" i="30"/>
  <c r="P11" i="30"/>
  <c r="M12" i="30"/>
  <c r="Q12" i="30"/>
  <c r="S12" i="30"/>
  <c r="U12" i="30"/>
  <c r="L13" i="30"/>
  <c r="N13" i="30"/>
  <c r="P13" i="30"/>
  <c r="M14" i="30"/>
  <c r="Q14" i="30"/>
  <c r="S14" i="30"/>
  <c r="U14" i="30"/>
  <c r="L15" i="30"/>
  <c r="N15" i="30"/>
  <c r="P15" i="30"/>
  <c r="S15" i="30"/>
  <c r="U15" i="30"/>
  <c r="N16" i="30"/>
  <c r="U18" i="30"/>
  <c r="S18" i="30"/>
  <c r="Q18" i="30"/>
  <c r="M18" i="30"/>
  <c r="L18" i="30"/>
  <c r="R18" i="30"/>
  <c r="L8" i="30"/>
  <c r="N8" i="30"/>
  <c r="P8" i="30"/>
  <c r="L10" i="30"/>
  <c r="N10" i="30"/>
  <c r="P10" i="30"/>
  <c r="L12" i="30"/>
  <c r="N12" i="30"/>
  <c r="P12" i="30"/>
  <c r="L14" i="30"/>
  <c r="N14" i="30"/>
  <c r="P14" i="30"/>
  <c r="U16" i="30"/>
  <c r="S16" i="30"/>
  <c r="Q16" i="30"/>
  <c r="M16" i="30"/>
  <c r="L16" i="30"/>
  <c r="R16" i="30"/>
  <c r="N18" i="30"/>
  <c r="P18" i="30"/>
  <c r="L20" i="30"/>
  <c r="N20" i="30"/>
  <c r="P20" i="30"/>
  <c r="R20" i="30"/>
  <c r="L22" i="30"/>
  <c r="N22" i="30"/>
  <c r="P22" i="30"/>
  <c r="R22" i="30"/>
  <c r="L24" i="30"/>
  <c r="N24" i="30"/>
  <c r="P24" i="30"/>
  <c r="R24" i="30"/>
  <c r="L26" i="30"/>
  <c r="N26" i="30"/>
  <c r="P26" i="30"/>
  <c r="R26" i="30"/>
  <c r="L28" i="30"/>
  <c r="N28" i="30"/>
  <c r="P28" i="30"/>
  <c r="R28" i="30"/>
  <c r="L30" i="30"/>
  <c r="N30" i="30"/>
  <c r="P30" i="30"/>
  <c r="R30" i="30"/>
  <c r="L32" i="30"/>
  <c r="N32" i="30"/>
  <c r="P32" i="30"/>
  <c r="R32" i="30"/>
  <c r="N34" i="30"/>
  <c r="U36" i="30"/>
  <c r="S36" i="30"/>
  <c r="Q36" i="30"/>
  <c r="M36" i="30"/>
  <c r="L36" i="30"/>
  <c r="R36" i="30"/>
  <c r="L17" i="30"/>
  <c r="N17" i="30"/>
  <c r="P17" i="30"/>
  <c r="L19" i="30"/>
  <c r="N19" i="30"/>
  <c r="P19" i="30"/>
  <c r="M20" i="30"/>
  <c r="Q20" i="30"/>
  <c r="S20" i="30"/>
  <c r="L21" i="30"/>
  <c r="N21" i="30"/>
  <c r="P21" i="30"/>
  <c r="M22" i="30"/>
  <c r="Q22" i="30"/>
  <c r="S22" i="30"/>
  <c r="L23" i="30"/>
  <c r="N23" i="30"/>
  <c r="P23" i="30"/>
  <c r="M24" i="30"/>
  <c r="Q24" i="30"/>
  <c r="S24" i="30"/>
  <c r="L25" i="30"/>
  <c r="N25" i="30"/>
  <c r="P25" i="30"/>
  <c r="M26" i="30"/>
  <c r="Q26" i="30"/>
  <c r="S26" i="30"/>
  <c r="L27" i="30"/>
  <c r="N27" i="30"/>
  <c r="P27" i="30"/>
  <c r="M28" i="30"/>
  <c r="Q28" i="30"/>
  <c r="S28" i="30"/>
  <c r="L29" i="30"/>
  <c r="N29" i="30"/>
  <c r="P29" i="30"/>
  <c r="M30" i="30"/>
  <c r="Q30" i="30"/>
  <c r="S30" i="30"/>
  <c r="L31" i="30"/>
  <c r="N31" i="30"/>
  <c r="P31" i="30"/>
  <c r="M32" i="30"/>
  <c r="Q32" i="30"/>
  <c r="S32" i="30"/>
  <c r="R33" i="30"/>
  <c r="P33" i="30"/>
  <c r="N33" i="30"/>
  <c r="L33" i="30"/>
  <c r="M33" i="30"/>
  <c r="Q33" i="30"/>
  <c r="U34" i="30"/>
  <c r="S34" i="30"/>
  <c r="Q34" i="30"/>
  <c r="M34" i="30"/>
  <c r="L34" i="30"/>
  <c r="R34" i="30"/>
  <c r="N36" i="30"/>
  <c r="P36" i="30"/>
  <c r="L35" i="30"/>
  <c r="N35" i="30"/>
  <c r="P35" i="30"/>
  <c r="L37" i="30"/>
  <c r="N37" i="30"/>
  <c r="P37" i="30"/>
  <c r="M38" i="30"/>
  <c r="Q38" i="30"/>
  <c r="S38" i="30"/>
  <c r="U38" i="30"/>
  <c r="L39" i="30"/>
  <c r="N39" i="30"/>
  <c r="P39" i="30"/>
  <c r="M40" i="30"/>
  <c r="Q40" i="30"/>
  <c r="S40" i="30"/>
  <c r="U40" i="30"/>
  <c r="L41" i="30"/>
  <c r="N41" i="30"/>
  <c r="P41" i="30"/>
  <c r="M42" i="30"/>
  <c r="Q42" i="30"/>
  <c r="S42" i="30"/>
  <c r="U42" i="30"/>
  <c r="M43" i="30"/>
  <c r="Q43" i="30"/>
  <c r="S43" i="30"/>
  <c r="U43" i="30"/>
  <c r="L44" i="30"/>
  <c r="N44" i="30"/>
  <c r="P44" i="30"/>
  <c r="M45" i="30"/>
  <c r="Q45" i="30"/>
  <c r="S45" i="30"/>
  <c r="U45" i="30"/>
  <c r="L46" i="30"/>
  <c r="N46" i="30"/>
  <c r="P46" i="30"/>
  <c r="M47" i="30"/>
  <c r="Q47" i="30"/>
  <c r="S47" i="30"/>
  <c r="U47" i="30"/>
  <c r="L48" i="30"/>
  <c r="N48" i="30"/>
  <c r="P48" i="30"/>
  <c r="M49" i="30"/>
  <c r="Q49" i="30"/>
  <c r="S49" i="30"/>
  <c r="U49" i="30"/>
  <c r="L50" i="30"/>
  <c r="N50" i="30"/>
  <c r="P50" i="30"/>
  <c r="L38" i="30"/>
  <c r="N38" i="30"/>
  <c r="P38" i="30"/>
  <c r="L40" i="30"/>
  <c r="N40" i="30"/>
  <c r="P40" i="30"/>
  <c r="L42" i="30"/>
  <c r="N42" i="30"/>
  <c r="P42" i="30"/>
  <c r="L43" i="30"/>
  <c r="N43" i="30"/>
  <c r="P43" i="30"/>
  <c r="L45" i="30"/>
  <c r="N45" i="30"/>
  <c r="P45" i="30"/>
  <c r="L47" i="30"/>
  <c r="N47" i="30"/>
  <c r="P47" i="30"/>
  <c r="L49" i="30"/>
  <c r="N49" i="30"/>
  <c r="P49" i="30"/>
  <c r="AS29" i="29" l="1"/>
  <c r="AQ29" i="29" s="1"/>
  <c r="C28" i="29" s="1"/>
  <c r="AQ29" i="28"/>
  <c r="AO29" i="28" s="1"/>
  <c r="C28" i="28" s="1"/>
  <c r="AQ29" i="8"/>
  <c r="AO29" i="8" s="1"/>
  <c r="C28" i="8" s="1"/>
  <c r="AQ29" i="27"/>
  <c r="AO29" i="27" s="1"/>
  <c r="C28" i="27" s="1"/>
  <c r="I36" i="29" l="1"/>
  <c r="AO31" i="27"/>
  <c r="C30" i="27"/>
  <c r="AO31" i="28"/>
  <c r="C30" i="28" s="1"/>
  <c r="AO31" i="8"/>
  <c r="C30" i="8"/>
  <c r="M17" i="29" l="1"/>
  <c r="M17" i="28"/>
  <c r="M17" i="8"/>
  <c r="M17" i="27"/>
  <c r="EH2" i="2" l="1"/>
  <c r="EI2" i="2"/>
  <c r="M16" i="28" l="1"/>
  <c r="DV2" i="5"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T5" i="6"/>
  <c r="O5" i="6"/>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BL2" i="5" l="1"/>
  <c r="AV2" i="5"/>
  <c r="AF2" i="5"/>
  <c r="AB22" i="29"/>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DJ2" i="5" l="1"/>
  <c r="AF4" i="1" l="1"/>
  <c r="S2" i="5" l="1"/>
  <c r="DU2" i="5" s="1"/>
  <c r="R2" i="5"/>
  <c r="AG4" i="1" l="1"/>
  <c r="AH4" i="1"/>
  <c r="N4" i="1" l="1"/>
  <c r="A2" i="3"/>
  <c r="E2" i="2"/>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K2" i="2" l="1"/>
  <c r="Z2" i="2" s="1"/>
  <c r="R17" i="1"/>
  <c r="U17" i="1" s="1"/>
  <c r="U18" i="1" s="1"/>
  <c r="AD18" i="1" s="1"/>
  <c r="L2" i="2"/>
  <c r="AA2" i="2" s="1"/>
  <c r="J2" i="2"/>
  <c r="Y2" i="2" s="1"/>
  <c r="V2" i="2"/>
  <c r="AK2" i="2" s="1"/>
  <c r="U2" i="2"/>
  <c r="EG2" i="2"/>
  <c r="EF2" i="2"/>
  <c r="EE2" i="2"/>
  <c r="W2" i="2"/>
  <c r="AL2" i="2" s="1"/>
  <c r="Q2" i="2"/>
  <c r="M2" i="2" s="1"/>
  <c r="D2" i="2"/>
  <c r="DB2" i="2" s="1"/>
  <c r="C2" i="2"/>
  <c r="B2" i="2"/>
  <c r="A2" i="2"/>
  <c r="A2" i="5"/>
  <c r="P2" i="5"/>
  <c r="N2" i="5" s="1"/>
  <c r="CA2" i="5"/>
  <c r="CO2" i="5"/>
  <c r="DC2" i="5"/>
  <c r="DL2" i="5"/>
  <c r="DM2" i="5"/>
  <c r="DN2" i="5"/>
  <c r="DO2" i="5"/>
  <c r="DP2" i="5"/>
  <c r="DS2" i="5"/>
  <c r="DT2" i="5"/>
  <c r="DW2" i="5"/>
  <c r="B19" i="1" l="1"/>
  <c r="AO2" i="2"/>
  <c r="R2" i="2"/>
  <c r="S2" i="2"/>
  <c r="T2" i="2"/>
  <c r="AT2" i="2"/>
  <c r="BK2" i="2" s="1"/>
  <c r="AP2" i="2"/>
  <c r="AS2" i="2"/>
  <c r="AN2" i="2"/>
  <c r="N2" i="2"/>
  <c r="AF2" i="2"/>
  <c r="AB2" i="2" s="1"/>
  <c r="AJ2" i="2"/>
  <c r="P2" i="2"/>
  <c r="O2" i="2"/>
  <c r="DQ2" i="5"/>
  <c r="AY2" i="2" l="1"/>
  <c r="BN2" i="2" s="1"/>
  <c r="AX2" i="2"/>
  <c r="BM2" i="2" s="1"/>
  <c r="AZ2" i="2"/>
  <c r="BO2" i="2" s="1"/>
  <c r="AR2" i="2"/>
  <c r="BI2" i="2" s="1"/>
  <c r="AI2" i="2"/>
  <c r="AH2" i="2"/>
  <c r="AG2" i="2"/>
  <c r="DK2" i="5"/>
  <c r="EG2" i="5"/>
  <c r="EH2" i="5"/>
  <c r="BJ2" i="2"/>
  <c r="BY2" i="2" s="1"/>
  <c r="AC2" i="2"/>
  <c r="BZ2" i="2"/>
  <c r="AQ2" i="2"/>
  <c r="AE2" i="2"/>
  <c r="AD2" i="2"/>
  <c r="EF2" i="5" l="1"/>
  <c r="EI2" i="5"/>
  <c r="BX2" i="2"/>
  <c r="BH2" i="2"/>
  <c r="BF2" i="2"/>
  <c r="BG2" i="2"/>
  <c r="CC2" i="2"/>
  <c r="CM2" i="2" s="1"/>
  <c r="CB2" i="2"/>
  <c r="CL2" i="2" s="1"/>
  <c r="CD2" i="2"/>
  <c r="CN2" i="2" s="1"/>
  <c r="CH2" i="2"/>
  <c r="CF2" i="2"/>
  <c r="CG2" i="2"/>
  <c r="CX2" i="2" s="1"/>
  <c r="BE2" i="2"/>
  <c r="BA2" i="2" s="1"/>
  <c r="BU2" i="2" l="1"/>
  <c r="BV2" i="2"/>
  <c r="BW2" i="2"/>
  <c r="DA2" i="2"/>
  <c r="DM2" i="2"/>
  <c r="CY2" i="2"/>
  <c r="DN2" i="2" s="1"/>
  <c r="DC2" i="2"/>
  <c r="CW2" i="2"/>
  <c r="BD2" i="2"/>
  <c r="BT2" i="2"/>
  <c r="BS2" i="2" s="1"/>
  <c r="BC2" i="2"/>
  <c r="BB2" i="2"/>
  <c r="DL2" i="2" l="1"/>
  <c r="CU2" i="2"/>
  <c r="CV2" i="2"/>
  <c r="CT2" i="2"/>
  <c r="CE2" i="2"/>
  <c r="BQ2" i="2"/>
  <c r="BP2" i="2"/>
  <c r="BR2" i="2"/>
  <c r="DK2" i="2" l="1"/>
  <c r="DI2" i="2"/>
  <c r="DJ2" i="2"/>
  <c r="CS2" i="2"/>
  <c r="DH2" i="2" s="1"/>
  <c r="CO2" i="2" l="1"/>
  <c r="CQ2" i="2"/>
  <c r="CR2" i="2"/>
  <c r="CP2" i="2"/>
  <c r="DG2" i="2" l="1"/>
  <c r="DE2" i="2"/>
  <c r="DF2" i="2"/>
  <c r="DD2" i="2"/>
</calcChain>
</file>

<file path=xl/comments1.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<sst xmlns="http://schemas.openxmlformats.org/spreadsheetml/2006/main" count="4306" uniqueCount="961">
  <si>
    <t>STT</t>
  </si>
  <si>
    <t>Tỉnh/TP</t>
  </si>
  <si>
    <t>Ngày đo kiểm</t>
  </si>
  <si>
    <t>Chủng loại thiết bị phát</t>
  </si>
  <si>
    <t>Số anten phát</t>
  </si>
  <si>
    <t>Số máy phát, thu-phát (số sóng mang)</t>
  </si>
  <si>
    <t>Tổng công suất phát từng anten</t>
  </si>
  <si>
    <t>Dải tần hoạt động</t>
  </si>
  <si>
    <t>Chủng loại anten</t>
  </si>
  <si>
    <t>Doanh nghiệp đề nghị kiểm định</t>
  </si>
  <si>
    <t>Địa điểm lắp đặt thực tế</t>
  </si>
  <si>
    <t>Kinh độ (Long)</t>
  </si>
  <si>
    <t>Vĩ độ (Lat)</t>
  </si>
  <si>
    <t>Số lượng trạm gốc</t>
  </si>
  <si>
    <t>Số BBKĐ</t>
  </si>
  <si>
    <t>Ngày kí BBKĐ</t>
  </si>
  <si>
    <t>Doanh nghiệp cung cấp dịch vụ</t>
  </si>
  <si>
    <t>Mã trạm gốc</t>
  </si>
  <si>
    <t>Trường hợp kiểm định</t>
  </si>
  <si>
    <t>Doanh nghiệp</t>
  </si>
  <si>
    <t>Cấp GCN</t>
  </si>
  <si>
    <t>Giới hạn an toàn</t>
  </si>
  <si>
    <t>Số quản lý</t>
  </si>
  <si>
    <t>Số hồ sơ</t>
  </si>
  <si>
    <t>Địa điểm lắp đặt</t>
  </si>
  <si>
    <t>Số biên bản kiểm định</t>
  </si>
  <si>
    <t>Ngày cấp BBKĐ</t>
  </si>
  <si>
    <t>Ngày kiểm định</t>
  </si>
  <si>
    <t>Số Giấy CN</t>
  </si>
  <si>
    <t>Số GCN</t>
  </si>
  <si>
    <t>DDMMYY</t>
  </si>
  <si>
    <t>PPTL</t>
  </si>
  <si>
    <t>Ngày cấp</t>
  </si>
  <si>
    <t>Ngày hết hạn</t>
  </si>
  <si>
    <t>Ban hành</t>
  </si>
  <si>
    <t>Hết hạn</t>
  </si>
  <si>
    <t>Giới hạn an toàn</t>
  </si>
  <si>
    <t>Tên doanh nghiệp</t>
  </si>
  <si>
    <t>Loại thiết bị</t>
  </si>
  <si>
    <t>Số Anten phát</t>
  </si>
  <si>
    <t>Số máy phát Anten 1</t>
  </si>
  <si>
    <t>Số máy phát Anten 2</t>
  </si>
  <si>
    <t>Số máy phát Anten 3</t>
  </si>
  <si>
    <t>Cấu hình máy phát</t>
  </si>
  <si>
    <t>Tổng công suất phát Anten 1</t>
  </si>
  <si>
    <t>Tổng công suất phát Anten 2</t>
  </si>
  <si>
    <t>Tổng công suất phát Anten 3</t>
  </si>
  <si>
    <t>Cấu hình tổng công suất</t>
  </si>
  <si>
    <t>Độ cao từng anten</t>
  </si>
  <si>
    <t>Tên doanh nghiệp 1</t>
  </si>
  <si>
    <t>Tên doanh nghiệp 2</t>
  </si>
  <si>
    <t>Tên doanh nghiệp 3</t>
  </si>
  <si>
    <t>Tên doanh nghiệp 4</t>
  </si>
  <si>
    <t>Tên doanh nghiệp 5</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</si>
  <si>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</si>
  <si>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</si>
  <si>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</si>
  <si>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</si>
  <si>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</si>
  <si>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</si>
  <si>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</si>
  <si>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Số lượng trạm chung</t>
  </si>
  <si>
    <t>Ghi chú</t>
  </si>
  <si>
    <t>Kiểm tra tỉnh</t>
  </si>
  <si>
    <t>Kiểm tra ngày cấp CNKĐ</t>
  </si>
  <si>
    <t>Kiểm tra số lượng công trình</t>
  </si>
  <si>
    <t>Kiểm tra thứ tự công trình</t>
  </si>
  <si>
    <t>Số thông báo lệ phí cấp giấy</t>
  </si>
  <si>
    <t>Doanh nghiệp đề nghị kiểm định</t>
  </si>
  <si>
    <t>Doanh nghiệp cung cấp dịch vụ</t>
  </si>
  <si>
    <t>Yes</t>
  </si>
  <si>
    <t>Độ cao giới hạn an toàn</t>
  </si>
  <si>
    <t>Doanh nghiệp (1)</t>
  </si>
  <si>
    <t>Mã trạm gốc (1)</t>
  </si>
  <si>
    <t>CS Anten 1</t>
  </si>
  <si>
    <t>CS Anten 2</t>
  </si>
  <si>
    <t>CS Anten 3</t>
  </si>
  <si>
    <t>CH Anten 1</t>
  </si>
  <si>
    <t>CH Anten 2</t>
  </si>
  <si>
    <t>CH Anten 3</t>
  </si>
  <si>
    <t>Độ cao anten</t>
  </si>
  <si>
    <t>Doanh nghiệp (2)</t>
  </si>
  <si>
    <t>Mã trạm gốc (2)</t>
  </si>
  <si>
    <t>DN (3)</t>
  </si>
  <si>
    <t>MT (3)</t>
  </si>
  <si>
    <t>CS phát từng anten</t>
  </si>
  <si>
    <t>A1</t>
  </si>
  <si>
    <t>A2</t>
  </si>
  <si>
    <t>A3</t>
  </si>
  <si>
    <t>A4</t>
  </si>
  <si>
    <t>DN (4)</t>
  </si>
  <si>
    <t>SAT</t>
  </si>
  <si>
    <t>Số máy phát, thu-phát</t>
  </si>
  <si>
    <t>A5</t>
  </si>
  <si>
    <t>MT (4)</t>
  </si>
  <si>
    <t>DN (5)</t>
  </si>
  <si>
    <t>MT (5)</t>
  </si>
  <si>
    <t>A6</t>
  </si>
  <si>
    <t>DN (6)</t>
  </si>
  <si>
    <t>MT (6)</t>
  </si>
  <si>
    <t>Tổng số trạm là:</t>
  </si>
  <si>
    <t>Số trạm cấp là:</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</si>
  <si>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</si>
  <si>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</si>
  <si>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</si>
  <si>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</si>
  <si>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</si>
  <si>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</si>
  <si>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</si>
  <si>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</si>
  <si>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</si>
  <si>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</si>
  <si>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</si>
  <si>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</si>
  <si>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</si>
  <si>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</si>
  <si>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</si>
  <si>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</si>
  <si>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</si>
  <si>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</si>
  <si>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</si>
  <si>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</si>
  <si>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</si>
  <si>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</si>
  <si>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</si>
  <si>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</si>
  <si>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</si>
  <si>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</si>
  <si>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</si>
  <si>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</si>
  <si>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</si>
  <si>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</si>
  <si>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</si>
  <si>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</si>
  <si>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</si>
  <si>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</si>
  <si>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</si>
  <si>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</si>
  <si>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</si>
  <si>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</si>
  <si>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</si>
  <si>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</si>
  <si>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</si>
  <si>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</si>
  <si>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</si>
  <si>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</si>
  <si>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</si>
  <si>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</si>
  <si>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</si>
  <si>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</si>
  <si>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</si>
  <si>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</si>
  <si>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</si>
  <si>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</si>
  <si>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</si>
  <si>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</si>
  <si>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</si>
  <si>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</si>
  <si>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</si>
  <si>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</si>
  <si>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</si>
  <si>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</si>
  <si>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</si>
  <si>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(chương trình chỉ hỗ trợ số lượng doanh nghiệp cung cấp dịch vụ là 1 )</t>
  </si>
  <si>
    <t>Chọn "Thực hiện" để thực thi lựa chọn.</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</si>
  <si>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</si>
  <si>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</si>
  <si>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</si>
  <si>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</si>
  <si>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</si>
  <si>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Ghi chú (không cấp giấy CNKĐ)</t>
  </si>
  <si>
    <t>GIẤY BÁO LỆ PHÍ CẤP GIẤY CHỨNG NHẬN KIỂM ĐỊNH</t>
  </si>
  <si>
    <t xml:space="preserve"> Độc lập - Tự do - Hạnh phúc</t>
  </si>
  <si>
    <t>Độc lập - Tự do - Hạnh phúc</t>
  </si>
  <si>
    <t>Địa chỉ:</t>
  </si>
  <si>
    <t>Điện thoại:</t>
  </si>
  <si>
    <t>của Trung tâm Kiểm định và Chứng nhận 2)</t>
  </si>
  <si>
    <t xml:space="preserve">    CỘNG HÒA XÃ HỘI CHỦ NGHĨA VIỆT NAM    </t>
  </si>
  <si>
    <t>100,45</t>
  </si>
  <si>
    <t>MOTOROLA HORIZON II MACRO</t>
  </si>
  <si>
    <t>CÔNG TY CỔ PHẦN VIỄN THÔNG DI ĐỘNG TOÀN CẦU
GTEL</t>
  </si>
  <si>
    <t>100,69</t>
  </si>
  <si>
    <t>Số máy phát Anten 4</t>
  </si>
  <si>
    <t>Tổng công suất phát Anten 4</t>
  </si>
  <si>
    <t>Chú thích</t>
  </si>
  <si>
    <t xml:space="preserve">Lưu ý: </t>
  </si>
  <si>
    <t>Trong tab Set up của Add-ins thì tab Thop from BBKD chưa xử lí hết các trường hợp nên còn lỗi =&gt;</t>
  </si>
  <si>
    <t xml:space="preserve"> cần tiết hành thủ công để có kết quả như B.2</t>
  </si>
  <si>
    <t>B.1</t>
  </si>
  <si>
    <t>B.2</t>
  </si>
  <si>
    <t>B.3</t>
  </si>
  <si>
    <t>B.4</t>
  </si>
  <si>
    <t xml:space="preserve">Ghi chú </t>
  </si>
  <si>
    <t>DS GCN không cấp</t>
  </si>
  <si>
    <t>Có mặt sau hay không? (dùng để sort)</t>
  </si>
  <si>
    <t>Slct tổng</t>
  </si>
  <si>
    <t>Số lượng ct mặt sau</t>
  </si>
  <si>
    <t>Mức thu
(đồng)</t>
  </si>
  <si>
    <t>Kiểm tra ngày cấp BBKĐ</t>
  </si>
  <si>
    <t>900 &amp; 1800</t>
  </si>
  <si>
    <t>9000 &amp; 1800</t>
  </si>
  <si>
    <t>9000 &amp; 2100</t>
  </si>
  <si>
    <t>1800 &amp; 2100</t>
  </si>
  <si>
    <t>PHÓ GIÁM ĐỐC</t>
  </si>
  <si>
    <t>Trần Công Khanh</t>
  </si>
  <si>
    <t>TUQ. GIÁM ĐỐC</t>
  </si>
  <si>
    <t>KT. GIÁM ĐỐC</t>
  </si>
  <si>
    <t>-    GĐTT (để báo cáo);</t>
  </si>
  <si>
    <t>B08600120811TG05</t>
  </si>
  <si>
    <t>Sort be-af</t>
  </si>
  <si>
    <t>CH1</t>
  </si>
  <si>
    <t>CH2</t>
  </si>
  <si>
    <t>CH3</t>
  </si>
  <si>
    <t>CH4</t>
  </si>
  <si>
    <t>Tt CH</t>
  </si>
  <si>
    <t>CS1</t>
  </si>
  <si>
    <t>CS2</t>
  </si>
  <si>
    <t>CS3</t>
  </si>
  <si>
    <t>CS4</t>
  </si>
  <si>
    <t>Tt CS</t>
  </si>
  <si>
    <t>Toạ độ</t>
  </si>
  <si>
    <t>IF(RC[-10]=1;TEXT(RC[-4];"#,00")&amp;"W";IF(RC[-10]=2;TEXT(RC[-4];"#,00")&amp;"W/"&amp;TEXT(RC[-3];"#,00")&amp;"W";IF(RC[-10]=3;TEXT(RC[-4];"#,00")&amp;"W/"&amp;TEXT(RC[-3];"#,00")&amp;"W/"&amp;TEXT(RC[-2];"#,00")&amp;"W";IF(RC[-10]=4;TEXT(RC[-4];"#,00")&amp;"W/"&amp;TEXT(RC[-3];"#,00")&amp;"W/"&amp;TEXT(RC[-2];"#,00")&amp;"W/"&amp;TEXT(RC[-1];"#,00")&amp;"W";""))))</t>
  </si>
  <si>
    <t>IF(RC[-5]=1;RC[-4];IF(RC[-5]=2;RC[-4]&amp;"/"&amp;RC[-3];IF(RC[-5]=3;RC[-4]&amp;"/"&amp;RC[-3]&amp;"/"&amp;RC[-2];IF(RC[-5]=4;RC[-4]&amp;"/"&amp;RC[-3]&amp;"/"&amp;RC[-2]&amp;"/"&amp;RC[-1];""))))</t>
  </si>
  <si>
    <t>TG05</t>
  </si>
  <si>
    <t>Số lượng ct</t>
  </si>
  <si>
    <t>Tỉnh/ Thành phố</t>
  </si>
  <si>
    <t>Mã trạm gốc 2</t>
  </si>
  <si>
    <t>Mã trạm gốc 3</t>
  </si>
  <si>
    <t>Mã trạm gốc 4</t>
  </si>
  <si>
    <t>Mã trạm gốc 5</t>
  </si>
  <si>
    <t>Mã trạm gốc 1</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</si>
  <si>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</si>
  <si>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</si>
  <si>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</si>
  <si>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</si>
  <si>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Chương trình hỗ trợ xuất giấy báo lệ phí và GCN đối với dữ liệu từ sheet "TH" của chương trình tạo BBKĐ</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</si>
  <si>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</si>
  <si>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</si>
  <si>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</si>
  <si>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</si>
  <si>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</si>
  <si>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38</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</si>
  <si>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</si>
  <si>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</si>
  <si>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</si>
  <si>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</si>
  <si>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</si>
  <si>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</si>
  <si>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</si>
  <si>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11/07/2014</t>
  </si>
  <si>
    <t>3511.0.1068040.00000</t>
  </si>
  <si>
    <t>Số lượng
trạm gốc</t>
  </si>
  <si>
    <t>Hiệu độ cao</t>
  </si>
  <si>
    <t>Trong khoảng cách 100m tính từ điểm bất kỳ nào thuộc chân cột anten của trạm gốc không có công trình xây dựng trong đó có người sinh sống, làm việc.</t>
  </si>
  <si>
    <t>KT bán kính 100m</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</si>
  <si>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</si>
  <si>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</si>
  <si>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Số 01, ấp Phú Nhơn, xã Đông Phú, huyện Châu Thành, tỉnh Hậu Giang.</t>
  </si>
  <si>
    <t>Số 84/2, ấp Phú Lợi, xã Phú Hữu, huyện Châu Thành, tỉnh Hậu Giang.</t>
  </si>
  <si>
    <t>Ấp Phú Xuân, xã Phú Hữu, huyện Châu Thành, tỉnh Hậu Giang.</t>
  </si>
  <si>
    <t>Ủy ban nhân dân xã Đông Phước A, xã Đông Phước A, huyện Châu Thành, tỉnh Hậu Giang.</t>
  </si>
  <si>
    <t>Ấp Đông Mỹ, thị trấn Ngã Sáu, huyện Châu Thành, tỉnh Hậu Giang.</t>
  </si>
  <si>
    <t>Số 55, ấp Sơn Phú 2A, xã Tân Thành, thị xã Ngã Bảy, tỉnh Hậu Giang.</t>
  </si>
  <si>
    <t>Số 195, ấp Sơn Phú 2A, xã Tân Thành, thị xã Ngã Bảy, tỉnh Hậu Giang.</t>
  </si>
  <si>
    <t>Đường Hùng Vương, phường Hiệp Thành, thị xã Ngã Bảy, tỉnh Hậu Giang.</t>
  </si>
  <si>
    <t>Số 291, tỉnh lộ 928, ấp Phú Khởi, xã Thạnh Hòa, huyện Phụng Hiệp, tỉnh Hậu Giang.</t>
  </si>
  <si>
    <t>Số 05, ấp Mỹ Thuận 2, xã Phụng Hiệp, huyện Phụng Hiệp, tỉnh Hậu Giang.</t>
  </si>
  <si>
    <t>Số 246, tỉnh lộ 927, ấp Phương An, xã Phương Bình, huyện Phụng Hiệp, tỉnh Hậu Giang.</t>
  </si>
  <si>
    <t>Ấp Tầm Vu 1, xã Thạnh Hòa, huyện Phụng Hiệp, tỉnh Hậu Giang.</t>
  </si>
  <si>
    <t>Ấp Phương Bình, xã Phương Phú, huyện Phụng Hiệp, tỉnh Hậu Giang.</t>
  </si>
  <si>
    <t>Ấp Mỹ Thạnh, xã Tân Phước Hưng, huyện Phụng Hiệp, tỉnh Hậu Giang.</t>
  </si>
  <si>
    <t>Ấp Hòa Bình, thị trấn Kinh Cùng, huyện Phụng Hiệp, tỉnh Hậu Giang.</t>
  </si>
  <si>
    <t>Số 51, ấp Tân Long B, xã Bình Thành, huyện Phụng Hiệp, tỉnh Hậu Giang.</t>
  </si>
  <si>
    <t>Đường tỉnh lộ 928, ấp Mỹ Hòa, thị trấn Cây Dương, huyện Phụng Hiệp, tỉnh Hậu Giang.</t>
  </si>
  <si>
    <t>Ấp Hòa Quới, xã Hòa An, huyện Phụng Hiệp, tỉnh Hậu Giang.</t>
  </si>
  <si>
    <t>Số 38, ấp Mỹ Chánh A, xã Hiệp Hưng, huyện Phụng Hiệp, tỉnh Hậu Giang.</t>
  </si>
  <si>
    <t>Ấp Tân Phú A2, xã Tân Phước Hưng, huyện Phụng Hiệp, tỉnh Hậu Giang.</t>
  </si>
  <si>
    <t>Số 773/21, ấp 4A, xã Tân Hoà, huyện Châu Thành A, tỉnh Hậu Giang.</t>
  </si>
  <si>
    <t>Số 216, ấp Trường Phước, xã Trường Long Tây, huyện Châu Thành A, tỉnh Hậu Giang.</t>
  </si>
  <si>
    <t>Số 276, ấp Nhơn Thuận 1B, xã Nhơn Nghĩa A, huyện Châu thành A, tỉnh Hậu Giang.</t>
  </si>
  <si>
    <t>Ấp Xáng Mới, xã Thạnh Xuân, huyện Châu Thành A, tỉnh Hậu Giang.</t>
  </si>
  <si>
    <t>Số 36, ấp Nhơn Thuận 1A, xã Nhơn Nghĩa A, huyện Châu Thành A, tỉnh Hậu Giang.</t>
  </si>
  <si>
    <t>Ấp 2A, thị trấn Bảy Ngàn, huyện Châu Thàn A, tỉnh Hậu Giang.</t>
  </si>
  <si>
    <t>Số 82, ấp Trầu Hôi, xã Thạnh Xuân, huyện Châu Thành A, tỉnh Hậu Giang.</t>
  </si>
  <si>
    <t>Ấp Trường Hưng, xã Trường Long A, huyện Châu Thành A, tỉnh Hậu Giang.</t>
  </si>
  <si>
    <t>Ấp 2A, xã Tân Hòa, huyện Châu Thành A, tỉnh Hậu Giang.</t>
  </si>
  <si>
    <t>Ấp 1, thị trấn Nàng Mau, huyện Vị Thủy, tỉnh Hậu Giang.</t>
  </si>
  <si>
    <t>Ấp Vĩnh Thuận, xã Vĩnh Tường, huyện Vị Thủy, tỉnh Hậu Giang.</t>
  </si>
  <si>
    <t>Ấp 03, xã Vĩnh Thuận Tây, huyện Vị Thuỷ, tỉnh Hậu Giang.</t>
  </si>
  <si>
    <t>Số 91, ấp 3, xã Vĩnh Trung, huyện Vị Thủy, tỉnh Hậu Giang.</t>
  </si>
  <si>
    <t>Ấp 6, xã Vị Thắng, huyện Vị Thủy, tỉnh Hậu Giang.</t>
  </si>
  <si>
    <t>Số 44, tỉnh lộ 932, ấp 1, xã Vị Thanh, huyện Vị Thủy, tỉnh Hậu Giang.</t>
  </si>
  <si>
    <t>Số 253, ấp Vĩnh Lộc, xã Vĩnh Tường, huyện Vị Thủy, tỉnh Hậu Giang.</t>
  </si>
  <si>
    <t>Ấp 3A, xã Vị Tân, thành phố Vị Thanh, tỉnh Hậu Giang.</t>
  </si>
  <si>
    <t>Số 95/49, ấp Thanh Xuân, xã Hỏa Tiến, thành phố Vị Thanh, tỉnh Hậu Giang.</t>
  </si>
  <si>
    <t>Số 12, đường Nguyễn Khuyến, phường 3, thành phố Vị Thanh, tỉnh Hậu Giang.</t>
  </si>
  <si>
    <t>Số 57, ấp 07, xã Xà Phiên, huyện Long Mỹ, tỉnh Hậu Giang.</t>
  </si>
  <si>
    <t>Ấp 01, xã Vĩnh Viễn, huyện Long Mỹ, tỉnh Hậu Giang.</t>
  </si>
  <si>
    <t>Ấp Long An, xã Long Phú, thị xã Long Mỹ, tỉnh Hậu Giang.</t>
  </si>
  <si>
    <t>Số 80, ấp Tân Hòa, xã Tân Phú, thị xã Long Mỹ, tỉnh Hậu Giang.</t>
  </si>
  <si>
    <t>Số 205, ấp 4, xã Long Trị, thị xã Long Mỹ, tỉnh Hậu Giang.</t>
  </si>
  <si>
    <t>Bưu điện văn hóa xã Long Bình, số 225, ấp Bình Tân, xã Long Bình, thị xã Long Mỹ, tỉnh Hậu Giang.</t>
  </si>
  <si>
    <t>Ấp Vĩnh Thuận, xã Vĩnh Quới, thị xã Ngã Năm, tỉnh Sóc Trăng.</t>
  </si>
  <si>
    <t>STNN07</t>
  </si>
  <si>
    <t>Số 166, ấp Tân Chánh A, xã Tân Long, thị xã Ngã Năm, tỉnh Sóc Trăng.</t>
  </si>
  <si>
    <t>STNN09</t>
  </si>
  <si>
    <t>Số 66, ấp Mỹ Hòa, xã Long Bình, thị xã Ngã Năm, tỉnh Sóc Trăng.</t>
  </si>
  <si>
    <t>STNN12</t>
  </si>
  <si>
    <t>Số 143/9, ấp Bưng Chớp A, xã An Hiệp, huyện Châu Thành, tỉnh Sóc Trăng.</t>
  </si>
  <si>
    <t>STMT13</t>
  </si>
  <si>
    <t>Ấp Tân Phước B, xã Long Hưng, huyện Mỹ Tú, tỉnh Sóc Trăng.</t>
  </si>
  <si>
    <t>STMT16</t>
  </si>
  <si>
    <t>Số 245, ấp Phú Ninh, xã An Ninh, huyện Châu Thành, tỉnh Sóc Trăng.</t>
  </si>
  <si>
    <t>Ấp Trường Thọ, xã An Mỹ, huyện Kế Sách, tỉnh Sóc Trăng.</t>
  </si>
  <si>
    <t>STKS25</t>
  </si>
  <si>
    <t>Ấp An Ninh, thị trấn An Lạc Thôn, huyện Kế Sách, tỉnh Sóc Trăng.</t>
  </si>
  <si>
    <t>Ấp Nhì, xã Châu Khánh, huyện Long Phú, tỉnh Sóc Trăng.</t>
  </si>
  <si>
    <t>STLP10</t>
  </si>
  <si>
    <t>Ấp Sơn Ton, xã An Thạnh 2, huyện Cù Lao Dung, tỉnh Sóc Trăng.</t>
  </si>
  <si>
    <t>STCL11</t>
  </si>
  <si>
    <t>Ấp Phước Hòa B, thị trấn Cù Lao Dung, huyện Cù Lao Dung, tỉnh Sóc Trăng.</t>
  </si>
  <si>
    <t>STCL10</t>
  </si>
  <si>
    <t>Số 770, khóm 1, phường 3, thành phố Sóc Trăng, tỉnh Sóc Trăng.</t>
  </si>
  <si>
    <t>Số 383/106, đường 30 Tháng 4, khóm 5, phường 9, thành phố Sóc Trăng, tỉnh Sóc Trăng.</t>
  </si>
  <si>
    <t>Đường Lý Đạo Thành, phường 6, thành phố Sóc Trăng, tỉnh Sóc Trăng.</t>
  </si>
  <si>
    <t>Ấp Bưng Buối, xã Liêu Tú, huyện Trần Đề, tỉnh Sóc Trăng.</t>
  </si>
  <si>
    <t>STTD26</t>
  </si>
  <si>
    <t>Ấp Tiên Cường 1, xã Thạnh Thới An, huyện Trần Đề, tỉnh Sóc Trăng.</t>
  </si>
  <si>
    <t>STTD09</t>
  </si>
  <si>
    <t>Ấp Kiết Lập B, xã Lâm Tân, huyện Thạnh Trị, tỉnh Sóc Trăng.</t>
  </si>
  <si>
    <t>STTT10</t>
  </si>
  <si>
    <t>Số 16, đường Trương Hán Siêu, phường 2, thành phố Bạc Liêu, tỉnh Bạc Liêu.</t>
  </si>
  <si>
    <t>Ấp Xóm Lẫm, xã Hiệp Thành, phường Hiệp Thành, thành phố Bạc Liêu, tỉnh Bạc Liêu.</t>
  </si>
  <si>
    <t>Đường Giồng Nhãn, xã Hiệp Thành, thành phố Bạc Liêu, tỉnh Bạc Liêu.</t>
  </si>
  <si>
    <t>Ấp Vĩnh Bình, xã Vĩnh Thịnh, huyện Hòa Bình, tỉnh Bạc Liêu.</t>
  </si>
  <si>
    <t>Ấp Ninh Thạnh I, xã Ninh Hòa, huyện Hồng Dân, tỉnh Bạc Liêu.</t>
  </si>
  <si>
    <t>Ấp Vân Đức A, xã An Trạch, huyện Đông Hải, tỉnh Bạc Liêu.</t>
  </si>
  <si>
    <t>Số 96/88, đường Lý Thường Kiệt, khóm 6, phường 7, thành phố Cà Mau, tỉnh Cà Mau.</t>
  </si>
  <si>
    <t>Ấp Cái Su, xã Hoà Tân, thành phố Cà Mau, tỉnh Cà Mau.</t>
  </si>
  <si>
    <t>Số 302, ấp Cây Trâm A, xã Định Bình, thành phố Cà Mau, tỉnh Cà Mau.</t>
  </si>
  <si>
    <t>Số 183, đường Lý Thường Kiệt, phường 6, thành phố Cà Mau, tỉnh Cà Mau.</t>
  </si>
  <si>
    <t>Số 19, đưòng 6A, phường 7, thành phố Cà Mau, tỉnh Cà Mau.</t>
  </si>
  <si>
    <t>Bưu điện Phú Hưng, ấp Hưng Thành, xã Phú Hưng, huyện Cái Nước, tỉnh Cà Mau.</t>
  </si>
  <si>
    <t>Ấp Tân Nghĩa, xã Rạch Chèo, huyện Phú Tân, tỉnh Cà Mau.</t>
  </si>
  <si>
    <t>Ấp Chống Mỹ, xã Khánh Bình, huyện Trần Văn Thời, tỉnh Cà Mau.</t>
  </si>
  <si>
    <t>CMTT14</t>
  </si>
  <si>
    <t>Bưu điện Khánh Hưng, ấp Nhà Máy A, xã Khánh Hưng, huyện Trần Văn Thời, tỉnh Cà Mau.</t>
  </si>
  <si>
    <t>Ấp Lung Tràm, xã Khánh Hải, huyện Trần Văn Thời, tỉnh Cà Mau.</t>
  </si>
  <si>
    <t>CMTT16</t>
  </si>
  <si>
    <t>Ấp Vồ Dơi, xã Trần Hợi, huyện Trần Văn Thời, tỉnh Cà Mau.</t>
  </si>
  <si>
    <t>Ấp 4, xã Khánh Bình Tây Bắc, huyện Trần Văn Thời, tỉnh Cà Mau.</t>
  </si>
  <si>
    <t>CMTT21</t>
  </si>
  <si>
    <t>Số 140, ấp Cơi 6A, xã Khánh Bình Tây, huyện Trần Văn Thời, tỉnh Cà Mau.</t>
  </si>
  <si>
    <t>Ấp 11, xã Khánh An, huyện U Minh, tỉnh Cà Mau.</t>
  </si>
  <si>
    <t>Bưu điện Khánh Hội, ấp 3, xã Khánh Hội, huyện U Minh, tỉnh Cà Mau.</t>
  </si>
  <si>
    <t>Trạm viễn thông Khánh Lâm, ấp 4, xã Khánh Lâm, huyện U Minh, tỉnh Cà Mau.</t>
  </si>
  <si>
    <t>Ấp 6, xã Khánh Lâm, huyên U Minh, tỉnh Cà Mau.</t>
  </si>
  <si>
    <t>Bưu điện Tân Lộc, xã Tân Lộc, huyện Thới Bình, tỉnh Cà Mau.</t>
  </si>
  <si>
    <t>Số 85, ấp Tắc Thủ, xã Hồ Thị Kỷ, huyện Thới Bình, tỉnh Cà Mau.</t>
  </si>
  <si>
    <t>CMTB21</t>
  </si>
  <si>
    <t>Bưu điện Tắc Thủ, xã Hồ Thị Kỷ, huyện Thới Bình, tỉnh Cà Mau.</t>
  </si>
  <si>
    <t>Ấp Kinh 5B, xã Tân Phú, huyện Thới Bình, tỉnh Cà Mau.</t>
  </si>
  <si>
    <t>Bưu điện Trí Phải, ấp 2, xã Trí Phải, huyện Thới Bình, tỉnh Cà Mau.</t>
  </si>
  <si>
    <t>Ấp 9, xã Thới Bình, huyện Thới Bình, tỉnh Cà Mau.</t>
  </si>
  <si>
    <t>Ấp 13, xã Khánh Thuận, huyện U Minh, tỉnh Cà Mau.</t>
  </si>
  <si>
    <t>Ấp Cá Sắn Vàm, xã Biển Bạch, huyện Thới Bình, tỉnh Cà Mau.</t>
  </si>
  <si>
    <t>Ấp 4, xã Thới Bình, huyện Thới Bình, tỉnh Cà Mau.</t>
  </si>
  <si>
    <t>Ấp 4, xã Tân Lộc Bắc, huyện Thới Bình, tỉnh Cà Mau.</t>
  </si>
  <si>
    <t>Ấp Bình Minh, xã Vĩnh Bình Bắc,huyện Vĩnh Thuận, tỉnh Kiên Giang.</t>
  </si>
  <si>
    <t>Bưu điện huyện An Minh, thị trấn Thứ Mười Một, huyện An Minh, tỉnh Kiên Giang.</t>
  </si>
  <si>
    <t>Ấp Xã Quao, xã Thuận Hòa, huyện An Minh, tỉnh Kiên Giang.</t>
  </si>
  <si>
    <t>Trung tâm viễn thông An Biên, khu phố 2, thị trấn thứ 3, huyện An Biên, tỉnh Kiên Giang.</t>
  </si>
  <si>
    <t>Ấp Xẻo Rô, xã Hưng Yên, huyện An Biên, tỉnh Kiên Giang.</t>
  </si>
  <si>
    <t>Ấp Xẻo Vinh, xã Tây Yên, huyện An Biên, tỉnh Kiên Giang.</t>
  </si>
  <si>
    <t>Bưu điện Mong Thọ, ấp Phước Minh, xã Mong Thọ B, huyện Châu Thành, tỉnh Kiên Giang.</t>
  </si>
  <si>
    <t>Số 69, ấp Vĩnh Thành A, xã Vĩnh Hoà Hiệp, huyện Châu Thành, tỉnh Kiên Giang.</t>
  </si>
  <si>
    <t>Số 1029, ấp Phước Hòa, xã Mong Thọ B, huyện Châu Thành, tỉnh Kiên Giang.</t>
  </si>
  <si>
    <t>Số 1050, ấp Hoà Thạnh, xã Minh Hoà, huyện Châu Thành, tỉnh Kiên Giang.</t>
  </si>
  <si>
    <t>Số 755/2, ấp Hoà Thọ, xã Mong Thọ, huyện Châu Thành, tỉnh Kiên Giang.</t>
  </si>
  <si>
    <t>Số D2-7, đường Phạm Hùng, phường Vĩnh Lạc, thành phố Rạch Giá, tỉnh Kiên Giang.</t>
  </si>
  <si>
    <t>Số 215, đường Lê Quý Đôn, phường An Bình, thành phố Rạch Giá, tỉnh Kiên Giang.</t>
  </si>
  <si>
    <t>Trung tâm viễn thông Hòn Đất, số 121, khu phố Đường Hòn, thị trấn Hòn Đất, huyện Hòn Đất, tỉnh Kiên Giang.</t>
  </si>
  <si>
    <t>Bưu điện Bình Sơn, ấp Thuận Tiến, xã Bình Sơn, huyện Hòn Đất, tỉnh Kiên Giang.</t>
  </si>
  <si>
    <t>Tổ 8, ấp Thuận Tiến, xã Bình Sơn, huyện Hòn Đất, tỉnh Kiên Giang.</t>
  </si>
  <si>
    <t>Bưu điện văn hóa xã Lình Hùynh, ấp Lình Huỳnh, xã Lình Huỳnh, huyện Hòn Đất, tỉnh Kiên Giang.</t>
  </si>
  <si>
    <t>Số 444, quốc lộ 80, ấp Mỹ Hưng, xã Mỹ Lâm, huyện Hòn Đất, tỉnh Kiên Giang.</t>
  </si>
  <si>
    <t>Số 154, ấp Vàm Rầy, xã Bình Sơn, huyện Hòn Đất, tỉnh Kiên Giang.</t>
  </si>
  <si>
    <t>Ấp Sư Nam, thị trấn Hòn Đất, huyện Hòn Đất, tỉnh Kiên Giang.</t>
  </si>
  <si>
    <t>Đài viễn thông Kiên Lương, xã Bình An, huyện Kiên Lương, tỉnh Kiên Giang.</t>
  </si>
  <si>
    <t>Bưu điện Lung Lớn, ấp Lung Lớn, xã Kiên Bình, huyện Kiên Lương, tỉnh Kiên Giang.</t>
  </si>
  <si>
    <t>Ấp Ba Núi, xã Bình An, huyện Kiên Lương, tỉnh Kiên Giang.</t>
  </si>
  <si>
    <t>Tổ 3, khu phố Tám Thước, thị trấn Kiên Lương, huyện Kiên Lương, tỉnh Kiên Giang.</t>
  </si>
  <si>
    <t>Ấp Hòa Khánh, xã Tân Khánh Hòa, huyện Giang Thành, tỉnh Kiên Giang.</t>
  </si>
  <si>
    <t>Ấp Đồng Tràm, xã Long Thạnh, huyện Giồng Giềng, tỉnh Kiên Giang.</t>
  </si>
  <si>
    <t>Số 192,ấp Đường Xuồng, xã Long Thạnh, huyện Giồng Riềng, tỉnh Kiên Giang.</t>
  </si>
  <si>
    <t>Bưu điện Công Sự, xã Thạnh Yên, huyện U Minh Thượng, tỉnh Kiên Giang.</t>
  </si>
  <si>
    <t>Bưu điện Gò Quao, đường 30 tháng 4, thị trấn Gò Quao, huyện Gò Quao, tỉnh Kiên Giang.</t>
  </si>
  <si>
    <t>Bưu điện Sóc Ven, ấp An Trung, xã Định An, huyện Gò Quao, tỉnh Kiên Giang.</t>
  </si>
  <si>
    <t>Ấp Hòa Mỹ, xã Định Hòa, huyện Gò Quao, tỉnh Kiên Giang.</t>
  </si>
  <si>
    <t>HGCT02</t>
  </si>
  <si>
    <t>4</t>
  </si>
  <si>
    <t>2</t>
  </si>
  <si>
    <t>HGCT04</t>
  </si>
  <si>
    <t>HGCT05</t>
  </si>
  <si>
    <t>HGCT07</t>
  </si>
  <si>
    <t>HGCT08</t>
  </si>
  <si>
    <t>HGNB04</t>
  </si>
  <si>
    <t>HGNB19</t>
  </si>
  <si>
    <t>HGNB20</t>
  </si>
  <si>
    <t>HGPH63</t>
  </si>
  <si>
    <t>HGPH30</t>
  </si>
  <si>
    <t>HGPH40</t>
  </si>
  <si>
    <t>HGPH08</t>
  </si>
  <si>
    <t>HGPH14</t>
  </si>
  <si>
    <t>HGPH24</t>
  </si>
  <si>
    <t>HGPH25</t>
  </si>
  <si>
    <t>HGPH27</t>
  </si>
  <si>
    <t>HGPH01</t>
  </si>
  <si>
    <t>HGPH03</t>
  </si>
  <si>
    <t>HGPH04</t>
  </si>
  <si>
    <t>HGPH05</t>
  </si>
  <si>
    <t>HGCA19</t>
  </si>
  <si>
    <t>HGCA09</t>
  </si>
  <si>
    <t>HGCA11</t>
  </si>
  <si>
    <t>HGCA35</t>
  </si>
  <si>
    <t>HGCA27</t>
  </si>
  <si>
    <t>HGCA28</t>
  </si>
  <si>
    <t>HGCA29</t>
  </si>
  <si>
    <t>HGCA30</t>
  </si>
  <si>
    <t>HGCA33</t>
  </si>
  <si>
    <t>HGVY03</t>
  </si>
  <si>
    <t>HGVY04</t>
  </si>
  <si>
    <t>HGVY06</t>
  </si>
  <si>
    <t>HGVY09</t>
  </si>
  <si>
    <t>HGVY16</t>
  </si>
  <si>
    <t>HGVY21</t>
  </si>
  <si>
    <t>HGVY05</t>
  </si>
  <si>
    <t>HGVT18</t>
  </si>
  <si>
    <t>HGVT12</t>
  </si>
  <si>
    <t>HGVT37</t>
  </si>
  <si>
    <t>HGLM08</t>
  </si>
  <si>
    <t>HGLM10</t>
  </si>
  <si>
    <t>HGLY11</t>
  </si>
  <si>
    <t>HGLY13</t>
  </si>
  <si>
    <t>HGLY04</t>
  </si>
  <si>
    <t>HGLY05</t>
  </si>
  <si>
    <t>STCT19</t>
  </si>
  <si>
    <t>STKS37</t>
  </si>
  <si>
    <t>STST50</t>
  </si>
  <si>
    <t>STST53</t>
  </si>
  <si>
    <t>STST49</t>
  </si>
  <si>
    <t>BLBL51</t>
  </si>
  <si>
    <t>BLBL53</t>
  </si>
  <si>
    <t>BLBL50</t>
  </si>
  <si>
    <t>BLHB32</t>
  </si>
  <si>
    <t>BLHD28</t>
  </si>
  <si>
    <t>BLGR35</t>
  </si>
  <si>
    <t>CMCM44</t>
  </si>
  <si>
    <t>CMCM30</t>
  </si>
  <si>
    <t>CMCM46</t>
  </si>
  <si>
    <t>CMCM52</t>
  </si>
  <si>
    <t>CMCM56</t>
  </si>
  <si>
    <t>CMCN04</t>
  </si>
  <si>
    <t>CMPT20</t>
  </si>
  <si>
    <t>CMTT09</t>
  </si>
  <si>
    <t>CMTT19</t>
  </si>
  <si>
    <t>CMTT22</t>
  </si>
  <si>
    <t>CMUM09</t>
  </si>
  <si>
    <t>CMUM03</t>
  </si>
  <si>
    <t>CMUM04</t>
  </si>
  <si>
    <t>CMUM20</t>
  </si>
  <si>
    <t>CMTB04</t>
  </si>
  <si>
    <t>CMTB28</t>
  </si>
  <si>
    <t>CMTB10</t>
  </si>
  <si>
    <t>CMTB11</t>
  </si>
  <si>
    <t>CMTB12</t>
  </si>
  <si>
    <t>CMTB30</t>
  </si>
  <si>
    <t>CMTB29</t>
  </si>
  <si>
    <t>CMTB32</t>
  </si>
  <si>
    <t>CMTB33</t>
  </si>
  <si>
    <t>KGVT03</t>
  </si>
  <si>
    <t>KGAM01</t>
  </si>
  <si>
    <t>KGAM10</t>
  </si>
  <si>
    <t>KGAB01</t>
  </si>
  <si>
    <t>KGAB10</t>
  </si>
  <si>
    <t>KGAB11</t>
  </si>
  <si>
    <t>KGCT02</t>
  </si>
  <si>
    <t>KGCT10</t>
  </si>
  <si>
    <t>KGCT20</t>
  </si>
  <si>
    <t>KGCT21</t>
  </si>
  <si>
    <t>KGCT22</t>
  </si>
  <si>
    <t>KGRG08</t>
  </si>
  <si>
    <t>KGRG33</t>
  </si>
  <si>
    <t>KGHD01</t>
  </si>
  <si>
    <t>KGHD04</t>
  </si>
  <si>
    <t>KGHD05</t>
  </si>
  <si>
    <t>KGHD10</t>
  </si>
  <si>
    <t>KGHD16</t>
  </si>
  <si>
    <t>KGHD19</t>
  </si>
  <si>
    <t>KGHD24</t>
  </si>
  <si>
    <t>KGKL02</t>
  </si>
  <si>
    <t>KGKL08</t>
  </si>
  <si>
    <t>KGKL12</t>
  </si>
  <si>
    <t>KGKL13</t>
  </si>
  <si>
    <t>KGGT08</t>
  </si>
  <si>
    <t>KGGR11</t>
  </si>
  <si>
    <t>KGGR28</t>
  </si>
  <si>
    <t>KGUM01</t>
  </si>
  <si>
    <t>KGGQ01</t>
  </si>
  <si>
    <t>KGGQ02</t>
  </si>
  <si>
    <t>KGGQ05</t>
  </si>
  <si>
    <t>B00006131017TG05</t>
  </si>
  <si>
    <t>B00007131017TG05</t>
  </si>
  <si>
    <t>B00008131017TG05</t>
  </si>
  <si>
    <t>B00009131017TG05</t>
  </si>
  <si>
    <t>B00010131017TG05</t>
  </si>
  <si>
    <t>B00011131017TG05</t>
  </si>
  <si>
    <t>B00012131017TG05</t>
  </si>
  <si>
    <t>B00013131017TG05</t>
  </si>
  <si>
    <t>B00014131017TG05</t>
  </si>
  <si>
    <t>B00015131017TG05</t>
  </si>
  <si>
    <t>B00016131017TG05</t>
  </si>
  <si>
    <t>B00017131017TG05</t>
  </si>
  <si>
    <t>B00018131017TG05</t>
  </si>
  <si>
    <t>B00019131017TG05</t>
  </si>
  <si>
    <t>B00020131017TG05</t>
  </si>
  <si>
    <t>B00021131017TG05</t>
  </si>
  <si>
    <t>B00022131017TG05</t>
  </si>
  <si>
    <t>B00023131017TG05</t>
  </si>
  <si>
    <t>B00024131017TG05</t>
  </si>
  <si>
    <t>B00025131017TG05</t>
  </si>
  <si>
    <t>B00026131017TG05</t>
  </si>
  <si>
    <t>B00027131017TG05</t>
  </si>
  <si>
    <t>B00028131017TG05</t>
  </si>
  <si>
    <t>B00029131017TG05</t>
  </si>
  <si>
    <t>B00030131017TG05</t>
  </si>
  <si>
    <t>B00031131017TG05</t>
  </si>
  <si>
    <t>B00032131017TG05</t>
  </si>
  <si>
    <t>B00033131017TG05</t>
  </si>
  <si>
    <t>B00034131017TG05</t>
  </si>
  <si>
    <t>B00035131017TG05</t>
  </si>
  <si>
    <t>B00036131017TG05</t>
  </si>
  <si>
    <t>B00037131017TG05</t>
  </si>
  <si>
    <t>B00038131017TG05</t>
  </si>
  <si>
    <t>B00039131017TG05</t>
  </si>
  <si>
    <t>B00040131017TG05</t>
  </si>
  <si>
    <t>B00041131017TG05</t>
  </si>
  <si>
    <t>B00042131017TG05</t>
  </si>
  <si>
    <t>B00043131017TG05</t>
  </si>
  <si>
    <t>B00044131017TG05</t>
  </si>
  <si>
    <t>B00045131017TG05</t>
  </si>
  <si>
    <t>B00046131017TG05</t>
  </si>
  <si>
    <t>B00047131017TG05</t>
  </si>
  <si>
    <t>B00048131017TG05</t>
  </si>
  <si>
    <t>B00049131017TG05</t>
  </si>
  <si>
    <t>B00050131017TG05</t>
  </si>
  <si>
    <t>B00051131017TG05</t>
  </si>
  <si>
    <t>B00052131017TG05</t>
  </si>
  <si>
    <t>B00053131017TG05</t>
  </si>
  <si>
    <t>B00054131017TG05</t>
  </si>
  <si>
    <t>B00055131017TG05</t>
  </si>
  <si>
    <t>B00056131017TG05</t>
  </si>
  <si>
    <t>B00057131017TG05</t>
  </si>
  <si>
    <t>B00058131017TG05</t>
  </si>
  <si>
    <t>B00059131017TG05</t>
  </si>
  <si>
    <t>B00060131017TG05</t>
  </si>
  <si>
    <t>B00061131017TG05</t>
  </si>
  <si>
    <t>B00062131017TG05</t>
  </si>
  <si>
    <t>B00063131017TG05</t>
  </si>
  <si>
    <t>B00064131017TG05</t>
  </si>
  <si>
    <t>B00065131017TG05</t>
  </si>
  <si>
    <t>B00066131017TG05</t>
  </si>
  <si>
    <t>B00067131017TG05</t>
  </si>
  <si>
    <t>B00068131017TG05</t>
  </si>
  <si>
    <t>B00069131017TG05</t>
  </si>
  <si>
    <t>B00070131017TG05</t>
  </si>
  <si>
    <t>B00071131017TG05</t>
  </si>
  <si>
    <t>B00072131017TG05</t>
  </si>
  <si>
    <t>B00073131017TG05</t>
  </si>
  <si>
    <t>B00074131017TG05</t>
  </si>
  <si>
    <t>B00075131017TG05</t>
  </si>
  <si>
    <t>B00076131017TG05</t>
  </si>
  <si>
    <t>B00077131017TG05</t>
  </si>
  <si>
    <t>B00078131017TG05</t>
  </si>
  <si>
    <t>B00079131017TG05</t>
  </si>
  <si>
    <t>B00080131017TG05</t>
  </si>
  <si>
    <t>B00081131017TG05</t>
  </si>
  <si>
    <t>B00082131017TG05</t>
  </si>
  <si>
    <t>B00083131017TG05</t>
  </si>
  <si>
    <t>B00084131017TG05</t>
  </si>
  <si>
    <t>B00085131017TG05</t>
  </si>
  <si>
    <t>B00086131017TG05</t>
  </si>
  <si>
    <t>B00087131017TG05</t>
  </si>
  <si>
    <t>B00088131017TG05</t>
  </si>
  <si>
    <t>B00089131017TG05</t>
  </si>
  <si>
    <t>B00090131017TG05</t>
  </si>
  <si>
    <t>B00091131017TG05</t>
  </si>
  <si>
    <t>B00092131017TG05</t>
  </si>
  <si>
    <t>B00093131017TG05</t>
  </si>
  <si>
    <t>B00094131017TG05</t>
  </si>
  <si>
    <t>B00095131017TG05</t>
  </si>
  <si>
    <t>B00096131017TG05</t>
  </si>
  <si>
    <t>B00097131017TG05</t>
  </si>
  <si>
    <t>B00098131017TG05</t>
  </si>
  <si>
    <t>B00099131017TG05</t>
  </si>
  <si>
    <t>B00100131017TG05</t>
  </si>
  <si>
    <t>B00101131017TG05</t>
  </si>
  <si>
    <t>B00102131017TG05</t>
  </si>
  <si>
    <t>B00103131017TG05</t>
  </si>
  <si>
    <t>B00104131017TG05</t>
  </si>
  <si>
    <t>B00105131017TG05</t>
  </si>
  <si>
    <t>B00106131017TG05</t>
  </si>
  <si>
    <t>B00107131017TG05</t>
  </si>
  <si>
    <t>B00108131017TG05</t>
  </si>
  <si>
    <t>B00109131017TG05</t>
  </si>
  <si>
    <t>B00110131017TG05</t>
  </si>
  <si>
    <t>B00111131017TG05</t>
  </si>
  <si>
    <t>B00112131017TG05</t>
  </si>
  <si>
    <t>B00113131017TG05</t>
  </si>
  <si>
    <t>B00114131017TG05</t>
  </si>
  <si>
    <t>B00115131017TG05</t>
  </si>
  <si>
    <t>B00116131017TG05</t>
  </si>
  <si>
    <t>B00117131017TG05</t>
  </si>
  <si>
    <t>B00118131017TG05</t>
  </si>
  <si>
    <t>B00119131017TG05</t>
  </si>
  <si>
    <t>B00120131017TG05</t>
  </si>
  <si>
    <t>B00121131017TG05</t>
  </si>
  <si>
    <t>B00122131017TG05</t>
  </si>
  <si>
    <t>B00123131017TG05</t>
  </si>
  <si>
    <t>B00124131017TG05</t>
  </si>
  <si>
    <t>B00125131017TG05</t>
  </si>
  <si>
    <t>B00126131017TG05</t>
  </si>
  <si>
    <t>B00127131017TG05</t>
  </si>
  <si>
    <t>B00128131017TG05</t>
  </si>
  <si>
    <t>B00129131017TG05</t>
  </si>
  <si>
    <t>B00130131017TG05</t>
  </si>
  <si>
    <t>B00131131017TG05</t>
  </si>
  <si>
    <t>Mở file GKQDK - PKD</t>
  </si>
  <si>
    <t>Nhấn tổ hợp phím Alt + K</t>
  </si>
  <si>
    <t>Chọn file GCN đã xử lý</t>
  </si>
  <si>
    <t>Chọn hàng bắt đầu xuất giấy</t>
  </si>
  <si>
    <t>Chọn hàng kết thúc xuất giấy</t>
  </si>
  <si>
    <t>add</t>
  </si>
  <si>
    <t>Site</t>
  </si>
  <si>
    <t>Số Đơn</t>
  </si>
  <si>
    <t>Lắp dưới đất</t>
  </si>
  <si>
    <t>Đo phơi nhiễm</t>
  </si>
  <si>
    <t>Độ cao anten thấp nhất tới mặt đất</t>
  </si>
  <si>
    <t>Nhà cao nhất trong BK 100m</t>
  </si>
  <si>
    <t>VIETTEL SÓC TRĂNG - CHI NHÁNH TẬP ĐOÀN CÔNG NGHIỆP - VIỄN THÔNG QUÂN ĐỘI</t>
  </si>
  <si>
    <t>TẬP ĐOÀN CÔNG NGHIỆP - VIỄN THÔNG QUÂN ĐỘI</t>
  </si>
  <si>
    <t>Số 84, đường Lê Duẩn, phường 3, thành phố Sóc Trăng, tỉnh Sóc Trăng.</t>
  </si>
  <si>
    <t>Sóc Trăng</t>
  </si>
  <si>
    <t>105,97691</t>
  </si>
  <si>
    <t>9,59283</t>
  </si>
  <si>
    <t>1802421/2019/PTN-KĐ</t>
  </si>
  <si>
    <t>STG0504</t>
  </si>
  <si>
    <t>NOKIA Flexi WCDMA BTS</t>
  </si>
  <si>
    <t>40W/40W/40W</t>
  </si>
  <si>
    <t>U2100</t>
  </si>
  <si>
    <t>25m/ 25m/ 25m</t>
  </si>
  <si>
    <t>Kathrein 742215</t>
  </si>
  <si>
    <t>21</t>
  </si>
  <si>
    <t>Ban Chỉ huy Quân sự tỉnh, số 551, đường Lê Hồng Phong, phường 3, thành phố Sóc Trăng, tỉnh Sóc Trăng.</t>
  </si>
  <si>
    <t>105,97954</t>
  </si>
  <si>
    <t>9,58370</t>
  </si>
  <si>
    <t>1802422/2019/PTN-KĐ</t>
  </si>
  <si>
    <t>TẬP ĐOÀN CÔNG NGHIỆP - VIỄN THÔNG QUÂN ĐỘI/TẬP ĐOÀN CÔNG NGHIỆP - VIỄN THÔNG QUÂN ĐỘI</t>
  </si>
  <si>
    <t>STG0051;STG0051</t>
  </si>
  <si>
    <t>NOKIA Flexi EDGE BTS;NOKIA Flexi WCDMA BTS</t>
  </si>
  <si>
    <t>2/2/4;2/2/2</t>
  </si>
  <si>
    <t>41.7W/41.7W/37.24W;40W/40W/40W</t>
  </si>
  <si>
    <t>G900/U2100</t>
  </si>
  <si>
    <t>31m/ 31m/ 31m;29m/ 29m/ 29m</t>
  </si>
  <si>
    <t>Kathrein 739636;Kathrein 742215</t>
  </si>
  <si>
    <t>Số 383/146, đường 30 Tháng 4, khóm 5, phường 9, thành phố Sóc Trăng, tỉnh Sóc Trăng.</t>
  </si>
  <si>
    <t>105,98573</t>
  </si>
  <si>
    <t>9,58483</t>
  </si>
  <si>
    <t>1802423/2019/PTN-KĐ</t>
  </si>
  <si>
    <t>STG0415</t>
  </si>
  <si>
    <t>35m/ 35m/ 35m</t>
  </si>
  <si>
    <t>Số 451, đường Trần Hưng Đạo, khóm 8, phường 3, thành phố Sóc Trăng, tỉnh Sóc Trăng.</t>
  </si>
  <si>
    <t>105,96699</t>
  </si>
  <si>
    <t>9,58894</t>
  </si>
  <si>
    <t>1802424/2019/PTN-KĐ</t>
  </si>
  <si>
    <t>TẬP ĐOÀN CÔNG NGHIỆP - VIỄN THÔNG QUÂN ĐỘI/TẬP ĐOÀN CÔNG NGHIỆP - VIỄN THÔNG QUÂN ĐỘI/TẬP ĐOÀN CÔNG NGHIỆP - VIỄN THÔNG QUÂN ĐỘI</t>
  </si>
  <si>
    <t>STG0010;STG0010;STG0010</t>
  </si>
  <si>
    <t>NOKIA Flexi EDGE BTS;NOKIA Flexi WCDMA BTS;NSN FLEXI MULTIRADIO AIRSCALE</t>
  </si>
  <si>
    <t>2/2/2;2/2/2;1/1/1</t>
  </si>
  <si>
    <t>41.7W/41.7W/41.7W;40W/40W/40W;40W/40W/40W</t>
  </si>
  <si>
    <t>G1800/U2100/L1800</t>
  </si>
  <si>
    <t>30m/ 30m/ 30m;30m/ 30m/ 30m;30m/ 30m/ 30m</t>
  </si>
  <si>
    <t>Kathrein 736018;Kathrein 742215;Commscope HWXX-6516DS2-A2M</t>
  </si>
  <si>
    <t>10,5</t>
  </si>
  <si>
    <t>Số 11, đường Trần Quang Khải, phường 2, thành phố Sóc Trăng, tỉnh Sóc Trăng.</t>
  </si>
  <si>
    <t>105,95872</t>
  </si>
  <si>
    <t>9,60146</t>
  </si>
  <si>
    <t>1802425/2019/PTN-KĐ</t>
  </si>
  <si>
    <t>STG0099;STG0099;STG0099</t>
  </si>
  <si>
    <t>22m/ 22m/ 22m;22m/ 22m/ 22m;22m/ 22m/ 22m</t>
  </si>
  <si>
    <t>Số 5/22, đường Phạm Hùng, khóm 3, phường 5, thành phố Sóc Trăng, tỉnh Sóc Trăng.</t>
  </si>
  <si>
    <t>105,98035</t>
  </si>
  <si>
    <t>9,61016</t>
  </si>
  <si>
    <t>1802426/2019/PTN-KĐ</t>
  </si>
  <si>
    <t>STG0104;STG0104;STG0104</t>
  </si>
  <si>
    <t>35m/ 35m/ 35m;40m/ 40m/ 40m;40m/ 40m/ 40m</t>
  </si>
  <si>
    <t>Số 29, đường Lê Duẩn, khóm 7, phường 3, thành phố Sóc Trăng, tỉnh Sóc Trăng.</t>
  </si>
  <si>
    <t>105,97151</t>
  </si>
  <si>
    <t>9,59535</t>
  </si>
  <si>
    <t>1802427/2019/PTN-KĐ</t>
  </si>
  <si>
    <t>STG0107;STG0107;STG0107</t>
  </si>
  <si>
    <t>28m/ 28m/ 28m;35m/ 35m/ 35m;35m/ 35m/ 35m</t>
  </si>
  <si>
    <t>Số 342, đường Mạc Đỉnh Chi, phường 9, thành phố Sóc Trăng, tỉnh Sóc Trăng.</t>
  </si>
  <si>
    <t>105,99796</t>
  </si>
  <si>
    <t>9,59388</t>
  </si>
  <si>
    <t>1802428/2019/PTN-KĐ</t>
  </si>
  <si>
    <t>STG0109;STG0109;STG0109</t>
  </si>
  <si>
    <t>32m/ 32m/ 32m;28m/ 28m/ 28m;32m/ 32m/ 32m</t>
  </si>
  <si>
    <t>Số 18B, đường Cao Thắng, khóm 5, phường 8, thành phố Sóc Trăng, tỉnh Sóc Trăng.</t>
  </si>
  <si>
    <t>105,99285</t>
  </si>
  <si>
    <t>9,60859</t>
  </si>
  <si>
    <t>1802429/2019/PTN-KĐ</t>
  </si>
  <si>
    <t>TẬP ĐOÀN CÔNG NGHIỆP - VIỄN THÔNG QUÂN ĐỘI/TẬP ĐOÀN CÔNG NGHIỆP - VIỄN THÔNG QUÂN ĐỘI/TẬP ĐOÀN CÔNG NGHIỆP - VIỄN THÔNG QUÂN ĐỘI/TẬP ĐOÀN CÔNG NGHIỆP - VIỄN THÔNG QUÂN ĐỘI</t>
  </si>
  <si>
    <t>STG0110;STG0110;STG0110;STG0110</t>
  </si>
  <si>
    <t>NOKIA Flexi EDGE BTS;NOKIA Flexi EDGE BTS;NOKIA Flexi WCDMA BTS;NSN FLEXI MULTIRADIO AIRSCALE</t>
  </si>
  <si>
    <t>4/4/4;4/2/4;2/2/2;1/1/1</t>
  </si>
  <si>
    <t>37.24W/37.24W/37.24W;37.24W/41.7W/37.24W;40W/40W/40W;40W/40W/40W</t>
  </si>
  <si>
    <t>G900/G1800/U2100/L1800</t>
  </si>
  <si>
    <t>29m/ 29m/ 29m;37m/ 37m/ 37m;37m/ 37m/ 37m;37m/ 37m/ 37m</t>
  </si>
  <si>
    <t>Kathrein 739636;Kathrein 736018;Kathrein 742215;Commscope HWXX-6516DS2-A2M</t>
  </si>
  <si>
    <t>Số 134, đường Nguyễn Văn Linh, phường 2, thành phố Sóc Trăng, tỉnh Sóc Trăng.</t>
  </si>
  <si>
    <t>105,96445</t>
  </si>
  <si>
    <t>9,60231</t>
  </si>
  <si>
    <t>1802430/2019/PTN-KĐ</t>
  </si>
  <si>
    <t>STG0316;STG0316;STG0316</t>
  </si>
  <si>
    <t>30m/ 30m/ 30m;30m/ 30m/ 30m;28m/ 28m/ 28m</t>
  </si>
  <si>
    <t>Số 479/6, đường Nguyễn Huệ, khóm 4, phường 9, thành phố Sóc Trăng, tỉnh Sóc Trăng.</t>
  </si>
  <si>
    <t>105,98090</t>
  </si>
  <si>
    <t>9,59860</t>
  </si>
  <si>
    <t>1802431/2019/PTN-KĐ</t>
  </si>
  <si>
    <t>STG0317;STG0317;STG0317</t>
  </si>
  <si>
    <t>36m/ 36m/ 36m;40m/ 40m/ 40m;40m/ 40m/ 40m</t>
  </si>
  <si>
    <t>8</t>
  </si>
  <si>
    <t>Khóm 5, phường 2, thành phố Sóc Trăng, tỉnh Sóc Trăng.</t>
  </si>
  <si>
    <t>105,96487</t>
  </si>
  <si>
    <t>9,60641</t>
  </si>
  <si>
    <t>1802432/2019/PTN-KĐ</t>
  </si>
  <si>
    <t>STG0379;STG0379;STG0379</t>
  </si>
  <si>
    <t>28m/ 28m/ 28m;28m/ 28m/ 28m;28m/ 28m/ 28m</t>
  </si>
  <si>
    <t>Số 332, đường Điện Biên Phủ, khóm 1, phường 6, thành phố Sóc Trăng, tỉnh Sóc Trăng.</t>
  </si>
  <si>
    <t>105,96679</t>
  </si>
  <si>
    <t>9,61196</t>
  </si>
  <si>
    <t>1802433/2019/PTN-KĐ</t>
  </si>
  <si>
    <t>STG0380;STG0380;STG0380</t>
  </si>
  <si>
    <t>4/4/2;2/2/2;1/1/1</t>
  </si>
  <si>
    <t>37.24W/37.24W/41.7W;40W/40W/40W;40W/40W/40W</t>
  </si>
  <si>
    <t>38m/ 38m/ 38m;38m/ 38m/ 38m;34m/ 34m/ 34m</t>
  </si>
  <si>
    <t>Số 201, đường Nguyễn Thị Minh Khai, khóm 3, phường 3, thành phố Sóc Trăng, tỉnh Sóc Trăng.</t>
  </si>
  <si>
    <t>105,97443</t>
  </si>
  <si>
    <t>9,59706</t>
  </si>
  <si>
    <t>1802434/2019/PTN-KĐ</t>
  </si>
  <si>
    <t>STG0388;STG0388;STG0388</t>
  </si>
  <si>
    <t>4/4/4;2/2/2;1/1/1</t>
  </si>
  <si>
    <t>37.24W/37.24W/37.24W;40W/40W/40W;40W/40W/40W</t>
  </si>
  <si>
    <t>25.5m/ 25.5m/ 25.5m;25.5m/ 25.5m/ 25.5m;25.5m/ 25.5m/ 25.5m</t>
  </si>
  <si>
    <t>28</t>
  </si>
  <si>
    <t>Số 33/31, đường Calmette, phường 6, thành phố Sóc Trăng, tỉnh Sóc Trăng.</t>
  </si>
  <si>
    <t>105,97449</t>
  </si>
  <si>
    <t>9,60890</t>
  </si>
  <si>
    <t>1802435/2019/PTN-KĐ</t>
  </si>
  <si>
    <t>STG0393;STG0393;STG0393</t>
  </si>
  <si>
    <t>30m/ 30m/ 30m;36m/ 36m/ 36m;36m/ 36m/ 36m</t>
  </si>
  <si>
    <t>Số 106, đường Mạc Đỉnh Chi, khóm 3, phường 9, thành phố Sóc Trăng, tỉnh Sóc Trăng.</t>
  </si>
  <si>
    <t>105,97941</t>
  </si>
  <si>
    <t>9,60193</t>
  </si>
  <si>
    <t>1802436/2019/PTN-KĐ</t>
  </si>
  <si>
    <t>STG0394;STG0394;STG0394</t>
  </si>
  <si>
    <t>22.5m/ 22.5m/ 22.5m;25.5m/ 25.5m/ 25.5m;25.5m/ 25.5m/ 25.5m</t>
  </si>
  <si>
    <t>14</t>
  </si>
  <si>
    <t>Số 33, đường Hàm Nghi, khóm 1, phường 1, thành phố Sóc Trăng, tỉnh Sóc Trăng.</t>
  </si>
  <si>
    <t>105,97456</t>
  </si>
  <si>
    <t>9,60361</t>
  </si>
  <si>
    <t>1802437/2019/PTN-KĐ</t>
  </si>
  <si>
    <t>STG0396;STG0396;STG0396</t>
  </si>
  <si>
    <t>23.5m/ 23.5m/ 23.5m;27.5m/ 27.5m/ 27.5m;27.5m/ 27.5m/ 27.5m</t>
  </si>
  <si>
    <t>Số 186, đường Lý Thường Kiệt, khóm 5, phường 1, thành phố Sóc Trăng, tỉnh Sóc Trăng.</t>
  </si>
  <si>
    <t>105,97655</t>
  </si>
  <si>
    <t>9,60571</t>
  </si>
  <si>
    <t>1802438/2019/PTN-KĐ</t>
  </si>
  <si>
    <t>STG0369;STG0369;STG0369;STG0369</t>
  </si>
  <si>
    <t>4/4/4;4/4/4;2/2/2;1/1/1</t>
  </si>
  <si>
    <t>37.24W/37.24W/37.24W;37.24W/37.24W/37.24W;40W/40W/40W;40W/40W/40W</t>
  </si>
  <si>
    <t>26.5m/ 26.5m/ 26.5m;25.5m/ 25.5m/ 25.5m;27.5m/ 27.5m/ 27.5m;27.5m/ 27.5m/ 27.5m</t>
  </si>
  <si>
    <t>Ấp Ngãi Hội 2, thị trấn Đại Ngãi, huyện Long Phú, tỉnh Sóc Trăng.</t>
  </si>
  <si>
    <t>106,07416</t>
  </si>
  <si>
    <t>9,73033</t>
  </si>
  <si>
    <t>1802439/2019/PTN-KĐ</t>
  </si>
  <si>
    <t>STG0521;STG0521;STG0521</t>
  </si>
  <si>
    <t>G900/U2100/L1800</t>
  </si>
  <si>
    <t>22.5m/ 22.5m/ 22.5m;27.5m/ 27.5m/ 27.5m;27.5m/ 27.5m/ 27.5m</t>
  </si>
  <si>
    <t>Kathrein 739636;Kathrein 742215;Commscope HWXX-6516DS2-A2M</t>
  </si>
  <si>
    <t>Đường Đoàn Thế Trung, ấp Chợ, thị trấn Cù Lao Dung, huyện Cù Lao Dung, tỉnh Sóc Trăng.</t>
  </si>
  <si>
    <t>106,15624</t>
  </si>
  <si>
    <t>9,66987</t>
  </si>
  <si>
    <t>1802440/2019/PTN-KĐ</t>
  </si>
  <si>
    <t>STG0530;STG0530;STG0530</t>
  </si>
  <si>
    <t>4/4/4/4;2/2/2;1/1/1</t>
  </si>
  <si>
    <t>37.24W/37.24W/37.24W/37.24W;40W/40W/40W;40W/40W/40W</t>
  </si>
  <si>
    <t>36m/ 36m/ 36m/ 36m;40m/ 40m/ 40m;40m/ 40m/ 40m</t>
  </si>
  <si>
    <t>Ấp An Nghiệp, xã An Thạnh 3, huyện Cù Lao Dung, tỉnh Sóc Trăng.</t>
  </si>
  <si>
    <t>106,24937</t>
  </si>
  <si>
    <t>9,57340</t>
  </si>
  <si>
    <t>1802441/2019/PTN-KĐ</t>
  </si>
  <si>
    <t>STG0023;STG0023;STG0023;STG0023</t>
  </si>
  <si>
    <t>4/4/4;2/2/2;2/2/2;1/1/1</t>
  </si>
  <si>
    <t>37.24W/37.24W/37.24W;41.7W/41.7W/41.7W;40W/40W/40W;40W/40W/40W</t>
  </si>
  <si>
    <t>36m/ 36m/ 36m;29m/ 29m/ 29m;34m/ 34m/ 34m;37m/ 37m/ 37m</t>
  </si>
  <si>
    <t>Kathrein 739636;Kathrein 736018;Commscope HWXX-6516DS2-A2M;Commscope HWXX-6516DS2-A2M</t>
  </si>
  <si>
    <t>Ấp An Thường, xã An Thạnh 1, huyện Cù Lao Dung, tỉnh Sóc Trăng.</t>
  </si>
  <si>
    <t>106,09315</t>
  </si>
  <si>
    <t>9,74261</t>
  </si>
  <si>
    <t>1802442/2019/PTN-KĐ</t>
  </si>
  <si>
    <t>STG0133;STG0133;STG0133</t>
  </si>
  <si>
    <t>4/4/2/4;2/2/2;1/1/1</t>
  </si>
  <si>
    <t>37.24W/37.24W/41.7W/37.24W;40W/40W/40W;40W/40W/40W</t>
  </si>
  <si>
    <t>40m/ 40m/ 40m/ 40m;37m/ 37m/ 37m;40m/ 40m/ 40m</t>
  </si>
  <si>
    <t>Đồn Biên phòng 638, ấp Đầu Giồng, xã Trung Bình, huyện Trần Đề, tỉnh Sóc Trăng.</t>
  </si>
  <si>
    <t>106,20065</t>
  </si>
  <si>
    <t>9,49712</t>
  </si>
  <si>
    <t>1802443/2019/PTN-KĐ</t>
  </si>
  <si>
    <t>STG0141;STG0141;STG0141;STG0141</t>
  </si>
  <si>
    <t>40m/ 40m/ 40m;36m/ 36m/ 36m;42m/ 42m/ 42m;40m/ 40m/ 40m</t>
  </si>
  <si>
    <t>Số 1055/5, ấp Cảng, thị trấn Trần Đề, huyện Trần Đề, tỉnh Sóc Trăng.</t>
  </si>
  <si>
    <t>106,19856</t>
  </si>
  <si>
    <t>9,52306</t>
  </si>
  <si>
    <t>1802444/2019/PTN-KĐ</t>
  </si>
  <si>
    <t>STG0211;STG0211;STG0211;STG0211</t>
  </si>
  <si>
    <t>40m/ 40m/ 40m;40m/ 40m/ 40m;36m/ 36m/ 36m;41m/ 41m/ 41m</t>
  </si>
  <si>
    <t>Đường Lý Thường Kiệt, khóm 1, phường 1, thị xã Vĩnh Châu, tỉnh Sóc Trăng.</t>
  </si>
  <si>
    <t>105,98586</t>
  </si>
  <si>
    <t>9,32452</t>
  </si>
  <si>
    <t>1802446/2019/PTN-KĐ</t>
  </si>
  <si>
    <t>STG0444;STG0444</t>
  </si>
  <si>
    <t>NOKIA Flexi WCDMA BTS;NSN FLEXI MULTIRADIO AIRSCALE</t>
  </si>
  <si>
    <t>2/2/2;1/1/1</t>
  </si>
  <si>
    <t>40W/40W/40W;40W/40W/40W</t>
  </si>
  <si>
    <t>U2100/L1800</t>
  </si>
  <si>
    <t>40m/ 40m/ 40m;40m/ 40m/ 40m</t>
  </si>
  <si>
    <t>Kathrein 742215;Commscope HWXX-6516DS2-A2M</t>
  </si>
  <si>
    <t>Ấp No Pol, xã Vĩnh Tân, thị xã Vĩnh Châu, tỉnh Sóc Trăng.</t>
  </si>
  <si>
    <t>105,88826</t>
  </si>
  <si>
    <t>9,28863</t>
  </si>
  <si>
    <t>1802447/2019/PTN-KĐ</t>
  </si>
  <si>
    <t>STG0073-11</t>
  </si>
  <si>
    <t>2/2</t>
  </si>
  <si>
    <t>40W/40W</t>
  </si>
  <si>
    <t>17m/ 17m</t>
  </si>
  <si>
    <t>Trường Cao đẳng Sư phạm Sóc Trăng, số 77, tỉnh lộ 934, thị trấn Mỹ Xuyên, huyện Mỹ Xuyên, tỉnh Sóc Trăng.</t>
  </si>
  <si>
    <t>105,98080</t>
  </si>
  <si>
    <t>9,56802</t>
  </si>
  <si>
    <t>1802448/2019/PTN-KĐ</t>
  </si>
  <si>
    <t>STG0182;STG0182;STG0182</t>
  </si>
  <si>
    <t>2/2/4;2/2/2;1/1/1</t>
  </si>
  <si>
    <t>41.7W/41.7W/37.24W;40W/40W/40W;40W/40W/40W</t>
  </si>
  <si>
    <t>28m/ 28m/ 28m;34m/ 34m/ 34m;34m/ 34m/ 34m</t>
  </si>
  <si>
    <t>Kathrein 739636;Kathrein 742215;</t>
  </si>
  <si>
    <t>Ấp Hòa Khanh, xã Thạnh Quới, huyện Mỹ Xuyên, tỉnh Sóc Trăng.</t>
  </si>
  <si>
    <t>105,80170</t>
  </si>
  <si>
    <t>9,45373</t>
  </si>
  <si>
    <t>1802449/2019/PTN-KĐ</t>
  </si>
  <si>
    <t>STG0465-11</t>
  </si>
  <si>
    <t>16m/ 16m</t>
  </si>
  <si>
    <t>Ấp Phú Thành B, xã Phú Tâm, huyện Châu Thành, tỉnh Sóc Trăng.</t>
  </si>
  <si>
    <t>105,96131</t>
  </si>
  <si>
    <t>9,68876</t>
  </si>
  <si>
    <t>1802450/2019/PTN-KĐ</t>
  </si>
  <si>
    <t>STG0026;STG0026;STG0026;STG0026</t>
  </si>
  <si>
    <t>21.5m/ 21.5m/ 21.5m;27.5m/ 27.5m/ 27.5m;29.5m/ 29.5m/ 29.5m;29.5m/ 29.5m/ 29.5m</t>
  </si>
  <si>
    <t>Ấp Tập Rèn, xã Thới An Hội, huyện Kế Sách, tỉnh Sóc Trăng.</t>
  </si>
  <si>
    <t>105,98109</t>
  </si>
  <si>
    <t>9,80097</t>
  </si>
  <si>
    <t>1802451/2019/PTN-KĐ</t>
  </si>
  <si>
    <t>STG0093;STG0093;STG0093</t>
  </si>
  <si>
    <t>2/2/2/2;2/2/2;1/1/1</t>
  </si>
  <si>
    <t>41.7W/41.7W/41.7W/41.7W;40W/40W/40W;40W/40W/40W</t>
  </si>
  <si>
    <t>34m/ 34m/ 34m/ 34m;40m/ 40m/ 40m;40m/ 40m/ 40m</t>
  </si>
  <si>
    <t>Ấp Phú Tây, xã An Mỹ, huyện Kế Sách, tỉnh Sóc Trăng.</t>
  </si>
  <si>
    <t>106,01891</t>
  </si>
  <si>
    <t>9,75757</t>
  </si>
  <si>
    <t>1802452/2019/PTN-KĐ</t>
  </si>
  <si>
    <t>STG0124;STG0124;STG0124</t>
  </si>
  <si>
    <t>2/4/2/2;2/2/2;1/1/1</t>
  </si>
  <si>
    <t>41.7W/37.24W/41.7W/W;40W/40W/40W;40W/40W/40W</t>
  </si>
  <si>
    <t>36m/ 38m/ 38m/ 38m;41m/ 41m/ 41m;41m/ 41m/ 41m</t>
  </si>
  <si>
    <t>Ấp Hòa Lộc 2, xã Xuân Hòa, huyện Kế Sách, tỉnh Sóc Trăng.</t>
  </si>
  <si>
    <t>105,87718</t>
  </si>
  <si>
    <t>9,87930</t>
  </si>
  <si>
    <t>1802453/2019/PTN-KĐ</t>
  </si>
  <si>
    <t>STG0123-11</t>
  </si>
  <si>
    <t>22m/ 22m</t>
  </si>
  <si>
    <t>No</t>
  </si>
  <si>
    <t>40</t>
  </si>
  <si>
    <t>STG0051</t>
  </si>
  <si>
    <t>NOKIA Flexi EDGE BTS</t>
  </si>
  <si>
    <t>G900</t>
  </si>
  <si>
    <t>31m/ 31m/ 31m</t>
  </si>
  <si>
    <t>29m/ 29m/ 29m</t>
  </si>
  <si>
    <t>STG0010</t>
  </si>
  <si>
    <t>G1800</t>
  </si>
  <si>
    <t>30m/ 30m/ 30m</t>
  </si>
  <si>
    <t>NSN FLEXI MULTIRADIO AIRSCALE</t>
  </si>
  <si>
    <t>1</t>
  </si>
  <si>
    <t>L1800</t>
  </si>
  <si>
    <t>STG0099</t>
  </si>
  <si>
    <t>22m/ 22m/ 22m</t>
  </si>
  <si>
    <t>STG0104</t>
  </si>
  <si>
    <t>40m/ 40m/ 40m</t>
  </si>
  <si>
    <t>STG0107</t>
  </si>
  <si>
    <t>28m/ 28m/ 28m</t>
  </si>
  <si>
    <t>STG0109</t>
  </si>
  <si>
    <t>32m/ 32m/ 32m</t>
  </si>
  <si>
    <t>STG0110</t>
  </si>
  <si>
    <t>37m/ 37m/ 37m</t>
  </si>
  <si>
    <t>STG0316</t>
  </si>
  <si>
    <t>STG0317</t>
  </si>
  <si>
    <t>36m/ 36m/ 36m</t>
  </si>
  <si>
    <t>STG0379</t>
  </si>
  <si>
    <t>STG0380</t>
  </si>
  <si>
    <t>38m/ 38m/ 38m</t>
  </si>
  <si>
    <t>34m/ 34m/ 34m</t>
  </si>
  <si>
    <t>STG0388</t>
  </si>
  <si>
    <t>STG0393</t>
  </si>
  <si>
    <t>STG0394</t>
  </si>
  <si>
    <t>STG0396</t>
  </si>
  <si>
    <t>STG0369</t>
  </si>
  <si>
    <t>STG0521</t>
  </si>
  <si>
    <t>STG0530</t>
  </si>
  <si>
    <t>36m/ 36m/ 36m/ 36m</t>
  </si>
  <si>
    <t>STG0023</t>
  </si>
  <si>
    <t>STG0133</t>
  </si>
  <si>
    <t>40m/ 40m/ 40m/ 40m</t>
  </si>
  <si>
    <t>STG0141</t>
  </si>
  <si>
    <t>42m/ 42m/ 42m</t>
  </si>
  <si>
    <t>STG0211</t>
  </si>
  <si>
    <t>41m/ 41m/ 41m</t>
  </si>
  <si>
    <t>STG0444</t>
  </si>
  <si>
    <t>STG0182</t>
  </si>
  <si>
    <t>STG0026</t>
  </si>
  <si>
    <t>STG0093</t>
  </si>
  <si>
    <t>34m/ 34m/ 34m/ 34m</t>
  </si>
  <si>
    <t>STG0124</t>
  </si>
  <si>
    <t>36m/ 38m/ 38m/ 38m</t>
  </si>
  <si>
    <t>13/02/2019</t>
  </si>
  <si>
    <t>13/02/2024</t>
  </si>
  <si>
    <t>25,5m/ 25,5m/ 25,5m</t>
  </si>
  <si>
    <t>22,5m/ 22,5m/ 22,5m</t>
  </si>
  <si>
    <t>23,5m/ 23,5m/ 23,5m</t>
  </si>
  <si>
    <t>26,5m/ 26,5m/ 26,5m</t>
  </si>
  <si>
    <t>21,5m/ 21,5m/ 21,5m</t>
  </si>
  <si>
    <t>27,5m/ 27,5m/ 27,5m</t>
  </si>
  <si>
    <t>29,5m/ 29,5m/ 29,5m</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</si>
</sst>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s>
  <fonts count="107">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b/>
      <sz val="10"/>
      <color theme="1"/>
      <name val="Times New Roman"/>
      <family val="1"/>
    </font>
    <font>
      <b/>
      <sz val="10"/>
      <name val="Times New Roman"/>
      <family val="1"/>
    </font>
    <font>
      <sz val="10"/>
      <color theme="1"/>
      <name val="Times New Roman"/>
      <family val="1"/>
    </font>
    <font>
      <sz val="11"/>
      <name val="Arial"/>
      <family val="2"/>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2"/>
      <color theme="1"/>
      <name val="Times New Roman"/>
      <family val="1"/>
    </font>
    <font>
      <sz val="13"/>
      <color theme="1"/>
      <name val="Times New Roman"/>
      <family val="1"/>
    </font>
    <font>
      <b/>
      <sz val="8"/>
      <color theme="1"/>
      <name val="Times New Roman"/>
      <family val="1"/>
    </font>
    <font>
      <b/>
      <sz val="8"/>
      <name val="Times New Roman"/>
      <family val="1"/>
    </font>
    <font>
      <sz val="8"/>
      <color theme="1"/>
      <name val="Times New Roman"/>
      <family val="1"/>
    </font>
    <font>
      <sz val="11"/>
      <color theme="1"/>
      <name val="Times New Roman"/>
      <family val="1"/>
      <charset val="163"/>
    </font>
    <font>
      <sz val="10"/>
      <name val="Times New Roman"/>
      <family val="1"/>
      <charset val="163"/>
    </font>
    <font>
      <sz val="11"/>
      <name val="Times New Roman"/>
      <family val="1"/>
      <charset val="163"/>
    </font>
    <font>
      <sz val="13"/>
      <color rgb="FF000000"/>
      <name val="Times New Roman"/>
      <family val="1"/>
    </font>
  </fonts>
  <fills count="43">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indexed="13"/>
        <bgColor indexed="64"/>
      </patternFill>
    </fill>
    <fill>
      <patternFill patternType="solid">
        <fgColor rgb="FF00B0F0"/>
        <bgColor indexed="64"/>
      </patternFill>
    </fill>
    <fill>
      <patternFill patternType="solid">
        <fgColor rgb="FFFFFFCC"/>
        <bgColor indexed="64"/>
      </patternFill>
    </fill>
    <fill>
      <patternFill patternType="solid">
        <fgColor rgb="FFCCFFFF"/>
        <bgColor indexed="64"/>
      </patternFill>
    </fill>
    <fill>
      <patternFill patternType="solid">
        <fgColor rgb="FFFFC000"/>
        <bgColor indexed="64"/>
      </patternFill>
    </fill>
    <fill>
      <patternFill patternType="solid">
        <fgColor rgb="FF92D050"/>
        <bgColor indexed="64"/>
      </patternFill>
    </fill>
    <fill>
      <patternFill patternType="solid">
        <fgColor theme="7" tint="0.59999389629810485"/>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theme="8" tint="0.79998168889431442"/>
        <bgColor indexed="64"/>
      </patternFill>
    </fill>
    <fill>
      <patternFill patternType="solid">
        <fgColor theme="0"/>
        <bgColor indexed="64"/>
      </patternFill>
    </fill>
    <fill>
      <patternFill patternType="solid">
        <fgColor rgb="FF0070C0"/>
        <bgColor indexed="64"/>
      </patternFill>
    </fill>
    <fill>
      <patternFill patternType="solid">
        <fgColor rgb="FF7030A0"/>
        <bgColor indexed="64"/>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201">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9"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13" borderId="0"/>
    <xf numFmtId="0" fontId="16" fillId="14" borderId="0"/>
    <xf numFmtId="0" fontId="17" fillId="0" borderId="3" applyFont="0" applyFill="0" applyAlignment="0"/>
    <xf numFmtId="9" fontId="18" fillId="0" borderId="0" applyFont="0" applyFill="0" applyBorder="0" applyAlignment="0" applyProtection="0"/>
    <xf numFmtId="0" fontId="19" fillId="13" borderId="0"/>
    <xf numFmtId="0" fontId="19" fillId="14" borderId="0"/>
    <xf numFmtId="0" fontId="20" fillId="13" borderId="0"/>
    <xf numFmtId="0" fontId="20" fillId="14" borderId="0"/>
    <xf numFmtId="0" fontId="21" fillId="0" borderId="0">
      <alignment wrapText="1"/>
    </xf>
    <xf numFmtId="0" fontId="3" fillId="15"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22" fillId="19" borderId="0" applyNumberFormat="0" applyBorder="0" applyAlignment="0" applyProtection="0"/>
    <xf numFmtId="0" fontId="3" fillId="17" borderId="0" applyNumberFormat="0" applyBorder="0" applyAlignment="0" applyProtection="0"/>
    <xf numFmtId="0" fontId="3" fillId="20" borderId="0" applyNumberFormat="0" applyBorder="0" applyAlignment="0" applyProtection="0"/>
    <xf numFmtId="0" fontId="22" fillId="18"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0" fontId="3" fillId="21"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22" borderId="0" applyNumberFormat="0" applyBorder="0" applyAlignment="0" applyProtection="0"/>
    <xf numFmtId="0" fontId="22" fillId="22" borderId="0" applyNumberFormat="0" applyBorder="0" applyAlignment="0" applyProtection="0"/>
    <xf numFmtId="170" fontId="23" fillId="0" borderId="0" applyFont="0" applyFill="0" applyBorder="0" applyAlignment="0" applyProtection="0"/>
    <xf numFmtId="0" fontId="24" fillId="0" borderId="0" applyFont="0" applyFill="0" applyBorder="0" applyAlignment="0" applyProtection="0"/>
    <xf numFmtId="171" fontId="1" fillId="0" borderId="0" applyFont="0" applyFill="0" applyBorder="0" applyAlignment="0" applyProtection="0"/>
    <xf numFmtId="172" fontId="23" fillId="0" borderId="0" applyFont="0" applyFill="0" applyBorder="0" applyAlignment="0" applyProtection="0"/>
    <xf numFmtId="0" fontId="24" fillId="0" borderId="0" applyFont="0" applyFill="0" applyBorder="0" applyAlignment="0" applyProtection="0"/>
    <xf numFmtId="173" fontId="1" fillId="0" borderId="0" applyFont="0" applyFill="0" applyBorder="0" applyAlignment="0" applyProtection="0"/>
    <xf numFmtId="0" fontId="25" fillId="0" borderId="0">
      <alignment horizontal="center" wrapText="1"/>
      <protection locked="0"/>
    </xf>
    <xf numFmtId="174" fontId="23" fillId="0" borderId="0" applyFont="0" applyFill="0" applyBorder="0" applyAlignment="0" applyProtection="0"/>
    <xf numFmtId="0" fontId="24" fillId="0" borderId="0" applyFont="0" applyFill="0" applyBorder="0" applyAlignment="0" applyProtection="0"/>
    <xf numFmtId="175" fontId="1" fillId="0" borderId="0" applyFont="0" applyFill="0" applyBorder="0" applyAlignment="0" applyProtection="0"/>
    <xf numFmtId="176" fontId="23" fillId="0" borderId="0" applyFont="0" applyFill="0" applyBorder="0" applyAlignment="0" applyProtection="0"/>
    <xf numFmtId="0" fontId="24" fillId="0" borderId="0" applyFont="0" applyFill="0" applyBorder="0" applyAlignment="0" applyProtection="0"/>
    <xf numFmtId="177"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8" fontId="29" fillId="0" borderId="0" applyFill="0" applyBorder="0" applyAlignment="0"/>
    <xf numFmtId="179" fontId="30" fillId="0" borderId="0" applyFill="0" applyBorder="0" applyAlignment="0"/>
    <xf numFmtId="180" fontId="30" fillId="0" borderId="0" applyFill="0" applyBorder="0" applyAlignment="0"/>
    <xf numFmtId="181" fontId="30" fillId="0" borderId="0" applyFill="0" applyBorder="0" applyAlignment="0"/>
    <xf numFmtId="182" fontId="1"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applyFont="0" applyFill="0" applyBorder="0" applyAlignment="0" applyProtection="0"/>
    <xf numFmtId="185" fontId="32" fillId="0" borderId="0"/>
    <xf numFmtId="3" fontId="1" fillId="0" borderId="0" applyFont="0" applyFill="0" applyBorder="0" applyAlignment="0" applyProtection="0"/>
    <xf numFmtId="0" fontId="33" fillId="0" borderId="0" applyNumberFormat="0" applyAlignment="0">
      <alignment horizontal="left"/>
    </xf>
    <xf numFmtId="179" fontId="30" fillId="0" borderId="0" applyFont="0" applyFill="0" applyBorder="0" applyAlignment="0" applyProtection="0"/>
    <xf numFmtId="44" fontId="1" fillId="0" borderId="0" applyFont="0" applyFill="0" applyBorder="0" applyAlignment="0" applyProtection="0"/>
    <xf numFmtId="186" fontId="34" fillId="0" borderId="0" applyFont="0" applyFill="0" applyBorder="0" applyAlignment="0" applyProtection="0"/>
    <xf numFmtId="187"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8" fontId="32" fillId="0" borderId="0"/>
    <xf numFmtId="0" fontId="36" fillId="23" borderId="0" applyNumberFormat="0" applyBorder="0" applyAlignment="0" applyProtection="0"/>
    <xf numFmtId="0" fontId="36" fillId="24" borderId="0" applyNumberFormat="0" applyBorder="0" applyAlignment="0" applyProtection="0"/>
    <xf numFmtId="0" fontId="36" fillId="25" borderId="0" applyNumberFormat="0" applyBorder="0" applyAlignment="0" applyProtection="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13" borderId="0" applyNumberFormat="0" applyBorder="0" applyAlignment="0" applyProtection="0"/>
    <xf numFmtId="0" fontId="39" fillId="0" borderId="0" applyNumberFormat="0" applyFont="0" applyBorder="0" applyAlignment="0">
      <alignment horizontal="left" vertical="center"/>
    </xf>
    <xf numFmtId="0" fontId="40" fillId="26"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7" borderId="1" applyNumberFormat="0" applyAlignment="0">
      <alignment horizontal="left" vertical="top"/>
    </xf>
    <xf numFmtId="10" fontId="38" fillId="28" borderId="1" applyNumberFormat="0" applyBorder="0" applyAlignment="0" applyProtection="0"/>
    <xf numFmtId="0" fontId="29" fillId="0" borderId="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9" fontId="29" fillId="0" borderId="0" applyFont="0" applyFill="0" applyBorder="0" applyAlignment="0" applyProtection="0"/>
    <xf numFmtId="190" fontId="29" fillId="0" borderId="0" applyFont="0" applyFill="0" applyBorder="0" applyAlignment="0" applyProtection="0"/>
    <xf numFmtId="191" fontId="1" fillId="0" borderId="0" applyFont="0" applyFill="0" applyBorder="0" applyAlignment="0" applyProtection="0"/>
    <xf numFmtId="192" fontId="1" fillId="0" borderId="0" applyFont="0" applyFill="0" applyBorder="0" applyAlignment="0" applyProtection="0"/>
    <xf numFmtId="0" fontId="44" fillId="0" borderId="0" applyNumberFormat="0" applyFont="0" applyFill="0" applyAlignment="0"/>
    <xf numFmtId="37" fontId="45" fillId="0" borderId="0"/>
    <xf numFmtId="193"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2" fontId="1" fillId="0" borderId="0" applyFont="0" applyFill="0" applyBorder="0" applyAlignment="0" applyProtection="0"/>
    <xf numFmtId="194"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9"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30" borderId="0"/>
    <xf numFmtId="0" fontId="35" fillId="0" borderId="0">
      <alignment vertical="top"/>
    </xf>
    <xf numFmtId="40" fontId="55" fillId="0" borderId="0" applyBorder="0">
      <alignment horizontal="right"/>
    </xf>
    <xf numFmtId="49" fontId="35" fillId="0" borderId="0" applyFill="0" applyBorder="0" applyAlignment="0"/>
    <xf numFmtId="195" fontId="1" fillId="0" borderId="0" applyFill="0" applyBorder="0" applyAlignment="0"/>
    <xf numFmtId="196"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31" borderId="2">
      <alignment vertical="top"/>
    </xf>
    <xf numFmtId="0" fontId="59" fillId="32" borderId="1">
      <alignment horizontal="left" vertical="center"/>
    </xf>
    <xf numFmtId="6" fontId="60" fillId="33" borderId="2"/>
    <xf numFmtId="5" fontId="43" fillId="0" borderId="2">
      <alignment horizontal="left" vertical="top"/>
    </xf>
    <xf numFmtId="0" fontId="61" fillId="34"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7" fontId="71" fillId="0" borderId="0" applyFont="0" applyFill="0" applyBorder="0" applyAlignment="0" applyProtection="0"/>
    <xf numFmtId="198"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6" fillId="0" borderId="0"/>
  </cellStyleXfs>
  <cellXfs count="348">
    <xf numFmtId="0" fontId="0" fillId="0" borderId="0" xfId="0"/>
    <xf numFmtId="1" fontId="2" fillId="2" borderId="1" xfId="1" applyNumberFormat="1" applyFont="1" applyFill="1" applyBorder="1" applyAlignment="1">
      <alignment horizontal="center" vertical="center" wrapText="1"/>
    </xf>
    <xf numFmtId="0" fontId="2" fillId="2" borderId="1" xfId="1" applyFont="1" applyFill="1" applyBorder="1" applyAlignment="1">
      <alignment horizontal="center" vertical="center" wrapText="1"/>
    </xf>
    <xf numFmtId="0" fontId="1" fillId="0" borderId="0" xfId="1" applyFill="1" applyAlignment="1">
      <alignment horizontal="center"/>
    </xf>
    <xf numFmtId="0" fontId="1" fillId="0" borderId="0" xfId="1" applyFill="1"/>
    <xf numFmtId="0" fontId="6" fillId="3" borderId="1" xfId="1" applyFont="1" applyFill="1" applyBorder="1" applyAlignment="1">
      <alignment horizontal="center" vertical="center" wrapText="1"/>
    </xf>
    <xf numFmtId="0" fontId="7" fillId="6" borderId="1" xfId="0" applyFont="1" applyFill="1" applyBorder="1" applyAlignment="1">
      <alignment horizontal="center" vertical="center" wrapText="1"/>
    </xf>
    <xf numFmtId="14" fontId="7" fillId="6" borderId="1" xfId="0" applyNumberFormat="1" applyFont="1" applyFill="1" applyBorder="1" applyAlignment="1">
      <alignment horizontal="center" vertical="center" wrapText="1"/>
    </xf>
    <xf numFmtId="49" fontId="7" fillId="6" borderId="1" xfId="0" applyNumberFormat="1" applyFont="1" applyFill="1" applyBorder="1" applyAlignment="1">
      <alignment horizontal="center" vertical="center" wrapText="1"/>
    </xf>
    <xf numFmtId="1" fontId="7" fillId="6" borderId="1" xfId="0" applyNumberFormat="1" applyFont="1" applyFill="1" applyBorder="1" applyAlignment="1">
      <alignment horizontal="center" vertical="center" wrapText="1"/>
    </xf>
    <xf numFmtId="0" fontId="7" fillId="7" borderId="1" xfId="0" applyFont="1" applyFill="1" applyBorder="1" applyAlignment="1">
      <alignment horizontal="center" vertical="center" wrapText="1"/>
    </xf>
    <xf numFmtId="49" fontId="7" fillId="7"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9" borderId="1" xfId="0" applyFont="1" applyFill="1" applyBorder="1" applyAlignment="1">
      <alignment horizontal="center" vertical="center" wrapText="1"/>
    </xf>
    <xf numFmtId="49" fontId="7" fillId="9" borderId="1" xfId="0" applyNumberFormat="1" applyFont="1" applyFill="1" applyBorder="1" applyAlignment="1">
      <alignment horizontal="center" vertical="center" wrapText="1"/>
    </xf>
    <xf numFmtId="0" fontId="7" fillId="10" borderId="1" xfId="0" applyFont="1" applyFill="1" applyBorder="1" applyAlignment="1">
      <alignment horizontal="center" vertical="center" wrapText="1"/>
    </xf>
    <xf numFmtId="0" fontId="7" fillId="11" borderId="1" xfId="0" applyFont="1" applyFill="1" applyBorder="1" applyAlignment="1">
      <alignment horizontal="center" vertical="center" wrapText="1"/>
    </xf>
    <xf numFmtId="49" fontId="7" fillId="11" borderId="1" xfId="0" applyNumberFormat="1" applyFont="1" applyFill="1" applyBorder="1" applyAlignment="1">
      <alignment horizontal="center" vertical="center" wrapText="1"/>
    </xf>
    <xf numFmtId="0" fontId="7" fillId="12" borderId="1" xfId="0" applyFont="1" applyFill="1" applyBorder="1" applyAlignment="1">
      <alignment horizontal="center" vertical="center" wrapText="1"/>
    </xf>
    <xf numFmtId="49" fontId="7" fillId="12"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5" fillId="0" borderId="0" xfId="0" applyFont="1" applyBorder="1"/>
    <xf numFmtId="1" fontId="4" fillId="0" borderId="1" xfId="1"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1" xfId="0" applyFont="1" applyFill="1" applyBorder="1" applyAlignment="1">
      <alignment horizontal="left" vertical="center" wrapText="1"/>
    </xf>
    <xf numFmtId="0" fontId="4" fillId="0" borderId="1" xfId="1" applyFont="1" applyFill="1" applyBorder="1" applyAlignment="1">
      <alignment horizontal="center" vertical="center" wrapText="1"/>
    </xf>
    <xf numFmtId="14" fontId="4" fillId="0" borderId="1" xfId="1" applyNumberFormat="1" applyFont="1" applyFill="1" applyBorder="1" applyAlignment="1">
      <alignment horizontal="center" vertical="center" wrapText="1"/>
    </xf>
    <xf numFmtId="0" fontId="5" fillId="7"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5" fillId="10" borderId="1" xfId="0" applyNumberFormat="1"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2" borderId="1" xfId="0" applyFont="1" applyFill="1" applyBorder="1" applyAlignment="1">
      <alignment horizontal="center" vertical="center" wrapText="1"/>
    </xf>
    <xf numFmtId="0" fontId="5" fillId="0" borderId="1" xfId="0" applyFont="1" applyBorder="1" applyAlignment="1">
      <alignment horizontal="center" vertical="center"/>
    </xf>
    <xf numFmtId="0" fontId="5" fillId="0" borderId="0" xfId="0" applyFont="1" applyAlignment="1">
      <alignment horizontal="center" vertical="center"/>
    </xf>
    <xf numFmtId="0" fontId="5" fillId="0" borderId="0" xfId="0" applyFont="1"/>
    <xf numFmtId="0" fontId="5" fillId="0" borderId="0" xfId="0" applyFont="1" applyAlignment="1">
      <alignment horizontal="left"/>
    </xf>
    <xf numFmtId="0" fontId="5" fillId="7" borderId="0" xfId="0" applyFont="1" applyFill="1"/>
    <xf numFmtId="0" fontId="5" fillId="7" borderId="0" xfId="0" applyFont="1" applyFill="1" applyAlignment="1">
      <alignment wrapText="1"/>
    </xf>
    <xf numFmtId="0" fontId="5" fillId="8" borderId="0" xfId="0" applyFont="1" applyFill="1"/>
    <xf numFmtId="0" fontId="5" fillId="9" borderId="0" xfId="0" applyFont="1" applyFill="1"/>
    <xf numFmtId="0" fontId="5" fillId="9" borderId="0" xfId="0" applyFont="1" applyFill="1" applyAlignment="1">
      <alignment wrapText="1"/>
    </xf>
    <xf numFmtId="0" fontId="5" fillId="10" borderId="0" xfId="0" applyFont="1" applyFill="1"/>
    <xf numFmtId="0" fontId="5" fillId="10" borderId="0" xfId="0" applyFont="1" applyFill="1" applyAlignment="1">
      <alignment wrapText="1"/>
    </xf>
    <xf numFmtId="0" fontId="5" fillId="11" borderId="0" xfId="0" applyFont="1" applyFill="1"/>
    <xf numFmtId="0" fontId="5" fillId="11" borderId="0" xfId="0" applyFont="1" applyFill="1" applyAlignment="1">
      <alignment wrapText="1"/>
    </xf>
    <xf numFmtId="0" fontId="5" fillId="12" borderId="0" xfId="0" applyFont="1" applyFill="1"/>
    <xf numFmtId="0" fontId="5" fillId="5" borderId="0" xfId="0" applyFont="1" applyFill="1"/>
    <xf numFmtId="0" fontId="5" fillId="0" borderId="0" xfId="0" applyFont="1" applyBorder="1" applyAlignment="1">
      <alignment vertical="center" wrapText="1"/>
    </xf>
    <xf numFmtId="1" fontId="5" fillId="0" borderId="1" xfId="0" applyNumberFormat="1" applyFont="1" applyBorder="1" applyAlignment="1">
      <alignment horizontal="center" vertical="center" wrapText="1"/>
    </xf>
    <xf numFmtId="1" fontId="4" fillId="0" borderId="1" xfId="0" applyNumberFormat="1" applyFont="1" applyFill="1" applyBorder="1" applyAlignment="1">
      <alignment horizontal="center" vertical="center" wrapText="1"/>
    </xf>
    <xf numFmtId="0" fontId="75" fillId="2" borderId="1" xfId="1" applyFont="1" applyFill="1" applyBorder="1" applyAlignment="1">
      <alignment horizontal="center" vertical="center" wrapText="1"/>
    </xf>
    <xf numFmtId="0" fontId="75" fillId="36" borderId="1" xfId="1" applyFont="1" applyFill="1" applyBorder="1" applyAlignment="1">
      <alignment horizontal="center" vertical="center" wrapText="1"/>
    </xf>
    <xf numFmtId="0" fontId="75" fillId="0" borderId="1" xfId="1" applyFont="1" applyFill="1" applyBorder="1" applyAlignment="1">
      <alignment horizontal="center" vertical="center" wrapText="1"/>
    </xf>
    <xf numFmtId="0" fontId="75" fillId="11" borderId="1" xfId="1" applyFont="1" applyFill="1" applyBorder="1" applyAlignment="1">
      <alignment horizontal="center" vertical="center" wrapText="1"/>
    </xf>
    <xf numFmtId="0" fontId="75" fillId="5" borderId="1" xfId="1" applyFont="1" applyFill="1" applyBorder="1" applyAlignment="1">
      <alignment horizontal="center" vertical="center" wrapText="1"/>
    </xf>
    <xf numFmtId="0" fontId="75" fillId="10" borderId="1" xfId="1" applyFont="1" applyFill="1" applyBorder="1" applyAlignment="1">
      <alignment horizontal="center" vertical="center" wrapText="1"/>
    </xf>
    <xf numFmtId="0" fontId="75" fillId="37" borderId="1" xfId="1" applyFont="1" applyFill="1" applyBorder="1" applyAlignment="1">
      <alignment horizontal="center" vertical="center" wrapText="1"/>
    </xf>
    <xf numFmtId="0" fontId="75" fillId="38" borderId="1" xfId="1" applyFont="1" applyFill="1" applyBorder="1" applyAlignment="1">
      <alignment horizontal="center" vertical="center" wrapText="1"/>
    </xf>
    <xf numFmtId="1" fontId="75" fillId="2" borderId="1" xfId="1" applyNumberFormat="1" applyFont="1" applyFill="1" applyBorder="1" applyAlignment="1">
      <alignment horizontal="center" vertical="center" wrapText="1"/>
    </xf>
    <xf numFmtId="0" fontId="75" fillId="3" borderId="1" xfId="1" applyFont="1" applyFill="1" applyBorder="1" applyAlignment="1">
      <alignment horizontal="left" vertical="center" wrapText="1"/>
    </xf>
    <xf numFmtId="0" fontId="75" fillId="3" borderId="1" xfId="1" applyFont="1" applyFill="1" applyBorder="1" applyAlignment="1">
      <alignment horizontal="center" vertical="center" wrapText="1"/>
    </xf>
    <xf numFmtId="0" fontId="76" fillId="3" borderId="1" xfId="1" applyFont="1" applyFill="1" applyBorder="1" applyAlignment="1">
      <alignment horizontal="center" vertical="center" wrapText="1"/>
    </xf>
    <xf numFmtId="1" fontId="77" fillId="0" borderId="1" xfId="0" applyNumberFormat="1" applyFont="1" applyBorder="1" applyAlignment="1">
      <alignment horizontal="center" vertical="center"/>
    </xf>
    <xf numFmtId="0" fontId="77" fillId="0" borderId="1" xfId="0" applyFont="1" applyBorder="1"/>
    <xf numFmtId="0" fontId="77" fillId="3" borderId="1" xfId="0" applyFont="1" applyFill="1" applyBorder="1"/>
    <xf numFmtId="0" fontId="78" fillId="0" borderId="0" xfId="1" applyFont="1" applyFill="1" applyAlignment="1"/>
    <xf numFmtId="1" fontId="77" fillId="0" borderId="1" xfId="0" applyNumberFormat="1" applyFont="1" applyBorder="1"/>
    <xf numFmtId="0" fontId="77" fillId="35" borderId="1" xfId="0" applyFont="1" applyFill="1" applyBorder="1" applyAlignment="1">
      <alignment horizontal="center" vertical="center"/>
    </xf>
    <xf numFmtId="0" fontId="77" fillId="3" borderId="1" xfId="0" applyFont="1" applyFill="1" applyBorder="1" applyAlignment="1">
      <alignment horizontal="center" vertical="center"/>
    </xf>
    <xf numFmtId="0" fontId="77" fillId="0" borderId="1" xfId="0" applyFont="1" applyBorder="1" applyAlignment="1">
      <alignment horizontal="center" vertical="center"/>
    </xf>
    <xf numFmtId="0" fontId="77" fillId="0" borderId="1" xfId="0" applyFont="1" applyFill="1" applyBorder="1" applyAlignment="1">
      <alignment horizontal="center" vertical="center"/>
    </xf>
    <xf numFmtId="0" fontId="75" fillId="0" borderId="1" xfId="1" applyFont="1" applyFill="1" applyBorder="1" applyAlignment="1">
      <alignment horizontal="left" vertical="center" wrapText="1"/>
    </xf>
    <xf numFmtId="0" fontId="77" fillId="0" borderId="1" xfId="0" applyFont="1" applyFill="1" applyBorder="1" applyAlignment="1">
      <alignment horizontal="left" vertical="center"/>
    </xf>
    <xf numFmtId="0" fontId="0" fillId="0" borderId="0" xfId="0" applyAlignment="1">
      <alignment horizontal="left"/>
    </xf>
    <xf numFmtId="0" fontId="77" fillId="0" borderId="1" xfId="0" applyFont="1" applyFill="1" applyBorder="1"/>
    <xf numFmtId="1" fontId="79" fillId="0" borderId="1" xfId="1" applyNumberFormat="1" applyFont="1" applyFill="1" applyBorder="1" applyAlignment="1">
      <alignment horizontal="center" vertical="center"/>
    </xf>
    <xf numFmtId="1" fontId="79" fillId="0" borderId="1" xfId="1" applyNumberFormat="1" applyFont="1" applyFill="1" applyBorder="1" applyAlignment="1">
      <alignment horizontal="center" vertical="center" wrapText="1"/>
    </xf>
    <xf numFmtId="199" fontId="4" fillId="0" borderId="1" xfId="1" applyNumberFormat="1" applyFont="1" applyFill="1" applyBorder="1" applyAlignment="1">
      <alignment horizontal="center" vertical="center" wrapText="1"/>
    </xf>
    <xf numFmtId="0" fontId="80" fillId="0" borderId="0" xfId="0" applyFont="1" applyAlignment="1">
      <alignment wrapText="1"/>
    </xf>
    <xf numFmtId="0" fontId="1" fillId="0" borderId="0" xfId="1"/>
    <xf numFmtId="0" fontId="1" fillId="0" borderId="0" xfId="1" applyAlignment="1">
      <alignment vertical="center"/>
    </xf>
    <xf numFmtId="0" fontId="81" fillId="0" borderId="0" xfId="1" applyFont="1" applyAlignment="1">
      <alignment vertical="top"/>
    </xf>
    <xf numFmtId="0" fontId="82" fillId="0" borderId="0" xfId="1" applyFont="1"/>
    <xf numFmtId="0" fontId="82" fillId="0" borderId="0" xfId="1" applyFont="1" applyAlignment="1">
      <alignment horizontal="center"/>
    </xf>
    <xf numFmtId="0" fontId="82" fillId="0" borderId="0" xfId="1" applyFont="1" applyBorder="1"/>
    <xf numFmtId="0" fontId="82" fillId="0" borderId="0" xfId="1" applyFont="1" applyFill="1" applyAlignment="1">
      <alignment vertical="center"/>
    </xf>
    <xf numFmtId="0" fontId="81" fillId="0" borderId="0" xfId="1" applyFont="1" applyFill="1" applyBorder="1" applyAlignment="1">
      <alignment vertical="center"/>
    </xf>
    <xf numFmtId="0" fontId="82" fillId="0" borderId="0" xfId="1" applyFont="1" applyBorder="1" applyAlignment="1">
      <alignment vertical="center"/>
    </xf>
    <xf numFmtId="0" fontId="81" fillId="0" borderId="0" xfId="1" applyFont="1" applyAlignment="1"/>
    <xf numFmtId="0" fontId="81" fillId="0" borderId="0" xfId="1" applyFont="1" applyAlignment="1">
      <alignment horizontal="center" vertical="top" wrapText="1"/>
    </xf>
    <xf numFmtId="0" fontId="81" fillId="0" borderId="0" xfId="1" applyFont="1" applyAlignment="1">
      <alignment horizontal="left"/>
    </xf>
    <xf numFmtId="0" fontId="1" fillId="0" borderId="0" xfId="1" applyFont="1"/>
    <xf numFmtId="0" fontId="81" fillId="0" borderId="0" xfId="1" applyFont="1" applyAlignment="1">
      <alignment horizontal="center"/>
    </xf>
    <xf numFmtId="0" fontId="1" fillId="0" borderId="0" xfId="1" applyAlignment="1">
      <alignment horizontal="left"/>
    </xf>
    <xf numFmtId="0" fontId="84" fillId="0" borderId="0" xfId="1" applyFont="1"/>
    <xf numFmtId="49" fontId="1" fillId="0" borderId="0" xfId="1" applyNumberFormat="1" applyFont="1"/>
    <xf numFmtId="49" fontId="1" fillId="0" borderId="0" xfId="1" applyNumberFormat="1"/>
    <xf numFmtId="0" fontId="4" fillId="0" borderId="0" xfId="1" applyFont="1"/>
    <xf numFmtId="0" fontId="7" fillId="0" borderId="0" xfId="1" applyFont="1" applyAlignment="1"/>
    <xf numFmtId="0" fontId="1" fillId="0" borderId="0" xfId="1" applyAlignment="1">
      <alignment horizontal="center" vertical="center"/>
    </xf>
    <xf numFmtId="0" fontId="4" fillId="0" borderId="0" xfId="1" applyFont="1" applyAlignment="1">
      <alignment vertical="center"/>
    </xf>
    <xf numFmtId="0" fontId="4" fillId="0" borderId="0" xfId="1" applyFont="1" applyAlignment="1">
      <alignment horizontal="center" vertical="center"/>
    </xf>
    <xf numFmtId="0" fontId="4" fillId="0" borderId="0" xfId="1" applyFont="1" applyAlignment="1"/>
    <xf numFmtId="14" fontId="1" fillId="0" borderId="0" xfId="1" applyNumberFormat="1"/>
    <xf numFmtId="0" fontId="82" fillId="0" borderId="0" xfId="1" applyFont="1" applyAlignment="1">
      <alignment vertical="top" wrapText="1"/>
    </xf>
    <xf numFmtId="0" fontId="4" fillId="0" borderId="0" xfId="1" applyFont="1" applyBorder="1"/>
    <xf numFmtId="0" fontId="1" fillId="0" borderId="0" xfId="1" applyBorder="1"/>
    <xf numFmtId="0" fontId="80" fillId="0" borderId="0" xfId="0" applyFont="1"/>
    <xf numFmtId="0" fontId="8" fillId="0" borderId="0" xfId="0" applyFont="1" applyAlignment="1">
      <alignment vertical="center"/>
    </xf>
    <xf numFmtId="0" fontId="80" fillId="0" borderId="0" xfId="0" applyFont="1" applyAlignment="1">
      <alignment vertical="center" wrapText="1"/>
    </xf>
    <xf numFmtId="0" fontId="80" fillId="0" borderId="0" xfId="0" applyFont="1" applyAlignment="1">
      <alignment vertical="center"/>
    </xf>
    <xf numFmtId="0" fontId="86" fillId="0" borderId="0" xfId="1" applyFont="1" applyBorder="1" applyAlignment="1">
      <alignment horizontal="center" vertical="top" wrapText="1"/>
    </xf>
    <xf numFmtId="0" fontId="81" fillId="0" borderId="0" xfId="1" applyFont="1" applyAlignment="1">
      <alignment horizontal="center"/>
    </xf>
    <xf numFmtId="0" fontId="4" fillId="0" borderId="0" xfId="1" applyFont="1" applyBorder="1" applyAlignment="1">
      <alignment vertical="top" wrapText="1"/>
    </xf>
    <xf numFmtId="0" fontId="4" fillId="0" borderId="0" xfId="1" applyFont="1" applyBorder="1" applyAlignment="1">
      <alignment vertical="center" wrapText="1"/>
    </xf>
    <xf numFmtId="0" fontId="4" fillId="0" borderId="0" xfId="1" applyFont="1" applyBorder="1" applyAlignment="1"/>
    <xf numFmtId="0" fontId="4" fillId="0" borderId="0" xfId="1" applyNumberFormat="1" applyFont="1" applyBorder="1" applyAlignment="1">
      <alignment vertical="top" wrapText="1"/>
    </xf>
    <xf numFmtId="0" fontId="86" fillId="0" borderId="0" xfId="1" applyFont="1" applyBorder="1" applyAlignment="1">
      <alignment horizontal="left" vertical="top" wrapText="1"/>
    </xf>
    <xf numFmtId="0" fontId="86" fillId="0" borderId="0" xfId="1" applyFont="1" applyBorder="1" applyAlignment="1">
      <alignment horizontal="center"/>
    </xf>
    <xf numFmtId="0" fontId="80" fillId="0" borderId="0" xfId="0" applyFont="1" applyAlignment="1">
      <alignment horizontal="left"/>
    </xf>
    <xf numFmtId="0" fontId="2" fillId="0" borderId="0" xfId="0" applyFont="1"/>
    <xf numFmtId="0" fontId="85" fillId="0" borderId="0" xfId="1" applyFont="1" applyAlignment="1">
      <alignment vertical="top" wrapText="1"/>
    </xf>
    <xf numFmtId="0" fontId="0" fillId="0" borderId="0" xfId="0" applyAlignment="1">
      <alignment vertical="top"/>
    </xf>
    <xf numFmtId="0" fontId="5" fillId="0" borderId="1" xfId="0" applyFont="1" applyBorder="1" applyAlignment="1">
      <alignment horizontal="center" vertical="center" wrapText="1"/>
    </xf>
    <xf numFmtId="0" fontId="5" fillId="9" borderId="1" xfId="0" applyFont="1" applyFill="1" applyBorder="1" applyAlignment="1">
      <alignment horizontal="center" vertical="center" wrapText="1"/>
    </xf>
    <xf numFmtId="200" fontId="5" fillId="0" borderId="1" xfId="0" applyNumberFormat="1" applyFont="1" applyBorder="1" applyAlignment="1">
      <alignment horizontal="center" vertical="center" wrapText="1"/>
    </xf>
    <xf numFmtId="0" fontId="5" fillId="7"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8" borderId="1" xfId="0" applyNumberFormat="1" applyFont="1" applyFill="1" applyBorder="1" applyAlignment="1">
      <alignment horizontal="center" vertical="center" wrapText="1"/>
    </xf>
    <xf numFmtId="0" fontId="5" fillId="11" borderId="1" xfId="0" applyNumberFormat="1" applyFont="1" applyFill="1" applyBorder="1" applyAlignment="1">
      <alignment horizontal="center" vertical="center" wrapText="1"/>
    </xf>
    <xf numFmtId="0" fontId="5" fillId="12" borderId="1" xfId="0" applyNumberFormat="1" applyFont="1" applyFill="1" applyBorder="1" applyAlignment="1">
      <alignment horizontal="center" vertical="center" wrapText="1"/>
    </xf>
    <xf numFmtId="0" fontId="5" fillId="5"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93" fillId="5" borderId="1" xfId="0" applyFont="1" applyFill="1" applyBorder="1" applyAlignment="1" applyProtection="1">
      <alignment horizontal="center" vertical="center" wrapText="1"/>
      <protection locked="0"/>
    </xf>
    <xf numFmtId="0" fontId="80" fillId="0" borderId="1" xfId="0" applyFont="1" applyBorder="1"/>
    <xf numFmtId="49" fontId="9" fillId="0" borderId="1" xfId="0" applyNumberFormat="1" applyFont="1" applyBorder="1" applyAlignment="1">
      <alignment horizontal="center" vertical="center" wrapText="1"/>
    </xf>
    <xf numFmtId="0" fontId="5" fillId="0" borderId="0" xfId="0" applyFont="1" applyAlignment="1">
      <alignment vertical="center"/>
    </xf>
    <xf numFmtId="0" fontId="5" fillId="0" borderId="0" xfId="0" applyNumberFormat="1" applyFont="1" applyAlignment="1">
      <alignment vertical="center"/>
    </xf>
    <xf numFmtId="14" fontId="5" fillId="0" borderId="0" xfId="0" applyNumberFormat="1" applyFont="1" applyAlignment="1">
      <alignment vertical="center"/>
    </xf>
    <xf numFmtId="0" fontId="80" fillId="0" borderId="0" xfId="0" quotePrefix="1" applyFont="1" applyAlignment="1">
      <alignment vertical="center"/>
    </xf>
    <xf numFmtId="0" fontId="89" fillId="0" borderId="0" xfId="0" applyFont="1" applyAlignment="1">
      <alignment vertical="center"/>
    </xf>
    <xf numFmtId="0" fontId="5" fillId="0" borderId="0" xfId="0" applyFont="1" applyBorder="1" applyAlignment="1">
      <alignment vertical="center"/>
    </xf>
    <xf numFmtId="0" fontId="0" fillId="0" borderId="0" xfId="0" applyAlignment="1">
      <alignment wrapText="1"/>
    </xf>
    <xf numFmtId="0" fontId="82" fillId="0" borderId="11" xfId="1" applyFont="1" applyBorder="1"/>
    <xf numFmtId="0" fontId="82" fillId="0" borderId="0" xfId="1" applyFont="1" applyAlignment="1">
      <alignment horizontal="center" vertical="center"/>
    </xf>
    <xf numFmtId="0" fontId="82" fillId="0" borderId="0" xfId="1" applyFont="1" applyAlignment="1">
      <alignment vertical="center"/>
    </xf>
    <xf numFmtId="0" fontId="81" fillId="0" borderId="0" xfId="1" applyFont="1" applyAlignment="1">
      <alignment horizontal="left" vertical="center"/>
    </xf>
    <xf numFmtId="0" fontId="81" fillId="0" borderId="0" xfId="1" applyFont="1" applyAlignment="1">
      <alignment vertical="center"/>
    </xf>
    <xf numFmtId="0" fontId="81" fillId="0" borderId="0" xfId="1" applyFont="1" applyAlignment="1">
      <alignment horizontal="center" vertical="center" wrapText="1"/>
    </xf>
    <xf numFmtId="0" fontId="82" fillId="0" borderId="11" xfId="1" applyFont="1" applyBorder="1" applyAlignment="1">
      <alignment vertical="center"/>
    </xf>
    <xf numFmtId="0" fontId="1" fillId="0" borderId="0" xfId="1" applyBorder="1" applyAlignment="1">
      <alignment vertical="center"/>
    </xf>
    <xf numFmtId="0" fontId="1" fillId="0" borderId="11" xfId="1" applyBorder="1" applyAlignment="1">
      <alignment vertical="center"/>
    </xf>
    <xf numFmtId="0" fontId="1" fillId="0" borderId="0" xfId="1" applyNumberFormat="1" applyAlignment="1"/>
    <xf numFmtId="0" fontId="1" fillId="0" borderId="0" xfId="1" applyFont="1" applyAlignment="1">
      <alignment wrapText="1"/>
    </xf>
    <xf numFmtId="0" fontId="5" fillId="0" borderId="14" xfId="0" applyFont="1" applyBorder="1" applyAlignment="1">
      <alignment horizontal="center" vertical="center" wrapText="1"/>
    </xf>
    <xf numFmtId="0" fontId="5" fillId="0" borderId="14" xfId="0" applyFont="1" applyBorder="1" applyAlignment="1">
      <alignment vertical="center" wrapText="1"/>
    </xf>
    <xf numFmtId="0" fontId="8" fillId="39" borderId="14" xfId="0" applyFont="1" applyFill="1" applyBorder="1" applyAlignment="1">
      <alignment horizontal="center" vertical="center" wrapText="1"/>
    </xf>
    <xf numFmtId="0" fontId="8" fillId="39" borderId="1" xfId="0" applyFont="1" applyFill="1" applyBorder="1" applyAlignment="1">
      <alignment horizontal="center" vertical="center" wrapText="1"/>
    </xf>
    <xf numFmtId="0" fontId="5" fillId="0" borderId="0" xfId="0" applyFont="1" applyBorder="1" applyAlignment="1">
      <alignment horizontal="center" vertical="center" wrapText="1"/>
    </xf>
    <xf numFmtId="0" fontId="6" fillId="3" borderId="2" xfId="1" applyFont="1" applyFill="1" applyBorder="1" applyAlignment="1">
      <alignment horizontal="center" vertical="center" wrapText="1"/>
    </xf>
    <xf numFmtId="0" fontId="5" fillId="0" borderId="1" xfId="0" applyFont="1" applyBorder="1"/>
    <xf numFmtId="3" fontId="5" fillId="0" borderId="0" xfId="0" applyNumberFormat="1" applyFont="1" applyAlignment="1">
      <alignment vertical="center"/>
    </xf>
    <xf numFmtId="0" fontId="5" fillId="0" borderId="0" xfId="0" applyFont="1" applyBorder="1" applyAlignment="1">
      <alignment horizontal="center" vertical="center"/>
    </xf>
    <xf numFmtId="199" fontId="79" fillId="0" borderId="1" xfId="1" applyNumberFormat="1" applyFont="1" applyFill="1" applyBorder="1" applyAlignment="1">
      <alignment horizontal="left" vertical="center"/>
    </xf>
    <xf numFmtId="1" fontId="79" fillId="0" borderId="1" xfId="1" applyNumberFormat="1" applyFont="1" applyFill="1" applyBorder="1" applyAlignment="1">
      <alignment horizontal="left" vertical="center"/>
    </xf>
    <xf numFmtId="200" fontId="79" fillId="0" borderId="1" xfId="1" applyNumberFormat="1" applyFont="1" applyFill="1" applyBorder="1" applyAlignment="1">
      <alignment horizontal="left" vertical="center"/>
    </xf>
    <xf numFmtId="0" fontId="79" fillId="0" borderId="1" xfId="1" applyFont="1" applyFill="1" applyBorder="1" applyAlignment="1">
      <alignment horizontal="left" vertical="center"/>
    </xf>
    <xf numFmtId="2" fontId="79" fillId="0" borderId="1" xfId="1" applyNumberFormat="1" applyFont="1" applyFill="1" applyBorder="1" applyAlignment="1">
      <alignment horizontal="left" vertical="center"/>
    </xf>
    <xf numFmtId="2" fontId="79" fillId="0" borderId="1" xfId="1" applyNumberFormat="1" applyFont="1" applyFill="1" applyBorder="1" applyAlignment="1">
      <alignment horizontal="left" vertical="center" wrapText="1"/>
    </xf>
    <xf numFmtId="14" fontId="79" fillId="0" borderId="1" xfId="1" applyNumberFormat="1" applyFont="1" applyFill="1" applyBorder="1" applyAlignment="1">
      <alignment horizontal="left" vertical="center" wrapText="1"/>
    </xf>
    <xf numFmtId="0" fontId="79" fillId="0" borderId="1" xfId="1" applyFont="1" applyFill="1" applyBorder="1" applyAlignment="1">
      <alignment horizontal="left" vertical="center" wrapText="1"/>
    </xf>
    <xf numFmtId="168" fontId="77" fillId="0" borderId="1" xfId="2" applyNumberFormat="1" applyFont="1" applyFill="1" applyBorder="1" applyAlignment="1">
      <alignment horizontal="left" vertical="center"/>
    </xf>
    <xf numFmtId="0" fontId="86" fillId="0" borderId="1" xfId="1" applyFont="1" applyFill="1" applyBorder="1" applyAlignment="1">
      <alignment horizontal="left"/>
    </xf>
    <xf numFmtId="0" fontId="80" fillId="42" borderId="0" xfId="0" applyFont="1" applyFill="1" applyProtection="1">
      <protection locked="0"/>
    </xf>
    <xf numFmtId="0" fontId="80" fillId="42" borderId="0" xfId="0" applyFont="1" applyFill="1"/>
    <xf numFmtId="0" fontId="80" fillId="41" borderId="13" xfId="0" applyFont="1" applyFill="1" applyBorder="1" applyAlignment="1">
      <alignment horizontal="center"/>
    </xf>
    <xf numFmtId="0" fontId="1" fillId="0" borderId="0" xfId="1" applyBorder="1" applyAlignment="1">
      <alignment horizontal="left"/>
    </xf>
    <xf numFmtId="0" fontId="2" fillId="40" borderId="12" xfId="0" applyFont="1" applyFill="1" applyBorder="1" applyAlignment="1">
      <alignment vertical="center" wrapText="1"/>
    </xf>
    <xf numFmtId="0" fontId="2" fillId="40" borderId="2" xfId="0" applyFont="1" applyFill="1" applyBorder="1" applyAlignment="1">
      <alignment horizontal="center" vertical="center" wrapText="1"/>
    </xf>
    <xf numFmtId="0" fontId="6" fillId="40" borderId="2" xfId="0" applyFont="1" applyFill="1" applyBorder="1" applyAlignment="1">
      <alignment horizontal="center" vertical="center" wrapText="1"/>
    </xf>
    <xf numFmtId="49" fontId="6" fillId="40" borderId="2" xfId="0" applyNumberFormat="1" applyFont="1" applyFill="1" applyBorder="1" applyAlignment="1">
      <alignment horizontal="center" vertical="center" wrapText="1"/>
    </xf>
    <xf numFmtId="0" fontId="80" fillId="0" borderId="0" xfId="0" applyFont="1" applyFill="1" applyBorder="1" applyAlignment="1">
      <alignment horizontal="center" vertical="center" wrapText="1"/>
    </xf>
    <xf numFmtId="0" fontId="80" fillId="0" borderId="0" xfId="0" applyFont="1" applyFill="1" applyBorder="1" applyAlignment="1">
      <alignment horizontal="center" vertical="center"/>
    </xf>
    <xf numFmtId="0" fontId="80" fillId="0" borderId="0" xfId="0" applyFont="1" applyBorder="1"/>
    <xf numFmtId="0" fontId="80" fillId="0" borderId="0" xfId="0" applyNumberFormat="1" applyFont="1" applyFill="1" applyBorder="1" applyAlignment="1">
      <alignment horizontal="center" vertical="center" wrapText="1"/>
    </xf>
    <xf numFmtId="0" fontId="86" fillId="0" borderId="0" xfId="0" applyFont="1" applyFill="1" applyBorder="1" applyAlignment="1">
      <alignment horizontal="center" vertical="center" wrapText="1"/>
    </xf>
    <xf numFmtId="0" fontId="86" fillId="0" borderId="0" xfId="1" applyFont="1" applyBorder="1" applyAlignment="1">
      <alignment horizontal="center" vertical="center" wrapText="1"/>
    </xf>
    <xf numFmtId="0" fontId="6" fillId="0" borderId="0" xfId="1" applyFont="1" applyBorder="1" applyAlignment="1">
      <alignment horizontal="center" vertical="top"/>
    </xf>
    <xf numFmtId="0" fontId="98" fillId="0" borderId="0" xfId="0" applyFont="1" applyAlignment="1">
      <alignment wrapText="1"/>
    </xf>
    <xf numFmtId="0" fontId="84" fillId="0" borderId="0" xfId="1" applyFont="1" applyAlignment="1">
      <alignment horizontal="left" vertical="center"/>
    </xf>
    <xf numFmtId="201" fontId="5" fillId="3" borderId="1" xfId="0" applyNumberFormat="1" applyFont="1" applyFill="1" applyBorder="1" applyAlignment="1">
      <alignment horizontal="center" vertical="center" wrapText="1"/>
    </xf>
    <xf numFmtId="1" fontId="100" fillId="2" borderId="1" xfId="1" applyNumberFormat="1" applyFont="1" applyFill="1" applyBorder="1" applyAlignment="1">
      <alignment horizontal="center" vertical="center" wrapText="1"/>
    </xf>
    <xf numFmtId="1" fontId="25" fillId="0" borderId="1" xfId="1" applyNumberFormat="1" applyFont="1" applyFill="1" applyBorder="1" applyAlignment="1">
      <alignment horizontal="center" vertical="center" wrapText="1"/>
    </xf>
    <xf numFmtId="0" fontId="38" fillId="0" borderId="0" xfId="1" applyFont="1" applyFill="1" applyAlignment="1">
      <alignment horizontal="center"/>
    </xf>
    <xf numFmtId="0" fontId="101" fillId="6" borderId="1" xfId="0" applyFont="1" applyFill="1" applyBorder="1" applyAlignment="1">
      <alignment horizontal="center" vertical="center" wrapText="1"/>
    </xf>
    <xf numFmtId="1" fontId="25" fillId="0" borderId="1" xfId="0" applyNumberFormat="1" applyFont="1" applyFill="1" applyBorder="1" applyAlignment="1">
      <alignment horizontal="center" vertical="center" wrapText="1"/>
    </xf>
    <xf numFmtId="0" fontId="102" fillId="0" borderId="0" xfId="0" applyFont="1"/>
    <xf numFmtId="201" fontId="5" fillId="0" borderId="1" xfId="0" applyNumberFormat="1" applyFont="1" applyBorder="1" applyAlignment="1">
      <alignment horizontal="center" vertical="center"/>
    </xf>
    <xf numFmtId="201" fontId="5" fillId="0" borderId="0" xfId="0" applyNumberFormat="1" applyFont="1" applyBorder="1" applyAlignment="1">
      <alignment horizontal="center" vertical="center"/>
    </xf>
    <xf numFmtId="1" fontId="2" fillId="2" borderId="1" xfId="0" applyNumberFormat="1" applyFont="1" applyFill="1" applyBorder="1" applyAlignment="1">
      <alignment horizontal="center" vertical="center" wrapText="1"/>
    </xf>
    <xf numFmtId="1" fontId="97"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201" fontId="6" fillId="3" borderId="1" xfId="1" applyNumberFormat="1" applyFont="1" applyFill="1" applyBorder="1" applyAlignment="1">
      <alignment horizontal="center" vertical="center" wrapText="1"/>
    </xf>
    <xf numFmtId="0" fontId="0" fillId="0" borderId="0" xfId="0" applyFill="1"/>
    <xf numFmtId="0" fontId="0" fillId="0" borderId="0" xfId="0" applyFill="1" applyAlignment="1">
      <alignment horizontal="center"/>
    </xf>
    <xf numFmtId="201" fontId="0" fillId="0" borderId="0" xfId="0" applyNumberFormat="1" applyFill="1"/>
    <xf numFmtId="0" fontId="103" fillId="0" borderId="1" xfId="0" applyFont="1" applyFill="1" applyBorder="1" applyAlignment="1">
      <alignment horizontal="left" vertical="center"/>
    </xf>
    <xf numFmtId="1" fontId="103" fillId="0" borderId="1" xfId="0" applyNumberFormat="1" applyFont="1" applyFill="1" applyBorder="1" applyAlignment="1">
      <alignment horizontal="left" vertical="center"/>
    </xf>
    <xf numFmtId="2" fontId="103" fillId="0" borderId="1" xfId="0" applyNumberFormat="1" applyFont="1" applyFill="1" applyBorder="1" applyAlignment="1">
      <alignment horizontal="left" vertical="center"/>
    </xf>
    <xf numFmtId="14" fontId="103" fillId="0" borderId="1" xfId="0" applyNumberFormat="1" applyFont="1" applyFill="1" applyBorder="1" applyAlignment="1">
      <alignment horizontal="left" vertical="center"/>
    </xf>
    <xf numFmtId="0" fontId="103" fillId="0" borderId="1" xfId="0" applyNumberFormat="1" applyFont="1" applyFill="1" applyBorder="1" applyAlignment="1">
      <alignment horizontal="left" vertical="center"/>
    </xf>
    <xf numFmtId="0" fontId="104" fillId="0" borderId="1" xfId="0" applyNumberFormat="1" applyFont="1" applyFill="1" applyBorder="1" applyAlignment="1">
      <alignment horizontal="left" vertical="center"/>
    </xf>
    <xf numFmtId="201" fontId="103" fillId="0" borderId="1" xfId="0" applyNumberFormat="1" applyFont="1" applyFill="1" applyBorder="1" applyAlignment="1">
      <alignment horizontal="left" vertical="center"/>
    </xf>
    <xf numFmtId="0" fontId="105" fillId="0" borderId="1" xfId="0" applyFont="1" applyFill="1" applyBorder="1" applyAlignment="1">
      <alignment horizontal="left" vertical="center"/>
    </xf>
    <xf numFmtId="0" fontId="103" fillId="0" borderId="0" xfId="0" applyFont="1" applyAlignment="1">
      <alignment horizontal="left" vertical="center"/>
    </xf>
    <xf numFmtId="201" fontId="0" fillId="0" borderId="0" xfId="0" applyNumberFormat="1"/>
    <xf numFmtId="0" fontId="106" fillId="0" borderId="1" xfId="0" applyFont="1" applyBorder="1" applyAlignment="1">
      <alignment horizontal="center" vertical="center"/>
    </xf>
    <xf numFmtId="0" fontId="87" fillId="0" borderId="0" xfId="0" applyFont="1" applyAlignment="1">
      <alignment horizontal="left" wrapText="1"/>
    </xf>
    <xf numFmtId="0" fontId="99" fillId="0" borderId="0" xfId="0" applyFont="1" applyAlignment="1">
      <alignment horizontal="center" vertical="center"/>
    </xf>
    <xf numFmtId="0" fontId="89" fillId="0" borderId="0" xfId="0" applyFont="1" applyAlignment="1">
      <alignment horizontal="center" vertical="center"/>
    </xf>
    <xf numFmtId="0" fontId="5" fillId="0" borderId="0" xfId="0" applyFont="1" applyAlignment="1">
      <alignment horizontal="justify" vertical="center" wrapText="1"/>
    </xf>
    <xf numFmtId="0" fontId="5" fillId="0" borderId="0" xfId="0" applyFont="1" applyAlignment="1">
      <alignment horizontal="justify" vertical="center" wrapText="1" shrinkToFit="1"/>
    </xf>
    <xf numFmtId="0" fontId="99" fillId="0" borderId="11" xfId="0" applyFont="1" applyBorder="1" applyAlignment="1">
      <alignment horizontal="center" vertical="center"/>
    </xf>
    <xf numFmtId="0" fontId="80" fillId="0" borderId="0" xfId="0" applyFont="1" applyAlignment="1">
      <alignment horizontal="left" vertical="center"/>
    </xf>
    <xf numFmtId="0" fontId="88" fillId="0" borderId="0" xfId="0" applyFont="1" applyAlignment="1">
      <alignment horizontal="center" vertical="center"/>
    </xf>
    <xf numFmtId="0" fontId="91" fillId="0" borderId="0" xfId="0" applyFont="1" applyAlignment="1">
      <alignment horizontal="right" vertical="center"/>
    </xf>
    <xf numFmtId="0" fontId="5" fillId="0" borderId="0" xfId="0" applyFont="1" applyAlignment="1">
      <alignment horizontal="left" vertical="center"/>
    </xf>
    <xf numFmtId="0" fontId="90" fillId="0" borderId="14" xfId="0" applyFont="1" applyBorder="1" applyAlignment="1">
      <alignment horizontal="right" vertical="center"/>
    </xf>
    <xf numFmtId="0" fontId="90" fillId="0" borderId="5" xfId="0" applyFont="1" applyBorder="1" applyAlignment="1">
      <alignment horizontal="right" vertical="center"/>
    </xf>
    <xf numFmtId="0" fontId="90" fillId="0" borderId="15" xfId="0" applyFont="1" applyBorder="1" applyAlignment="1">
      <alignment horizontal="right" vertical="center"/>
    </xf>
    <xf numFmtId="0" fontId="92" fillId="0" borderId="1" xfId="0" applyFont="1" applyBorder="1" applyAlignment="1">
      <alignment horizontal="center" vertical="center" wrapText="1"/>
    </xf>
    <xf numFmtId="0" fontId="92" fillId="0" borderId="14" xfId="0" applyFont="1" applyBorder="1" applyAlignment="1">
      <alignment horizontal="center" vertical="center"/>
    </xf>
    <xf numFmtId="0" fontId="92" fillId="0" borderId="5" xfId="0" applyFont="1" applyBorder="1" applyAlignment="1">
      <alignment horizontal="center" vertical="center"/>
    </xf>
    <xf numFmtId="0" fontId="92" fillId="0" borderId="15" xfId="0" applyFont="1" applyBorder="1" applyAlignment="1">
      <alignment horizontal="center" vertical="center"/>
    </xf>
    <xf numFmtId="0" fontId="90" fillId="0" borderId="14" xfId="0" applyFont="1" applyBorder="1" applyAlignment="1">
      <alignment horizontal="left" vertical="center"/>
    </xf>
    <xf numFmtId="0" fontId="90" fillId="0" borderId="5" xfId="0" applyFont="1" applyBorder="1" applyAlignment="1">
      <alignment horizontal="left" vertical="center"/>
    </xf>
    <xf numFmtId="3" fontId="90" fillId="0" borderId="14" xfId="0" applyNumberFormat="1" applyFont="1" applyBorder="1" applyAlignment="1">
      <alignment horizontal="right" vertical="center"/>
    </xf>
    <xf numFmtId="3" fontId="90" fillId="0" borderId="5" xfId="0" applyNumberFormat="1" applyFont="1" applyBorder="1" applyAlignment="1">
      <alignment horizontal="right" vertical="center"/>
    </xf>
    <xf numFmtId="3" fontId="90" fillId="0" borderId="15" xfId="0" applyNumberFormat="1" applyFont="1" applyBorder="1" applyAlignment="1">
      <alignment horizontal="right" vertical="center"/>
    </xf>
    <xf numFmtId="3" fontId="92" fillId="0" borderId="14" xfId="0" applyNumberFormat="1" applyFont="1" applyBorder="1" applyAlignment="1">
      <alignment horizontal="right" vertical="center"/>
    </xf>
    <xf numFmtId="3" fontId="92" fillId="0" borderId="5" xfId="0" applyNumberFormat="1" applyFont="1" applyBorder="1" applyAlignment="1">
      <alignment horizontal="right" vertical="center"/>
    </xf>
    <xf numFmtId="3" fontId="92" fillId="0" borderId="15" xfId="0" applyNumberFormat="1" applyFont="1" applyBorder="1" applyAlignment="1">
      <alignment horizontal="right" vertical="center"/>
    </xf>
    <xf numFmtId="0" fontId="90" fillId="0" borderId="14" xfId="0" applyFont="1" applyBorder="1" applyAlignment="1">
      <alignment horizontal="center" vertical="center"/>
    </xf>
    <xf numFmtId="0" fontId="90" fillId="0" borderId="15" xfId="0" applyFont="1" applyBorder="1" applyAlignment="1">
      <alignment horizontal="center" vertical="center"/>
    </xf>
    <xf numFmtId="0" fontId="8" fillId="0" borderId="0" xfId="0" applyFont="1" applyAlignment="1">
      <alignment horizontal="center" vertical="center"/>
    </xf>
    <xf numFmtId="0" fontId="88" fillId="0" borderId="0" xfId="0" applyFont="1" applyAlignment="1">
      <alignment horizontal="center" vertical="center" wrapText="1"/>
    </xf>
    <xf numFmtId="0" fontId="80" fillId="0" borderId="0" xfId="0" applyFont="1" applyAlignment="1">
      <alignment horizontal="left" vertical="top" wrapText="1"/>
    </xf>
    <xf numFmtId="0" fontId="92" fillId="0" borderId="0" xfId="0" applyFont="1" applyAlignment="1">
      <alignment horizontal="left" vertical="center"/>
    </xf>
    <xf numFmtId="0" fontId="5" fillId="0" borderId="0" xfId="0" applyFont="1" applyAlignment="1">
      <alignment horizontal="center" vertical="center"/>
    </xf>
    <xf numFmtId="0" fontId="89" fillId="0" borderId="0" xfId="0" applyFont="1" applyAlignment="1">
      <alignment horizontal="center" wrapText="1"/>
    </xf>
    <xf numFmtId="0" fontId="90" fillId="0" borderId="0" xfId="0" applyFont="1" applyAlignment="1">
      <alignment horizontal="center" wrapText="1"/>
    </xf>
    <xf numFmtId="0" fontId="90" fillId="0" borderId="13" xfId="0" applyNumberFormat="1" applyFont="1" applyBorder="1" applyAlignment="1">
      <alignment horizontal="center" vertical="top" wrapText="1"/>
    </xf>
    <xf numFmtId="0" fontId="97" fillId="0" borderId="0" xfId="0" applyFont="1" applyAlignment="1">
      <alignment horizontal="center"/>
    </xf>
    <xf numFmtId="0" fontId="86" fillId="0" borderId="0" xfId="1" applyFont="1" applyBorder="1" applyAlignment="1">
      <alignment horizontal="center" vertical="center" wrapText="1"/>
    </xf>
    <xf numFmtId="1" fontId="86" fillId="0" borderId="0" xfId="1" applyNumberFormat="1" applyFont="1" applyBorder="1" applyAlignment="1">
      <alignment horizontal="center" vertical="center" wrapText="1"/>
    </xf>
    <xf numFmtId="1" fontId="86" fillId="0" borderId="0" xfId="1" applyNumberFormat="1" applyFont="1" applyBorder="1" applyAlignment="1">
      <alignment horizontal="center" vertical="center"/>
    </xf>
    <xf numFmtId="49" fontId="86" fillId="0" borderId="0" xfId="1" applyNumberFormat="1" applyFont="1" applyBorder="1" applyAlignment="1">
      <alignment horizontal="center" vertical="center" wrapText="1"/>
    </xf>
    <xf numFmtId="0" fontId="85" fillId="0" borderId="0" xfId="1" applyFont="1" applyAlignment="1">
      <alignment horizontal="left" vertical="top" wrapText="1"/>
    </xf>
    <xf numFmtId="0" fontId="4" fillId="0" borderId="14" xfId="1" applyFont="1" applyBorder="1" applyAlignment="1">
      <alignment horizontal="center" vertical="top" wrapText="1"/>
    </xf>
    <xf numFmtId="0" fontId="4" fillId="0" borderId="5" xfId="1" applyFont="1" applyBorder="1" applyAlignment="1">
      <alignment horizontal="center" vertical="top" wrapText="1"/>
    </xf>
    <xf numFmtId="0" fontId="4" fillId="0" borderId="15" xfId="1" applyFont="1" applyBorder="1" applyAlignment="1">
      <alignment horizontal="center" vertical="top" wrapText="1"/>
    </xf>
    <xf numFmtId="0" fontId="6" fillId="0" borderId="0" xfId="1" applyFont="1" applyBorder="1" applyAlignment="1">
      <alignment horizontal="center" vertical="center" wrapText="1"/>
    </xf>
    <xf numFmtId="0" fontId="6" fillId="0" borderId="0" xfId="1" applyFont="1" applyBorder="1" applyAlignment="1">
      <alignment horizontal="center" vertical="top"/>
    </xf>
    <xf numFmtId="0" fontId="7" fillId="0" borderId="14" xfId="1" applyFont="1" applyBorder="1" applyAlignment="1">
      <alignment horizontal="left" vertical="center" wrapText="1"/>
    </xf>
    <xf numFmtId="0" fontId="7" fillId="0" borderId="5" xfId="1" applyFont="1" applyBorder="1" applyAlignment="1">
      <alignment horizontal="left" vertical="center" wrapText="1"/>
    </xf>
    <xf numFmtId="0" fontId="7" fillId="0" borderId="15" xfId="1" applyFont="1" applyBorder="1" applyAlignment="1">
      <alignment horizontal="left" vertical="center" wrapText="1"/>
    </xf>
    <xf numFmtId="0" fontId="4" fillId="0" borderId="1" xfId="1" applyFont="1" applyBorder="1" applyAlignment="1">
      <alignment horizontal="left" vertical="top" wrapText="1"/>
    </xf>
    <xf numFmtId="0" fontId="7" fillId="0" borderId="11" xfId="1" applyFont="1" applyBorder="1" applyAlignment="1">
      <alignment wrapText="1"/>
    </xf>
    <xf numFmtId="0" fontId="7" fillId="0" borderId="0" xfId="1" applyFont="1" applyAlignment="1">
      <alignment horizontal="left" vertical="center" wrapText="1"/>
    </xf>
    <xf numFmtId="49" fontId="4" fillId="0" borderId="14" xfId="1" applyNumberFormat="1" applyFont="1" applyBorder="1" applyAlignment="1">
      <alignment horizontal="center" vertical="top" wrapText="1"/>
    </xf>
    <xf numFmtId="49" fontId="4" fillId="0" borderId="5" xfId="1" applyNumberFormat="1" applyFont="1" applyBorder="1" applyAlignment="1">
      <alignment horizontal="center" vertical="top" wrapText="1"/>
    </xf>
    <xf numFmtId="49" fontId="4" fillId="0" borderId="15" xfId="1" applyNumberFormat="1" applyFont="1" applyBorder="1" applyAlignment="1">
      <alignment horizontal="center" vertical="top" wrapText="1"/>
    </xf>
    <xf numFmtId="0" fontId="7" fillId="0" borderId="14" xfId="1" applyFont="1" applyBorder="1" applyAlignment="1">
      <alignment horizontal="center" vertical="center" wrapText="1"/>
    </xf>
    <xf numFmtId="0" fontId="7" fillId="0" borderId="5" xfId="1" applyFont="1" applyBorder="1" applyAlignment="1">
      <alignment horizontal="center" vertical="center" wrapText="1"/>
    </xf>
    <xf numFmtId="0" fontId="7" fillId="0" borderId="15" xfId="1" applyFont="1" applyBorder="1" applyAlignment="1">
      <alignment horizontal="center" vertical="center" wrapText="1"/>
    </xf>
    <xf numFmtId="0" fontId="4" fillId="0" borderId="14" xfId="1" applyFont="1" applyBorder="1" applyAlignment="1">
      <alignment horizontal="left" vertical="top" wrapText="1"/>
    </xf>
    <xf numFmtId="0" fontId="4" fillId="0" borderId="5" xfId="1" applyFont="1" applyBorder="1" applyAlignment="1">
      <alignment horizontal="left" vertical="top" wrapText="1"/>
    </xf>
    <xf numFmtId="0" fontId="4" fillId="0" borderId="15" xfId="1" applyFont="1" applyBorder="1" applyAlignment="1">
      <alignment horizontal="left" vertical="top" wrapText="1"/>
    </xf>
    <xf numFmtId="0" fontId="4" fillId="0" borderId="0" xfId="1" applyFont="1" applyBorder="1" applyAlignment="1">
      <alignment horizontal="left" vertical="center" wrapText="1"/>
    </xf>
    <xf numFmtId="0" fontId="7" fillId="0" borderId="0" xfId="1" applyFont="1" applyAlignment="1">
      <alignment horizontal="center" vertical="center"/>
    </xf>
    <xf numFmtId="0" fontId="81" fillId="0" borderId="0" xfId="1" applyFont="1" applyAlignment="1">
      <alignment horizontal="center" vertical="top"/>
    </xf>
    <xf numFmtId="0" fontId="83" fillId="0" borderId="0" xfId="1" applyFont="1" applyAlignment="1">
      <alignment horizontal="center" vertical="center"/>
    </xf>
    <xf numFmtId="0" fontId="4" fillId="0" borderId="14" xfId="1" applyFont="1" applyBorder="1" applyAlignment="1">
      <alignment horizontal="center" vertical="center" wrapText="1"/>
    </xf>
    <xf numFmtId="0" fontId="4" fillId="0" borderId="5" xfId="1" applyFont="1" applyBorder="1" applyAlignment="1">
      <alignment horizontal="center" vertical="center" wrapText="1"/>
    </xf>
    <xf numFmtId="0" fontId="4" fillId="0" borderId="15" xfId="1" applyFont="1" applyBorder="1" applyAlignment="1">
      <alignment horizontal="center" vertical="center" wrapText="1"/>
    </xf>
    <xf numFmtId="0" fontId="7" fillId="0" borderId="14" xfId="1" applyFont="1" applyBorder="1" applyAlignment="1">
      <alignment horizontal="left" vertical="top" wrapText="1"/>
    </xf>
    <xf numFmtId="0" fontId="7" fillId="0" borderId="5" xfId="1" applyFont="1" applyBorder="1" applyAlignment="1">
      <alignment horizontal="left" vertical="top" wrapText="1"/>
    </xf>
    <xf numFmtId="0" fontId="7" fillId="0" borderId="15" xfId="1" applyFont="1" applyBorder="1" applyAlignment="1">
      <alignment horizontal="left" vertical="top" wrapText="1"/>
    </xf>
    <xf numFmtId="0" fontId="81" fillId="0" borderId="0" xfId="1" applyFont="1" applyFill="1" applyAlignment="1">
      <alignment horizontal="center" vertical="center"/>
    </xf>
    <xf numFmtId="0" fontId="81" fillId="0" borderId="0" xfId="1" applyFont="1" applyAlignment="1">
      <alignment horizontal="center" vertical="center"/>
    </xf>
    <xf numFmtId="0" fontId="4" fillId="0" borderId="14" xfId="1" applyFont="1" applyBorder="1" applyAlignment="1">
      <alignment horizontal="left" vertical="center" wrapText="1"/>
    </xf>
    <xf numFmtId="0" fontId="4" fillId="0" borderId="5" xfId="1" applyFont="1" applyBorder="1" applyAlignment="1">
      <alignment horizontal="left" vertical="center" wrapText="1"/>
    </xf>
    <xf numFmtId="0" fontId="4" fillId="0" borderId="15" xfId="1" applyFont="1" applyBorder="1" applyAlignment="1">
      <alignment horizontal="left" vertical="center" wrapText="1"/>
    </xf>
    <xf numFmtId="0" fontId="7" fillId="0" borderId="0" xfId="1" applyFont="1" applyAlignment="1">
      <alignment horizontal="center"/>
    </xf>
    <xf numFmtId="0" fontId="7" fillId="0" borderId="0" xfId="1" applyFont="1" applyAlignment="1">
      <alignment horizontal="left" vertical="top" wrapText="1"/>
    </xf>
    <xf numFmtId="14" fontId="4" fillId="0" borderId="0" xfId="1" applyNumberFormat="1" applyFont="1" applyAlignment="1">
      <alignment horizontal="left" vertical="center"/>
    </xf>
    <xf numFmtId="0" fontId="4" fillId="0" borderId="0" xfId="1" applyFont="1" applyAlignment="1">
      <alignment horizontal="left" vertical="center"/>
    </xf>
    <xf numFmtId="0" fontId="82" fillId="0" borderId="0" xfId="1" applyFont="1" applyAlignment="1">
      <alignment horizontal="center"/>
    </xf>
    <xf numFmtId="0" fontId="7" fillId="0" borderId="0" xfId="1" applyFont="1" applyAlignment="1">
      <alignment horizontal="center" vertical="top" wrapText="1"/>
    </xf>
    <xf numFmtId="0" fontId="4" fillId="0" borderId="0" xfId="1" applyFont="1" applyAlignment="1">
      <alignment horizontal="center"/>
    </xf>
    <xf numFmtId="0" fontId="4" fillId="0" borderId="1" xfId="1" applyFont="1" applyBorder="1" applyAlignment="1">
      <alignment horizontal="center" vertical="top" wrapText="1"/>
    </xf>
    <xf numFmtId="0" fontId="7" fillId="0" borderId="12" xfId="1" applyFont="1" applyBorder="1" applyAlignment="1">
      <alignment horizontal="left" vertical="center" wrapText="1"/>
    </xf>
    <xf numFmtId="0" fontId="7" fillId="0" borderId="11" xfId="1" applyFont="1" applyBorder="1" applyAlignment="1">
      <alignment horizontal="left" vertical="center" wrapText="1"/>
    </xf>
    <xf numFmtId="0" fontId="7" fillId="0" borderId="16" xfId="1" applyFont="1" applyBorder="1" applyAlignment="1">
      <alignment horizontal="left" vertical="center" wrapText="1"/>
    </xf>
    <xf numFmtId="0" fontId="4" fillId="0" borderId="5" xfId="1" applyNumberFormat="1" applyFont="1" applyBorder="1" applyAlignment="1">
      <alignment horizontal="center" vertical="top" wrapText="1"/>
    </xf>
    <xf numFmtId="0" fontId="4" fillId="0" borderId="15" xfId="1" applyNumberFormat="1" applyFont="1" applyBorder="1" applyAlignment="1">
      <alignment horizontal="center" vertical="top" wrapText="1"/>
    </xf>
    <xf numFmtId="49" fontId="4" fillId="0" borderId="1" xfId="1" applyNumberFormat="1" applyFont="1" applyBorder="1" applyAlignment="1">
      <alignment horizontal="center" vertical="top" wrapText="1"/>
    </xf>
    <xf numFmtId="0" fontId="4" fillId="0" borderId="1" xfId="1" applyNumberFormat="1" applyFont="1" applyBorder="1" applyAlignment="1">
      <alignment horizontal="center" vertical="top" wrapText="1"/>
    </xf>
    <xf numFmtId="0" fontId="86" fillId="0" borderId="1" xfId="1" applyFont="1" applyBorder="1" applyAlignment="1">
      <alignment horizontal="center" vertical="center" wrapText="1"/>
    </xf>
    <xf numFmtId="0" fontId="6" fillId="0" borderId="14" xfId="1" applyFont="1" applyBorder="1" applyAlignment="1">
      <alignment horizontal="left" vertical="top" wrapText="1"/>
    </xf>
    <xf numFmtId="0" fontId="6" fillId="0" borderId="5" xfId="1" applyFont="1" applyBorder="1" applyAlignment="1">
      <alignment horizontal="left" vertical="top" wrapText="1"/>
    </xf>
    <xf numFmtId="0" fontId="6" fillId="0" borderId="15" xfId="1" applyFont="1" applyBorder="1" applyAlignment="1">
      <alignment horizontal="left" vertical="top" wrapText="1"/>
    </xf>
    <xf numFmtId="0" fontId="86" fillId="0" borderId="14" xfId="1" applyFont="1" applyBorder="1" applyAlignment="1">
      <alignment horizontal="center" vertical="top" wrapText="1"/>
    </xf>
    <xf numFmtId="0" fontId="86" fillId="0" borderId="5" xfId="1" applyFont="1" applyBorder="1" applyAlignment="1">
      <alignment horizontal="center" vertical="top" wrapText="1"/>
    </xf>
    <xf numFmtId="0" fontId="86" fillId="0" borderId="15" xfId="1" applyFont="1" applyBorder="1" applyAlignment="1">
      <alignment horizontal="center" vertical="top" wrapText="1"/>
    </xf>
    <xf numFmtId="0" fontId="86" fillId="0" borderId="14" xfId="1" applyFont="1" applyBorder="1" applyAlignment="1">
      <alignment horizontal="center" vertical="center" wrapText="1"/>
    </xf>
    <xf numFmtId="0" fontId="86" fillId="0" borderId="5" xfId="1" applyFont="1" applyBorder="1" applyAlignment="1">
      <alignment horizontal="center" vertical="center" wrapText="1"/>
    </xf>
    <xf numFmtId="0" fontId="86" fillId="0" borderId="15" xfId="1" applyFont="1" applyBorder="1" applyAlignment="1">
      <alignment horizontal="center" vertical="center" wrapText="1"/>
    </xf>
    <xf numFmtId="0" fontId="86" fillId="0" borderId="1" xfId="1" applyFont="1" applyBorder="1" applyAlignment="1">
      <alignment horizontal="center" vertical="top" wrapText="1"/>
    </xf>
    <xf numFmtId="0" fontId="86" fillId="0" borderId="14" xfId="1" applyFont="1" applyBorder="1" applyAlignment="1">
      <alignment horizontal="left" vertical="top" wrapText="1"/>
    </xf>
    <xf numFmtId="0" fontId="86" fillId="0" borderId="5" xfId="1" applyFont="1" applyBorder="1" applyAlignment="1">
      <alignment horizontal="left" vertical="top" wrapText="1"/>
    </xf>
    <xf numFmtId="0" fontId="86" fillId="0" borderId="15" xfId="1" applyFont="1" applyBorder="1" applyAlignment="1">
      <alignment horizontal="left" vertical="top" wrapText="1"/>
    </xf>
    <xf numFmtId="49" fontId="86" fillId="0" borderId="1" xfId="1" applyNumberFormat="1" applyFont="1" applyBorder="1" applyAlignment="1">
      <alignment horizontal="center" vertical="top" wrapText="1"/>
    </xf>
    <xf numFmtId="0" fontId="86" fillId="0" borderId="1" xfId="1" applyFont="1" applyBorder="1" applyAlignment="1">
      <alignment horizontal="left" vertical="top" wrapText="1"/>
    </xf>
    <xf numFmtId="0" fontId="6" fillId="0" borderId="14" xfId="1" applyFont="1" applyBorder="1" applyAlignment="1">
      <alignment horizontal="center" vertical="center" wrapText="1"/>
    </xf>
    <xf numFmtId="0" fontId="6" fillId="0" borderId="5" xfId="1" applyFont="1" applyBorder="1" applyAlignment="1">
      <alignment horizontal="center" vertical="center" wrapText="1"/>
    </xf>
    <xf numFmtId="0" fontId="6" fillId="0" borderId="15" xfId="1" applyFont="1" applyBorder="1" applyAlignment="1">
      <alignment horizontal="center" vertical="center" wrapText="1"/>
    </xf>
    <xf numFmtId="0" fontId="6" fillId="0" borderId="14" xfId="1" applyFont="1" applyBorder="1" applyAlignment="1">
      <alignment horizontal="left" vertical="center" wrapText="1"/>
    </xf>
    <xf numFmtId="0" fontId="6" fillId="0" borderId="5" xfId="1" applyFont="1" applyBorder="1" applyAlignment="1">
      <alignment horizontal="left" vertical="center" wrapText="1"/>
    </xf>
    <xf numFmtId="0" fontId="6" fillId="0" borderId="15" xfId="1" applyFont="1" applyBorder="1" applyAlignment="1">
      <alignment horizontal="left" vertical="center" wrapText="1"/>
    </xf>
    <xf numFmtId="0" fontId="86" fillId="0" borderId="14" xfId="1" applyFont="1" applyBorder="1" applyAlignment="1">
      <alignment horizontal="left" vertical="center" wrapText="1"/>
    </xf>
    <xf numFmtId="0" fontId="86" fillId="0" borderId="5" xfId="1" applyFont="1" applyBorder="1" applyAlignment="1">
      <alignment horizontal="left" vertical="center" wrapText="1"/>
    </xf>
    <xf numFmtId="0" fontId="86" fillId="0" borderId="15" xfId="1" applyFont="1" applyBorder="1" applyAlignment="1">
      <alignment horizontal="left" vertical="center" wrapText="1"/>
    </xf>
    <xf numFmtId="0" fontId="84" fillId="0" borderId="0" xfId="1" applyFont="1" applyAlignment="1">
      <alignment horizontal="center" wrapText="1"/>
    </xf>
    <xf numFmtId="0" fontId="6" fillId="0" borderId="1" xfId="1" applyFont="1" applyBorder="1" applyAlignment="1">
      <alignment horizontal="left" vertical="top" wrapText="1"/>
    </xf>
    <xf numFmtId="0" fontId="0" fillId="0" borderId="1" xfId="0" applyBorder="1"/>
    <xf numFmtId="0" fontId="7" fillId="0" borderId="0" xfId="1" applyFont="1" applyBorder="1" applyAlignment="1">
      <alignment wrapText="1"/>
    </xf>
    <xf numFmtId="0" fontId="79" fillId="0" borderId="1" xfId="1" applyFont="1" applyBorder="1" applyAlignment="1">
      <alignment horizontal="center" vertical="top" wrapText="1"/>
    </xf>
    <xf numFmtId="0" fontId="86" fillId="0" borderId="0" xfId="1" applyNumberFormat="1" applyFont="1" applyBorder="1" applyAlignment="1">
      <alignment horizontal="center" vertical="center" wrapText="1"/>
    </xf>
    <xf numFmtId="49" fontId="79" fillId="0" borderId="1" xfId="1" applyNumberFormat="1" applyFont="1" applyBorder="1" applyAlignment="1">
      <alignment horizontal="center" vertical="top" wrapText="1"/>
    </xf>
    <xf numFmtId="0" fontId="2" fillId="0" borderId="14" xfId="0"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cellXfs>
  <cellStyles count="201">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2" xfId="4"/>
    <cellStyle name="Normal 2" xfId="1"/>
    <cellStyle name="Normal 3" xfId="200"/>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1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W:\2019\Ca%20nhan\Phong%20Kiem%20dinh\1.%20Kiem%20dinh\1.%20761%20BTS\2.%20Do%20kiem\1.%20Dot%202\48%20BTS%20VTT%20+%2059%20BTS%20VNP\BBKD_48%20VTT%20(107-76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2019\Ca%20nhan\Phong%20Kiem%20dinh\1.%20Kiem%20dinh\1.%20761%20BTS\3.%20Cap%20GCN\CHI%20CAP\BBKD_71%20(140)_DDMMYY_Doan%20Loc%20(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3">
          <cell r="BB3">
            <v>0</v>
          </cell>
        </row>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t="str">
            <v>7 (4&amp;3)</v>
          </cell>
        </row>
        <row r="20">
          <cell r="BB20">
            <v>8</v>
          </cell>
        </row>
        <row r="21">
          <cell r="BB21">
            <v>10</v>
          </cell>
        </row>
        <row r="22">
          <cell r="BB22">
            <v>12</v>
          </cell>
        </row>
        <row r="23">
          <cell r="BB23">
            <v>0</v>
          </cell>
        </row>
      </sheetData>
      <sheetData sheetId="1">
        <row r="4">
          <cell r="C4" t="str">
            <v>TVH0573</v>
          </cell>
          <cell r="H4" t="str">
            <v>U2100</v>
          </cell>
          <cell r="K4" t="str">
            <v>NOKIA Flexi WCDMA BTS</v>
          </cell>
          <cell r="P4">
            <v>3</v>
          </cell>
          <cell r="Q4" t="str">
            <v>2/2/2</v>
          </cell>
          <cell r="AG4">
            <v>0</v>
          </cell>
          <cell r="AH4">
            <v>25</v>
          </cell>
          <cell r="AS4" t="str">
            <v>RFS APXV18-206516S-C</v>
          </cell>
          <cell r="AY4" t="str">
            <v>1801785/2019/PTN-KĐ</v>
          </cell>
          <cell r="GR4">
            <v>43478</v>
          </cell>
          <cell r="GS4" t="str">
            <v>106,34579;9,97188</v>
          </cell>
          <cell r="GU4">
            <v>1</v>
          </cell>
          <cell r="GV4" t="str">
            <v>Trà Vinh</v>
          </cell>
          <cell r="GX4" t="str">
            <v>Khu công nghiệp Long Đức, ấp Vĩnh Yên, xã Long Đức, thành phố Trà Vinh, tỉnh Trà Vinh.</v>
          </cell>
          <cell r="GY4">
            <v>1</v>
          </cell>
          <cell r="GZ4">
            <v>761</v>
          </cell>
          <cell r="HK4">
            <v>43497</v>
          </cell>
          <cell r="HM4" t="str">
            <v>Viettel Trà Vinh - Chi nhánh Tập đoàn Công nghiệp - Viễn Thông Quân Đội</v>
          </cell>
          <cell r="HQ4" t="str">
            <v>8</v>
          </cell>
          <cell r="HR4" t="str">
            <v>TẬP ĐOÀN CÔNG NGHIỆP - VIỄN THÔNG QUÂN ĐỘI</v>
          </cell>
          <cell r="HS4" t="str">
            <v>40W/40W/40W</v>
          </cell>
          <cell r="HT4" t="str">
            <v>25m/ 25m/ 25m</v>
          </cell>
          <cell r="HV4">
            <v>0</v>
          </cell>
        </row>
        <row r="5">
          <cell r="C5" t="str">
            <v>TVH0011</v>
          </cell>
          <cell r="H5" t="str">
            <v>G1800</v>
          </cell>
          <cell r="K5" t="str">
            <v>NOKIA Flexi EDGE BTS</v>
          </cell>
          <cell r="P5">
            <v>3</v>
          </cell>
          <cell r="Q5" t="str">
            <v>4/4/4</v>
          </cell>
          <cell r="AG5">
            <v>10.5</v>
          </cell>
          <cell r="AH5">
            <v>15</v>
          </cell>
          <cell r="AS5" t="str">
            <v>Kathrein 736018</v>
          </cell>
          <cell r="AY5" t="str">
            <v>1801786/2019/PTN-KĐ</v>
          </cell>
          <cell r="GR5">
            <v>43478</v>
          </cell>
          <cell r="GS5" t="str">
            <v>106,34015;9,93284</v>
          </cell>
          <cell r="GU5" t="str">
            <v>1</v>
          </cell>
          <cell r="GV5" t="str">
            <v>Trà Vinh</v>
          </cell>
          <cell r="GX5" t="str">
            <v>Số 74, đường Phan Đình Phùng, phường 6, thành phố Trà Vinh, tỉnh Trà Vinh.</v>
          </cell>
          <cell r="GY5">
            <v>3</v>
          </cell>
          <cell r="GZ5">
            <v>761</v>
          </cell>
          <cell r="HK5">
            <v>43497</v>
          </cell>
          <cell r="HM5" t="str">
            <v>Viettel Trà Vinh - Chi nhánh Tập đoàn Công nghiệp - Viễn Thông Quân Đội</v>
          </cell>
          <cell r="HQ5" t="str">
            <v>14</v>
          </cell>
          <cell r="HR5" t="str">
            <v>TẬP ĐOÀN CÔNG NGHIỆP - VIỄN THÔNG QUÂN ĐỘI</v>
          </cell>
          <cell r="HS5" t="str">
            <v>37,24W/37,24W/37,24W</v>
          </cell>
          <cell r="HT5" t="str">
            <v>25,5m/ 25,5m/ 25,5m</v>
          </cell>
          <cell r="HV5">
            <v>0</v>
          </cell>
        </row>
        <row r="6">
          <cell r="C6" t="str">
            <v>TVH0026</v>
          </cell>
          <cell r="H6" t="str">
            <v>G900</v>
          </cell>
          <cell r="K6" t="str">
            <v>NOKIA Flexi EDGE BTS</v>
          </cell>
          <cell r="P6">
            <v>3</v>
          </cell>
          <cell r="Q6" t="str">
            <v>4/4/4</v>
          </cell>
          <cell r="AG6">
            <v>0</v>
          </cell>
          <cell r="AH6">
            <v>33</v>
          </cell>
          <cell r="AS6" t="str">
            <v>Kathrein 739636</v>
          </cell>
          <cell r="AY6" t="str">
            <v>1801787/2019/PTN-KĐ</v>
          </cell>
          <cell r="GR6">
            <v>43478</v>
          </cell>
          <cell r="GS6" t="str">
            <v>106,33749;9,92274</v>
          </cell>
          <cell r="GU6" t="str">
            <v>1</v>
          </cell>
          <cell r="GV6" t="str">
            <v>Trà Vinh</v>
          </cell>
          <cell r="GX6" t="str">
            <v>Hèm 16, đường Mậu Thân, khóm 10, phường 9, thành phố Trà Vinh, tỉnh Trà Vinh.</v>
          </cell>
          <cell r="GY6">
            <v>3</v>
          </cell>
          <cell r="GZ6">
            <v>761</v>
          </cell>
          <cell r="HK6">
            <v>43497</v>
          </cell>
          <cell r="HM6" t="str">
            <v>Viettel Trà Vinh - Chi nhánh Tập đoàn Công nghiệp - Viễn Thông Quân Đội</v>
          </cell>
          <cell r="HQ6" t="str">
            <v>10,5</v>
          </cell>
          <cell r="HR6" t="str">
            <v>TẬP ĐOÀN CÔNG NGHIỆP - VIỄN THÔNG QUÂN ĐỘI</v>
          </cell>
          <cell r="HS6" t="str">
            <v>37,24W/37,24W/37,24W</v>
          </cell>
          <cell r="HT6" t="str">
            <v>33m/ 33m/ 33m</v>
          </cell>
          <cell r="HV6">
            <v>0</v>
          </cell>
        </row>
        <row r="7">
          <cell r="C7" t="str">
            <v>TVH0028</v>
          </cell>
          <cell r="H7" t="str">
            <v>G900</v>
          </cell>
          <cell r="K7" t="str">
            <v>NOKIA Flexi EDGE BTS</v>
          </cell>
          <cell r="P7">
            <v>3</v>
          </cell>
          <cell r="Q7" t="str">
            <v>4/4/4</v>
          </cell>
          <cell r="AG7">
            <v>0</v>
          </cell>
          <cell r="AH7">
            <v>33</v>
          </cell>
          <cell r="AS7" t="str">
            <v>Kathrein 739636</v>
          </cell>
          <cell r="AY7" t="str">
            <v>1801788/2019/PTN-KĐ</v>
          </cell>
          <cell r="GR7">
            <v>43478</v>
          </cell>
          <cell r="GS7" t="str">
            <v>106,33032;9,94660</v>
          </cell>
          <cell r="GU7" t="str">
            <v>1</v>
          </cell>
          <cell r="GV7" t="str">
            <v>Trà Vinh</v>
          </cell>
          <cell r="GX7" t="str">
            <v>Số 16, đường Phú Hòa, phường 1, thành phố Trà Vinh, tỉnh Trà Vinh.</v>
          </cell>
          <cell r="GY7">
            <v>2</v>
          </cell>
          <cell r="GZ7">
            <v>761</v>
          </cell>
          <cell r="HK7">
            <v>43497</v>
          </cell>
          <cell r="HM7" t="str">
            <v>Viettel Trà Vinh - Chi nhánh Tập đoàn Công nghiệp - Viễn Thông Quân Đội</v>
          </cell>
          <cell r="HQ7" t="str">
            <v>4</v>
          </cell>
          <cell r="HR7" t="str">
            <v>TẬP ĐOÀN CÔNG NGHIỆP - VIỄN THÔNG QUÂN ĐỘI</v>
          </cell>
          <cell r="HS7" t="str">
            <v>37,24W/37,24W/37,24W</v>
          </cell>
          <cell r="HT7" t="str">
            <v>33m/ 33m/ 33m</v>
          </cell>
          <cell r="HV7">
            <v>0</v>
          </cell>
        </row>
        <row r="8">
          <cell r="C8" t="str">
            <v>TVH0189</v>
          </cell>
          <cell r="H8" t="str">
            <v>G1800</v>
          </cell>
          <cell r="K8" t="str">
            <v>NOKIA Flexi EDGE BTS</v>
          </cell>
          <cell r="P8">
            <v>3</v>
          </cell>
          <cell r="Q8" t="str">
            <v>4/4/4</v>
          </cell>
          <cell r="AG8">
            <v>0</v>
          </cell>
          <cell r="AH8">
            <v>29</v>
          </cell>
          <cell r="AS8" t="str">
            <v>Kathrein 736018</v>
          </cell>
          <cell r="AY8" t="str">
            <v>1801789/2019/PTN-KĐ</v>
          </cell>
          <cell r="GR8">
            <v>43479</v>
          </cell>
          <cell r="GS8" t="str">
            <v>106,33967;9,92842</v>
          </cell>
          <cell r="GU8" t="str">
            <v>1</v>
          </cell>
          <cell r="GV8" t="str">
            <v>Trà Vinh</v>
          </cell>
          <cell r="GX8" t="str">
            <v>Hẻm 208, đường Điện Biên Phủ, phường 6, thành phố Trà Vinh, tỉnh Trà Vinh.</v>
          </cell>
          <cell r="GY8">
            <v>3</v>
          </cell>
          <cell r="GZ8">
            <v>761</v>
          </cell>
          <cell r="HK8">
            <v>43497</v>
          </cell>
          <cell r="HM8" t="str">
            <v>Viettel Trà Vinh - Chi nhánh Tập đoàn Công nghiệp - Viễn Thông Quân Đội</v>
          </cell>
          <cell r="HQ8" t="str">
            <v>10,5</v>
          </cell>
          <cell r="HR8" t="str">
            <v>TẬP ĐOÀN CÔNG NGHIỆP - VIỄN THÔNG QUÂN ĐỘI</v>
          </cell>
          <cell r="HS8" t="str">
            <v>37,24W/37,24W/37,24W</v>
          </cell>
          <cell r="HT8" t="str">
            <v>29m/ 29m/ 29m</v>
          </cell>
          <cell r="HV8">
            <v>0</v>
          </cell>
        </row>
        <row r="9">
          <cell r="C9" t="str">
            <v>TVH0368</v>
          </cell>
          <cell r="H9" t="str">
            <v>G1800</v>
          </cell>
          <cell r="K9" t="str">
            <v>NOKIA Flexi EDGE BTS</v>
          </cell>
          <cell r="P9">
            <v>3</v>
          </cell>
          <cell r="Q9" t="str">
            <v>4/4/4</v>
          </cell>
          <cell r="AG9">
            <v>0</v>
          </cell>
          <cell r="AH9">
            <v>34</v>
          </cell>
          <cell r="AS9" t="str">
            <v>Kathrein 736018</v>
          </cell>
          <cell r="AY9" t="str">
            <v>1801790/2019/PTN-KĐ</v>
          </cell>
          <cell r="GR9">
            <v>43479</v>
          </cell>
          <cell r="GS9" t="str">
            <v>106,34929;9,93488</v>
          </cell>
          <cell r="GU9" t="str">
            <v>1</v>
          </cell>
          <cell r="GV9" t="str">
            <v>Trà Vinh</v>
          </cell>
          <cell r="GX9" t="str">
            <v>Đường D5, phường 5, thành phố Trà Vinh, tỉnh Trà Vinh.</v>
          </cell>
          <cell r="GY9">
            <v>3</v>
          </cell>
          <cell r="GZ9">
            <v>761</v>
          </cell>
          <cell r="HK9">
            <v>43497</v>
          </cell>
          <cell r="HM9" t="str">
            <v>Viettel Trà Vinh - Chi nhánh Tập đoàn Công nghiệp - Viễn Thông Quân Đội</v>
          </cell>
          <cell r="HQ9" t="str">
            <v>4</v>
          </cell>
          <cell r="HR9" t="str">
            <v>TẬP ĐOÀN CÔNG NGHIỆP - VIỄN THÔNG QUÂN ĐỘI</v>
          </cell>
          <cell r="HS9" t="str">
            <v>37,24W/37,24W/37,24W</v>
          </cell>
          <cell r="HT9" t="str">
            <v>34m/ 34m/ 34m</v>
          </cell>
          <cell r="HV9">
            <v>0</v>
          </cell>
        </row>
        <row r="10">
          <cell r="C10" t="str">
            <v>TVH0369</v>
          </cell>
          <cell r="H10" t="str">
            <v>G1800</v>
          </cell>
          <cell r="K10" t="str">
            <v>NOKIA Flexi EDGE BTS</v>
          </cell>
          <cell r="P10">
            <v>3</v>
          </cell>
          <cell r="Q10" t="str">
            <v>4/4/4</v>
          </cell>
          <cell r="AG10">
            <v>8</v>
          </cell>
          <cell r="AH10">
            <v>13</v>
          </cell>
          <cell r="AS10" t="str">
            <v>Kathrein 736018</v>
          </cell>
          <cell r="AY10" t="str">
            <v>1801791/2019/PTN-KĐ</v>
          </cell>
          <cell r="GR10">
            <v>43479</v>
          </cell>
          <cell r="GS10" t="str">
            <v>106,34267;9,93165</v>
          </cell>
          <cell r="GU10" t="str">
            <v>1</v>
          </cell>
          <cell r="GV10" t="str">
            <v>Trà Vinh</v>
          </cell>
          <cell r="GX10" t="str">
            <v>Số 136, đường Đồng Khởi, khóm 9, phường 6, thành phố Trà Vinh, tỉnh Trà Vinh.</v>
          </cell>
          <cell r="GY10">
            <v>3</v>
          </cell>
          <cell r="GZ10">
            <v>761</v>
          </cell>
          <cell r="HK10">
            <v>43497</v>
          </cell>
          <cell r="HM10" t="str">
            <v>Viettel Trà Vinh - Chi nhánh Tập đoàn Công nghiệp - Viễn Thông Quân Đội</v>
          </cell>
          <cell r="HQ10" t="str">
            <v>14</v>
          </cell>
          <cell r="HR10" t="str">
            <v>TẬP ĐOÀN CÔNG NGHIỆP - VIỄN THÔNG QUÂN ĐỘI</v>
          </cell>
          <cell r="HS10" t="str">
            <v>37,24W/37,24W/37,24W</v>
          </cell>
          <cell r="HT10" t="str">
            <v>21m/ 21m/ 21m</v>
          </cell>
          <cell r="HV10">
            <v>0</v>
          </cell>
        </row>
        <row r="11">
          <cell r="C11" t="str">
            <v>TVH0370</v>
          </cell>
          <cell r="H11" t="str">
            <v>G1800</v>
          </cell>
          <cell r="K11" t="str">
            <v>NOKIA Flexi EDGE BTS</v>
          </cell>
          <cell r="P11">
            <v>3</v>
          </cell>
          <cell r="Q11" t="str">
            <v>4/4/4</v>
          </cell>
          <cell r="AG11">
            <v>8</v>
          </cell>
          <cell r="AH11">
            <v>12</v>
          </cell>
          <cell r="AS11" t="str">
            <v>Kathrein 736018</v>
          </cell>
          <cell r="AY11" t="str">
            <v>1801792/2019/PTN-KĐ</v>
          </cell>
          <cell r="GR11">
            <v>43479</v>
          </cell>
          <cell r="GS11" t="str">
            <v>106,34347;9,92053</v>
          </cell>
          <cell r="GU11" t="str">
            <v>1</v>
          </cell>
          <cell r="GV11" t="str">
            <v>Trà Vinh</v>
          </cell>
          <cell r="GX11" t="str">
            <v>Số 209, đường Đồng Khởi, phường 6, thành phố Trà Vinh, tỉnh Trà Vinh.</v>
          </cell>
          <cell r="GY11">
            <v>3</v>
          </cell>
          <cell r="GZ11">
            <v>761</v>
          </cell>
          <cell r="HK11">
            <v>43497</v>
          </cell>
          <cell r="HM11" t="str">
            <v>Viettel Trà Vinh - Chi nhánh Tập đoàn Công nghiệp - Viễn Thông Quân Đội</v>
          </cell>
          <cell r="HQ11" t="str">
            <v>10,5</v>
          </cell>
          <cell r="HR11" t="str">
            <v>TẬP ĐOÀN CÔNG NGHIỆP - VIỄN THÔNG QUÂN ĐỘI</v>
          </cell>
          <cell r="HS11" t="str">
            <v>37,24W/37,24W/37,24W</v>
          </cell>
          <cell r="HT11" t="str">
            <v>20m/ 20m/ 20m</v>
          </cell>
          <cell r="HV11">
            <v>0</v>
          </cell>
        </row>
        <row r="12">
          <cell r="C12" t="str">
            <v>TVH0120</v>
          </cell>
          <cell r="H12" t="str">
            <v>G1800</v>
          </cell>
          <cell r="K12" t="str">
            <v>NOKIA Flexi EDGE BTS</v>
          </cell>
          <cell r="P12">
            <v>3</v>
          </cell>
          <cell r="Q12" t="str">
            <v>4/4/4</v>
          </cell>
          <cell r="AG12">
            <v>0</v>
          </cell>
          <cell r="AH12">
            <v>26</v>
          </cell>
          <cell r="AS12" t="str">
            <v>Kathrein 736018</v>
          </cell>
          <cell r="AY12" t="str">
            <v>1801793/2019/PTN-KĐ</v>
          </cell>
          <cell r="GR12">
            <v>43480</v>
          </cell>
          <cell r="GS12" t="str">
            <v>106,30988;9,92005</v>
          </cell>
          <cell r="GU12" t="str">
            <v>2</v>
          </cell>
          <cell r="GV12" t="str">
            <v>Trà Vinh</v>
          </cell>
          <cell r="GX12" t="str">
            <v>Đường Võ Nguyên Giáp, khóm 8, phường 8, thành phố Trà Vinh, tỉnh Trà Vinh.</v>
          </cell>
          <cell r="GY12">
            <v>3</v>
          </cell>
          <cell r="GZ12">
            <v>761</v>
          </cell>
          <cell r="HK12">
            <v>43497</v>
          </cell>
          <cell r="HM12" t="str">
            <v>Viettel Trà Vinh - Chi nhánh Tập đoàn Công nghiệp - Viễn Thông Quân Đội</v>
          </cell>
          <cell r="HQ12" t="str">
            <v>4</v>
          </cell>
          <cell r="HR12" t="str">
            <v>TẬP ĐOÀN CÔNG NGHIỆP - VIỄN THÔNG QUÂN ĐỘI</v>
          </cell>
          <cell r="HS12" t="str">
            <v>37,24W/37,24W/37,24W</v>
          </cell>
          <cell r="HT12" t="str">
            <v>26m/ 26m/ 26m</v>
          </cell>
          <cell r="HV12">
            <v>0</v>
          </cell>
        </row>
        <row r="13">
          <cell r="C13" t="str">
            <v>TVH0160_11</v>
          </cell>
          <cell r="H13" t="str">
            <v>G900</v>
          </cell>
          <cell r="K13" t="str">
            <v>NOKIA Flexi EDGE BTS</v>
          </cell>
          <cell r="P13">
            <v>2</v>
          </cell>
          <cell r="Q13" t="str">
            <v>4/4</v>
          </cell>
          <cell r="AG13">
            <v>0</v>
          </cell>
          <cell r="AH13">
            <v>30</v>
          </cell>
          <cell r="AS13" t="str">
            <v>Kathrein 739636</v>
          </cell>
          <cell r="AY13" t="str">
            <v>1801794/2019/PTN-KĐ</v>
          </cell>
          <cell r="GR13">
            <v>43480</v>
          </cell>
          <cell r="GS13" t="str">
            <v>106,32915;9,80573</v>
          </cell>
          <cell r="GU13" t="str">
            <v>1</v>
          </cell>
          <cell r="GV13" t="str">
            <v>Trà Vinh</v>
          </cell>
          <cell r="GX13" t="str">
            <v>Ấp Phú Mỹ, xã Thanh Mỹ, huyện Châu Thành, tỉnh Trà Vinh.</v>
          </cell>
          <cell r="GY13">
            <v>2</v>
          </cell>
          <cell r="GZ13">
            <v>761</v>
          </cell>
          <cell r="HK13">
            <v>43497</v>
          </cell>
          <cell r="HM13" t="str">
            <v>Viettel Trà Vinh - Chi nhánh Tập đoàn Công nghiệp - Viễn Thông Quân Đội</v>
          </cell>
          <cell r="HQ13" t="str">
            <v>4</v>
          </cell>
          <cell r="HR13" t="str">
            <v>TẬP ĐOÀN CÔNG NGHIỆP - VIỄN THÔNG QUÂN ĐỘI</v>
          </cell>
          <cell r="HS13" t="str">
            <v>37,24W/37,24W</v>
          </cell>
          <cell r="HT13" t="str">
            <v>30m/ 30m</v>
          </cell>
          <cell r="HV13">
            <v>0</v>
          </cell>
        </row>
        <row r="14">
          <cell r="C14" t="str">
            <v>TVH0199</v>
          </cell>
          <cell r="H14" t="str">
            <v>G1800</v>
          </cell>
          <cell r="K14" t="str">
            <v>NOKIA Flexi EDGE BTS</v>
          </cell>
          <cell r="P14">
            <v>3</v>
          </cell>
          <cell r="Q14" t="str">
            <v>4/4/4</v>
          </cell>
          <cell r="AG14">
            <v>0</v>
          </cell>
          <cell r="AH14">
            <v>25</v>
          </cell>
          <cell r="AS14" t="str">
            <v>Kathrein 736018</v>
          </cell>
          <cell r="AY14" t="str">
            <v>1801795/2019/PTN-KĐ</v>
          </cell>
          <cell r="GR14">
            <v>43480</v>
          </cell>
          <cell r="GS14" t="str">
            <v>106,45112;9,80120</v>
          </cell>
          <cell r="GU14" t="str">
            <v>1</v>
          </cell>
          <cell r="GV14" t="str">
            <v>Trà Vinh</v>
          </cell>
          <cell r="GX14" t="str">
            <v>Khóm Mỹ Cẩm A, thị trấn Cầu Ngang, huyện Cầu Ngang, tỉnh Trà Vinh.</v>
          </cell>
          <cell r="GY14">
            <v>3</v>
          </cell>
          <cell r="GZ14">
            <v>761</v>
          </cell>
          <cell r="HK14">
            <v>43497</v>
          </cell>
          <cell r="HM14" t="str">
            <v>Viettel Trà Vinh - Chi nhánh Tập đoàn Công nghiệp - Viễn Thông Quân Đội</v>
          </cell>
          <cell r="HQ14" t="str">
            <v>8</v>
          </cell>
          <cell r="HR14" t="str">
            <v>TẬP ĐOÀN CÔNG NGHIỆP - VIỄN THÔNG QUÂN ĐỘI</v>
          </cell>
          <cell r="HS14" t="str">
            <v>37,24W/37,24W/37,24W</v>
          </cell>
          <cell r="HT14" t="str">
            <v>25m/ 25m/ 25m</v>
          </cell>
          <cell r="HV14">
            <v>0</v>
          </cell>
        </row>
        <row r="15">
          <cell r="C15" t="str">
            <v>TVH0009</v>
          </cell>
          <cell r="H15" t="str">
            <v>G900</v>
          </cell>
          <cell r="K15" t="str">
            <v>NOKIA Flexi EDGE BTS</v>
          </cell>
          <cell r="P15">
            <v>3</v>
          </cell>
          <cell r="Q15" t="str">
            <v>4/4/4</v>
          </cell>
          <cell r="AG15">
            <v>0</v>
          </cell>
          <cell r="AH15">
            <v>41</v>
          </cell>
          <cell r="AS15" t="str">
            <v>Kathrein 739636</v>
          </cell>
          <cell r="AY15" t="str">
            <v>1801796/2019/PTN-KĐ</v>
          </cell>
          <cell r="GR15">
            <v>43480</v>
          </cell>
          <cell r="GS15" t="str">
            <v>106,26044;9,69028</v>
          </cell>
          <cell r="GU15" t="str">
            <v>1</v>
          </cell>
          <cell r="GV15" t="str">
            <v>Trà Vinh</v>
          </cell>
          <cell r="GX15" t="str">
            <v>Khóm 4, thị trấn Trà Cú, huyện Trà Cú, tỉnh Trà Vinh.</v>
          </cell>
          <cell r="GY15">
            <v>4</v>
          </cell>
          <cell r="GZ15">
            <v>761</v>
          </cell>
          <cell r="HK15">
            <v>43497</v>
          </cell>
          <cell r="HM15" t="str">
            <v>Viettel Trà Vinh - Chi nhánh Tập đoàn Công nghiệp - Viễn Thông Quân Đội</v>
          </cell>
          <cell r="HQ15" t="str">
            <v>8</v>
          </cell>
          <cell r="HR15" t="str">
            <v>TẬP ĐOÀN CÔNG NGHIỆP - VIỄN THÔNG QUÂN ĐỘI</v>
          </cell>
          <cell r="HS15" t="str">
            <v>37,24W/37,24W/37,24W</v>
          </cell>
          <cell r="HT15" t="str">
            <v>41m/ 41m/ 41m</v>
          </cell>
          <cell r="HV15">
            <v>0</v>
          </cell>
        </row>
        <row r="16">
          <cell r="C16" t="str">
            <v>TVH0002</v>
          </cell>
          <cell r="H16" t="str">
            <v>G900</v>
          </cell>
          <cell r="K16" t="str">
            <v>NOKIA Flexi EDGE BTS</v>
          </cell>
          <cell r="P16">
            <v>3</v>
          </cell>
          <cell r="Q16" t="str">
            <v>4/4/4</v>
          </cell>
          <cell r="AG16">
            <v>0</v>
          </cell>
          <cell r="AH16">
            <v>57</v>
          </cell>
          <cell r="AS16" t="str">
            <v>Kathrein 739636</v>
          </cell>
          <cell r="AY16" t="str">
            <v>1801797/2019/PTN-KĐ</v>
          </cell>
          <cell r="GR16">
            <v>43481</v>
          </cell>
          <cell r="GS16" t="str">
            <v>106,18841;9,80868</v>
          </cell>
          <cell r="GU16">
            <v>2</v>
          </cell>
          <cell r="GV16" t="str">
            <v>Trà Vinh</v>
          </cell>
          <cell r="GX16" t="str">
            <v>Số 165/22, quốc lộ 60, khóm 3, thị trấn Tiểu Cần, huyện Tiểu Cần, tỉnh Trà Vinh.</v>
          </cell>
          <cell r="GY16">
            <v>4</v>
          </cell>
          <cell r="GZ16">
            <v>761</v>
          </cell>
          <cell r="HK16">
            <v>43497</v>
          </cell>
          <cell r="HM16" t="str">
            <v>Viettel Trà Vinh - Chi nhánh Tập đoàn Công nghiệp - Viễn Thông Quân Đội</v>
          </cell>
          <cell r="HQ16" t="str">
            <v>4</v>
          </cell>
          <cell r="HR16" t="str">
            <v>TẬP ĐOÀN CÔNG NGHIỆP - VIỄN THÔNG QUÂN ĐỘI</v>
          </cell>
          <cell r="HS16" t="str">
            <v>37,24W/37,24W/37,24W</v>
          </cell>
          <cell r="HT16" t="str">
            <v>57m/ 57m/ 57m</v>
          </cell>
          <cell r="HV16">
            <v>0</v>
          </cell>
        </row>
        <row r="17">
          <cell r="C17" t="str">
            <v>TVH0596</v>
          </cell>
          <cell r="H17" t="str">
            <v>G900</v>
          </cell>
          <cell r="K17" t="str">
            <v>NOKIA Flexi EDGE BTS</v>
          </cell>
          <cell r="P17">
            <v>3</v>
          </cell>
          <cell r="Q17" t="str">
            <v>4/4/4</v>
          </cell>
          <cell r="AG17">
            <v>0</v>
          </cell>
          <cell r="AH17">
            <v>36</v>
          </cell>
          <cell r="AS17" t="str">
            <v>Kathrein 739636</v>
          </cell>
          <cell r="AY17" t="str">
            <v>1801798/2019/PTN-KĐ</v>
          </cell>
          <cell r="GR17">
            <v>43481</v>
          </cell>
          <cell r="GS17" t="str">
            <v>106,18983;9,85049</v>
          </cell>
          <cell r="GU17" t="str">
            <v>2</v>
          </cell>
          <cell r="GV17" t="str">
            <v>Trà Vinh</v>
          </cell>
          <cell r="GX17" t="str">
            <v>Ấp Tân Đại, xã Hiếu Tử, huyện Tiểu Cần, tỉnh Trà Vinh.</v>
          </cell>
          <cell r="GY17">
            <v>4</v>
          </cell>
          <cell r="GZ17">
            <v>761</v>
          </cell>
          <cell r="HK17">
            <v>43497</v>
          </cell>
          <cell r="HM17" t="str">
            <v>Viettel Trà Vinh - Chi nhánh Tập đoàn Công nghiệp - Viễn Thông Quân Đội</v>
          </cell>
          <cell r="HQ17" t="str">
            <v>4</v>
          </cell>
          <cell r="HR17" t="str">
            <v>TẬP ĐOÀN CÔNG NGHIỆP - VIỄN THÔNG QUÂN ĐỘI</v>
          </cell>
          <cell r="HS17" t="str">
            <v>37,24W/37,24W/37,24W</v>
          </cell>
          <cell r="HT17" t="str">
            <v>36m/ 36m/ 36m</v>
          </cell>
          <cell r="HV17">
            <v>0</v>
          </cell>
        </row>
        <row r="18">
          <cell r="C18" t="str">
            <v>TVH0007</v>
          </cell>
          <cell r="H18" t="str">
            <v>G900</v>
          </cell>
          <cell r="K18" t="str">
            <v>NOKIA Flexi EDGE BTS</v>
          </cell>
          <cell r="P18">
            <v>3</v>
          </cell>
          <cell r="Q18" t="str">
            <v>4/4/4</v>
          </cell>
          <cell r="AG18">
            <v>0</v>
          </cell>
          <cell r="AH18">
            <v>57</v>
          </cell>
          <cell r="AS18" t="str">
            <v>Kathrein 739636</v>
          </cell>
          <cell r="AY18" t="str">
            <v>1801799/2019/PTN-KĐ</v>
          </cell>
          <cell r="GR18">
            <v>43481</v>
          </cell>
          <cell r="GS18" t="str">
            <v>106,05605;9,86833</v>
          </cell>
          <cell r="GU18" t="str">
            <v>2</v>
          </cell>
          <cell r="GV18" t="str">
            <v>Trà Vinh</v>
          </cell>
          <cell r="GX18" t="str">
            <v>Khóm 7, thị trấn Cầu Kè, huyện Cầu Kè, tỉnh Trà Vinh.</v>
          </cell>
          <cell r="GY18">
            <v>3</v>
          </cell>
          <cell r="GZ18">
            <v>761</v>
          </cell>
          <cell r="HK18">
            <v>43497</v>
          </cell>
          <cell r="HM18" t="str">
            <v>Viettel Trà Vinh - Chi nhánh Tập đoàn Công nghiệp - Viễn Thông Quân Đội</v>
          </cell>
          <cell r="HQ18" t="str">
            <v>10,5</v>
          </cell>
          <cell r="HR18" t="str">
            <v>TẬP ĐOÀN CÔNG NGHIỆP - VIỄN THÔNG QUÂN ĐỘI</v>
          </cell>
          <cell r="HS18" t="str">
            <v>37,24W/37,24W/37,24W</v>
          </cell>
          <cell r="HT18" t="str">
            <v>57m/ 57m/ 57m</v>
          </cell>
          <cell r="HV18">
            <v>0</v>
          </cell>
        </row>
        <row r="19">
          <cell r="C19" t="str">
            <v>STG0504</v>
          </cell>
          <cell r="H19" t="str">
            <v>U2100</v>
          </cell>
          <cell r="K19" t="str">
            <v>NOKIA Flexi WCDMA BTS</v>
          </cell>
          <cell r="P19">
            <v>3</v>
          </cell>
          <cell r="Q19" t="str">
            <v>2/2/2</v>
          </cell>
          <cell r="AG19">
            <v>21</v>
          </cell>
          <cell r="AH19">
            <v>4</v>
          </cell>
          <cell r="AS19" t="str">
            <v>Kathrein 742215</v>
          </cell>
          <cell r="AY19" t="str">
            <v>1802421/2019/PTN-KĐ</v>
          </cell>
          <cell r="GR19">
            <v>43485</v>
          </cell>
          <cell r="GS19" t="str">
            <v>105,97691;9,59283</v>
          </cell>
          <cell r="GU19">
            <v>1</v>
          </cell>
          <cell r="GV19" t="str">
            <v>Sóc Trăng</v>
          </cell>
          <cell r="GX19" t="str">
            <v>Số 84, đường Lê Duẩn, phường 3, thành phố Sóc Trăng, tỉnh Sóc Trăng.</v>
          </cell>
          <cell r="GY19">
            <v>1</v>
          </cell>
          <cell r="GZ19">
            <v>761</v>
          </cell>
          <cell r="HK19">
            <v>43497</v>
          </cell>
          <cell r="HM19" t="str">
            <v>Viettel Sóc Trăng - Chi nhánh Tập đoàn Công nghiệp - Viễn Thông Quân Đội</v>
          </cell>
          <cell r="HQ19" t="str">
            <v>21</v>
          </cell>
          <cell r="HR19" t="str">
            <v>TẬP ĐOÀN CÔNG NGHIỆP - VIỄN THÔNG QUÂN ĐỘI</v>
          </cell>
          <cell r="HS19" t="str">
            <v>40W/40W/40W</v>
          </cell>
          <cell r="HT19" t="str">
            <v>25m/ 25m/ 25m</v>
          </cell>
          <cell r="HV19">
            <v>0</v>
          </cell>
        </row>
        <row r="20">
          <cell r="C20" t="str">
            <v>STG0051</v>
          </cell>
          <cell r="H20" t="str">
            <v>G900</v>
          </cell>
          <cell r="K20" t="str">
            <v>NOKIA Flexi EDGE BTS</v>
          </cell>
          <cell r="P20">
            <v>3</v>
          </cell>
          <cell r="Q20" t="str">
            <v>2/2/4</v>
          </cell>
          <cell r="AG20">
            <v>0</v>
          </cell>
          <cell r="AH20">
            <v>31</v>
          </cell>
          <cell r="AS20" t="str">
            <v>Kathrein 739636</v>
          </cell>
          <cell r="AY20" t="str">
            <v>1802422/2019/PTN-KĐ</v>
          </cell>
          <cell r="GR20">
            <v>43485</v>
          </cell>
          <cell r="GS20" t="str">
            <v>105,97954;9,58370</v>
          </cell>
          <cell r="GU20">
            <v>2</v>
          </cell>
          <cell r="GV20" t="str">
            <v>Sóc Trăng</v>
          </cell>
          <cell r="GX20" t="str">
            <v>Ban Chỉ huy Quân sự tỉnh, số 551, đường Lê Hồng Phong, phường 3, thành phố Sóc Trăng, tỉnh Sóc Trăng.</v>
          </cell>
          <cell r="GY20">
            <v>2</v>
          </cell>
          <cell r="GZ20">
            <v>761</v>
          </cell>
          <cell r="HK20">
            <v>43497</v>
          </cell>
          <cell r="HM20" t="str">
            <v>Viettel Sóc Trăng - Chi nhánh Tập đoàn Công nghiệp - Viễn Thông Quân Đội</v>
          </cell>
          <cell r="HQ20" t="str">
            <v>4</v>
          </cell>
          <cell r="HR20" t="str">
            <v>TẬP ĐOÀN CÔNG NGHIỆP - VIỄN THÔNG QUÂN ĐỘI</v>
          </cell>
          <cell r="HS20" t="str">
            <v>41,7W/41,7W/37,24W</v>
          </cell>
          <cell r="HT20" t="str">
            <v>31m/ 31m/ 31m</v>
          </cell>
          <cell r="HV20">
            <v>0</v>
          </cell>
        </row>
        <row r="21">
          <cell r="C21" t="str">
            <v>STG0415</v>
          </cell>
          <cell r="H21" t="str">
            <v>U2100</v>
          </cell>
          <cell r="K21" t="str">
            <v>NOKIA Flexi WCDMA BTS</v>
          </cell>
          <cell r="P21">
            <v>3</v>
          </cell>
          <cell r="Q21" t="str">
            <v>2/2/2</v>
          </cell>
          <cell r="AG21">
            <v>0</v>
          </cell>
          <cell r="AH21">
            <v>35</v>
          </cell>
          <cell r="AS21" t="str">
            <v>Kathrein 742215</v>
          </cell>
          <cell r="AY21" t="str">
            <v>1802423/2019/PTN-KĐ</v>
          </cell>
          <cell r="GR21">
            <v>43485</v>
          </cell>
          <cell r="GS21" t="str">
            <v>105,98573;9,58483</v>
          </cell>
          <cell r="GU21">
            <v>2</v>
          </cell>
          <cell r="GV21" t="str">
            <v>Sóc Trăng</v>
          </cell>
          <cell r="GX21" t="str">
            <v>Số 383/146, đường 30 Tháng 4, khóm 5, phường 9, thành phố Sóc Trăng, tỉnh Sóc Trăng.</v>
          </cell>
          <cell r="GY21">
            <v>1</v>
          </cell>
          <cell r="GZ21">
            <v>761</v>
          </cell>
          <cell r="HK21">
            <v>43497</v>
          </cell>
          <cell r="HM21" t="str">
            <v>Viettel Sóc Trăng - Chi nhánh Tập đoàn Công nghiệp - Viễn Thông Quân Đội</v>
          </cell>
          <cell r="HQ21" t="str">
            <v>4</v>
          </cell>
          <cell r="HR21" t="str">
            <v>TẬP ĐOÀN CÔNG NGHIỆP - VIỄN THÔNG QUÂN ĐỘI</v>
          </cell>
          <cell r="HS21" t="str">
            <v>40W/40W/40W</v>
          </cell>
          <cell r="HT21" t="str">
            <v>35m/ 35m/ 35m</v>
          </cell>
          <cell r="HV21">
            <v>0</v>
          </cell>
        </row>
        <row r="22">
          <cell r="C22" t="str">
            <v>STG0010</v>
          </cell>
          <cell r="H22" t="str">
            <v>G1800</v>
          </cell>
          <cell r="K22" t="str">
            <v>NOKIA Flexi EDGE BTS</v>
          </cell>
          <cell r="P22">
            <v>3</v>
          </cell>
          <cell r="Q22" t="str">
            <v>2/2/2</v>
          </cell>
          <cell r="AG22">
            <v>0</v>
          </cell>
          <cell r="AH22">
            <v>30</v>
          </cell>
          <cell r="AS22" t="str">
            <v>Kathrein 736018</v>
          </cell>
          <cell r="AY22" t="str">
            <v>1802424/2019/PTN-KĐ</v>
          </cell>
          <cell r="GR22">
            <v>43486</v>
          </cell>
          <cell r="GS22" t="str">
            <v>105,96699;9,58894</v>
          </cell>
          <cell r="GU22">
            <v>1</v>
          </cell>
          <cell r="GV22" t="str">
            <v>Sóc Trăng</v>
          </cell>
          <cell r="GX22" t="str">
            <v>Số 451, đường Trần Hưng Đạo, khóm 8, phường 3, thành phố Sóc Trăng, tỉnh Sóc Trăng.</v>
          </cell>
          <cell r="GY22">
            <v>3</v>
          </cell>
          <cell r="GZ22">
            <v>761</v>
          </cell>
          <cell r="HK22">
            <v>43497</v>
          </cell>
          <cell r="HM22" t="str">
            <v>Viettel Sóc Trăng - Chi nhánh Tập đoàn Công nghiệp - Viễn Thông Quân Đội</v>
          </cell>
          <cell r="HQ22" t="str">
            <v>10,5</v>
          </cell>
          <cell r="HR22" t="str">
            <v>TẬP ĐOÀN CÔNG NGHIỆP - VIỄN THÔNG QUÂN ĐỘI</v>
          </cell>
          <cell r="HS22" t="str">
            <v>41,7W/41,7W/41,7W</v>
          </cell>
          <cell r="HT22" t="str">
            <v>30m/ 30m/ 30m</v>
          </cell>
          <cell r="HV22">
            <v>0</v>
          </cell>
        </row>
        <row r="23">
          <cell r="C23" t="str">
            <v>STG0099</v>
          </cell>
          <cell r="H23" t="str">
            <v>G1800</v>
          </cell>
          <cell r="K23" t="str">
            <v>NOKIA Flexi EDGE BTS</v>
          </cell>
          <cell r="P23">
            <v>3</v>
          </cell>
          <cell r="Q23" t="str">
            <v>2/2/2</v>
          </cell>
          <cell r="AG23">
            <v>0</v>
          </cell>
          <cell r="AH23">
            <v>22</v>
          </cell>
          <cell r="AS23" t="str">
            <v>Kathrein 736018</v>
          </cell>
          <cell r="AY23" t="str">
            <v>1802425/2019/PTN-KĐ</v>
          </cell>
          <cell r="GR23">
            <v>43486</v>
          </cell>
          <cell r="GS23" t="str">
            <v>105,95872;9,60146</v>
          </cell>
          <cell r="GU23">
            <v>2</v>
          </cell>
          <cell r="GV23" t="str">
            <v>Sóc Trăng</v>
          </cell>
          <cell r="GX23" t="str">
            <v>Số 11, đường Trần Quang Khải, phường 2, thành phố Sóc Trăng, tỉnh Sóc Trăng.</v>
          </cell>
          <cell r="GY23">
            <v>3</v>
          </cell>
          <cell r="GZ23">
            <v>761</v>
          </cell>
          <cell r="HK23">
            <v>43497</v>
          </cell>
          <cell r="HM23" t="str">
            <v>Viettel Sóc Trăng - Chi nhánh Tập đoàn Công nghiệp - Viễn Thông Quân Đội</v>
          </cell>
          <cell r="HQ23" t="str">
            <v>4</v>
          </cell>
          <cell r="HR23" t="str">
            <v>TẬP ĐOÀN CÔNG NGHIỆP - VIỄN THÔNG QUÂN ĐỘI</v>
          </cell>
          <cell r="HS23" t="str">
            <v>41,7W/41,7W/41,7W</v>
          </cell>
          <cell r="HT23" t="str">
            <v>22m/ 22m/ 22m</v>
          </cell>
          <cell r="HV23">
            <v>0</v>
          </cell>
        </row>
        <row r="24">
          <cell r="C24" t="str">
            <v>STG0104</v>
          </cell>
          <cell r="H24" t="str">
            <v>G1800</v>
          </cell>
          <cell r="K24" t="str">
            <v>NOKIA Flexi EDGE BTS</v>
          </cell>
          <cell r="P24">
            <v>3</v>
          </cell>
          <cell r="Q24" t="str">
            <v>2/2/2</v>
          </cell>
          <cell r="AG24">
            <v>0</v>
          </cell>
          <cell r="AH24">
            <v>35</v>
          </cell>
          <cell r="AS24" t="str">
            <v>Kathrein 736018</v>
          </cell>
          <cell r="AY24" t="str">
            <v>1802426/2019/PTN-KĐ</v>
          </cell>
          <cell r="GR24">
            <v>43486</v>
          </cell>
          <cell r="GS24" t="str">
            <v>105,98035;9,61016</v>
          </cell>
          <cell r="GU24">
            <v>2</v>
          </cell>
          <cell r="GV24" t="str">
            <v>Sóc Trăng</v>
          </cell>
          <cell r="GX24" t="str">
            <v>Số 5/22, đường Phạm Hùng, khóm 3, phường 5, thành phố Sóc Trăng, tỉnh Sóc Trăng.</v>
          </cell>
          <cell r="GY24">
            <v>3</v>
          </cell>
          <cell r="GZ24">
            <v>761</v>
          </cell>
          <cell r="HK24">
            <v>43497</v>
          </cell>
          <cell r="HM24" t="str">
            <v>Viettel Sóc Trăng - Chi nhánh Tập đoàn Công nghiệp - Viễn Thông Quân Đội</v>
          </cell>
          <cell r="HQ24" t="str">
            <v>10,5</v>
          </cell>
          <cell r="HR24" t="str">
            <v>TẬP ĐOÀN CÔNG NGHIỆP - VIỄN THÔNG QUÂN ĐỘI</v>
          </cell>
          <cell r="HS24" t="str">
            <v>41,7W/41,7W/41,7W</v>
          </cell>
          <cell r="HT24" t="str">
            <v>35m/ 35m/ 35m</v>
          </cell>
          <cell r="HV24">
            <v>0</v>
          </cell>
        </row>
        <row r="25">
          <cell r="C25" t="str">
            <v>STG0107</v>
          </cell>
          <cell r="H25" t="str">
            <v>G1800</v>
          </cell>
          <cell r="K25" t="str">
            <v>NOKIA Flexi EDGE BTS</v>
          </cell>
          <cell r="P25">
            <v>3</v>
          </cell>
          <cell r="Q25" t="str">
            <v>2/2/2</v>
          </cell>
          <cell r="AG25">
            <v>0</v>
          </cell>
          <cell r="AH25">
            <v>28</v>
          </cell>
          <cell r="AS25" t="str">
            <v>Kathrein 736018</v>
          </cell>
          <cell r="AY25" t="str">
            <v>1802427/2019/PTN-KĐ</v>
          </cell>
          <cell r="GR25">
            <v>43486</v>
          </cell>
          <cell r="GS25" t="str">
            <v>105,97151;9,59535</v>
          </cell>
          <cell r="GU25">
            <v>2</v>
          </cell>
          <cell r="GV25" t="str">
            <v>Sóc Trăng</v>
          </cell>
          <cell r="GX25" t="str">
            <v>Số 29, đường Lê Duẩn, khóm 7, phường 3, thành phố Sóc Trăng, tỉnh Sóc Trăng.</v>
          </cell>
          <cell r="GY25">
            <v>3</v>
          </cell>
          <cell r="GZ25">
            <v>761</v>
          </cell>
          <cell r="HK25">
            <v>43497</v>
          </cell>
          <cell r="HM25" t="str">
            <v>Viettel Sóc Trăng - Chi nhánh Tập đoàn Công nghiệp - Viễn Thông Quân Đội</v>
          </cell>
          <cell r="HQ25" t="str">
            <v>21</v>
          </cell>
          <cell r="HR25" t="str">
            <v>TẬP ĐOÀN CÔNG NGHIỆP - VIỄN THÔNG QUÂN ĐỘI</v>
          </cell>
          <cell r="HS25" t="str">
            <v>41,7W/41,7W/41,7W</v>
          </cell>
          <cell r="HT25" t="str">
            <v>28m/ 28m/ 28m</v>
          </cell>
          <cell r="HV25">
            <v>0</v>
          </cell>
        </row>
        <row r="26">
          <cell r="C26" t="str">
            <v>STG0109</v>
          </cell>
          <cell r="H26" t="str">
            <v>G1800</v>
          </cell>
          <cell r="K26" t="str">
            <v>NOKIA Flexi EDGE BTS</v>
          </cell>
          <cell r="P26">
            <v>3</v>
          </cell>
          <cell r="Q26" t="str">
            <v>2/2/2</v>
          </cell>
          <cell r="AG26">
            <v>0</v>
          </cell>
          <cell r="AH26">
            <v>32</v>
          </cell>
          <cell r="AS26" t="str">
            <v>Kathrein 736018</v>
          </cell>
          <cell r="AY26" t="str">
            <v>1802428/2019/PTN-KĐ</v>
          </cell>
          <cell r="GR26">
            <v>43487</v>
          </cell>
          <cell r="GS26" t="str">
            <v>105,99796;9,59388</v>
          </cell>
          <cell r="GU26">
            <v>2</v>
          </cell>
          <cell r="GV26" t="str">
            <v>Sóc Trăng</v>
          </cell>
          <cell r="GX26" t="str">
            <v>Số 342, đường Mạc Đỉnh Chi, phường 9, thành phố Sóc Trăng, tỉnh Sóc Trăng.</v>
          </cell>
          <cell r="GY26">
            <v>3</v>
          </cell>
          <cell r="GZ26">
            <v>761</v>
          </cell>
          <cell r="HK26">
            <v>43497</v>
          </cell>
          <cell r="HM26" t="str">
            <v>Viettel Sóc Trăng - Chi nhánh Tập đoàn Công nghiệp - Viễn Thông Quân Đội</v>
          </cell>
          <cell r="HQ26" t="str">
            <v>4</v>
          </cell>
          <cell r="HR26" t="str">
            <v>TẬP ĐOÀN CÔNG NGHIỆP - VIỄN THÔNG QUÂN ĐỘI</v>
          </cell>
          <cell r="HS26" t="str">
            <v>41,7W/41,7W/41,7W</v>
          </cell>
          <cell r="HT26" t="str">
            <v>32m/ 32m/ 32m</v>
          </cell>
          <cell r="HV26">
            <v>0</v>
          </cell>
        </row>
        <row r="27">
          <cell r="C27" t="str">
            <v>STG0110</v>
          </cell>
          <cell r="H27" t="str">
            <v>G900</v>
          </cell>
          <cell r="K27" t="str">
            <v>NOKIA Flexi EDGE BTS</v>
          </cell>
          <cell r="P27">
            <v>3</v>
          </cell>
          <cell r="Q27" t="str">
            <v>4/4/4</v>
          </cell>
          <cell r="AG27">
            <v>0</v>
          </cell>
          <cell r="AH27">
            <v>29</v>
          </cell>
          <cell r="AS27" t="str">
            <v>Kathrein 739636</v>
          </cell>
          <cell r="AY27" t="str">
            <v>1802429/2019/PTN-KĐ</v>
          </cell>
          <cell r="GR27">
            <v>43487</v>
          </cell>
          <cell r="GS27" t="str">
            <v>105,99285;9,60859</v>
          </cell>
          <cell r="GU27">
            <v>2</v>
          </cell>
          <cell r="GV27" t="str">
            <v>Sóc Trăng</v>
          </cell>
          <cell r="GX27" t="str">
            <v>Số 18B, đường Cao Thắng, khóm 5, phường 8, thành phố Sóc Trăng, tỉnh Sóc Trăng.</v>
          </cell>
          <cell r="GY27">
            <v>4</v>
          </cell>
          <cell r="GZ27">
            <v>761</v>
          </cell>
          <cell r="HK27">
            <v>43497</v>
          </cell>
          <cell r="HM27" t="str">
            <v>Viettel Sóc Trăng - Chi nhánh Tập đoàn Công nghiệp - Viễn Thông Quân Đội</v>
          </cell>
          <cell r="HQ27" t="str">
            <v>4</v>
          </cell>
          <cell r="HR27" t="str">
            <v>TẬP ĐOÀN CÔNG NGHIỆP - VIỄN THÔNG QUÂN ĐỘI</v>
          </cell>
          <cell r="HS27" t="str">
            <v>37,24W/37,24W/37,24W</v>
          </cell>
          <cell r="HT27" t="str">
            <v>29m/ 29m/ 29m</v>
          </cell>
          <cell r="HV27">
            <v>0</v>
          </cell>
        </row>
        <row r="28">
          <cell r="C28" t="str">
            <v>STG0316</v>
          </cell>
          <cell r="H28" t="str">
            <v>G1800</v>
          </cell>
          <cell r="K28" t="str">
            <v>NOKIA Flexi EDGE BTS</v>
          </cell>
          <cell r="P28">
            <v>3</v>
          </cell>
          <cell r="Q28" t="str">
            <v>2/2/2</v>
          </cell>
          <cell r="AG28">
            <v>0</v>
          </cell>
          <cell r="AH28">
            <v>30</v>
          </cell>
          <cell r="AS28" t="str">
            <v>Kathrein 736018</v>
          </cell>
          <cell r="AY28" t="str">
            <v>1802430/2019/PTN-KĐ</v>
          </cell>
          <cell r="GR28">
            <v>43487</v>
          </cell>
          <cell r="GS28" t="str">
            <v>105,96445;9,60231</v>
          </cell>
          <cell r="GU28">
            <v>2</v>
          </cell>
          <cell r="GV28" t="str">
            <v>Sóc Trăng</v>
          </cell>
          <cell r="GX28" t="str">
            <v>Số 134, đường Nguyễn Văn Linh, phường 2, thành phố Sóc Trăng, tỉnh Sóc Trăng.</v>
          </cell>
          <cell r="GY28">
            <v>3</v>
          </cell>
          <cell r="GZ28">
            <v>761</v>
          </cell>
          <cell r="HK28">
            <v>43497</v>
          </cell>
          <cell r="HM28" t="str">
            <v>Viettel Sóc Trăng - Chi nhánh Tập đoàn Công nghiệp - Viễn Thông Quân Đội</v>
          </cell>
          <cell r="HQ28" t="str">
            <v>10,5</v>
          </cell>
          <cell r="HR28" t="str">
            <v>TẬP ĐOÀN CÔNG NGHIỆP - VIỄN THÔNG QUÂN ĐỘI</v>
          </cell>
          <cell r="HS28" t="str">
            <v>41,7W/41,7W/41,7W</v>
          </cell>
          <cell r="HT28" t="str">
            <v>30m/ 30m/ 30m</v>
          </cell>
          <cell r="HV28">
            <v>0</v>
          </cell>
        </row>
        <row r="29">
          <cell r="C29" t="str">
            <v>STG0317</v>
          </cell>
          <cell r="H29" t="str">
            <v>G1800</v>
          </cell>
          <cell r="K29" t="str">
            <v>NOKIA Flexi EDGE BTS</v>
          </cell>
          <cell r="P29">
            <v>3</v>
          </cell>
          <cell r="Q29" t="str">
            <v>2/2/2</v>
          </cell>
          <cell r="AG29">
            <v>0</v>
          </cell>
          <cell r="AH29">
            <v>36</v>
          </cell>
          <cell r="AS29" t="str">
            <v>Kathrein 736018</v>
          </cell>
          <cell r="AY29" t="str">
            <v>1802431/2019/PTN-KĐ</v>
          </cell>
          <cell r="GR29">
            <v>43487</v>
          </cell>
          <cell r="GS29" t="str">
            <v>105,98090;9,59860</v>
          </cell>
          <cell r="GU29">
            <v>2</v>
          </cell>
          <cell r="GV29" t="str">
            <v>Sóc Trăng</v>
          </cell>
          <cell r="GX29" t="str">
            <v>Số 479/6, đường Nguyễn Huệ, khóm 4, phường 9, thành phố Sóc Trăng, tỉnh Sóc Trăng.</v>
          </cell>
          <cell r="GY29">
            <v>3</v>
          </cell>
          <cell r="GZ29">
            <v>761</v>
          </cell>
          <cell r="HK29">
            <v>43497</v>
          </cell>
          <cell r="HM29" t="str">
            <v>Viettel Sóc Trăng - Chi nhánh Tập đoàn Công nghiệp - Viễn Thông Quân Đội</v>
          </cell>
          <cell r="HQ29" t="str">
            <v>8</v>
          </cell>
          <cell r="HR29" t="str">
            <v>TẬP ĐOÀN CÔNG NGHIỆP - VIỄN THÔNG QUÂN ĐỘI</v>
          </cell>
          <cell r="HS29" t="str">
            <v>41,7W/41,7W/41,7W</v>
          </cell>
          <cell r="HT29" t="str">
            <v>36m/ 36m/ 36m</v>
          </cell>
          <cell r="HV29">
            <v>0</v>
          </cell>
        </row>
        <row r="30">
          <cell r="C30" t="str">
            <v>STG0379</v>
          </cell>
          <cell r="H30" t="str">
            <v>G1800</v>
          </cell>
          <cell r="K30" t="str">
            <v>NOKIA Flexi EDGE BTS</v>
          </cell>
          <cell r="P30">
            <v>3</v>
          </cell>
          <cell r="Q30" t="str">
            <v>2/2/2</v>
          </cell>
          <cell r="AG30">
            <v>0</v>
          </cell>
          <cell r="AH30">
            <v>28</v>
          </cell>
          <cell r="AS30" t="str">
            <v>Kathrein 736018</v>
          </cell>
          <cell r="AY30" t="str">
            <v>1802432/2019/PTN-KĐ</v>
          </cell>
          <cell r="GR30">
            <v>43488</v>
          </cell>
          <cell r="GS30" t="str">
            <v>105,96487;9,60641</v>
          </cell>
          <cell r="GU30">
            <v>2</v>
          </cell>
          <cell r="GV30" t="str">
            <v>Sóc Trăng</v>
          </cell>
          <cell r="GX30" t="str">
            <v>Khóm 5, phường 2, thành phố Sóc Trăng, tỉnh Sóc Trăng.</v>
          </cell>
          <cell r="GY30">
            <v>3</v>
          </cell>
          <cell r="GZ30">
            <v>761</v>
          </cell>
          <cell r="HK30">
            <v>43497</v>
          </cell>
          <cell r="HM30" t="str">
            <v>Viettel Sóc Trăng - Chi nhánh Tập đoàn Công nghiệp - Viễn Thông Quân Đội</v>
          </cell>
          <cell r="HQ30" t="str">
            <v>8</v>
          </cell>
          <cell r="HR30" t="str">
            <v>TẬP ĐOÀN CÔNG NGHIỆP - VIỄN THÔNG QUÂN ĐỘI</v>
          </cell>
          <cell r="HS30" t="str">
            <v>41,7W/41,7W/41,7W</v>
          </cell>
          <cell r="HT30" t="str">
            <v>28m/ 28m/ 28m</v>
          </cell>
          <cell r="HV30">
            <v>0</v>
          </cell>
        </row>
        <row r="31">
          <cell r="C31" t="str">
            <v>STG0380</v>
          </cell>
          <cell r="H31" t="str">
            <v>G1800</v>
          </cell>
          <cell r="K31" t="str">
            <v>NOKIA Flexi EDGE BTS</v>
          </cell>
          <cell r="P31">
            <v>3</v>
          </cell>
          <cell r="Q31" t="str">
            <v>4/4/2</v>
          </cell>
          <cell r="AG31">
            <v>0</v>
          </cell>
          <cell r="AH31">
            <v>38</v>
          </cell>
          <cell r="AS31" t="str">
            <v>Kathrein 736018</v>
          </cell>
          <cell r="AY31" t="str">
            <v>1802433/2019/PTN-KĐ</v>
          </cell>
          <cell r="GR31">
            <v>43488</v>
          </cell>
          <cell r="GS31" t="str">
            <v>105,96679;9,61196</v>
          </cell>
          <cell r="GU31">
            <v>2</v>
          </cell>
          <cell r="GV31" t="str">
            <v>Sóc Trăng</v>
          </cell>
          <cell r="GX31" t="str">
            <v>Số 332, đường Điện Biên Phủ, khóm 1, phường 6, thành phố Sóc Trăng, tỉnh Sóc Trăng.</v>
          </cell>
          <cell r="GY31">
            <v>3</v>
          </cell>
          <cell r="GZ31">
            <v>761</v>
          </cell>
          <cell r="HK31">
            <v>43497</v>
          </cell>
          <cell r="HM31" t="str">
            <v>Viettel Sóc Trăng - Chi nhánh Tập đoàn Công nghiệp - Viễn Thông Quân Đội</v>
          </cell>
          <cell r="HQ31" t="str">
            <v>8</v>
          </cell>
          <cell r="HR31" t="str">
            <v>TẬP ĐOÀN CÔNG NGHIỆP - VIỄN THÔNG QUÂN ĐỘI</v>
          </cell>
          <cell r="HS31" t="str">
            <v>37,24W/37,24W/41,7W</v>
          </cell>
          <cell r="HT31" t="str">
            <v>38m/ 38m/ 38m</v>
          </cell>
          <cell r="HV31">
            <v>0</v>
          </cell>
        </row>
        <row r="32">
          <cell r="C32" t="str">
            <v>STG0388</v>
          </cell>
          <cell r="H32" t="str">
            <v>G1800</v>
          </cell>
          <cell r="K32" t="str">
            <v>NOKIA Flexi EDGE BTS</v>
          </cell>
          <cell r="P32">
            <v>3</v>
          </cell>
          <cell r="Q32" t="str">
            <v>4/4/4</v>
          </cell>
          <cell r="AG32">
            <v>10.5</v>
          </cell>
          <cell r="AH32">
            <v>15</v>
          </cell>
          <cell r="AS32" t="str">
            <v>Kathrein 736018</v>
          </cell>
          <cell r="AY32" t="str">
            <v>1802434/2019/PTN-KĐ</v>
          </cell>
          <cell r="GR32">
            <v>43488</v>
          </cell>
          <cell r="GS32" t="str">
            <v>105,97443;9,59706</v>
          </cell>
          <cell r="GU32">
            <v>2</v>
          </cell>
          <cell r="GV32" t="str">
            <v>Sóc Trăng</v>
          </cell>
          <cell r="GX32" t="str">
            <v>Số 201, đường Nguyễn Thị Minh Khai, khóm 3, phường 3, thành phố Sóc Trăng, tỉnh Sóc Trăng.</v>
          </cell>
          <cell r="GY32">
            <v>3</v>
          </cell>
          <cell r="GZ32">
            <v>761</v>
          </cell>
          <cell r="HK32">
            <v>43497</v>
          </cell>
          <cell r="HM32" t="str">
            <v>Viettel Sóc Trăng - Chi nhánh Tập đoàn Công nghiệp - Viễn Thông Quân Đội</v>
          </cell>
          <cell r="HQ32" t="str">
            <v>28</v>
          </cell>
          <cell r="HR32" t="str">
            <v>TẬP ĐOÀN CÔNG NGHIỆP - VIỄN THÔNG QUÂN ĐỘI</v>
          </cell>
          <cell r="HS32" t="str">
            <v>37,24W/37,24W/37,24W</v>
          </cell>
          <cell r="HT32" t="str">
            <v>25,5m/ 25,5m/ 25,5m</v>
          </cell>
          <cell r="HV32">
            <v>0</v>
          </cell>
        </row>
        <row r="33">
          <cell r="C33" t="str">
            <v>STG0393</v>
          </cell>
          <cell r="H33" t="str">
            <v>G1800</v>
          </cell>
          <cell r="K33" t="str">
            <v>NOKIA Flexi EDGE BTS</v>
          </cell>
          <cell r="P33">
            <v>3</v>
          </cell>
          <cell r="Q33" t="str">
            <v>4/4/4</v>
          </cell>
          <cell r="AG33">
            <v>0</v>
          </cell>
          <cell r="AH33">
            <v>30</v>
          </cell>
          <cell r="AS33" t="str">
            <v>Kathrein 736018</v>
          </cell>
          <cell r="AY33" t="str">
            <v>1802435/2019/PTN-KĐ</v>
          </cell>
          <cell r="GR33">
            <v>43488</v>
          </cell>
          <cell r="GS33" t="str">
            <v>105,97449;9,60890</v>
          </cell>
          <cell r="GU33">
            <v>2</v>
          </cell>
          <cell r="GV33" t="str">
            <v>Sóc Trăng</v>
          </cell>
          <cell r="GX33" t="str">
            <v>Số 33/31, đường Calmette, phường 6, thành phố Sóc Trăng, tỉnh Sóc Trăng.</v>
          </cell>
          <cell r="GY33">
            <v>3</v>
          </cell>
          <cell r="GZ33">
            <v>761</v>
          </cell>
          <cell r="HK33">
            <v>43497</v>
          </cell>
          <cell r="HM33" t="str">
            <v>Viettel Sóc Trăng - Chi nhánh Tập đoàn Công nghiệp - Viễn Thông Quân Đội</v>
          </cell>
          <cell r="HQ33" t="str">
            <v>10,5</v>
          </cell>
          <cell r="HR33" t="str">
            <v>TẬP ĐOÀN CÔNG NGHIỆP - VIỄN THÔNG QUÂN ĐỘI</v>
          </cell>
          <cell r="HS33" t="str">
            <v>37,24W/37,24W/37,24W</v>
          </cell>
          <cell r="HT33" t="str">
            <v>30m/ 30m/ 30m</v>
          </cell>
          <cell r="HV33">
            <v>0</v>
          </cell>
        </row>
        <row r="34">
          <cell r="C34" t="str">
            <v>STG0394</v>
          </cell>
          <cell r="H34" t="str">
            <v>G1800</v>
          </cell>
          <cell r="K34" t="str">
            <v>NOKIA Flexi EDGE BTS</v>
          </cell>
          <cell r="P34">
            <v>3</v>
          </cell>
          <cell r="Q34" t="str">
            <v>4/4/4</v>
          </cell>
          <cell r="AG34">
            <v>10.5</v>
          </cell>
          <cell r="AH34">
            <v>12</v>
          </cell>
          <cell r="AS34" t="str">
            <v>Kathrein 736018</v>
          </cell>
          <cell r="AY34" t="str">
            <v>1802436/2019/PTN-KĐ</v>
          </cell>
          <cell r="GR34">
            <v>43489</v>
          </cell>
          <cell r="GS34" t="str">
            <v>105,97941;9,60193</v>
          </cell>
          <cell r="GU34">
            <v>2</v>
          </cell>
          <cell r="GV34" t="str">
            <v>Sóc Trăng</v>
          </cell>
          <cell r="GX34" t="str">
            <v>Số 106, đường Mạc Đỉnh Chi, khóm 3, phường 9, thành phố Sóc Trăng, tỉnh Sóc Trăng.</v>
          </cell>
          <cell r="GY34">
            <v>3</v>
          </cell>
          <cell r="GZ34">
            <v>761</v>
          </cell>
          <cell r="HK34">
            <v>43497</v>
          </cell>
          <cell r="HM34" t="str">
            <v>Viettel Sóc Trăng - Chi nhánh Tập đoàn Công nghiệp - Viễn Thông Quân Đội</v>
          </cell>
          <cell r="HQ34" t="str">
            <v>14</v>
          </cell>
          <cell r="HR34" t="str">
            <v>TẬP ĐOÀN CÔNG NGHIỆP - VIỄN THÔNG QUÂN ĐỘI</v>
          </cell>
          <cell r="HS34" t="str">
            <v>37,24W/37,24W/37,24W</v>
          </cell>
          <cell r="HT34" t="str">
            <v>22,5m/ 22,5m/ 22,5m</v>
          </cell>
          <cell r="HV34">
            <v>0</v>
          </cell>
        </row>
        <row r="35">
          <cell r="C35" t="str">
            <v>STG0396</v>
          </cell>
          <cell r="H35" t="str">
            <v>G1800</v>
          </cell>
          <cell r="K35" t="str">
            <v>NOKIA Flexi EDGE BTS</v>
          </cell>
          <cell r="P35">
            <v>3</v>
          </cell>
          <cell r="Q35" t="str">
            <v>4/4/4</v>
          </cell>
          <cell r="AG35">
            <v>10.5</v>
          </cell>
          <cell r="AH35">
            <v>13</v>
          </cell>
          <cell r="AS35" t="str">
            <v>Kathrein 736018</v>
          </cell>
          <cell r="AY35" t="str">
            <v>1802437/2019/PTN-KĐ</v>
          </cell>
          <cell r="GR35">
            <v>43489</v>
          </cell>
          <cell r="GS35" t="str">
            <v>105,97456;9,60361</v>
          </cell>
          <cell r="GU35">
            <v>2</v>
          </cell>
          <cell r="GV35" t="str">
            <v>Sóc Trăng</v>
          </cell>
          <cell r="GX35" t="str">
            <v>Số 33, đường Hàm Nghi, khóm 1, phường 1, thành phố Sóc Trăng, tỉnh Sóc Trăng.</v>
          </cell>
          <cell r="GY35">
            <v>3</v>
          </cell>
          <cell r="GZ35">
            <v>761</v>
          </cell>
          <cell r="HK35">
            <v>43497</v>
          </cell>
          <cell r="HM35" t="str">
            <v>Viettel Sóc Trăng - Chi nhánh Tập đoàn Công nghiệp - Viễn Thông Quân Đội</v>
          </cell>
          <cell r="HQ35" t="str">
            <v>28</v>
          </cell>
          <cell r="HR35" t="str">
            <v>TẬP ĐOÀN CÔNG NGHIỆP - VIỄN THÔNG QUÂN ĐỘI</v>
          </cell>
          <cell r="HS35" t="str">
            <v>37,24W/37,24W/37,24W</v>
          </cell>
          <cell r="HT35" t="str">
            <v>23,5m/ 23,5m/ 23,5m</v>
          </cell>
          <cell r="HV35">
            <v>0</v>
          </cell>
        </row>
        <row r="36">
          <cell r="C36" t="str">
            <v>STG0369</v>
          </cell>
          <cell r="H36" t="str">
            <v>G900</v>
          </cell>
          <cell r="K36" t="str">
            <v>NOKIA Flexi EDGE BTS</v>
          </cell>
          <cell r="P36">
            <v>3</v>
          </cell>
          <cell r="Q36" t="str">
            <v>4/4/4</v>
          </cell>
          <cell r="AG36">
            <v>17.5</v>
          </cell>
          <cell r="AH36">
            <v>9</v>
          </cell>
          <cell r="AS36" t="str">
            <v>Kathrein 739636</v>
          </cell>
          <cell r="AY36" t="str">
            <v>1802438/2019/PTN-KĐ</v>
          </cell>
          <cell r="GR36">
            <v>43489</v>
          </cell>
          <cell r="GS36" t="str">
            <v>105,97655;9,60571</v>
          </cell>
          <cell r="GU36">
            <v>2</v>
          </cell>
          <cell r="GV36" t="str">
            <v>Sóc Trăng</v>
          </cell>
          <cell r="GX36" t="str">
            <v>Số 186, đường Lý Thường Kiệt, khóm 5, phường 1, thành phố Sóc Trăng, tỉnh Sóc Trăng.</v>
          </cell>
          <cell r="GY36">
            <v>4</v>
          </cell>
          <cell r="GZ36">
            <v>761</v>
          </cell>
          <cell r="HK36">
            <v>43497</v>
          </cell>
          <cell r="HM36" t="str">
            <v>Viettel Sóc Trăng - Chi nhánh Tập đoàn Công nghiệp - Viễn Thông Quân Đội</v>
          </cell>
          <cell r="HQ36" t="str">
            <v>21</v>
          </cell>
          <cell r="HR36" t="str">
            <v>TẬP ĐOÀN CÔNG NGHIỆP - VIỄN THÔNG QUÂN ĐỘI</v>
          </cell>
          <cell r="HS36" t="str">
            <v>37,24W/37,24W/37,24W</v>
          </cell>
          <cell r="HT36" t="str">
            <v>26,5m/ 26,5m/ 26,5m</v>
          </cell>
          <cell r="HV36">
            <v>0</v>
          </cell>
        </row>
        <row r="37">
          <cell r="C37" t="str">
            <v>STG0521</v>
          </cell>
          <cell r="H37" t="str">
            <v>G900</v>
          </cell>
          <cell r="K37" t="str">
            <v>NOKIA Flexi EDGE BTS</v>
          </cell>
          <cell r="P37">
            <v>3</v>
          </cell>
          <cell r="Q37" t="str">
            <v>4/4/4</v>
          </cell>
          <cell r="AG37">
            <v>10.5</v>
          </cell>
          <cell r="AH37">
            <v>12</v>
          </cell>
          <cell r="AS37" t="str">
            <v>Kathrein 739636</v>
          </cell>
          <cell r="AY37" t="str">
            <v>1802439/2019/PTN-KĐ</v>
          </cell>
          <cell r="GR37">
            <v>43489</v>
          </cell>
          <cell r="GS37" t="str">
            <v>106,07416;9,73033</v>
          </cell>
          <cell r="GU37">
            <v>1</v>
          </cell>
          <cell r="GV37" t="str">
            <v>Sóc Trăng</v>
          </cell>
          <cell r="GX37" t="str">
            <v>Ấp Ngãi Hội 2, thị trấn Đại Ngãi, huyện Long Phú, tỉnh Sóc Trăng.</v>
          </cell>
          <cell r="GY37">
            <v>3</v>
          </cell>
          <cell r="GZ37">
            <v>761</v>
          </cell>
          <cell r="HK37">
            <v>43497</v>
          </cell>
          <cell r="HM37" t="str">
            <v>Viettel Sóc Trăng - Chi nhánh Tập đoàn Công nghiệp - Viễn Thông Quân Đội</v>
          </cell>
          <cell r="HQ37" t="str">
            <v>14</v>
          </cell>
          <cell r="HR37" t="str">
            <v>TẬP ĐOÀN CÔNG NGHIỆP - VIỄN THÔNG QUÂN ĐỘI</v>
          </cell>
          <cell r="HS37" t="str">
            <v>37,24W/37,24W/37,24W</v>
          </cell>
          <cell r="HT37" t="str">
            <v>22,5m/ 22,5m/ 22,5m</v>
          </cell>
          <cell r="HV37">
            <v>0</v>
          </cell>
        </row>
        <row r="38">
          <cell r="C38" t="str">
            <v>STG0530</v>
          </cell>
          <cell r="H38" t="str">
            <v>G900</v>
          </cell>
          <cell r="K38" t="str">
            <v>NOKIA Flexi EDGE BTS</v>
          </cell>
          <cell r="P38">
            <v>4</v>
          </cell>
          <cell r="Q38" t="str">
            <v>4/4/4/4</v>
          </cell>
          <cell r="AG38">
            <v>0</v>
          </cell>
          <cell r="AH38">
            <v>36</v>
          </cell>
          <cell r="AS38" t="str">
            <v>Kathrein 739636</v>
          </cell>
          <cell r="AY38" t="str">
            <v>1802440/2019/PTN-KĐ</v>
          </cell>
          <cell r="GR38">
            <v>43490</v>
          </cell>
          <cell r="GS38" t="str">
            <v>106,15624;9,66987</v>
          </cell>
          <cell r="GU38">
            <v>1</v>
          </cell>
          <cell r="GV38" t="str">
            <v>Sóc Trăng</v>
          </cell>
          <cell r="GX38" t="str">
            <v>Đường Đoàn Thế Trung, ấp Chợ, thị trấn Cù Lao Dung, huyện Cù Lao Dung, tỉnh Sóc Trăng.</v>
          </cell>
          <cell r="GY38">
            <v>3</v>
          </cell>
          <cell r="GZ38">
            <v>761</v>
          </cell>
          <cell r="HK38">
            <v>43497</v>
          </cell>
          <cell r="HM38" t="str">
            <v>Viettel Sóc Trăng - Chi nhánh Tập đoàn Công nghiệp - Viễn Thông Quân Đội</v>
          </cell>
          <cell r="HQ38" t="str">
            <v>10,5</v>
          </cell>
          <cell r="HR38" t="str">
            <v>TẬP ĐOÀN CÔNG NGHIỆP - VIỄN THÔNG QUÂN ĐỘI</v>
          </cell>
          <cell r="HS38" t="str">
            <v>37,24W/37,24W/37,24W/37,24W</v>
          </cell>
          <cell r="HT38" t="str">
            <v>36m/ 36m/ 36m/ 36m</v>
          </cell>
          <cell r="HV38">
            <v>0</v>
          </cell>
        </row>
        <row r="39">
          <cell r="C39" t="str">
            <v>STG0023</v>
          </cell>
          <cell r="H39" t="str">
            <v>G900</v>
          </cell>
          <cell r="K39" t="str">
            <v>NOKIA Flexi EDGE BTS</v>
          </cell>
          <cell r="P39">
            <v>3</v>
          </cell>
          <cell r="Q39" t="str">
            <v>4/4/4</v>
          </cell>
          <cell r="AG39">
            <v>0</v>
          </cell>
          <cell r="AH39">
            <v>36</v>
          </cell>
          <cell r="AS39" t="str">
            <v>Kathrein 739636</v>
          </cell>
          <cell r="AY39" t="str">
            <v>1802441/2019/PTN-KĐ</v>
          </cell>
          <cell r="GR39">
            <v>43490</v>
          </cell>
          <cell r="GS39" t="str">
            <v>106,24937;9,57340</v>
          </cell>
          <cell r="GU39">
            <v>2</v>
          </cell>
          <cell r="GV39" t="str">
            <v>Sóc Trăng</v>
          </cell>
          <cell r="GX39" t="str">
            <v>Ấp An Nghiệp, xã An Thạnh 3, huyện Cù Lao Dung, tỉnh Sóc Trăng.</v>
          </cell>
          <cell r="GY39">
            <v>4</v>
          </cell>
          <cell r="GZ39">
            <v>761</v>
          </cell>
          <cell r="HK39">
            <v>43497</v>
          </cell>
          <cell r="HM39" t="str">
            <v>Viettel Sóc Trăng - Chi nhánh Tập đoàn Công nghiệp - Viễn Thông Quân Đội</v>
          </cell>
          <cell r="HQ39" t="str">
            <v>4</v>
          </cell>
          <cell r="HR39" t="str">
            <v>TẬP ĐOÀN CÔNG NGHIỆP - VIỄN THÔNG QUÂN ĐỘI</v>
          </cell>
          <cell r="HS39" t="str">
            <v>37,24W/37,24W/37,24W</v>
          </cell>
          <cell r="HT39" t="str">
            <v>36m/ 36m/ 36m</v>
          </cell>
          <cell r="HV39">
            <v>0</v>
          </cell>
        </row>
        <row r="40">
          <cell r="C40" t="str">
            <v>STG0133</v>
          </cell>
          <cell r="H40" t="str">
            <v>G900</v>
          </cell>
          <cell r="K40" t="str">
            <v>NOKIA Flexi EDGE BTS</v>
          </cell>
          <cell r="P40">
            <v>4</v>
          </cell>
          <cell r="Q40" t="str">
            <v>4/4/2/4</v>
          </cell>
          <cell r="AG40">
            <v>0</v>
          </cell>
          <cell r="AH40">
            <v>40</v>
          </cell>
          <cell r="AS40" t="str">
            <v>Kathrein 739636</v>
          </cell>
          <cell r="AY40" t="str">
            <v>1802442/2019/PTN-KĐ</v>
          </cell>
          <cell r="GR40">
            <v>43490</v>
          </cell>
          <cell r="GS40" t="str">
            <v>106,09315;9,74261</v>
          </cell>
          <cell r="GU40">
            <v>2</v>
          </cell>
          <cell r="GV40" t="str">
            <v>Sóc Trăng</v>
          </cell>
          <cell r="GX40" t="str">
            <v>Ấp An Thường, xã An Thạnh 1, huyện Cù Lao Dung, tỉnh Sóc Trăng.</v>
          </cell>
          <cell r="GY40">
            <v>3</v>
          </cell>
          <cell r="GZ40">
            <v>761</v>
          </cell>
          <cell r="HK40">
            <v>43497</v>
          </cell>
          <cell r="HM40" t="str">
            <v>Viettel Sóc Trăng - Chi nhánh Tập đoàn Công nghiệp - Viễn Thông Quân Đội</v>
          </cell>
          <cell r="HQ40" t="str">
            <v>4</v>
          </cell>
          <cell r="HR40" t="str">
            <v>TẬP ĐOÀN CÔNG NGHIỆP - VIỄN THÔNG QUÂN ĐỘI</v>
          </cell>
          <cell r="HS40" t="str">
            <v>37,24W/37,24W/41,7W/37,24W</v>
          </cell>
          <cell r="HT40" t="str">
            <v>40m/ 40m/ 40m/ 40m</v>
          </cell>
          <cell r="HV40">
            <v>0</v>
          </cell>
        </row>
        <row r="41">
          <cell r="C41" t="str">
            <v>STG0141</v>
          </cell>
          <cell r="H41" t="str">
            <v>G900</v>
          </cell>
          <cell r="K41" t="str">
            <v>NOKIA Flexi EDGE BTS</v>
          </cell>
          <cell r="P41">
            <v>3</v>
          </cell>
          <cell r="Q41" t="str">
            <v>4/4/4</v>
          </cell>
          <cell r="AG41">
            <v>0</v>
          </cell>
          <cell r="AH41">
            <v>40</v>
          </cell>
          <cell r="AS41" t="str">
            <v>Kathrein 739636</v>
          </cell>
          <cell r="AY41" t="str">
            <v>1802443/2019/PTN-KĐ</v>
          </cell>
          <cell r="GR41">
            <v>43490</v>
          </cell>
          <cell r="GS41" t="str">
            <v>106,20065;9,49712</v>
          </cell>
          <cell r="GU41">
            <v>2</v>
          </cell>
          <cell r="GV41" t="str">
            <v>Sóc Trăng</v>
          </cell>
          <cell r="GX41" t="str">
            <v>Đồn Biên phòng 638, ấp Đầu Giồng, xã Trung Bình, huyện Trần Đề, tỉnh Sóc Trăng.</v>
          </cell>
          <cell r="GY41">
            <v>4</v>
          </cell>
          <cell r="GZ41">
            <v>761</v>
          </cell>
          <cell r="HK41">
            <v>43497</v>
          </cell>
          <cell r="HM41" t="str">
            <v>Viettel Sóc Trăng - Chi nhánh Tập đoàn Công nghiệp - Viễn Thông Quân Đội</v>
          </cell>
          <cell r="HQ41" t="str">
            <v>4</v>
          </cell>
          <cell r="HR41" t="str">
            <v>TẬP ĐOÀN CÔNG NGHIỆP - VIỄN THÔNG QUÂN ĐỘI</v>
          </cell>
          <cell r="HS41" t="str">
            <v>37,24W/37,24W/37,24W</v>
          </cell>
          <cell r="HT41" t="str">
            <v>40m/ 40m/ 40m</v>
          </cell>
          <cell r="HV41">
            <v>0</v>
          </cell>
        </row>
        <row r="42">
          <cell r="C42" t="str">
            <v>STG0211</v>
          </cell>
          <cell r="H42" t="str">
            <v>G900</v>
          </cell>
          <cell r="K42" t="str">
            <v>NOKIA Flexi EDGE BTS</v>
          </cell>
          <cell r="P42">
            <v>3</v>
          </cell>
          <cell r="Q42" t="str">
            <v>4/4/4</v>
          </cell>
          <cell r="AG42">
            <v>0</v>
          </cell>
          <cell r="AH42">
            <v>40</v>
          </cell>
          <cell r="AS42" t="str">
            <v>Kathrein 739636</v>
          </cell>
          <cell r="AY42" t="str">
            <v>1802444/2019/PTN-KĐ</v>
          </cell>
          <cell r="GR42">
            <v>43491</v>
          </cell>
          <cell r="GS42" t="str">
            <v>106,19856;9,52306</v>
          </cell>
          <cell r="GU42">
            <v>2</v>
          </cell>
          <cell r="GV42" t="str">
            <v>Sóc Trăng</v>
          </cell>
          <cell r="GX42" t="str">
            <v>Số 1055/5, ấp Cảng, thị trấn Trần Đề, huyện Trần Đề, tỉnh Sóc Trăng.</v>
          </cell>
          <cell r="GY42">
            <v>4</v>
          </cell>
          <cell r="GZ42">
            <v>761</v>
          </cell>
          <cell r="HK42">
            <v>43497</v>
          </cell>
          <cell r="HM42" t="str">
            <v>Viettel Sóc Trăng - Chi nhánh Tập đoàn Công nghiệp - Viễn Thông Quân Đội</v>
          </cell>
          <cell r="HQ42" t="str">
            <v>14</v>
          </cell>
          <cell r="HR42" t="str">
            <v>TẬP ĐOÀN CÔNG NGHIỆP - VIỄN THÔNG QUÂN ĐỘI</v>
          </cell>
          <cell r="HS42" t="str">
            <v>37,24W/37,24W/37,24W</v>
          </cell>
          <cell r="HT42" t="str">
            <v>40m/ 40m/ 40m</v>
          </cell>
          <cell r="HV42">
            <v>0</v>
          </cell>
        </row>
        <row r="44">
          <cell r="C44" t="str">
            <v>STG0444</v>
          </cell>
          <cell r="H44" t="str">
            <v>U2100</v>
          </cell>
          <cell r="K44" t="str">
            <v>NOKIA Flexi WCDMA BTS</v>
          </cell>
          <cell r="P44">
            <v>3</v>
          </cell>
          <cell r="Q44" t="str">
            <v>2/2/2</v>
          </cell>
          <cell r="AG44">
            <v>0</v>
          </cell>
          <cell r="AH44">
            <v>40</v>
          </cell>
          <cell r="AS44" t="str">
            <v>Kathrein 742215</v>
          </cell>
          <cell r="AY44" t="str">
            <v>1802445/2019/PTN-KĐ</v>
          </cell>
          <cell r="GR44">
            <v>43491</v>
          </cell>
          <cell r="GS44" t="str">
            <v>105,98586;9,32452</v>
          </cell>
          <cell r="GU44">
            <v>2</v>
          </cell>
          <cell r="GV44" t="str">
            <v>Sóc Trăng</v>
          </cell>
          <cell r="GX44" t="str">
            <v>Đường Lý Thường Kiệt, khóm 1, phường 1, thị xã Vĩnh Châu, tỉnh Sóc Trăng.</v>
          </cell>
          <cell r="GY44">
            <v>2</v>
          </cell>
          <cell r="GZ44">
            <v>761</v>
          </cell>
          <cell r="HK44">
            <v>43497</v>
          </cell>
          <cell r="HM44" t="str">
            <v>Viettel Sóc Trăng - Chi nhánh Tập đoàn Công nghiệp - Viễn Thông Quân Đội</v>
          </cell>
          <cell r="HQ44" t="str">
            <v>10,5</v>
          </cell>
          <cell r="HR44" t="str">
            <v>TẬP ĐOÀN CÔNG NGHIỆP - VIỄN THÔNG QUÂN ĐỘI</v>
          </cell>
          <cell r="HS44" t="str">
            <v>40W/40W/40W</v>
          </cell>
          <cell r="HT44" t="str">
            <v>40m/ 40m/ 40m</v>
          </cell>
          <cell r="HV44">
            <v>0</v>
          </cell>
        </row>
        <row r="45">
          <cell r="C45" t="str">
            <v>STG0073-11</v>
          </cell>
          <cell r="H45" t="str">
            <v>U2100</v>
          </cell>
          <cell r="K45" t="str">
            <v>NOKIA Flexi WCDMA BTS</v>
          </cell>
          <cell r="P45">
            <v>2</v>
          </cell>
          <cell r="Q45" t="str">
            <v>2/2</v>
          </cell>
          <cell r="AG45">
            <v>0</v>
          </cell>
          <cell r="AH45">
            <v>17</v>
          </cell>
          <cell r="AS45" t="str">
            <v>Kathrein 742215</v>
          </cell>
          <cell r="AY45" t="str">
            <v>1802446/2019/PTN-KĐ</v>
          </cell>
          <cell r="GR45">
            <v>43491</v>
          </cell>
          <cell r="GS45" t="str">
            <v>105,88826;9,28863</v>
          </cell>
          <cell r="GU45">
            <v>1</v>
          </cell>
          <cell r="GV45" t="str">
            <v>Sóc Trăng</v>
          </cell>
          <cell r="GX45" t="str">
            <v>Ấp No Pol, xã Vĩnh Tân, thị xã Vĩnh Châu, tỉnh Sóc Trăng.</v>
          </cell>
          <cell r="GY45">
            <v>1</v>
          </cell>
          <cell r="GZ45">
            <v>761</v>
          </cell>
          <cell r="HK45">
            <v>43497</v>
          </cell>
          <cell r="HM45" t="str">
            <v>Viettel Sóc Trăng - Chi nhánh Tập đoàn Công nghiệp - Viễn Thông Quân Đội</v>
          </cell>
          <cell r="HQ45" t="str">
            <v>4</v>
          </cell>
          <cell r="HR45" t="str">
            <v>TẬP ĐOÀN CÔNG NGHIỆP - VIỄN THÔNG QUÂN ĐỘI</v>
          </cell>
          <cell r="HS45" t="str">
            <v>40W/40W</v>
          </cell>
          <cell r="HT45" t="str">
            <v>17m/ 17m</v>
          </cell>
          <cell r="HV45">
            <v>0</v>
          </cell>
        </row>
        <row r="46">
          <cell r="C46" t="str">
            <v>STG0182</v>
          </cell>
          <cell r="H46" t="str">
            <v>G900</v>
          </cell>
          <cell r="K46" t="str">
            <v>NOKIA Flexi EDGE BTS</v>
          </cell>
          <cell r="P46">
            <v>3</v>
          </cell>
          <cell r="Q46" t="str">
            <v>2/2/4</v>
          </cell>
          <cell r="AG46">
            <v>0</v>
          </cell>
          <cell r="AH46">
            <v>28</v>
          </cell>
          <cell r="AS46" t="str">
            <v>Kathrein 739636</v>
          </cell>
          <cell r="AY46" t="str">
            <v>1802447/2019/PTN-KĐ</v>
          </cell>
          <cell r="GR46">
            <v>43492</v>
          </cell>
          <cell r="GS46" t="str">
            <v>105,98080;9,56802</v>
          </cell>
          <cell r="GU46">
            <v>2</v>
          </cell>
          <cell r="GV46" t="str">
            <v>Sóc Trăng</v>
          </cell>
          <cell r="GX46" t="str">
            <v>Trường Cao đẳng Sư phạm Sóc Trăng, số 77, tỉnh lộ 934, thị trấn Mỹ Xuyên, huyện Mỹ Xuyên, tỉnh Sóc Trăng.</v>
          </cell>
          <cell r="GY46">
            <v>3</v>
          </cell>
          <cell r="GZ46">
            <v>761</v>
          </cell>
          <cell r="HK46">
            <v>43497</v>
          </cell>
          <cell r="HM46" t="str">
            <v>Viettel Sóc Trăng - Chi nhánh Tập đoàn Công nghiệp - Viễn Thông Quân Đội</v>
          </cell>
          <cell r="HQ46" t="str">
            <v>14</v>
          </cell>
          <cell r="HR46" t="str">
            <v>TẬP ĐOÀN CÔNG NGHIỆP - VIỄN THÔNG QUÂN ĐỘI</v>
          </cell>
          <cell r="HS46" t="str">
            <v>41,7W/41,7W/37,24W</v>
          </cell>
          <cell r="HT46" t="str">
            <v>28m/ 28m/ 28m</v>
          </cell>
          <cell r="HV46">
            <v>0</v>
          </cell>
        </row>
        <row r="47">
          <cell r="C47" t="str">
            <v>STG0465-11</v>
          </cell>
          <cell r="H47" t="str">
            <v>U2100</v>
          </cell>
          <cell r="K47" t="str">
            <v>NOKIA Flexi WCDMA BTS</v>
          </cell>
          <cell r="P47">
            <v>2</v>
          </cell>
          <cell r="Q47" t="str">
            <v>2/2</v>
          </cell>
          <cell r="AG47">
            <v>0</v>
          </cell>
          <cell r="AH47">
            <v>16</v>
          </cell>
          <cell r="AS47" t="str">
            <v>Kathrein 742215</v>
          </cell>
          <cell r="AY47" t="str">
            <v>1802448/2019/PTN-KĐ</v>
          </cell>
          <cell r="GR47">
            <v>43492</v>
          </cell>
          <cell r="GS47" t="str">
            <v>105,80170;9,45373</v>
          </cell>
          <cell r="GU47">
            <v>1</v>
          </cell>
          <cell r="GV47" t="str">
            <v>Sóc Trăng</v>
          </cell>
          <cell r="GX47" t="str">
            <v>Ấp Hòa Khanh, xã Thạnh Quới, huyện Mỹ Xuyên, tỉnh Sóc Trăng.</v>
          </cell>
          <cell r="GY47">
            <v>1</v>
          </cell>
          <cell r="GZ47">
            <v>761</v>
          </cell>
          <cell r="HK47">
            <v>43497</v>
          </cell>
          <cell r="HM47" t="str">
            <v>Viettel Sóc Trăng - Chi nhánh Tập đoàn Công nghiệp - Viễn Thông Quân Đội</v>
          </cell>
          <cell r="HQ47" t="str">
            <v>4</v>
          </cell>
          <cell r="HR47" t="str">
            <v>TẬP ĐOÀN CÔNG NGHIỆP - VIỄN THÔNG QUÂN ĐỘI</v>
          </cell>
          <cell r="HS47" t="str">
            <v>40W/40W</v>
          </cell>
          <cell r="HT47" t="str">
            <v>16m/ 16m</v>
          </cell>
          <cell r="HV47">
            <v>0</v>
          </cell>
        </row>
        <row r="48">
          <cell r="C48" t="str">
            <v>STG0026</v>
          </cell>
          <cell r="H48" t="str">
            <v>G900</v>
          </cell>
          <cell r="K48" t="str">
            <v>NOKIA Flexi EDGE BTS</v>
          </cell>
          <cell r="P48">
            <v>3</v>
          </cell>
          <cell r="Q48" t="str">
            <v>4/4/4</v>
          </cell>
          <cell r="AG48">
            <v>10.5</v>
          </cell>
          <cell r="AH48">
            <v>11</v>
          </cell>
          <cell r="AS48" t="str">
            <v>Kathrein 739636</v>
          </cell>
          <cell r="AY48" t="str">
            <v>1802449/2019/PTN-KĐ</v>
          </cell>
          <cell r="GR48">
            <v>43492</v>
          </cell>
          <cell r="GS48" t="str">
            <v>105,96131;9,68876</v>
          </cell>
          <cell r="GU48">
            <v>2</v>
          </cell>
          <cell r="GV48" t="str">
            <v>Sóc Trăng</v>
          </cell>
          <cell r="GX48" t="str">
            <v>Ấp Phú Thành B, xã Phú Tâm, huyện Châu Thành, tỉnh Sóc Trăng.</v>
          </cell>
          <cell r="GY48">
            <v>4</v>
          </cell>
          <cell r="GZ48">
            <v>761</v>
          </cell>
          <cell r="HK48">
            <v>43497</v>
          </cell>
          <cell r="HM48" t="str">
            <v>Viettel Sóc Trăng - Chi nhánh Tập đoàn Công nghiệp - Viễn Thông Quân Đội</v>
          </cell>
          <cell r="HQ48" t="str">
            <v>14</v>
          </cell>
          <cell r="HR48" t="str">
            <v>TẬP ĐOÀN CÔNG NGHIỆP - VIỄN THÔNG QUÂN ĐỘI</v>
          </cell>
          <cell r="HS48" t="str">
            <v>37,24W/37,24W/37,24W</v>
          </cell>
          <cell r="HT48" t="str">
            <v>21,5m/ 21,5m/ 21,5m</v>
          </cell>
          <cell r="HV48">
            <v>0</v>
          </cell>
        </row>
        <row r="49">
          <cell r="C49" t="str">
            <v>STG0093</v>
          </cell>
          <cell r="H49" t="str">
            <v>G900</v>
          </cell>
          <cell r="K49" t="str">
            <v>NOKIA Flexi EDGE BTS</v>
          </cell>
          <cell r="P49">
            <v>4</v>
          </cell>
          <cell r="Q49" t="str">
            <v>2/2/2/2</v>
          </cell>
          <cell r="AG49">
            <v>0</v>
          </cell>
          <cell r="AH49">
            <v>34</v>
          </cell>
          <cell r="AS49" t="str">
            <v>Kathrein 739636</v>
          </cell>
          <cell r="AY49" t="str">
            <v>1802450/2019/PTN-KĐ</v>
          </cell>
          <cell r="GR49">
            <v>43492</v>
          </cell>
          <cell r="GS49" t="str">
            <v>105,98109;9,80097</v>
          </cell>
          <cell r="GU49">
            <v>2</v>
          </cell>
          <cell r="GV49" t="str">
            <v>Sóc Trăng</v>
          </cell>
          <cell r="GX49" t="str">
            <v>Ấp Tập Rèn, xã Thới An Hội, huyện Kế Sách, tỉnh Sóc Trăng.</v>
          </cell>
          <cell r="GY49">
            <v>3</v>
          </cell>
          <cell r="GZ49">
            <v>761</v>
          </cell>
          <cell r="HK49">
            <v>43497</v>
          </cell>
          <cell r="HM49" t="str">
            <v>Viettel Sóc Trăng - Chi nhánh Tập đoàn Công nghiệp - Viễn Thông Quân Đội</v>
          </cell>
          <cell r="HQ49" t="str">
            <v>4</v>
          </cell>
          <cell r="HR49" t="str">
            <v>TẬP ĐOÀN CÔNG NGHIỆP - VIỄN THÔNG QUÂN ĐỘI</v>
          </cell>
          <cell r="HS49" t="str">
            <v>41,7W/41,7W/41,7W/41,7W</v>
          </cell>
          <cell r="HT49" t="str">
            <v>34m/ 34m/ 34m/ 34m</v>
          </cell>
          <cell r="HV49">
            <v>0</v>
          </cell>
        </row>
        <row r="50">
          <cell r="C50" t="str">
            <v>STG0124</v>
          </cell>
          <cell r="H50" t="str">
            <v>G900</v>
          </cell>
          <cell r="K50" t="str">
            <v>NOKIA Flexi EDGE BTS</v>
          </cell>
          <cell r="P50">
            <v>4</v>
          </cell>
          <cell r="Q50" t="str">
            <v>2/4/2/2</v>
          </cell>
          <cell r="AG50">
            <v>0</v>
          </cell>
          <cell r="AH50">
            <v>36</v>
          </cell>
          <cell r="AS50" t="str">
            <v>Kathrein 739636</v>
          </cell>
          <cell r="AY50" t="str">
            <v>1802451/2019/PTN-KĐ</v>
          </cell>
          <cell r="GR50">
            <v>43493</v>
          </cell>
          <cell r="GS50" t="str">
            <v>106,01891;9,75757</v>
          </cell>
          <cell r="GU50">
            <v>2</v>
          </cell>
          <cell r="GV50" t="str">
            <v>Sóc Trăng</v>
          </cell>
          <cell r="GX50" t="str">
            <v>Ấp Phú Tây, xã An Mỹ, huyện Kế Sách, tỉnh Sóc Trăng.</v>
          </cell>
          <cell r="GY50">
            <v>3</v>
          </cell>
          <cell r="GZ50">
            <v>761</v>
          </cell>
          <cell r="HK50">
            <v>43497</v>
          </cell>
          <cell r="HM50" t="str">
            <v>Viettel Sóc Trăng - Chi nhánh Tập đoàn Công nghiệp - Viễn Thông Quân Đội</v>
          </cell>
          <cell r="HQ50" t="str">
            <v>4</v>
          </cell>
          <cell r="HR50" t="str">
            <v>TẬP ĐOÀN CÔNG NGHIỆP - VIỄN THÔNG QUÂN ĐỘI</v>
          </cell>
          <cell r="HS50" t="str">
            <v>41,7W/37,24W/41,7W/W</v>
          </cell>
          <cell r="HT50" t="str">
            <v>36m/ 38m/ 38m/ 38m</v>
          </cell>
          <cell r="HV50">
            <v>0</v>
          </cell>
        </row>
        <row r="51">
          <cell r="C51" t="str">
            <v>STG0123-11</v>
          </cell>
          <cell r="H51" t="str">
            <v>U2100</v>
          </cell>
          <cell r="K51" t="str">
            <v>NOKIA Flexi WCDMA BTS</v>
          </cell>
          <cell r="P51">
            <v>2</v>
          </cell>
          <cell r="Q51" t="str">
            <v>2/2</v>
          </cell>
          <cell r="AG51">
            <v>0</v>
          </cell>
          <cell r="AH51">
            <v>22</v>
          </cell>
          <cell r="AS51" t="str">
            <v>Kathrein 742215</v>
          </cell>
          <cell r="AY51" t="str">
            <v>1802452/2019/PTN-KĐ</v>
          </cell>
          <cell r="GR51">
            <v>43493</v>
          </cell>
          <cell r="GS51" t="str">
            <v>105,87718;9,87930</v>
          </cell>
          <cell r="GU51">
            <v>1</v>
          </cell>
          <cell r="GV51" t="str">
            <v>Sóc Trăng</v>
          </cell>
          <cell r="GX51" t="str">
            <v>Ấp Hòa Lộc 2, xã Xuân Hòa, huyện Kế Sách, tỉnh Sóc Trăng.</v>
          </cell>
          <cell r="GY51">
            <v>1</v>
          </cell>
          <cell r="GZ51">
            <v>761</v>
          </cell>
          <cell r="HK51">
            <v>43497</v>
          </cell>
          <cell r="HM51" t="str">
            <v>Viettel Sóc Trăng - Chi nhánh Tập đoàn Công nghiệp - Viễn Thông Quân Đội</v>
          </cell>
          <cell r="HQ51" t="str">
            <v>4</v>
          </cell>
          <cell r="HR51" t="str">
            <v>TẬP ĐOÀN CÔNG NGHIỆP - VIỄN THÔNG QUÂN ĐỘI</v>
          </cell>
          <cell r="HS51" t="str">
            <v>40W/40W</v>
          </cell>
          <cell r="HT51" t="str">
            <v>22m/ 22m</v>
          </cell>
          <cell r="HV51">
            <v>0</v>
          </cell>
        </row>
      </sheetData>
      <sheetData sheetId="2">
        <row r="4">
          <cell r="C4" t="str">
            <v/>
          </cell>
          <cell r="H4">
            <v>0</v>
          </cell>
          <cell r="K4">
            <v>0</v>
          </cell>
          <cell r="P4">
            <v>0</v>
          </cell>
          <cell r="Q4" t="str">
            <v/>
          </cell>
          <cell r="AH4">
            <v>0</v>
          </cell>
          <cell r="AS4">
            <v>0</v>
          </cell>
          <cell r="HM4" t="str">
            <v/>
          </cell>
          <cell r="HN4" t="str">
            <v/>
          </cell>
          <cell r="HO4" t="str">
            <v/>
          </cell>
        </row>
        <row r="5">
          <cell r="C5" t="str">
            <v>TVH0011</v>
          </cell>
          <cell r="H5" t="str">
            <v>U2100</v>
          </cell>
          <cell r="K5" t="str">
            <v>NOKIA Flexi WCDMA BTS</v>
          </cell>
          <cell r="P5">
            <v>3</v>
          </cell>
          <cell r="Q5" t="str">
            <v>2/2/2</v>
          </cell>
          <cell r="AH5">
            <v>17</v>
          </cell>
          <cell r="AS5" t="str">
            <v>Kathrein 742215</v>
          </cell>
          <cell r="HM5" t="str">
            <v>TẬP ĐOÀN CÔNG NGHIỆP - VIỄN THÔNG QUÂN ĐỘI</v>
          </cell>
          <cell r="HN5" t="str">
            <v>40W/40W/40W</v>
          </cell>
          <cell r="HO5" t="str">
            <v>27,5m/ 27,5m/ 27,5m</v>
          </cell>
        </row>
        <row r="6">
          <cell r="C6" t="str">
            <v>TVH0026</v>
          </cell>
          <cell r="H6" t="str">
            <v>U2100</v>
          </cell>
          <cell r="K6" t="str">
            <v>NOKIA Flexi WCDMA BTS</v>
          </cell>
          <cell r="P6">
            <v>3</v>
          </cell>
          <cell r="Q6" t="str">
            <v>2/2/2</v>
          </cell>
          <cell r="AH6">
            <v>36</v>
          </cell>
          <cell r="AS6" t="str">
            <v>Kathrein 742215</v>
          </cell>
          <cell r="HM6" t="str">
            <v>TẬP ĐOÀN CÔNG NGHIỆP - VIỄN THÔNG QUÂN ĐỘI</v>
          </cell>
          <cell r="HN6" t="str">
            <v>40W/40W/40W</v>
          </cell>
          <cell r="HO6" t="str">
            <v>36m/ 36m/ 36m</v>
          </cell>
        </row>
        <row r="7">
          <cell r="C7" t="str">
            <v>TVH0028</v>
          </cell>
          <cell r="H7" t="str">
            <v>U2100</v>
          </cell>
          <cell r="K7" t="str">
            <v>NOKIA Flexi WCDMA BTS</v>
          </cell>
          <cell r="P7">
            <v>3</v>
          </cell>
          <cell r="Q7" t="str">
            <v>2/2/2</v>
          </cell>
          <cell r="AH7">
            <v>34</v>
          </cell>
          <cell r="AS7" t="str">
            <v>Kathrein 742215</v>
          </cell>
          <cell r="HM7" t="str">
            <v>TẬP ĐOÀN CÔNG NGHIỆP - VIỄN THÔNG QUÂN ĐỘI</v>
          </cell>
          <cell r="HN7" t="str">
            <v>40W/40W/40W</v>
          </cell>
          <cell r="HO7" t="str">
            <v>34m/ 34m/ 34m</v>
          </cell>
        </row>
        <row r="8">
          <cell r="C8" t="str">
            <v>TVH0189</v>
          </cell>
          <cell r="H8" t="str">
            <v>U2100</v>
          </cell>
          <cell r="K8" t="str">
            <v>NOKIA Flexi WCDMA BTS</v>
          </cell>
          <cell r="P8">
            <v>3</v>
          </cell>
          <cell r="Q8" t="str">
            <v>2/2/2</v>
          </cell>
          <cell r="AH8">
            <v>27</v>
          </cell>
          <cell r="AS8" t="str">
            <v>Kathrein 742215</v>
          </cell>
          <cell r="HM8" t="str">
            <v>TẬP ĐOÀN CÔNG NGHIỆP - VIỄN THÔNG QUÂN ĐỘI</v>
          </cell>
          <cell r="HN8" t="str">
            <v>40W/40W/40W</v>
          </cell>
          <cell r="HO8" t="str">
            <v>27m/ 27m/ 27m</v>
          </cell>
        </row>
        <row r="9">
          <cell r="C9" t="str">
            <v>TVH0368</v>
          </cell>
          <cell r="H9" t="str">
            <v>U2100</v>
          </cell>
          <cell r="K9" t="str">
            <v>NOKIA Flexi WCDMA BTS</v>
          </cell>
          <cell r="P9">
            <v>3</v>
          </cell>
          <cell r="Q9" t="str">
            <v>2/2/2</v>
          </cell>
          <cell r="AH9">
            <v>34</v>
          </cell>
          <cell r="AS9" t="str">
            <v>Kathrein 742215</v>
          </cell>
          <cell r="HM9" t="str">
            <v>TẬP ĐOÀN CÔNG NGHIỆP - VIỄN THÔNG QUÂN ĐỘI</v>
          </cell>
          <cell r="HN9" t="str">
            <v>40W/40W/40W</v>
          </cell>
          <cell r="HO9" t="str">
            <v>34m/ 34m/ 34m</v>
          </cell>
        </row>
        <row r="10">
          <cell r="C10" t="str">
            <v>TVH0369</v>
          </cell>
          <cell r="H10" t="str">
            <v>U2100</v>
          </cell>
          <cell r="K10" t="str">
            <v>NOKIA Flexi WCDMA BTS</v>
          </cell>
          <cell r="P10">
            <v>3</v>
          </cell>
          <cell r="Q10" t="str">
            <v>2/2/2</v>
          </cell>
          <cell r="AH10">
            <v>17</v>
          </cell>
          <cell r="AS10" t="str">
            <v>Kathrein 742215</v>
          </cell>
          <cell r="HM10" t="str">
            <v>TẬP ĐOÀN CÔNG NGHIỆP - VIỄN THÔNG QUÂN ĐỘI</v>
          </cell>
          <cell r="HN10" t="str">
            <v>40W/40W/40W</v>
          </cell>
          <cell r="HO10" t="str">
            <v>25m/ 25m/ 25m</v>
          </cell>
        </row>
        <row r="11">
          <cell r="C11" t="str">
            <v>TVH0370</v>
          </cell>
          <cell r="H11" t="str">
            <v>U2100</v>
          </cell>
          <cell r="K11" t="str">
            <v>NOKIA Flexi WCDMA BTS</v>
          </cell>
          <cell r="P11">
            <v>3</v>
          </cell>
          <cell r="Q11" t="str">
            <v>2/2/2</v>
          </cell>
          <cell r="AH11">
            <v>16</v>
          </cell>
          <cell r="AS11" t="str">
            <v>Kathrein 742215</v>
          </cell>
          <cell r="HM11" t="str">
            <v>TẬP ĐOÀN CÔNG NGHIỆP - VIỄN THÔNG QUÂN ĐỘI</v>
          </cell>
          <cell r="HN11" t="str">
            <v>40W/40W/40W</v>
          </cell>
          <cell r="HO11" t="str">
            <v>24m/ 24m/ 24m</v>
          </cell>
        </row>
        <row r="12">
          <cell r="C12" t="str">
            <v>TVH0120</v>
          </cell>
          <cell r="H12" t="str">
            <v>U2100</v>
          </cell>
          <cell r="K12" t="str">
            <v>NOKIA Flexi WCDMA BTS</v>
          </cell>
          <cell r="P12">
            <v>3</v>
          </cell>
          <cell r="Q12" t="str">
            <v>2/2/2</v>
          </cell>
          <cell r="AH12">
            <v>28</v>
          </cell>
          <cell r="AS12" t="str">
            <v>Kathrein 742215</v>
          </cell>
          <cell r="HM12" t="str">
            <v>TẬP ĐOÀN CÔNG NGHIỆP - VIỄN THÔNG QUÂN ĐỘI</v>
          </cell>
          <cell r="HN12" t="str">
            <v>40W/40W/40W</v>
          </cell>
          <cell r="HO12" t="str">
            <v>28m/ 28m/ 28m</v>
          </cell>
        </row>
        <row r="13">
          <cell r="C13" t="str">
            <v>TVH0160_11</v>
          </cell>
          <cell r="H13" t="str">
            <v>U2100</v>
          </cell>
          <cell r="K13" t="str">
            <v>NOKIA Flexi WCDMA BTS</v>
          </cell>
          <cell r="P13">
            <v>3</v>
          </cell>
          <cell r="Q13" t="str">
            <v>2/2/2</v>
          </cell>
          <cell r="AH13">
            <v>34</v>
          </cell>
          <cell r="AS13" t="str">
            <v>Kathrein 742215</v>
          </cell>
          <cell r="HM13" t="str">
            <v>TẬP ĐOÀN CÔNG NGHIỆP - VIỄN THÔNG QUÂN ĐỘI</v>
          </cell>
          <cell r="HN13" t="str">
            <v>40W/40W/40W</v>
          </cell>
          <cell r="HO13" t="str">
            <v>34m/ 34m/ 34m</v>
          </cell>
        </row>
        <row r="14">
          <cell r="C14" t="str">
            <v>TVH0199</v>
          </cell>
          <cell r="H14" t="str">
            <v>U2100</v>
          </cell>
          <cell r="K14" t="str">
            <v>NOKIA Flexi WCDMA BTS</v>
          </cell>
          <cell r="P14">
            <v>3</v>
          </cell>
          <cell r="Q14" t="str">
            <v>2/2/2</v>
          </cell>
          <cell r="AH14">
            <v>27</v>
          </cell>
          <cell r="AS14" t="str">
            <v>Kathrein 742215</v>
          </cell>
          <cell r="HM14" t="str">
            <v>TẬP ĐOÀN CÔNG NGHIỆP - VIỄN THÔNG QUÂN ĐỘI</v>
          </cell>
          <cell r="HN14" t="str">
            <v>40W/40W/40W</v>
          </cell>
          <cell r="HO14" t="str">
            <v>27m/ 27m/ 27m</v>
          </cell>
        </row>
        <row r="15">
          <cell r="C15" t="str">
            <v>TVH0009</v>
          </cell>
          <cell r="H15" t="str">
            <v>G1800</v>
          </cell>
          <cell r="K15" t="str">
            <v>NOKIA Flexi EDGE BTS</v>
          </cell>
          <cell r="P15">
            <v>3</v>
          </cell>
          <cell r="Q15" t="str">
            <v>4/4/4</v>
          </cell>
          <cell r="AH15">
            <v>29</v>
          </cell>
          <cell r="AS15" t="str">
            <v>Kathrein 736018</v>
          </cell>
          <cell r="HM15" t="str">
            <v>TẬP ĐOÀN CÔNG NGHIỆP - VIỄN THÔNG QUÂN ĐỘI</v>
          </cell>
          <cell r="HN15" t="str">
            <v>37,24W/37,24W/37,24W</v>
          </cell>
          <cell r="HO15" t="str">
            <v>29m/ 29m/ 29m</v>
          </cell>
        </row>
        <row r="16">
          <cell r="C16" t="str">
            <v>TVH0002</v>
          </cell>
          <cell r="H16" t="str">
            <v>G1800</v>
          </cell>
          <cell r="K16" t="str">
            <v>NOKIA Flexi EDGE BTS</v>
          </cell>
          <cell r="P16">
            <v>3</v>
          </cell>
          <cell r="Q16" t="str">
            <v>4/4/4</v>
          </cell>
          <cell r="AH16">
            <v>27</v>
          </cell>
          <cell r="AS16" t="str">
            <v>Kathrein 736018</v>
          </cell>
          <cell r="HM16" t="str">
            <v>TẬP ĐOÀN CÔNG NGHIỆP - VIỄN THÔNG QUÂN ĐỘI</v>
          </cell>
          <cell r="HN16" t="str">
            <v>37,24W/37,24W/37,24W</v>
          </cell>
          <cell r="HO16" t="str">
            <v>27m/ 27m/ 27m</v>
          </cell>
        </row>
        <row r="17">
          <cell r="C17" t="str">
            <v>TVH0596</v>
          </cell>
          <cell r="H17" t="str">
            <v>G1800</v>
          </cell>
          <cell r="K17" t="str">
            <v>NOKIA Flexi EDGE BTS</v>
          </cell>
          <cell r="P17">
            <v>3</v>
          </cell>
          <cell r="Q17" t="str">
            <v>4/4/4</v>
          </cell>
          <cell r="AH17">
            <v>40</v>
          </cell>
          <cell r="AS17" t="str">
            <v>Kathrein 736018</v>
          </cell>
          <cell r="HM17" t="str">
            <v>TẬP ĐOÀN CÔNG NGHIỆP - VIỄN THÔNG QUÂN ĐỘI</v>
          </cell>
          <cell r="HN17" t="str">
            <v>37,24W/37,24W/37,24W</v>
          </cell>
          <cell r="HO17" t="str">
            <v>40m/ 40m/ 40m</v>
          </cell>
        </row>
        <row r="18">
          <cell r="C18" t="str">
            <v>TVH0007</v>
          </cell>
          <cell r="H18" t="str">
            <v>U2100</v>
          </cell>
          <cell r="K18" t="str">
            <v>NOKIA Flexi WCDMA BTS</v>
          </cell>
          <cell r="P18">
            <v>3</v>
          </cell>
          <cell r="Q18" t="str">
            <v>2/2/2</v>
          </cell>
          <cell r="AH18">
            <v>54</v>
          </cell>
          <cell r="AS18" t="str">
            <v>Kathrein 742215</v>
          </cell>
          <cell r="HM18" t="str">
            <v>TẬP ĐOÀN CÔNG NGHIỆP - VIỄN THÔNG QUÂN ĐỘI</v>
          </cell>
          <cell r="HN18" t="str">
            <v>40W/40W/40W</v>
          </cell>
          <cell r="HO18" t="str">
            <v>54m/ 54m/ 54m</v>
          </cell>
        </row>
        <row r="19">
          <cell r="C19" t="str">
            <v/>
          </cell>
          <cell r="H19">
            <v>0</v>
          </cell>
          <cell r="K19">
            <v>0</v>
          </cell>
          <cell r="P19">
            <v>0</v>
          </cell>
          <cell r="Q19" t="str">
            <v/>
          </cell>
          <cell r="AH19">
            <v>0</v>
          </cell>
          <cell r="AS19">
            <v>0</v>
          </cell>
          <cell r="HM19" t="str">
            <v/>
          </cell>
          <cell r="HN19" t="str">
            <v/>
          </cell>
          <cell r="HO19" t="str">
            <v/>
          </cell>
        </row>
        <row r="20">
          <cell r="C20" t="str">
            <v>STG0051</v>
          </cell>
          <cell r="H20" t="str">
            <v>U2100</v>
          </cell>
          <cell r="K20" t="str">
            <v>NOKIA Flexi WCDMA BTS</v>
          </cell>
          <cell r="P20">
            <v>3</v>
          </cell>
          <cell r="Q20" t="str">
            <v>2/2/2</v>
          </cell>
          <cell r="AH20">
            <v>29</v>
          </cell>
          <cell r="AS20" t="str">
            <v>Kathrein 742215</v>
          </cell>
          <cell r="HM20" t="str">
            <v>TẬP ĐOÀN CÔNG NGHIỆP - VIỄN THÔNG QUÂN ĐỘI</v>
          </cell>
          <cell r="HN20" t="str">
            <v>40W/40W/40W</v>
          </cell>
          <cell r="HO20" t="str">
            <v>29m/ 29m/ 29m</v>
          </cell>
        </row>
        <row r="21">
          <cell r="C21" t="str">
            <v/>
          </cell>
          <cell r="H21">
            <v>0</v>
          </cell>
          <cell r="K21">
            <v>0</v>
          </cell>
          <cell r="P21">
            <v>0</v>
          </cell>
          <cell r="Q21" t="str">
            <v/>
          </cell>
          <cell r="AH21">
            <v>0</v>
          </cell>
          <cell r="AS21">
            <v>0</v>
          </cell>
          <cell r="HM21" t="str">
            <v/>
          </cell>
          <cell r="HN21" t="str">
            <v/>
          </cell>
          <cell r="HO21" t="str">
            <v/>
          </cell>
        </row>
        <row r="22">
          <cell r="C22" t="str">
            <v>STG0010</v>
          </cell>
          <cell r="H22" t="str">
            <v>U2100</v>
          </cell>
          <cell r="K22" t="str">
            <v>NOKIA Flexi WCDMA BTS</v>
          </cell>
          <cell r="P22">
            <v>3</v>
          </cell>
          <cell r="Q22" t="str">
            <v>2/2/2</v>
          </cell>
          <cell r="AH22">
            <v>30</v>
          </cell>
          <cell r="AS22" t="str">
            <v>Kathrein 742215</v>
          </cell>
          <cell r="HM22" t="str">
            <v>TẬP ĐOÀN CÔNG NGHIỆP - VIỄN THÔNG QUÂN ĐỘI</v>
          </cell>
          <cell r="HN22" t="str">
            <v>40W/40W/40W</v>
          </cell>
          <cell r="HO22" t="str">
            <v>30m/ 30m/ 30m</v>
          </cell>
        </row>
        <row r="23">
          <cell r="C23" t="str">
            <v>STG0099</v>
          </cell>
          <cell r="H23" t="str">
            <v>U2100</v>
          </cell>
          <cell r="K23" t="str">
            <v>NOKIA Flexi WCDMA BTS</v>
          </cell>
          <cell r="P23">
            <v>3</v>
          </cell>
          <cell r="Q23" t="str">
            <v>2/2/2</v>
          </cell>
          <cell r="AH23">
            <v>22</v>
          </cell>
          <cell r="AS23" t="str">
            <v>Kathrein 742215</v>
          </cell>
          <cell r="HM23" t="str">
            <v>TẬP ĐOÀN CÔNG NGHIỆP - VIỄN THÔNG QUÂN ĐỘI</v>
          </cell>
          <cell r="HN23" t="str">
            <v>40W/40W/40W</v>
          </cell>
          <cell r="HO23" t="str">
            <v>22m/ 22m/ 22m</v>
          </cell>
        </row>
        <row r="24">
          <cell r="C24" t="str">
            <v>STG0104</v>
          </cell>
          <cell r="H24" t="str">
            <v>U2100</v>
          </cell>
          <cell r="K24" t="str">
            <v>NOKIA Flexi WCDMA BTS</v>
          </cell>
          <cell r="P24">
            <v>3</v>
          </cell>
          <cell r="Q24" t="str">
            <v>2/2/2</v>
          </cell>
          <cell r="AH24">
            <v>40</v>
          </cell>
          <cell r="AS24" t="str">
            <v>Kathrein 742215</v>
          </cell>
          <cell r="HM24" t="str">
            <v>TẬP ĐOÀN CÔNG NGHIỆP - VIỄN THÔNG QUÂN ĐỘI</v>
          </cell>
          <cell r="HN24" t="str">
            <v>40W/40W/40W</v>
          </cell>
          <cell r="HO24" t="str">
            <v>40m/ 40m/ 40m</v>
          </cell>
        </row>
        <row r="25">
          <cell r="C25" t="str">
            <v>STG0107</v>
          </cell>
          <cell r="H25" t="str">
            <v>U2100</v>
          </cell>
          <cell r="K25" t="str">
            <v>NOKIA Flexi WCDMA BTS</v>
          </cell>
          <cell r="P25">
            <v>3</v>
          </cell>
          <cell r="Q25" t="str">
            <v>2/2/2</v>
          </cell>
          <cell r="AH25">
            <v>35</v>
          </cell>
          <cell r="AS25" t="str">
            <v>Kathrein 742215</v>
          </cell>
          <cell r="HM25" t="str">
            <v>TẬP ĐOÀN CÔNG NGHIỆP - VIỄN THÔNG QUÂN ĐỘI</v>
          </cell>
          <cell r="HN25" t="str">
            <v>40W/40W/40W</v>
          </cell>
          <cell r="HO25" t="str">
            <v>35m/ 35m/ 35m</v>
          </cell>
        </row>
        <row r="26">
          <cell r="C26" t="str">
            <v>STG0109</v>
          </cell>
          <cell r="H26" t="str">
            <v>U2100</v>
          </cell>
          <cell r="K26" t="str">
            <v>NOKIA Flexi WCDMA BTS</v>
          </cell>
          <cell r="P26">
            <v>3</v>
          </cell>
          <cell r="Q26" t="str">
            <v>2/2/2</v>
          </cell>
          <cell r="AH26">
            <v>28</v>
          </cell>
          <cell r="AS26" t="str">
            <v>Kathrein 742215</v>
          </cell>
          <cell r="HM26" t="str">
            <v>TẬP ĐOÀN CÔNG NGHIỆP - VIỄN THÔNG QUÂN ĐỘI</v>
          </cell>
          <cell r="HN26" t="str">
            <v>40W/40W/40W</v>
          </cell>
          <cell r="HO26" t="str">
            <v>28m/ 28m/ 28m</v>
          </cell>
        </row>
        <row r="27">
          <cell r="C27" t="str">
            <v>STG0110</v>
          </cell>
          <cell r="H27" t="str">
            <v>G1800</v>
          </cell>
          <cell r="K27" t="str">
            <v>NOKIA Flexi EDGE BTS</v>
          </cell>
          <cell r="P27">
            <v>3</v>
          </cell>
          <cell r="Q27" t="str">
            <v>4/2/4</v>
          </cell>
          <cell r="AH27">
            <v>37</v>
          </cell>
          <cell r="AS27" t="str">
            <v>Kathrein 736018</v>
          </cell>
          <cell r="HM27" t="str">
            <v>TẬP ĐOÀN CÔNG NGHIỆP - VIỄN THÔNG QUÂN ĐỘI</v>
          </cell>
          <cell r="HN27" t="str">
            <v>37,24W/41,7W/37,24W</v>
          </cell>
          <cell r="HO27" t="str">
            <v>37m/ 37m/ 37m</v>
          </cell>
        </row>
        <row r="28">
          <cell r="C28" t="str">
            <v>STG0316</v>
          </cell>
          <cell r="H28" t="str">
            <v>U2100</v>
          </cell>
          <cell r="K28" t="str">
            <v>NOKIA Flexi WCDMA BTS</v>
          </cell>
          <cell r="P28">
            <v>3</v>
          </cell>
          <cell r="Q28" t="str">
            <v>2/2/2</v>
          </cell>
          <cell r="AH28">
            <v>30</v>
          </cell>
          <cell r="AS28" t="str">
            <v>Kathrein 742215</v>
          </cell>
          <cell r="HM28" t="str">
            <v>TẬP ĐOÀN CÔNG NGHIỆP - VIỄN THÔNG QUÂN ĐỘI</v>
          </cell>
          <cell r="HN28" t="str">
            <v>40W/40W/40W</v>
          </cell>
          <cell r="HO28" t="str">
            <v>30m/ 30m/ 30m</v>
          </cell>
        </row>
        <row r="29">
          <cell r="C29" t="str">
            <v>STG0317</v>
          </cell>
          <cell r="H29" t="str">
            <v>U2100</v>
          </cell>
          <cell r="K29" t="str">
            <v>NOKIA Flexi WCDMA BTS</v>
          </cell>
          <cell r="P29">
            <v>3</v>
          </cell>
          <cell r="Q29" t="str">
            <v>2/2/2</v>
          </cell>
          <cell r="AH29">
            <v>40</v>
          </cell>
          <cell r="AS29" t="str">
            <v>Kathrein 742215</v>
          </cell>
          <cell r="HM29" t="str">
            <v>TẬP ĐOÀN CÔNG NGHIỆP - VIỄN THÔNG QUÂN ĐỘI</v>
          </cell>
          <cell r="HN29" t="str">
            <v>40W/40W/40W</v>
          </cell>
          <cell r="HO29" t="str">
            <v>40m/ 40m/ 40m</v>
          </cell>
        </row>
        <row r="30">
          <cell r="C30" t="str">
            <v>STG0379</v>
          </cell>
          <cell r="H30" t="str">
            <v>U2100</v>
          </cell>
          <cell r="K30" t="str">
            <v>NOKIA Flexi WCDMA BTS</v>
          </cell>
          <cell r="P30">
            <v>3</v>
          </cell>
          <cell r="Q30" t="str">
            <v>2/2/2</v>
          </cell>
          <cell r="AH30">
            <v>28</v>
          </cell>
          <cell r="AS30" t="str">
            <v>Kathrein 742215</v>
          </cell>
          <cell r="HM30" t="str">
            <v>TẬP ĐOÀN CÔNG NGHIỆP - VIỄN THÔNG QUÂN ĐỘI</v>
          </cell>
          <cell r="HN30" t="str">
            <v>40W/40W/40W</v>
          </cell>
          <cell r="HO30" t="str">
            <v>28m/ 28m/ 28m</v>
          </cell>
        </row>
        <row r="31">
          <cell r="C31" t="str">
            <v>STG0380</v>
          </cell>
          <cell r="H31" t="str">
            <v>U2100</v>
          </cell>
          <cell r="K31" t="str">
            <v>NOKIA Flexi WCDMA BTS</v>
          </cell>
          <cell r="P31">
            <v>3</v>
          </cell>
          <cell r="Q31" t="str">
            <v>2/2/2</v>
          </cell>
          <cell r="AH31">
            <v>38</v>
          </cell>
          <cell r="AS31" t="str">
            <v>Kathrein 742215</v>
          </cell>
          <cell r="HM31" t="str">
            <v>TẬP ĐOÀN CÔNG NGHIỆP - VIỄN THÔNG QUÂN ĐỘI</v>
          </cell>
          <cell r="HN31" t="str">
            <v>40W/40W/40W</v>
          </cell>
          <cell r="HO31" t="str">
            <v>38m/ 38m/ 38m</v>
          </cell>
        </row>
        <row r="32">
          <cell r="C32" t="str">
            <v>STG0388</v>
          </cell>
          <cell r="H32" t="str">
            <v>U2100</v>
          </cell>
          <cell r="K32" t="str">
            <v>NOKIA Flexi WCDMA BTS</v>
          </cell>
          <cell r="P32">
            <v>3</v>
          </cell>
          <cell r="Q32" t="str">
            <v>2/2/2</v>
          </cell>
          <cell r="AH32">
            <v>15</v>
          </cell>
          <cell r="AS32" t="str">
            <v>Kathrein 742215</v>
          </cell>
          <cell r="HM32" t="str">
            <v>TẬP ĐOÀN CÔNG NGHIỆP - VIỄN THÔNG QUÂN ĐỘI</v>
          </cell>
          <cell r="HN32" t="str">
            <v>40W/40W/40W</v>
          </cell>
          <cell r="HO32" t="str">
            <v>25,5m/ 25,5m/ 25,5m</v>
          </cell>
        </row>
        <row r="33">
          <cell r="C33" t="str">
            <v>STG0393</v>
          </cell>
          <cell r="H33" t="str">
            <v>U2100</v>
          </cell>
          <cell r="K33" t="str">
            <v>NOKIA Flexi WCDMA BTS</v>
          </cell>
          <cell r="P33">
            <v>3</v>
          </cell>
          <cell r="Q33" t="str">
            <v>2/2/2</v>
          </cell>
          <cell r="AH33">
            <v>36</v>
          </cell>
          <cell r="AS33" t="str">
            <v>Kathrein 742215</v>
          </cell>
          <cell r="HM33" t="str">
            <v>TẬP ĐOÀN CÔNG NGHIỆP - VIỄN THÔNG QUÂN ĐỘI</v>
          </cell>
          <cell r="HN33" t="str">
            <v>40W/40W/40W</v>
          </cell>
          <cell r="HO33" t="str">
            <v>36m/ 36m/ 36m</v>
          </cell>
        </row>
        <row r="34">
          <cell r="C34" t="str">
            <v>STG0394</v>
          </cell>
          <cell r="H34" t="str">
            <v>U2100</v>
          </cell>
          <cell r="K34" t="str">
            <v>NOKIA Flexi WCDMA BTS</v>
          </cell>
          <cell r="P34">
            <v>3</v>
          </cell>
          <cell r="Q34" t="str">
            <v>2/2/2</v>
          </cell>
          <cell r="AH34">
            <v>15</v>
          </cell>
          <cell r="AS34" t="str">
            <v>Kathrein 742215</v>
          </cell>
          <cell r="HM34" t="str">
            <v>TẬP ĐOÀN CÔNG NGHIỆP - VIỄN THÔNG QUÂN ĐỘI</v>
          </cell>
          <cell r="HN34" t="str">
            <v>40W/40W/40W</v>
          </cell>
          <cell r="HO34" t="str">
            <v>25,5m/ 25,5m/ 25,5m</v>
          </cell>
        </row>
        <row r="35">
          <cell r="C35" t="str">
            <v>STG0396</v>
          </cell>
          <cell r="H35" t="str">
            <v>U2100</v>
          </cell>
          <cell r="K35" t="str">
            <v>NOKIA Flexi WCDMA BTS</v>
          </cell>
          <cell r="P35">
            <v>3</v>
          </cell>
          <cell r="Q35" t="str">
            <v>2/2/2</v>
          </cell>
          <cell r="AH35">
            <v>17</v>
          </cell>
          <cell r="AS35" t="str">
            <v>Kathrein 742215</v>
          </cell>
          <cell r="HM35" t="str">
            <v>TẬP ĐOÀN CÔNG NGHIỆP - VIỄN THÔNG QUÂN ĐỘI</v>
          </cell>
          <cell r="HN35" t="str">
            <v>40W/40W/40W</v>
          </cell>
          <cell r="HO35" t="str">
            <v>27,5m/ 27,5m/ 27,5m</v>
          </cell>
        </row>
        <row r="36">
          <cell r="C36" t="str">
            <v>STG0369</v>
          </cell>
          <cell r="H36" t="str">
            <v>G1800</v>
          </cell>
          <cell r="K36" t="str">
            <v>NOKIA Flexi EDGE BTS</v>
          </cell>
          <cell r="P36">
            <v>3</v>
          </cell>
          <cell r="Q36" t="str">
            <v>4/4/4</v>
          </cell>
          <cell r="AH36">
            <v>8</v>
          </cell>
          <cell r="AS36" t="str">
            <v>Kathrein 736018</v>
          </cell>
          <cell r="HM36" t="str">
            <v>TẬP ĐOÀN CÔNG NGHIỆP - VIỄN THÔNG QUÂN ĐỘI</v>
          </cell>
          <cell r="HN36" t="str">
            <v>37,24W/37,24W/37,24W</v>
          </cell>
          <cell r="HO36" t="str">
            <v>25,5m/ 25,5m/ 25,5m</v>
          </cell>
        </row>
        <row r="37">
          <cell r="C37" t="str">
            <v>STG0521</v>
          </cell>
          <cell r="H37" t="str">
            <v>U2100</v>
          </cell>
          <cell r="K37" t="str">
            <v>NOKIA Flexi WCDMA BTS</v>
          </cell>
          <cell r="P37">
            <v>3</v>
          </cell>
          <cell r="Q37" t="str">
            <v>2/2/2</v>
          </cell>
          <cell r="AH37">
            <v>17</v>
          </cell>
          <cell r="AS37" t="str">
            <v>Kathrein 742215</v>
          </cell>
          <cell r="HM37" t="str">
            <v>TẬP ĐOÀN CÔNG NGHIỆP - VIỄN THÔNG QUÂN ĐỘI</v>
          </cell>
          <cell r="HN37" t="str">
            <v>40W/40W/40W</v>
          </cell>
          <cell r="HO37" t="str">
            <v>27,5m/ 27,5m/ 27,5m</v>
          </cell>
        </row>
        <row r="38">
          <cell r="C38" t="str">
            <v>STG0530</v>
          </cell>
          <cell r="H38" t="str">
            <v>U2100</v>
          </cell>
          <cell r="K38" t="str">
            <v>NOKIA Flexi WCDMA BTS</v>
          </cell>
          <cell r="P38">
            <v>3</v>
          </cell>
          <cell r="Q38" t="str">
            <v>2/2/2</v>
          </cell>
          <cell r="AH38">
            <v>40</v>
          </cell>
          <cell r="AS38" t="str">
            <v>Kathrein 742215</v>
          </cell>
          <cell r="HM38" t="str">
            <v>TẬP ĐOÀN CÔNG NGHIỆP - VIỄN THÔNG QUÂN ĐỘI</v>
          </cell>
          <cell r="HN38" t="str">
            <v>40W/40W/40W</v>
          </cell>
          <cell r="HO38" t="str">
            <v>40m/ 40m/ 40m</v>
          </cell>
        </row>
        <row r="39">
          <cell r="C39" t="str">
            <v>STG0023</v>
          </cell>
          <cell r="H39" t="str">
            <v>G1800</v>
          </cell>
          <cell r="K39" t="str">
            <v>NOKIA Flexi EDGE BTS</v>
          </cell>
          <cell r="P39">
            <v>3</v>
          </cell>
          <cell r="Q39" t="str">
            <v>2/2/2</v>
          </cell>
          <cell r="AH39">
            <v>29</v>
          </cell>
          <cell r="AS39" t="str">
            <v>Kathrein 736018</v>
          </cell>
          <cell r="HM39" t="str">
            <v>TẬP ĐOÀN CÔNG NGHIỆP - VIỄN THÔNG QUÂN ĐỘI</v>
          </cell>
          <cell r="HN39" t="str">
            <v>41,7W/41,7W/41,7W</v>
          </cell>
          <cell r="HO39" t="str">
            <v>29m/ 29m/ 29m</v>
          </cell>
        </row>
        <row r="40">
          <cell r="C40" t="str">
            <v>STG0133</v>
          </cell>
          <cell r="H40" t="str">
            <v>U2100</v>
          </cell>
          <cell r="K40" t="str">
            <v>NOKIA Flexi WCDMA BTS</v>
          </cell>
          <cell r="P40">
            <v>3</v>
          </cell>
          <cell r="Q40" t="str">
            <v>2/2/2</v>
          </cell>
          <cell r="AH40">
            <v>37</v>
          </cell>
          <cell r="AS40" t="str">
            <v>Kathrein 742215</v>
          </cell>
          <cell r="HM40" t="str">
            <v>TẬP ĐOÀN CÔNG NGHIỆP - VIỄN THÔNG QUÂN ĐỘI</v>
          </cell>
          <cell r="HN40" t="str">
            <v>40W/40W/40W</v>
          </cell>
          <cell r="HO40" t="str">
            <v>37m/ 37m/ 37m</v>
          </cell>
        </row>
        <row r="41">
          <cell r="C41" t="str">
            <v>STG0141</v>
          </cell>
          <cell r="H41" t="str">
            <v>G1800</v>
          </cell>
          <cell r="K41" t="str">
            <v>NOKIA Flexi EDGE BTS</v>
          </cell>
          <cell r="P41">
            <v>3</v>
          </cell>
          <cell r="Q41" t="str">
            <v>2/2/2</v>
          </cell>
          <cell r="AH41">
            <v>36</v>
          </cell>
          <cell r="AS41" t="str">
            <v>Kathrein 736018</v>
          </cell>
          <cell r="HM41" t="str">
            <v>TẬP ĐOÀN CÔNG NGHIỆP - VIỄN THÔNG QUÂN ĐỘI</v>
          </cell>
          <cell r="HN41" t="str">
            <v>41,7W/41,7W/41,7W</v>
          </cell>
          <cell r="HO41" t="str">
            <v>36m/ 36m/ 36m</v>
          </cell>
        </row>
        <row r="42">
          <cell r="C42" t="str">
            <v>STG0211</v>
          </cell>
          <cell r="H42" t="str">
            <v>G1800</v>
          </cell>
          <cell r="K42" t="str">
            <v>NOKIA Flexi EDGE BTS</v>
          </cell>
          <cell r="P42">
            <v>3</v>
          </cell>
          <cell r="Q42" t="str">
            <v>4/4/4</v>
          </cell>
          <cell r="AH42">
            <v>40</v>
          </cell>
          <cell r="AS42" t="str">
            <v>Kathrein 736018</v>
          </cell>
          <cell r="HM42" t="str">
            <v>TẬP ĐOÀN CÔNG NGHIỆP - VIỄN THÔNG QUÂN ĐỘI</v>
          </cell>
          <cell r="HN42" t="str">
            <v>37,24W/37,24W/37,24W</v>
          </cell>
          <cell r="HO42" t="str">
            <v>40m/ 40m/ 40m</v>
          </cell>
        </row>
        <row r="44">
          <cell r="C44" t="str">
            <v>STG0444</v>
          </cell>
          <cell r="H44" t="str">
            <v>L1800</v>
          </cell>
          <cell r="K44" t="str">
            <v>NSN FLEXI MULTIRADIO AIRSCALE</v>
          </cell>
          <cell r="P44">
            <v>3</v>
          </cell>
          <cell r="Q44" t="str">
            <v>1/1/1</v>
          </cell>
          <cell r="AH44">
            <v>40</v>
          </cell>
          <cell r="AS44" t="str">
            <v>Commscope HWXX-6516DS2-A2M</v>
          </cell>
          <cell r="HM44" t="str">
            <v>TẬP ĐOÀN CÔNG NGHIỆP - VIỄN THÔNG QUÂN ĐỘI</v>
          </cell>
          <cell r="HN44" t="str">
            <v>40W/40W/40W</v>
          </cell>
          <cell r="HO44" t="str">
            <v>40m/ 40m/ 40m</v>
          </cell>
        </row>
        <row r="45">
          <cell r="C45" t="str">
            <v/>
          </cell>
          <cell r="H45">
            <v>0</v>
          </cell>
          <cell r="K45">
            <v>0</v>
          </cell>
          <cell r="P45">
            <v>0</v>
          </cell>
          <cell r="Q45" t="str">
            <v/>
          </cell>
          <cell r="AH45">
            <v>0</v>
          </cell>
          <cell r="AS45" t="str">
            <v>Kathrein 742215</v>
          </cell>
          <cell r="HM45" t="str">
            <v/>
          </cell>
          <cell r="HN45" t="str">
            <v/>
          </cell>
          <cell r="HO45" t="str">
            <v/>
          </cell>
        </row>
        <row r="46">
          <cell r="C46" t="str">
            <v>STG0182</v>
          </cell>
          <cell r="H46" t="str">
            <v>U2100</v>
          </cell>
          <cell r="K46" t="str">
            <v>NOKIA Flexi WCDMA BTS</v>
          </cell>
          <cell r="P46">
            <v>3</v>
          </cell>
          <cell r="Q46" t="str">
            <v>2/2/2</v>
          </cell>
          <cell r="AH46">
            <v>34</v>
          </cell>
          <cell r="AS46" t="str">
            <v>Kathrein 742215</v>
          </cell>
          <cell r="HM46" t="str">
            <v>TẬP ĐOÀN CÔNG NGHIỆP - VIỄN THÔNG QUÂN ĐỘI</v>
          </cell>
          <cell r="HN46" t="str">
            <v>40W/40W/40W</v>
          </cell>
          <cell r="HO46" t="str">
            <v>34m/ 34m/ 34m</v>
          </cell>
        </row>
        <row r="47">
          <cell r="C47" t="str">
            <v/>
          </cell>
          <cell r="H47">
            <v>0</v>
          </cell>
          <cell r="K47">
            <v>0</v>
          </cell>
          <cell r="P47">
            <v>0</v>
          </cell>
          <cell r="Q47" t="str">
            <v/>
          </cell>
          <cell r="AH47">
            <v>0</v>
          </cell>
          <cell r="AS47" t="str">
            <v>Kathrein 742215</v>
          </cell>
          <cell r="HM47" t="str">
            <v/>
          </cell>
          <cell r="HN47" t="str">
            <v/>
          </cell>
          <cell r="HO47" t="str">
            <v/>
          </cell>
        </row>
        <row r="48">
          <cell r="C48" t="str">
            <v>STG0026</v>
          </cell>
          <cell r="H48" t="str">
            <v>G1800</v>
          </cell>
          <cell r="K48" t="str">
            <v>NOKIA Flexi EDGE BTS</v>
          </cell>
          <cell r="P48">
            <v>3</v>
          </cell>
          <cell r="Q48" t="str">
            <v>2/2/2</v>
          </cell>
          <cell r="AH48">
            <v>17</v>
          </cell>
          <cell r="AS48" t="str">
            <v>Kathrein 736018</v>
          </cell>
          <cell r="HM48" t="str">
            <v>TẬP ĐOÀN CÔNG NGHIỆP - VIỄN THÔNG QUÂN ĐỘI</v>
          </cell>
          <cell r="HN48" t="str">
            <v>41,7W/41,7W/41,7W</v>
          </cell>
          <cell r="HO48" t="str">
            <v>27,5m/ 27,5m/ 27,5m</v>
          </cell>
        </row>
        <row r="49">
          <cell r="C49" t="str">
            <v>STG0093</v>
          </cell>
          <cell r="H49" t="str">
            <v>U2100</v>
          </cell>
          <cell r="K49" t="str">
            <v>NOKIA Flexi WCDMA BTS</v>
          </cell>
          <cell r="P49">
            <v>3</v>
          </cell>
          <cell r="Q49" t="str">
            <v>2/2/2</v>
          </cell>
          <cell r="AH49">
            <v>40</v>
          </cell>
          <cell r="AS49" t="str">
            <v>Kathrein 742215</v>
          </cell>
          <cell r="HM49" t="str">
            <v>TẬP ĐOÀN CÔNG NGHIỆP - VIỄN THÔNG QUÂN ĐỘI</v>
          </cell>
          <cell r="HN49" t="str">
            <v>40W/40W/40W</v>
          </cell>
          <cell r="HO49" t="str">
            <v>40m/ 40m/ 40m</v>
          </cell>
        </row>
        <row r="50">
          <cell r="C50" t="str">
            <v>STG0124</v>
          </cell>
          <cell r="H50" t="str">
            <v>U2100</v>
          </cell>
          <cell r="K50" t="str">
            <v>NOKIA Flexi WCDMA BTS</v>
          </cell>
          <cell r="P50">
            <v>3</v>
          </cell>
          <cell r="Q50" t="str">
            <v>2/2/2</v>
          </cell>
          <cell r="AH50">
            <v>41</v>
          </cell>
          <cell r="AS50" t="str">
            <v>Kathrein 742215</v>
          </cell>
          <cell r="HM50" t="str">
            <v>TẬP ĐOÀN CÔNG NGHIỆP - VIỄN THÔNG QUÂN ĐỘI</v>
          </cell>
          <cell r="HN50" t="str">
            <v>40W/40W/40W</v>
          </cell>
          <cell r="HO50" t="str">
            <v>41m/ 41m/ 41m</v>
          </cell>
        </row>
        <row r="51">
          <cell r="C51" t="str">
            <v/>
          </cell>
          <cell r="H51">
            <v>0</v>
          </cell>
          <cell r="K51">
            <v>0</v>
          </cell>
          <cell r="P51">
            <v>0</v>
          </cell>
          <cell r="Q51" t="str">
            <v/>
          </cell>
          <cell r="AH51">
            <v>0</v>
          </cell>
          <cell r="AS51" t="str">
            <v>Kathrein 742215</v>
          </cell>
          <cell r="HM51" t="str">
            <v/>
          </cell>
          <cell r="HN51" t="str">
            <v/>
          </cell>
          <cell r="HO51" t="str">
            <v/>
          </cell>
        </row>
      </sheetData>
      <sheetData sheetId="3">
        <row r="4">
          <cell r="C4" t="str">
            <v/>
          </cell>
          <cell r="H4">
            <v>0</v>
          </cell>
          <cell r="K4">
            <v>0</v>
          </cell>
          <cell r="P4">
            <v>0</v>
          </cell>
          <cell r="Q4" t="str">
            <v/>
          </cell>
          <cell r="AH4">
            <v>0</v>
          </cell>
          <cell r="AS4">
            <v>0</v>
          </cell>
          <cell r="HM4" t="str">
            <v/>
          </cell>
          <cell r="HN4" t="str">
            <v/>
          </cell>
          <cell r="HO4" t="str">
            <v/>
          </cell>
        </row>
        <row r="5">
          <cell r="C5" t="str">
            <v>TVH0011</v>
          </cell>
          <cell r="H5" t="str">
            <v>L1800</v>
          </cell>
          <cell r="K5" t="str">
            <v>NSN FLEXI MULTIRADIO AIRSCALE</v>
          </cell>
          <cell r="P5">
            <v>3</v>
          </cell>
          <cell r="Q5" t="str">
            <v>1/1/1</v>
          </cell>
          <cell r="AH5">
            <v>17</v>
          </cell>
          <cell r="AS5" t="str">
            <v>Commscope HWXX-6516DS2-A2M</v>
          </cell>
          <cell r="HM5" t="str">
            <v>TẬP ĐOÀN CÔNG NGHIỆP - VIỄN THÔNG QUÂN ĐỘI</v>
          </cell>
          <cell r="HN5" t="str">
            <v>40W/40W/40W</v>
          </cell>
          <cell r="HO5" t="str">
            <v>27,5m/ 27,5m/ 27,5m</v>
          </cell>
        </row>
        <row r="6">
          <cell r="C6" t="str">
            <v>TVH0026</v>
          </cell>
          <cell r="H6" t="str">
            <v>L1800</v>
          </cell>
          <cell r="K6" t="str">
            <v>NSN FLEXI MULTIRADIO AIRSCALE</v>
          </cell>
          <cell r="P6">
            <v>3</v>
          </cell>
          <cell r="Q6" t="str">
            <v>1/1/1</v>
          </cell>
          <cell r="AH6">
            <v>34</v>
          </cell>
          <cell r="AS6" t="str">
            <v>Commscope HWXX-6516DS2-A2M</v>
          </cell>
          <cell r="HM6" t="str">
            <v>TẬP ĐOÀN CÔNG NGHIỆP - VIỄN THÔNG QUÂN ĐỘI</v>
          </cell>
          <cell r="HN6" t="str">
            <v>40W/40W/40W</v>
          </cell>
          <cell r="HO6" t="str">
            <v>34m/ 34m/ 34m</v>
          </cell>
        </row>
        <row r="7">
          <cell r="C7" t="str">
            <v/>
          </cell>
          <cell r="H7">
            <v>0</v>
          </cell>
          <cell r="K7">
            <v>0</v>
          </cell>
          <cell r="P7">
            <v>0</v>
          </cell>
          <cell r="Q7" t="str">
            <v/>
          </cell>
          <cell r="AH7">
            <v>0</v>
          </cell>
          <cell r="AS7">
            <v>0</v>
          </cell>
          <cell r="HM7" t="str">
            <v/>
          </cell>
          <cell r="HN7" t="str">
            <v/>
          </cell>
          <cell r="HO7" t="str">
            <v/>
          </cell>
        </row>
        <row r="8">
          <cell r="C8" t="str">
            <v>TVH0189</v>
          </cell>
          <cell r="H8" t="str">
            <v>L1800</v>
          </cell>
          <cell r="K8" t="str">
            <v>NSN FLEXI MULTIRADIO AIRSCALE</v>
          </cell>
          <cell r="P8">
            <v>3</v>
          </cell>
          <cell r="Q8" t="str">
            <v>1/1/1</v>
          </cell>
          <cell r="AH8">
            <v>29</v>
          </cell>
          <cell r="AS8" t="str">
            <v>Commscope HWXX-6516DS2-A2M</v>
          </cell>
          <cell r="HM8" t="str">
            <v>TẬP ĐOÀN CÔNG NGHIỆP - VIỄN THÔNG QUÂN ĐỘI</v>
          </cell>
          <cell r="HN8" t="str">
            <v>40W/40W/40W</v>
          </cell>
          <cell r="HO8" t="str">
            <v>29m/ 29m/ 29m</v>
          </cell>
        </row>
        <row r="9">
          <cell r="C9" t="str">
            <v>TVH0368</v>
          </cell>
          <cell r="H9" t="str">
            <v>L1800</v>
          </cell>
          <cell r="K9" t="str">
            <v>NSN FLEXI MULTIRADIO AIRSCALE</v>
          </cell>
          <cell r="P9">
            <v>3</v>
          </cell>
          <cell r="Q9" t="str">
            <v>1/1/1</v>
          </cell>
          <cell r="AH9">
            <v>32</v>
          </cell>
          <cell r="AS9" t="str">
            <v>Commscope HWXX-6516DS2-A2M</v>
          </cell>
          <cell r="HM9" t="str">
            <v>TẬP ĐOÀN CÔNG NGHIỆP - VIỄN THÔNG QUÂN ĐỘI</v>
          </cell>
          <cell r="HN9" t="str">
            <v>40W/40W/40W</v>
          </cell>
          <cell r="HO9" t="str">
            <v>32m/ 32m/ 32m</v>
          </cell>
        </row>
        <row r="10">
          <cell r="C10" t="str">
            <v>TVH0369</v>
          </cell>
          <cell r="H10" t="str">
            <v>L1800</v>
          </cell>
          <cell r="K10" t="str">
            <v>NSN FLEXI MULTIRADIO AIRSCALE</v>
          </cell>
          <cell r="P10">
            <v>3</v>
          </cell>
          <cell r="Q10" t="str">
            <v>1/1/1</v>
          </cell>
          <cell r="AH10">
            <v>17</v>
          </cell>
          <cell r="AS10" t="str">
            <v>Commscope HWXX-6516DS2-A2M</v>
          </cell>
          <cell r="HM10" t="str">
            <v>TẬP ĐOÀN CÔNG NGHIỆP - VIỄN THÔNG QUÂN ĐỘI</v>
          </cell>
          <cell r="HN10" t="str">
            <v>40W/40W/40W</v>
          </cell>
          <cell r="HO10" t="str">
            <v>25m/ 25m/ 25m</v>
          </cell>
        </row>
        <row r="11">
          <cell r="C11" t="str">
            <v>TVH0370</v>
          </cell>
          <cell r="H11" t="str">
            <v>L1800</v>
          </cell>
          <cell r="K11" t="str">
            <v>NSN FLEXI MULTIRADIO AIRSCALE</v>
          </cell>
          <cell r="P11">
            <v>3</v>
          </cell>
          <cell r="Q11" t="str">
            <v>1/1/1</v>
          </cell>
          <cell r="AH11">
            <v>16</v>
          </cell>
          <cell r="AS11" t="str">
            <v>Commscope HWXX-6516DS2-A2M</v>
          </cell>
          <cell r="HM11" t="str">
            <v>TẬP ĐOÀN CÔNG NGHIỆP - VIỄN THÔNG QUÂN ĐỘI</v>
          </cell>
          <cell r="HN11" t="str">
            <v>40W/40W/40W</v>
          </cell>
          <cell r="HO11" t="str">
            <v>24m/ 24m/ 24m</v>
          </cell>
        </row>
        <row r="12">
          <cell r="C12" t="str">
            <v>TVH0120</v>
          </cell>
          <cell r="H12" t="str">
            <v>L1800</v>
          </cell>
          <cell r="K12" t="str">
            <v>NSN FLEXI MULTIRADIO AIRSCALE</v>
          </cell>
          <cell r="P12">
            <v>3</v>
          </cell>
          <cell r="Q12" t="str">
            <v>1/1/1</v>
          </cell>
          <cell r="AH12">
            <v>28</v>
          </cell>
          <cell r="AS12" t="str">
            <v>Commscope HWXX-6516DS2-A2M</v>
          </cell>
          <cell r="HM12" t="str">
            <v>TẬP ĐOÀN CÔNG NGHIỆP - VIỄN THÔNG QUÂN ĐỘI</v>
          </cell>
          <cell r="HN12" t="str">
            <v>40W/40W/40W</v>
          </cell>
          <cell r="HO12" t="str">
            <v>28m/ 28m/ 28m</v>
          </cell>
        </row>
        <row r="13">
          <cell r="C13" t="str">
            <v>TVH0160_11</v>
          </cell>
          <cell r="H13" t="str">
            <v>L1800</v>
          </cell>
          <cell r="K13" t="str">
            <v>NSN FLEXI MULTIRADIO AIRSCALE</v>
          </cell>
          <cell r="P13">
            <v>3</v>
          </cell>
          <cell r="Q13" t="str">
            <v>1/1/1</v>
          </cell>
          <cell r="AH13">
            <v>34</v>
          </cell>
          <cell r="AS13" t="str">
            <v>Commscope HWXX-6516DS2-A2M</v>
          </cell>
          <cell r="HM13" t="str">
            <v>TẬP ĐOÀN CÔNG NGHIỆP - VIỄN THÔNG QUÂN ĐỘI</v>
          </cell>
          <cell r="HN13" t="str">
            <v>40W/40W/40W</v>
          </cell>
          <cell r="HO13" t="str">
            <v>34m/ 34m/ 34m</v>
          </cell>
        </row>
        <row r="14">
          <cell r="C14" t="str">
            <v>TVH0199</v>
          </cell>
          <cell r="H14" t="str">
            <v>L1800</v>
          </cell>
          <cell r="K14" t="str">
            <v>NSN FLEXI MULTIRADIO AIRSCALE</v>
          </cell>
          <cell r="P14">
            <v>3</v>
          </cell>
          <cell r="Q14" t="str">
            <v>1/1/1</v>
          </cell>
          <cell r="AH14">
            <v>27</v>
          </cell>
          <cell r="AS14" t="str">
            <v>Commscope HWXX-6516DS2-A2M</v>
          </cell>
          <cell r="HM14" t="str">
            <v>TẬP ĐOÀN CÔNG NGHIỆP - VIỄN THÔNG QUÂN ĐỘI</v>
          </cell>
          <cell r="HN14" t="str">
            <v>40W/40W/40W</v>
          </cell>
          <cell r="HO14" t="str">
            <v>27m/ 27m/ 27m</v>
          </cell>
        </row>
        <row r="15">
          <cell r="C15" t="str">
            <v>TVH0009</v>
          </cell>
          <cell r="H15" t="str">
            <v>U2100</v>
          </cell>
          <cell r="K15" t="str">
            <v>NOKIA Flexi WCDMA BTS</v>
          </cell>
          <cell r="P15">
            <v>4</v>
          </cell>
          <cell r="Q15" t="str">
            <v>2/2/2/2</v>
          </cell>
          <cell r="AH15">
            <v>54</v>
          </cell>
          <cell r="AS15" t="str">
            <v>Kathrein 742215</v>
          </cell>
          <cell r="HM15" t="str">
            <v>TẬP ĐOÀN CÔNG NGHIỆP - VIỄN THÔNG QUÂN ĐỘI</v>
          </cell>
          <cell r="HN15" t="str">
            <v>40W/40W/40W/40W</v>
          </cell>
          <cell r="HO15" t="str">
            <v>54m/ 54m/ 54m/ 54m</v>
          </cell>
        </row>
        <row r="16">
          <cell r="C16" t="str">
            <v>TVH0002</v>
          </cell>
          <cell r="H16" t="str">
            <v>U2100</v>
          </cell>
          <cell r="K16" t="str">
            <v>NOKIA Flexi WCDMA BTS</v>
          </cell>
          <cell r="P16">
            <v>3</v>
          </cell>
          <cell r="Q16" t="str">
            <v>2/2/2</v>
          </cell>
          <cell r="AH16">
            <v>54</v>
          </cell>
          <cell r="AS16" t="str">
            <v>Kathrein 742215</v>
          </cell>
          <cell r="HM16" t="str">
            <v>TẬP ĐOÀN CÔNG NGHIỆP - VIỄN THÔNG QUÂN ĐỘI</v>
          </cell>
          <cell r="HN16" t="str">
            <v>40W/40W/40W</v>
          </cell>
          <cell r="HO16" t="str">
            <v>54m/ 54m/ 54m</v>
          </cell>
        </row>
        <row r="17">
          <cell r="C17" t="str">
            <v>TVH0596</v>
          </cell>
          <cell r="H17" t="str">
            <v>U2100</v>
          </cell>
          <cell r="K17" t="str">
            <v>NOKIA Flexi WCDMA BTS</v>
          </cell>
          <cell r="P17">
            <v>3</v>
          </cell>
          <cell r="Q17" t="str">
            <v>2/2/2</v>
          </cell>
          <cell r="AH17">
            <v>40</v>
          </cell>
          <cell r="AS17" t="str">
            <v>Kathrein 742215</v>
          </cell>
          <cell r="HM17" t="str">
            <v>TẬP ĐOÀN CÔNG NGHIỆP - VIỄN THÔNG QUÂN ĐỘI</v>
          </cell>
          <cell r="HN17" t="str">
            <v>40W/40W/40W</v>
          </cell>
          <cell r="HO17" t="str">
            <v>40m/ 40m/ 40m</v>
          </cell>
        </row>
        <row r="18">
          <cell r="C18" t="str">
            <v>TVH0007</v>
          </cell>
          <cell r="H18" t="str">
            <v>L1800</v>
          </cell>
          <cell r="K18" t="str">
            <v>NSN FLEXI MULTIRADIO AIRSCALE</v>
          </cell>
          <cell r="P18">
            <v>3</v>
          </cell>
          <cell r="Q18" t="str">
            <v>1/1/1</v>
          </cell>
          <cell r="AH18">
            <v>52</v>
          </cell>
          <cell r="AS18" t="str">
            <v>Commscope HWXX-6516DS2-A2M</v>
          </cell>
          <cell r="HM18" t="str">
            <v>TẬP ĐOÀN CÔNG NGHIỆP - VIỄN THÔNG QUÂN ĐỘI</v>
          </cell>
          <cell r="HN18" t="str">
            <v>40W/40W/40W</v>
          </cell>
          <cell r="HO18" t="str">
            <v>52m/ 52m/ 52m</v>
          </cell>
        </row>
        <row r="19">
          <cell r="C19" t="str">
            <v/>
          </cell>
          <cell r="H19">
            <v>0</v>
          </cell>
          <cell r="K19">
            <v>0</v>
          </cell>
          <cell r="P19">
            <v>0</v>
          </cell>
          <cell r="Q19" t="str">
            <v/>
          </cell>
          <cell r="AH19">
            <v>0</v>
          </cell>
          <cell r="AS19">
            <v>0</v>
          </cell>
          <cell r="HM19" t="str">
            <v/>
          </cell>
          <cell r="HN19" t="str">
            <v/>
          </cell>
          <cell r="HO19" t="str">
            <v/>
          </cell>
        </row>
        <row r="20">
          <cell r="C20" t="str">
            <v/>
          </cell>
          <cell r="H20">
            <v>0</v>
          </cell>
          <cell r="K20">
            <v>0</v>
          </cell>
          <cell r="P20">
            <v>0</v>
          </cell>
          <cell r="Q20" t="str">
            <v/>
          </cell>
          <cell r="AH20">
            <v>0</v>
          </cell>
          <cell r="AS20">
            <v>0</v>
          </cell>
          <cell r="HM20" t="str">
            <v/>
          </cell>
          <cell r="HN20" t="str">
            <v/>
          </cell>
          <cell r="HO20" t="str">
            <v/>
          </cell>
        </row>
        <row r="21">
          <cell r="C21" t="str">
            <v/>
          </cell>
          <cell r="H21">
            <v>0</v>
          </cell>
          <cell r="K21">
            <v>0</v>
          </cell>
          <cell r="P21">
            <v>0</v>
          </cell>
          <cell r="Q21" t="str">
            <v/>
          </cell>
          <cell r="AH21">
            <v>0</v>
          </cell>
          <cell r="AS21">
            <v>0</v>
          </cell>
          <cell r="HM21" t="str">
            <v/>
          </cell>
          <cell r="HN21" t="str">
            <v/>
          </cell>
          <cell r="HO21" t="str">
            <v/>
          </cell>
        </row>
        <row r="22">
          <cell r="C22" t="str">
            <v>STG0010</v>
          </cell>
          <cell r="H22" t="str">
            <v>L1800</v>
          </cell>
          <cell r="K22" t="str">
            <v>NSN FLEXI MULTIRADIO AIRSCALE</v>
          </cell>
          <cell r="P22">
            <v>3</v>
          </cell>
          <cell r="Q22" t="str">
            <v>1/1/1</v>
          </cell>
          <cell r="AH22">
            <v>30</v>
          </cell>
          <cell r="AS22" t="str">
            <v>Commscope HWXX-6516DS2-A2M</v>
          </cell>
          <cell r="HM22" t="str">
            <v>TẬP ĐOÀN CÔNG NGHIỆP - VIỄN THÔNG QUÂN ĐỘI</v>
          </cell>
          <cell r="HN22" t="str">
            <v>40W/40W/40W</v>
          </cell>
          <cell r="HO22" t="str">
            <v>30m/ 30m/ 30m</v>
          </cell>
        </row>
        <row r="23">
          <cell r="C23" t="str">
            <v>STG0099</v>
          </cell>
          <cell r="H23" t="str">
            <v>L1800</v>
          </cell>
          <cell r="K23" t="str">
            <v>NSN FLEXI MULTIRADIO AIRSCALE</v>
          </cell>
          <cell r="P23">
            <v>3</v>
          </cell>
          <cell r="Q23" t="str">
            <v>1/1/1</v>
          </cell>
          <cell r="AH23">
            <v>22</v>
          </cell>
          <cell r="AS23" t="str">
            <v>Commscope HWXX-6516DS2-A2M</v>
          </cell>
          <cell r="HM23" t="str">
            <v>TẬP ĐOÀN CÔNG NGHIỆP - VIỄN THÔNG QUÂN ĐỘI</v>
          </cell>
          <cell r="HN23" t="str">
            <v>40W/40W/40W</v>
          </cell>
          <cell r="HO23" t="str">
            <v>22m/ 22m/ 22m</v>
          </cell>
        </row>
        <row r="24">
          <cell r="C24" t="str">
            <v>STG0104</v>
          </cell>
          <cell r="H24" t="str">
            <v>L1800</v>
          </cell>
          <cell r="K24" t="str">
            <v>NSN FLEXI MULTIRADIO AIRSCALE</v>
          </cell>
          <cell r="P24">
            <v>3</v>
          </cell>
          <cell r="Q24" t="str">
            <v>1/1/1</v>
          </cell>
          <cell r="AH24">
            <v>40</v>
          </cell>
          <cell r="AS24" t="str">
            <v>Commscope HWXX-6516DS2-A2M</v>
          </cell>
          <cell r="HM24" t="str">
            <v>TẬP ĐOÀN CÔNG NGHIỆP - VIỄN THÔNG QUÂN ĐỘI</v>
          </cell>
          <cell r="HN24" t="str">
            <v>40W/40W/40W</v>
          </cell>
          <cell r="HO24" t="str">
            <v>40m/ 40m/ 40m</v>
          </cell>
        </row>
        <row r="25">
          <cell r="C25" t="str">
            <v>STG0107</v>
          </cell>
          <cell r="H25" t="str">
            <v>L1800</v>
          </cell>
          <cell r="K25" t="str">
            <v>NSN FLEXI MULTIRADIO AIRSCALE</v>
          </cell>
          <cell r="P25">
            <v>3</v>
          </cell>
          <cell r="Q25" t="str">
            <v>1/1/1</v>
          </cell>
          <cell r="AH25">
            <v>35</v>
          </cell>
          <cell r="AS25" t="str">
            <v>Commscope HWXX-6516DS2-A2M</v>
          </cell>
          <cell r="HM25" t="str">
            <v>TẬP ĐOÀN CÔNG NGHIỆP - VIỄN THÔNG QUÂN ĐỘI</v>
          </cell>
          <cell r="HN25" t="str">
            <v>40W/40W/40W</v>
          </cell>
          <cell r="HO25" t="str">
            <v>35m/ 35m/ 35m</v>
          </cell>
        </row>
        <row r="26">
          <cell r="C26" t="str">
            <v>STG0109</v>
          </cell>
          <cell r="H26" t="str">
            <v>L1800</v>
          </cell>
          <cell r="K26" t="str">
            <v>NSN FLEXI MULTIRADIO AIRSCALE</v>
          </cell>
          <cell r="P26">
            <v>3</v>
          </cell>
          <cell r="Q26" t="str">
            <v>1/1/1</v>
          </cell>
          <cell r="AH26">
            <v>32</v>
          </cell>
          <cell r="AS26" t="str">
            <v>Commscope HWXX-6516DS2-A2M</v>
          </cell>
          <cell r="HM26" t="str">
            <v>TẬP ĐOÀN CÔNG NGHIỆP - VIỄN THÔNG QUÂN ĐỘI</v>
          </cell>
          <cell r="HN26" t="str">
            <v>40W/40W/40W</v>
          </cell>
          <cell r="HO26" t="str">
            <v>32m/ 32m/ 32m</v>
          </cell>
        </row>
        <row r="27">
          <cell r="C27" t="str">
            <v>STG0110</v>
          </cell>
          <cell r="H27" t="str">
            <v>U2100</v>
          </cell>
          <cell r="K27" t="str">
            <v>NOKIA Flexi WCDMA BTS</v>
          </cell>
          <cell r="P27">
            <v>3</v>
          </cell>
          <cell r="Q27" t="str">
            <v>2/2/2</v>
          </cell>
          <cell r="AH27">
            <v>37</v>
          </cell>
          <cell r="AS27" t="str">
            <v>Kathrein 742215</v>
          </cell>
          <cell r="HM27" t="str">
            <v>TẬP ĐOÀN CÔNG NGHIỆP - VIỄN THÔNG QUÂN ĐỘI</v>
          </cell>
          <cell r="HN27" t="str">
            <v>40W/40W/40W</v>
          </cell>
          <cell r="HO27" t="str">
            <v>37m/ 37m/ 37m</v>
          </cell>
        </row>
        <row r="28">
          <cell r="C28" t="str">
            <v>STG0316</v>
          </cell>
          <cell r="H28" t="str">
            <v>L1800</v>
          </cell>
          <cell r="K28" t="str">
            <v>NSN FLEXI MULTIRADIO AIRSCALE</v>
          </cell>
          <cell r="P28">
            <v>3</v>
          </cell>
          <cell r="Q28" t="str">
            <v>1/1/1</v>
          </cell>
          <cell r="AH28">
            <v>28</v>
          </cell>
          <cell r="AS28" t="str">
            <v>Commscope HWXX-6516DS2-A2M</v>
          </cell>
          <cell r="HM28" t="str">
            <v>TẬP ĐOÀN CÔNG NGHIỆP - VIỄN THÔNG QUÂN ĐỘI</v>
          </cell>
          <cell r="HN28" t="str">
            <v>40W/40W/40W</v>
          </cell>
          <cell r="HO28" t="str">
            <v>28m/ 28m/ 28m</v>
          </cell>
        </row>
        <row r="29">
          <cell r="C29" t="str">
            <v>STG0317</v>
          </cell>
          <cell r="H29" t="str">
            <v>L1800</v>
          </cell>
          <cell r="K29" t="str">
            <v>NSN FLEXI MULTIRADIO AIRSCALE</v>
          </cell>
          <cell r="P29">
            <v>3</v>
          </cell>
          <cell r="Q29" t="str">
            <v>1/1/1</v>
          </cell>
          <cell r="AH29">
            <v>40</v>
          </cell>
          <cell r="AS29" t="str">
            <v>Commscope HWXX-6516DS2-A2M</v>
          </cell>
          <cell r="HM29" t="str">
            <v>TẬP ĐOÀN CÔNG NGHIỆP - VIỄN THÔNG QUÂN ĐỘI</v>
          </cell>
          <cell r="HN29" t="str">
            <v>40W/40W/40W</v>
          </cell>
          <cell r="HO29" t="str">
            <v>40m/ 40m/ 40m</v>
          </cell>
        </row>
        <row r="30">
          <cell r="C30" t="str">
            <v>STG0379</v>
          </cell>
          <cell r="H30" t="str">
            <v>L1800</v>
          </cell>
          <cell r="K30" t="str">
            <v>NSN FLEXI MULTIRADIO AIRSCALE</v>
          </cell>
          <cell r="P30">
            <v>3</v>
          </cell>
          <cell r="Q30" t="str">
            <v>1/1/1</v>
          </cell>
          <cell r="AH30">
            <v>28</v>
          </cell>
          <cell r="AS30" t="str">
            <v>Commscope HWXX-6516DS2-A2M</v>
          </cell>
          <cell r="HM30" t="str">
            <v>TẬP ĐOÀN CÔNG NGHIỆP - VIỄN THÔNG QUÂN ĐỘI</v>
          </cell>
          <cell r="HN30" t="str">
            <v>40W/40W/40W</v>
          </cell>
          <cell r="HO30" t="str">
            <v>28m/ 28m/ 28m</v>
          </cell>
        </row>
        <row r="31">
          <cell r="C31" t="str">
            <v>STG0380</v>
          </cell>
          <cell r="H31" t="str">
            <v>L1800</v>
          </cell>
          <cell r="K31" t="str">
            <v>NSN FLEXI MULTIRADIO AIRSCALE</v>
          </cell>
          <cell r="P31">
            <v>3</v>
          </cell>
          <cell r="Q31" t="str">
            <v>1/1/1</v>
          </cell>
          <cell r="AH31">
            <v>34</v>
          </cell>
          <cell r="AS31" t="str">
            <v>Commscope HWXX-6516DS2-A2M</v>
          </cell>
          <cell r="HM31" t="str">
            <v>TẬP ĐOÀN CÔNG NGHIỆP - VIỄN THÔNG QUÂN ĐỘI</v>
          </cell>
          <cell r="HN31" t="str">
            <v>40W/40W/40W</v>
          </cell>
          <cell r="HO31" t="str">
            <v>34m/ 34m/ 34m</v>
          </cell>
        </row>
        <row r="32">
          <cell r="C32" t="str">
            <v>STG0388</v>
          </cell>
          <cell r="H32" t="str">
            <v>L1800</v>
          </cell>
          <cell r="K32" t="str">
            <v>NSN FLEXI MULTIRADIO AIRSCALE</v>
          </cell>
          <cell r="P32">
            <v>3</v>
          </cell>
          <cell r="Q32" t="str">
            <v>1/1/1</v>
          </cell>
          <cell r="AH32">
            <v>15</v>
          </cell>
          <cell r="AS32" t="str">
            <v>Commscope HWXX-6516DS2-A2M</v>
          </cell>
          <cell r="HM32" t="str">
            <v>TẬP ĐOÀN CÔNG NGHIỆP - VIỄN THÔNG QUÂN ĐỘI</v>
          </cell>
          <cell r="HN32" t="str">
            <v>40W/40W/40W</v>
          </cell>
          <cell r="HO32" t="str">
            <v>25,5m/ 25,5m/ 25,5m</v>
          </cell>
        </row>
        <row r="33">
          <cell r="C33" t="str">
            <v>STG0393</v>
          </cell>
          <cell r="H33" t="str">
            <v>L1800</v>
          </cell>
          <cell r="K33" t="str">
            <v>NSN FLEXI MULTIRADIO AIRSCALE</v>
          </cell>
          <cell r="P33">
            <v>3</v>
          </cell>
          <cell r="Q33" t="str">
            <v>1/1/1</v>
          </cell>
          <cell r="AH33">
            <v>36</v>
          </cell>
          <cell r="AS33" t="str">
            <v>Commscope HWXX-6516DS2-A2M</v>
          </cell>
          <cell r="HM33" t="str">
            <v>TẬP ĐOÀN CÔNG NGHIỆP - VIỄN THÔNG QUÂN ĐỘI</v>
          </cell>
          <cell r="HN33" t="str">
            <v>40W/40W/40W</v>
          </cell>
          <cell r="HO33" t="str">
            <v>36m/ 36m/ 36m</v>
          </cell>
        </row>
        <row r="34">
          <cell r="C34" t="str">
            <v>STG0394</v>
          </cell>
          <cell r="H34" t="str">
            <v>L1800</v>
          </cell>
          <cell r="K34" t="str">
            <v>NSN FLEXI MULTIRADIO AIRSCALE</v>
          </cell>
          <cell r="P34">
            <v>3</v>
          </cell>
          <cell r="Q34" t="str">
            <v>1/1/1</v>
          </cell>
          <cell r="AH34">
            <v>15</v>
          </cell>
          <cell r="AS34" t="str">
            <v>Commscope HWXX-6516DS2-A2M</v>
          </cell>
          <cell r="HM34" t="str">
            <v>TẬP ĐOÀN CÔNG NGHIỆP - VIỄN THÔNG QUÂN ĐỘI</v>
          </cell>
          <cell r="HN34" t="str">
            <v>40W/40W/40W</v>
          </cell>
          <cell r="HO34" t="str">
            <v>25,5m/ 25,5m/ 25,5m</v>
          </cell>
        </row>
        <row r="35">
          <cell r="C35" t="str">
            <v>STG0396</v>
          </cell>
          <cell r="H35" t="str">
            <v>L1800</v>
          </cell>
          <cell r="K35" t="str">
            <v>NSN FLEXI MULTIRADIO AIRSCALE</v>
          </cell>
          <cell r="P35">
            <v>3</v>
          </cell>
          <cell r="Q35" t="str">
            <v>1/1/1</v>
          </cell>
          <cell r="AH35">
            <v>17</v>
          </cell>
          <cell r="AS35" t="str">
            <v>Commscope HWXX-6516DS2-A2M</v>
          </cell>
          <cell r="HM35" t="str">
            <v>TẬP ĐOÀN CÔNG NGHIỆP - VIỄN THÔNG QUÂN ĐỘI</v>
          </cell>
          <cell r="HN35" t="str">
            <v>40W/40W/40W</v>
          </cell>
          <cell r="HO35" t="str">
            <v>27,5m/ 27,5m/ 27,5m</v>
          </cell>
        </row>
        <row r="36">
          <cell r="C36" t="str">
            <v>STG0369</v>
          </cell>
          <cell r="H36" t="str">
            <v>U2100</v>
          </cell>
          <cell r="K36" t="str">
            <v>NOKIA Flexi WCDMA BTS</v>
          </cell>
          <cell r="P36">
            <v>3</v>
          </cell>
          <cell r="Q36" t="str">
            <v>2/2/2</v>
          </cell>
          <cell r="AH36">
            <v>10</v>
          </cell>
          <cell r="AS36" t="str">
            <v>Kathrein 742215</v>
          </cell>
          <cell r="HM36" t="str">
            <v>TẬP ĐOÀN CÔNG NGHIỆP - VIỄN THÔNG QUÂN ĐỘI</v>
          </cell>
          <cell r="HN36" t="str">
            <v>40W/40W/40W</v>
          </cell>
          <cell r="HO36" t="str">
            <v>27,5m/ 27,5m/ 27,5m</v>
          </cell>
        </row>
        <row r="37">
          <cell r="C37" t="str">
            <v>STG0521</v>
          </cell>
          <cell r="H37" t="str">
            <v>L1800</v>
          </cell>
          <cell r="K37" t="str">
            <v>NSN FLEXI MULTIRADIO AIRSCALE</v>
          </cell>
          <cell r="P37">
            <v>3</v>
          </cell>
          <cell r="Q37" t="str">
            <v>1/1/1</v>
          </cell>
          <cell r="AH37">
            <v>17</v>
          </cell>
          <cell r="AS37" t="str">
            <v>Commscope HWXX-6516DS2-A2M</v>
          </cell>
          <cell r="HM37" t="str">
            <v>TẬP ĐOÀN CÔNG NGHIỆP - VIỄN THÔNG QUÂN ĐỘI</v>
          </cell>
          <cell r="HN37" t="str">
            <v>40W/40W/40W</v>
          </cell>
          <cell r="HO37" t="str">
            <v>27,5m/ 27,5m/ 27,5m</v>
          </cell>
        </row>
        <row r="38">
          <cell r="C38" t="str">
            <v>STG0530</v>
          </cell>
          <cell r="H38" t="str">
            <v>L1800</v>
          </cell>
          <cell r="K38" t="str">
            <v>NSN FLEXI MULTIRADIO AIRSCALE</v>
          </cell>
          <cell r="P38">
            <v>3</v>
          </cell>
          <cell r="Q38" t="str">
            <v>1/1/1</v>
          </cell>
          <cell r="AH38">
            <v>40</v>
          </cell>
          <cell r="AS38" t="str">
            <v>Commscope HWXX-6516DS2-A2M</v>
          </cell>
          <cell r="HM38" t="str">
            <v>TẬP ĐOÀN CÔNG NGHIỆP - VIỄN THÔNG QUÂN ĐỘI</v>
          </cell>
          <cell r="HN38" t="str">
            <v>40W/40W/40W</v>
          </cell>
          <cell r="HO38" t="str">
            <v>40m/ 40m/ 40m</v>
          </cell>
        </row>
        <row r="39">
          <cell r="C39" t="str">
            <v>STG0023</v>
          </cell>
          <cell r="H39" t="str">
            <v>U2100</v>
          </cell>
          <cell r="K39" t="str">
            <v>NOKIA Flexi WCDMA BTS</v>
          </cell>
          <cell r="P39">
            <v>3</v>
          </cell>
          <cell r="Q39" t="str">
            <v>2/2/2</v>
          </cell>
          <cell r="AH39">
            <v>34</v>
          </cell>
          <cell r="AS39" t="str">
            <v>Commscope HWXX-6516DS2-A2M</v>
          </cell>
          <cell r="HM39" t="str">
            <v>TẬP ĐOÀN CÔNG NGHIỆP - VIỄN THÔNG QUÂN ĐỘI</v>
          </cell>
          <cell r="HN39" t="str">
            <v>40W/40W/40W</v>
          </cell>
          <cell r="HO39" t="str">
            <v>34m/ 34m/ 34m</v>
          </cell>
        </row>
        <row r="40">
          <cell r="C40" t="str">
            <v>STG0133</v>
          </cell>
          <cell r="H40" t="str">
            <v>L1800</v>
          </cell>
          <cell r="K40" t="str">
            <v>NSN FLEXI MULTIRADIO AIRSCALE</v>
          </cell>
          <cell r="P40">
            <v>3</v>
          </cell>
          <cell r="Q40" t="str">
            <v>1/1/1</v>
          </cell>
          <cell r="AH40">
            <v>40</v>
          </cell>
          <cell r="AS40" t="str">
            <v>Commscope HWXX-6516DS2-A2M</v>
          </cell>
          <cell r="HM40" t="str">
            <v>TẬP ĐOÀN CÔNG NGHIỆP - VIỄN THÔNG QUÂN ĐỘI</v>
          </cell>
          <cell r="HN40" t="str">
            <v>40W/40W/40W</v>
          </cell>
          <cell r="HO40" t="str">
            <v>40m/ 40m/ 40m</v>
          </cell>
        </row>
        <row r="41">
          <cell r="C41" t="str">
            <v>STG0141</v>
          </cell>
          <cell r="H41" t="str">
            <v>U2100</v>
          </cell>
          <cell r="K41" t="str">
            <v>NOKIA Flexi WCDMA BTS</v>
          </cell>
          <cell r="P41">
            <v>3</v>
          </cell>
          <cell r="Q41" t="str">
            <v>2/2/2</v>
          </cell>
          <cell r="AH41">
            <v>42</v>
          </cell>
          <cell r="AS41" t="str">
            <v>Kathrein 742215</v>
          </cell>
          <cell r="HM41" t="str">
            <v>TẬP ĐOÀN CÔNG NGHIỆP - VIỄN THÔNG QUÂN ĐỘI</v>
          </cell>
          <cell r="HN41" t="str">
            <v>40W/40W/40W</v>
          </cell>
          <cell r="HO41" t="str">
            <v>42m/ 42m/ 42m</v>
          </cell>
        </row>
        <row r="42">
          <cell r="C42" t="str">
            <v>STG0211</v>
          </cell>
          <cell r="H42" t="str">
            <v>U2100</v>
          </cell>
          <cell r="K42" t="str">
            <v>NOKIA Flexi WCDMA BTS</v>
          </cell>
          <cell r="P42">
            <v>3</v>
          </cell>
          <cell r="Q42" t="str">
            <v>2/2/2</v>
          </cell>
          <cell r="AH42">
            <v>36</v>
          </cell>
          <cell r="AS42" t="str">
            <v>Kathrein 742215</v>
          </cell>
          <cell r="HM42" t="str">
            <v>TẬP ĐOÀN CÔNG NGHIỆP - VIỄN THÔNG QUÂN ĐỘI</v>
          </cell>
          <cell r="HN42" t="str">
            <v>40W/40W/40W</v>
          </cell>
          <cell r="HO42" t="str">
            <v>36m/ 36m/ 36m</v>
          </cell>
        </row>
        <row r="44">
          <cell r="C44" t="str">
            <v/>
          </cell>
          <cell r="H44">
            <v>0</v>
          </cell>
          <cell r="K44">
            <v>0</v>
          </cell>
          <cell r="P44">
            <v>0</v>
          </cell>
          <cell r="Q44" t="str">
            <v/>
          </cell>
          <cell r="AH44">
            <v>0</v>
          </cell>
          <cell r="AS44">
            <v>0</v>
          </cell>
          <cell r="HM44" t="str">
            <v/>
          </cell>
          <cell r="HN44" t="str">
            <v/>
          </cell>
          <cell r="HO44" t="str">
            <v/>
          </cell>
        </row>
        <row r="45">
          <cell r="C45" t="str">
            <v/>
          </cell>
          <cell r="H45">
            <v>0</v>
          </cell>
          <cell r="K45">
            <v>0</v>
          </cell>
          <cell r="P45">
            <v>0</v>
          </cell>
          <cell r="Q45" t="str">
            <v/>
          </cell>
          <cell r="AH45">
            <v>0</v>
          </cell>
          <cell r="AS45">
            <v>0</v>
          </cell>
          <cell r="HM45" t="str">
            <v/>
          </cell>
          <cell r="HN45" t="str">
            <v/>
          </cell>
          <cell r="HO45" t="str">
            <v/>
          </cell>
        </row>
        <row r="46">
          <cell r="C46" t="str">
            <v>STG0182</v>
          </cell>
          <cell r="H46" t="str">
            <v>L1800</v>
          </cell>
          <cell r="K46" t="str">
            <v>NSN FLEXI MULTIRADIO AIRSCALE</v>
          </cell>
          <cell r="P46">
            <v>3</v>
          </cell>
          <cell r="Q46" t="str">
            <v>1/1/1</v>
          </cell>
          <cell r="AH46">
            <v>34</v>
          </cell>
          <cell r="AS46">
            <v>0</v>
          </cell>
          <cell r="HM46" t="str">
            <v>TẬP ĐOÀN CÔNG NGHIỆP - VIỄN THÔNG QUÂN ĐỘI</v>
          </cell>
          <cell r="HN46" t="str">
            <v>40W/40W/40W</v>
          </cell>
          <cell r="HO46" t="str">
            <v>34m/ 34m/ 34m</v>
          </cell>
        </row>
        <row r="47">
          <cell r="C47" t="str">
            <v/>
          </cell>
          <cell r="H47">
            <v>0</v>
          </cell>
          <cell r="K47">
            <v>0</v>
          </cell>
          <cell r="P47">
            <v>0</v>
          </cell>
          <cell r="Q47" t="str">
            <v/>
          </cell>
          <cell r="AH47">
            <v>0</v>
          </cell>
          <cell r="AS47">
            <v>0</v>
          </cell>
          <cell r="HM47" t="str">
            <v/>
          </cell>
          <cell r="HN47" t="str">
            <v/>
          </cell>
          <cell r="HO47" t="str">
            <v/>
          </cell>
        </row>
        <row r="48">
          <cell r="C48" t="str">
            <v>STG0026</v>
          </cell>
          <cell r="H48" t="str">
            <v>U2100</v>
          </cell>
          <cell r="K48" t="str">
            <v>NOKIA Flexi WCDMA BTS</v>
          </cell>
          <cell r="P48">
            <v>3</v>
          </cell>
          <cell r="Q48" t="str">
            <v>2/2/2</v>
          </cell>
          <cell r="AH48">
            <v>19</v>
          </cell>
          <cell r="AS48" t="str">
            <v>Kathrein 742215</v>
          </cell>
          <cell r="HM48" t="str">
            <v>TẬP ĐOÀN CÔNG NGHIỆP - VIỄN THÔNG QUÂN ĐỘI</v>
          </cell>
          <cell r="HN48" t="str">
            <v>40W/40W/40W</v>
          </cell>
          <cell r="HO48" t="str">
            <v>29,5m/ 29,5m/ 29,5m</v>
          </cell>
        </row>
        <row r="49">
          <cell r="C49" t="str">
            <v>STG0093</v>
          </cell>
          <cell r="H49" t="str">
            <v>L1800</v>
          </cell>
          <cell r="K49" t="str">
            <v>NSN FLEXI MULTIRADIO AIRSCALE</v>
          </cell>
          <cell r="P49">
            <v>3</v>
          </cell>
          <cell r="Q49" t="str">
            <v>1/1/1</v>
          </cell>
          <cell r="AH49">
            <v>40</v>
          </cell>
          <cell r="AS49" t="str">
            <v>Commscope HWXX-6516DS2-A2M</v>
          </cell>
          <cell r="HM49" t="str">
            <v>TẬP ĐOÀN CÔNG NGHIỆP - VIỄN THÔNG QUÂN ĐỘI</v>
          </cell>
          <cell r="HN49" t="str">
            <v>40W/40W/40W</v>
          </cell>
          <cell r="HO49" t="str">
            <v>40m/ 40m/ 40m</v>
          </cell>
        </row>
        <row r="50">
          <cell r="C50" t="str">
            <v>STG0124</v>
          </cell>
          <cell r="H50" t="str">
            <v>L1800</v>
          </cell>
          <cell r="K50" t="str">
            <v>NSN FLEXI MULTIRADIO AIRSCALE</v>
          </cell>
          <cell r="P50">
            <v>3</v>
          </cell>
          <cell r="Q50" t="str">
            <v>1/1/1</v>
          </cell>
          <cell r="AH50">
            <v>41</v>
          </cell>
          <cell r="AS50">
            <v>0</v>
          </cell>
          <cell r="HM50" t="str">
            <v>TẬP ĐOÀN CÔNG NGHIỆP - VIỄN THÔNG QUÂN ĐỘI</v>
          </cell>
          <cell r="HN50" t="str">
            <v>40W/40W/40W</v>
          </cell>
          <cell r="HO50" t="str">
            <v>41m/ 41m/ 41m</v>
          </cell>
        </row>
        <row r="51">
          <cell r="C51" t="str">
            <v/>
          </cell>
          <cell r="H51">
            <v>0</v>
          </cell>
          <cell r="K51">
            <v>0</v>
          </cell>
          <cell r="P51">
            <v>0</v>
          </cell>
          <cell r="Q51" t="str">
            <v/>
          </cell>
          <cell r="AH51">
            <v>0</v>
          </cell>
          <cell r="AS51">
            <v>0</v>
          </cell>
          <cell r="HM51" t="str">
            <v/>
          </cell>
          <cell r="HN51" t="str">
            <v/>
          </cell>
          <cell r="HO51" t="str">
            <v/>
          </cell>
        </row>
      </sheetData>
      <sheetData sheetId="4">
        <row r="4">
          <cell r="C4" t="str">
            <v/>
          </cell>
          <cell r="H4">
            <v>0</v>
          </cell>
          <cell r="K4">
            <v>0</v>
          </cell>
          <cell r="P4">
            <v>0</v>
          </cell>
          <cell r="Q4" t="str">
            <v/>
          </cell>
          <cell r="AH4">
            <v>0</v>
          </cell>
          <cell r="AS4">
            <v>0</v>
          </cell>
          <cell r="HM4" t="str">
            <v/>
          </cell>
          <cell r="HN4" t="str">
            <v/>
          </cell>
          <cell r="HO4" t="str">
            <v/>
          </cell>
        </row>
        <row r="5">
          <cell r="C5" t="str">
            <v/>
          </cell>
          <cell r="H5">
            <v>0</v>
          </cell>
          <cell r="K5">
            <v>0</v>
          </cell>
          <cell r="P5">
            <v>0</v>
          </cell>
          <cell r="Q5" t="str">
            <v/>
          </cell>
          <cell r="AH5">
            <v>0</v>
          </cell>
          <cell r="AS5">
            <v>0</v>
          </cell>
          <cell r="HM5" t="str">
            <v/>
          </cell>
          <cell r="HN5" t="str">
            <v/>
          </cell>
          <cell r="HO5" t="str">
            <v/>
          </cell>
        </row>
        <row r="6">
          <cell r="C6" t="str">
            <v/>
          </cell>
          <cell r="H6">
            <v>0</v>
          </cell>
          <cell r="K6">
            <v>0</v>
          </cell>
          <cell r="P6">
            <v>0</v>
          </cell>
          <cell r="Q6" t="str">
            <v/>
          </cell>
          <cell r="AH6">
            <v>0</v>
          </cell>
          <cell r="AS6">
            <v>0</v>
          </cell>
          <cell r="HM6" t="str">
            <v/>
          </cell>
          <cell r="HN6" t="str">
            <v/>
          </cell>
          <cell r="HO6" t="str">
            <v/>
          </cell>
        </row>
        <row r="7">
          <cell r="C7" t="str">
            <v/>
          </cell>
          <cell r="H7">
            <v>0</v>
          </cell>
          <cell r="K7">
            <v>0</v>
          </cell>
          <cell r="P7">
            <v>0</v>
          </cell>
          <cell r="Q7" t="str">
            <v/>
          </cell>
          <cell r="AH7">
            <v>0</v>
          </cell>
          <cell r="AS7">
            <v>0</v>
          </cell>
          <cell r="HM7" t="str">
            <v/>
          </cell>
          <cell r="HN7" t="str">
            <v/>
          </cell>
          <cell r="HO7" t="str">
            <v/>
          </cell>
        </row>
        <row r="8">
          <cell r="C8" t="str">
            <v/>
          </cell>
          <cell r="H8">
            <v>0</v>
          </cell>
          <cell r="K8">
            <v>0</v>
          </cell>
          <cell r="P8">
            <v>0</v>
          </cell>
          <cell r="Q8" t="str">
            <v/>
          </cell>
          <cell r="AH8">
            <v>0</v>
          </cell>
          <cell r="AS8">
            <v>0</v>
          </cell>
          <cell r="HM8" t="str">
            <v/>
          </cell>
          <cell r="HN8" t="str">
            <v/>
          </cell>
          <cell r="HO8" t="str">
            <v/>
          </cell>
        </row>
        <row r="9">
          <cell r="C9" t="str">
            <v/>
          </cell>
          <cell r="H9">
            <v>0</v>
          </cell>
          <cell r="K9">
            <v>0</v>
          </cell>
          <cell r="P9">
            <v>0</v>
          </cell>
          <cell r="Q9" t="str">
            <v/>
          </cell>
          <cell r="AH9">
            <v>0</v>
          </cell>
          <cell r="AS9">
            <v>0</v>
          </cell>
          <cell r="HM9" t="str">
            <v/>
          </cell>
          <cell r="HN9" t="str">
            <v/>
          </cell>
          <cell r="HO9" t="str">
            <v/>
          </cell>
        </row>
        <row r="10">
          <cell r="C10" t="str">
            <v/>
          </cell>
          <cell r="H10">
            <v>0</v>
          </cell>
          <cell r="K10">
            <v>0</v>
          </cell>
          <cell r="P10">
            <v>0</v>
          </cell>
          <cell r="Q10" t="str">
            <v/>
          </cell>
          <cell r="AH10">
            <v>0</v>
          </cell>
          <cell r="AS10">
            <v>0</v>
          </cell>
          <cell r="HM10" t="str">
            <v/>
          </cell>
          <cell r="HN10" t="str">
            <v/>
          </cell>
          <cell r="HO10" t="str">
            <v/>
          </cell>
        </row>
        <row r="11">
          <cell r="C11" t="str">
            <v/>
          </cell>
          <cell r="H11">
            <v>0</v>
          </cell>
          <cell r="K11">
            <v>0</v>
          </cell>
          <cell r="P11">
            <v>0</v>
          </cell>
          <cell r="Q11" t="str">
            <v/>
          </cell>
          <cell r="AH11">
            <v>0</v>
          </cell>
          <cell r="AS11">
            <v>0</v>
          </cell>
          <cell r="HM11" t="str">
            <v/>
          </cell>
          <cell r="HN11" t="str">
            <v/>
          </cell>
          <cell r="HO11" t="str">
            <v/>
          </cell>
        </row>
        <row r="12">
          <cell r="C12" t="str">
            <v/>
          </cell>
          <cell r="H12">
            <v>0</v>
          </cell>
          <cell r="K12">
            <v>0</v>
          </cell>
          <cell r="P12">
            <v>0</v>
          </cell>
          <cell r="Q12" t="str">
            <v/>
          </cell>
          <cell r="AH12">
            <v>0</v>
          </cell>
          <cell r="AS12">
            <v>0</v>
          </cell>
          <cell r="HM12" t="str">
            <v/>
          </cell>
          <cell r="HN12" t="str">
            <v/>
          </cell>
          <cell r="HO12" t="str">
            <v/>
          </cell>
        </row>
        <row r="13">
          <cell r="C13" t="str">
            <v/>
          </cell>
          <cell r="H13">
            <v>0</v>
          </cell>
          <cell r="K13">
            <v>0</v>
          </cell>
          <cell r="P13">
            <v>0</v>
          </cell>
          <cell r="Q13" t="str">
            <v/>
          </cell>
          <cell r="AH13">
            <v>0</v>
          </cell>
          <cell r="AS13">
            <v>0</v>
          </cell>
          <cell r="HM13" t="str">
            <v/>
          </cell>
          <cell r="HN13" t="str">
            <v/>
          </cell>
          <cell r="HO13" t="str">
            <v/>
          </cell>
        </row>
        <row r="14">
          <cell r="C14" t="str">
            <v/>
          </cell>
          <cell r="H14">
            <v>0</v>
          </cell>
          <cell r="K14">
            <v>0</v>
          </cell>
          <cell r="P14">
            <v>0</v>
          </cell>
          <cell r="Q14" t="str">
            <v/>
          </cell>
          <cell r="AH14">
            <v>0</v>
          </cell>
          <cell r="AS14">
            <v>0</v>
          </cell>
          <cell r="HM14" t="str">
            <v/>
          </cell>
          <cell r="HN14" t="str">
            <v/>
          </cell>
          <cell r="HO14" t="str">
            <v/>
          </cell>
        </row>
        <row r="15">
          <cell r="C15" t="str">
            <v>TVH0009</v>
          </cell>
          <cell r="H15" t="str">
            <v>L1800</v>
          </cell>
          <cell r="K15" t="str">
            <v>NSN FLEXI MULTIRADIO AIRSCALE</v>
          </cell>
          <cell r="P15">
            <v>3</v>
          </cell>
          <cell r="Q15" t="str">
            <v>1/1/1</v>
          </cell>
          <cell r="AH15">
            <v>54</v>
          </cell>
          <cell r="AS15" t="str">
            <v>Commscope HWXX-6516DS2-A2M</v>
          </cell>
          <cell r="HM15" t="str">
            <v>TẬP ĐOÀN CÔNG NGHIỆP - VIỄN THÔNG QUÂN ĐỘI</v>
          </cell>
          <cell r="HN15" t="str">
            <v>40W/40W/40W</v>
          </cell>
          <cell r="HO15" t="str">
            <v>54m/ 54m/ 54m</v>
          </cell>
        </row>
        <row r="16">
          <cell r="C16" t="str">
            <v>TVH0002</v>
          </cell>
          <cell r="H16" t="str">
            <v>L1800</v>
          </cell>
          <cell r="K16" t="str">
            <v>NSN FLEXI MULTIRADIO AIRSCALE</v>
          </cell>
          <cell r="P16">
            <v>3</v>
          </cell>
          <cell r="Q16" t="str">
            <v>1/1/1</v>
          </cell>
          <cell r="AH16">
            <v>54</v>
          </cell>
          <cell r="AS16" t="str">
            <v>Commscope HWXX-6516DS2-A2M</v>
          </cell>
          <cell r="HM16" t="str">
            <v>TẬP ĐOÀN CÔNG NGHIỆP - VIỄN THÔNG QUÂN ĐỘI</v>
          </cell>
          <cell r="HN16" t="str">
            <v>40W/40W/40W</v>
          </cell>
          <cell r="HO16" t="str">
            <v>54m/ 54m/ 54m</v>
          </cell>
        </row>
        <row r="17">
          <cell r="C17" t="str">
            <v>TVH0596</v>
          </cell>
          <cell r="H17" t="str">
            <v>L1800</v>
          </cell>
          <cell r="K17" t="str">
            <v>NSN FLEXI MULTIRADIO AIRSCALE</v>
          </cell>
          <cell r="P17">
            <v>3</v>
          </cell>
          <cell r="Q17" t="str">
            <v>1/1/1</v>
          </cell>
          <cell r="AH17">
            <v>40</v>
          </cell>
          <cell r="AS17" t="str">
            <v>Commscope HWXX-6516DS2-A2M</v>
          </cell>
          <cell r="HM17" t="str">
            <v>TẬP ĐOÀN CÔNG NGHIỆP - VIỄN THÔNG QUÂN ĐỘI</v>
          </cell>
          <cell r="HN17" t="str">
            <v>40W/40W/40W</v>
          </cell>
          <cell r="HO17" t="str">
            <v>40m/ 40m/ 40m</v>
          </cell>
        </row>
        <row r="18">
          <cell r="C18" t="str">
            <v/>
          </cell>
          <cell r="H18">
            <v>0</v>
          </cell>
          <cell r="K18">
            <v>0</v>
          </cell>
          <cell r="P18">
            <v>0</v>
          </cell>
          <cell r="Q18" t="str">
            <v/>
          </cell>
          <cell r="AH18">
            <v>0</v>
          </cell>
          <cell r="AS18">
            <v>0</v>
          </cell>
          <cell r="HM18" t="str">
            <v/>
          </cell>
          <cell r="HN18" t="str">
            <v/>
          </cell>
          <cell r="HO18" t="str">
            <v/>
          </cell>
        </row>
        <row r="19">
          <cell r="C19" t="str">
            <v/>
          </cell>
          <cell r="H19">
            <v>0</v>
          </cell>
          <cell r="K19">
            <v>0</v>
          </cell>
          <cell r="P19">
            <v>0</v>
          </cell>
          <cell r="Q19" t="str">
            <v/>
          </cell>
          <cell r="AH19">
            <v>0</v>
          </cell>
          <cell r="AS19">
            <v>0</v>
          </cell>
          <cell r="HM19" t="str">
            <v/>
          </cell>
          <cell r="HN19" t="str">
            <v/>
          </cell>
          <cell r="HO19" t="str">
            <v/>
          </cell>
        </row>
        <row r="20">
          <cell r="C20" t="str">
            <v/>
          </cell>
          <cell r="H20">
            <v>0</v>
          </cell>
          <cell r="K20">
            <v>0</v>
          </cell>
          <cell r="P20">
            <v>0</v>
          </cell>
          <cell r="Q20" t="str">
            <v/>
          </cell>
          <cell r="AH20">
            <v>0</v>
          </cell>
          <cell r="AS20">
            <v>0</v>
          </cell>
          <cell r="HM20" t="str">
            <v/>
          </cell>
          <cell r="HN20" t="str">
            <v/>
          </cell>
          <cell r="HO20" t="str">
            <v/>
          </cell>
        </row>
        <row r="21">
          <cell r="C21" t="str">
            <v/>
          </cell>
          <cell r="H21">
            <v>0</v>
          </cell>
          <cell r="K21">
            <v>0</v>
          </cell>
          <cell r="P21">
            <v>0</v>
          </cell>
          <cell r="Q21" t="str">
            <v/>
          </cell>
          <cell r="AH21">
            <v>0</v>
          </cell>
          <cell r="AS21">
            <v>0</v>
          </cell>
          <cell r="HM21" t="str">
            <v/>
          </cell>
          <cell r="HN21" t="str">
            <v/>
          </cell>
          <cell r="HO21" t="str">
            <v/>
          </cell>
        </row>
        <row r="22">
          <cell r="C22" t="str">
            <v/>
          </cell>
          <cell r="H22">
            <v>0</v>
          </cell>
          <cell r="K22">
            <v>0</v>
          </cell>
          <cell r="P22">
            <v>0</v>
          </cell>
          <cell r="Q22" t="str">
            <v/>
          </cell>
          <cell r="AH22">
            <v>0</v>
          </cell>
          <cell r="AS22">
            <v>0</v>
          </cell>
          <cell r="HM22" t="str">
            <v/>
          </cell>
          <cell r="HN22" t="str">
            <v/>
          </cell>
          <cell r="HO22" t="str">
            <v/>
          </cell>
        </row>
        <row r="23">
          <cell r="C23" t="str">
            <v/>
          </cell>
          <cell r="H23">
            <v>0</v>
          </cell>
          <cell r="K23">
            <v>0</v>
          </cell>
          <cell r="P23">
            <v>0</v>
          </cell>
          <cell r="Q23" t="str">
            <v/>
          </cell>
          <cell r="AH23">
            <v>0</v>
          </cell>
          <cell r="AS23">
            <v>0</v>
          </cell>
          <cell r="HM23" t="str">
            <v/>
          </cell>
          <cell r="HN23" t="str">
            <v/>
          </cell>
          <cell r="HO23" t="str">
            <v/>
          </cell>
        </row>
        <row r="24">
          <cell r="C24" t="str">
            <v/>
          </cell>
          <cell r="H24">
            <v>0</v>
          </cell>
          <cell r="K24">
            <v>0</v>
          </cell>
          <cell r="P24">
            <v>0</v>
          </cell>
          <cell r="Q24" t="str">
            <v/>
          </cell>
          <cell r="AH24">
            <v>0</v>
          </cell>
          <cell r="AS24">
            <v>0</v>
          </cell>
          <cell r="HM24" t="str">
            <v/>
          </cell>
          <cell r="HN24" t="str">
            <v/>
          </cell>
          <cell r="HO24" t="str">
            <v/>
          </cell>
        </row>
        <row r="25">
          <cell r="C25" t="str">
            <v/>
          </cell>
          <cell r="H25">
            <v>0</v>
          </cell>
          <cell r="K25">
            <v>0</v>
          </cell>
          <cell r="P25">
            <v>0</v>
          </cell>
          <cell r="Q25" t="str">
            <v/>
          </cell>
          <cell r="AH25">
            <v>0</v>
          </cell>
          <cell r="AS25">
            <v>0</v>
          </cell>
          <cell r="HM25" t="str">
            <v/>
          </cell>
          <cell r="HN25" t="str">
            <v/>
          </cell>
          <cell r="HO25" t="str">
            <v/>
          </cell>
        </row>
        <row r="26">
          <cell r="C26" t="str">
            <v/>
          </cell>
          <cell r="H26">
            <v>0</v>
          </cell>
          <cell r="K26">
            <v>0</v>
          </cell>
          <cell r="P26">
            <v>0</v>
          </cell>
          <cell r="Q26" t="str">
            <v/>
          </cell>
          <cell r="AH26">
            <v>0</v>
          </cell>
          <cell r="AS26">
            <v>0</v>
          </cell>
          <cell r="HM26" t="str">
            <v/>
          </cell>
          <cell r="HN26" t="str">
            <v/>
          </cell>
          <cell r="HO26" t="str">
            <v/>
          </cell>
        </row>
        <row r="27">
          <cell r="C27" t="str">
            <v>STG0110</v>
          </cell>
          <cell r="H27" t="str">
            <v>L1800</v>
          </cell>
          <cell r="K27" t="str">
            <v>NSN FLEXI MULTIRADIO AIRSCALE</v>
          </cell>
          <cell r="P27">
            <v>3</v>
          </cell>
          <cell r="Q27" t="str">
            <v>1/1/1</v>
          </cell>
          <cell r="AH27">
            <v>37</v>
          </cell>
          <cell r="AS27" t="str">
            <v>Commscope HWXX-6516DS2-A2M</v>
          </cell>
          <cell r="HM27" t="str">
            <v>TẬP ĐOÀN CÔNG NGHIỆP - VIỄN THÔNG QUÂN ĐỘI</v>
          </cell>
          <cell r="HN27" t="str">
            <v>40W/40W/40W</v>
          </cell>
          <cell r="HO27" t="str">
            <v>37m/ 37m/ 37m</v>
          </cell>
        </row>
        <row r="28">
          <cell r="C28" t="str">
            <v/>
          </cell>
          <cell r="H28">
            <v>0</v>
          </cell>
          <cell r="K28">
            <v>0</v>
          </cell>
          <cell r="P28">
            <v>0</v>
          </cell>
          <cell r="Q28" t="str">
            <v/>
          </cell>
          <cell r="AH28">
            <v>0</v>
          </cell>
          <cell r="AS28">
            <v>0</v>
          </cell>
          <cell r="HM28" t="str">
            <v/>
          </cell>
          <cell r="HN28" t="str">
            <v/>
          </cell>
          <cell r="HO28" t="str">
            <v/>
          </cell>
        </row>
        <row r="29">
          <cell r="C29" t="str">
            <v/>
          </cell>
          <cell r="H29">
            <v>0</v>
          </cell>
          <cell r="K29">
            <v>0</v>
          </cell>
          <cell r="P29">
            <v>0</v>
          </cell>
          <cell r="Q29" t="str">
            <v/>
          </cell>
          <cell r="AH29">
            <v>0</v>
          </cell>
          <cell r="AS29">
            <v>0</v>
          </cell>
          <cell r="HM29" t="str">
            <v/>
          </cell>
          <cell r="HN29" t="str">
            <v/>
          </cell>
          <cell r="HO29" t="str">
            <v/>
          </cell>
        </row>
        <row r="30">
          <cell r="C30" t="str">
            <v/>
          </cell>
          <cell r="H30">
            <v>0</v>
          </cell>
          <cell r="K30">
            <v>0</v>
          </cell>
          <cell r="P30">
            <v>0</v>
          </cell>
          <cell r="Q30" t="str">
            <v/>
          </cell>
          <cell r="AH30">
            <v>0</v>
          </cell>
          <cell r="AS30">
            <v>0</v>
          </cell>
          <cell r="HM30" t="str">
            <v/>
          </cell>
          <cell r="HN30" t="str">
            <v/>
          </cell>
          <cell r="HO30" t="str">
            <v/>
          </cell>
        </row>
        <row r="31">
          <cell r="C31" t="str">
            <v/>
          </cell>
          <cell r="H31">
            <v>0</v>
          </cell>
          <cell r="K31">
            <v>0</v>
          </cell>
          <cell r="P31">
            <v>0</v>
          </cell>
          <cell r="Q31" t="str">
            <v/>
          </cell>
          <cell r="AH31">
            <v>0</v>
          </cell>
          <cell r="AS31">
            <v>0</v>
          </cell>
          <cell r="HM31" t="str">
            <v/>
          </cell>
          <cell r="HN31" t="str">
            <v/>
          </cell>
          <cell r="HO31" t="str">
            <v/>
          </cell>
        </row>
        <row r="32">
          <cell r="C32" t="str">
            <v/>
          </cell>
          <cell r="H32">
            <v>0</v>
          </cell>
          <cell r="K32">
            <v>0</v>
          </cell>
          <cell r="P32">
            <v>0</v>
          </cell>
          <cell r="Q32" t="str">
            <v/>
          </cell>
          <cell r="AH32">
            <v>0</v>
          </cell>
          <cell r="AS32">
            <v>0</v>
          </cell>
          <cell r="HM32" t="str">
            <v/>
          </cell>
          <cell r="HN32" t="str">
            <v/>
          </cell>
          <cell r="HO32" t="str">
            <v/>
          </cell>
        </row>
        <row r="33">
          <cell r="C33" t="str">
            <v/>
          </cell>
          <cell r="H33">
            <v>0</v>
          </cell>
          <cell r="K33">
            <v>0</v>
          </cell>
          <cell r="P33">
            <v>0</v>
          </cell>
          <cell r="Q33" t="str">
            <v/>
          </cell>
          <cell r="AH33">
            <v>0</v>
          </cell>
          <cell r="AS33">
            <v>0</v>
          </cell>
          <cell r="HM33" t="str">
            <v/>
          </cell>
          <cell r="HN33" t="str">
            <v/>
          </cell>
          <cell r="HO33" t="str">
            <v/>
          </cell>
        </row>
        <row r="34">
          <cell r="C34" t="str">
            <v/>
          </cell>
          <cell r="H34">
            <v>0</v>
          </cell>
          <cell r="K34">
            <v>0</v>
          </cell>
          <cell r="P34">
            <v>0</v>
          </cell>
          <cell r="Q34" t="str">
            <v/>
          </cell>
          <cell r="AH34">
            <v>0</v>
          </cell>
          <cell r="AS34">
            <v>0</v>
          </cell>
          <cell r="HM34" t="str">
            <v/>
          </cell>
          <cell r="HN34" t="str">
            <v/>
          </cell>
          <cell r="HO34" t="str">
            <v/>
          </cell>
        </row>
        <row r="35">
          <cell r="C35" t="str">
            <v/>
          </cell>
          <cell r="H35">
            <v>0</v>
          </cell>
          <cell r="K35">
            <v>0</v>
          </cell>
          <cell r="P35">
            <v>0</v>
          </cell>
          <cell r="Q35" t="str">
            <v/>
          </cell>
          <cell r="AH35">
            <v>0</v>
          </cell>
          <cell r="AS35">
            <v>0</v>
          </cell>
          <cell r="HM35" t="str">
            <v/>
          </cell>
          <cell r="HN35" t="str">
            <v/>
          </cell>
          <cell r="HO35" t="str">
            <v/>
          </cell>
        </row>
        <row r="36">
          <cell r="C36" t="str">
            <v>STG0369</v>
          </cell>
          <cell r="H36" t="str">
            <v>L1800</v>
          </cell>
          <cell r="K36" t="str">
            <v>NSN FLEXI MULTIRADIO AIRSCALE</v>
          </cell>
          <cell r="P36">
            <v>3</v>
          </cell>
          <cell r="Q36" t="str">
            <v>1/1/1</v>
          </cell>
          <cell r="AH36">
            <v>10</v>
          </cell>
          <cell r="AS36" t="str">
            <v>Commscope HWXX-6516DS2-A2M</v>
          </cell>
          <cell r="HM36" t="str">
            <v>TẬP ĐOÀN CÔNG NGHIỆP - VIỄN THÔNG QUÂN ĐỘI</v>
          </cell>
          <cell r="HN36" t="str">
            <v>40W/40W/40W</v>
          </cell>
          <cell r="HO36" t="str">
            <v>27,5m/ 27,5m/ 27,5m</v>
          </cell>
        </row>
        <row r="37">
          <cell r="C37" t="str">
            <v/>
          </cell>
          <cell r="H37">
            <v>0</v>
          </cell>
          <cell r="K37">
            <v>0</v>
          </cell>
          <cell r="P37">
            <v>0</v>
          </cell>
          <cell r="Q37" t="str">
            <v/>
          </cell>
          <cell r="AH37">
            <v>0</v>
          </cell>
          <cell r="AS37">
            <v>0</v>
          </cell>
          <cell r="HM37" t="str">
            <v/>
          </cell>
          <cell r="HN37" t="str">
            <v/>
          </cell>
          <cell r="HO37" t="str">
            <v/>
          </cell>
        </row>
        <row r="38">
          <cell r="C38" t="str">
            <v/>
          </cell>
          <cell r="H38">
            <v>0</v>
          </cell>
          <cell r="K38">
            <v>0</v>
          </cell>
          <cell r="P38">
            <v>0</v>
          </cell>
          <cell r="Q38" t="str">
            <v/>
          </cell>
          <cell r="AH38">
            <v>0</v>
          </cell>
          <cell r="AS38">
            <v>0</v>
          </cell>
          <cell r="HM38" t="str">
            <v/>
          </cell>
          <cell r="HN38" t="str">
            <v/>
          </cell>
          <cell r="HO38" t="str">
            <v/>
          </cell>
        </row>
        <row r="39">
          <cell r="C39" t="str">
            <v>STG0023</v>
          </cell>
          <cell r="H39" t="str">
            <v>L1800</v>
          </cell>
          <cell r="K39" t="str">
            <v>NSN FLEXI MULTIRADIO AIRSCALE</v>
          </cell>
          <cell r="P39">
            <v>3</v>
          </cell>
          <cell r="Q39" t="str">
            <v>1/1/1</v>
          </cell>
          <cell r="AH39">
            <v>37</v>
          </cell>
          <cell r="AS39" t="str">
            <v>Commscope HWXX-6516DS2-A2M</v>
          </cell>
          <cell r="HM39" t="str">
            <v>TẬP ĐOÀN CÔNG NGHIỆP - VIỄN THÔNG QUÂN ĐỘI</v>
          </cell>
          <cell r="HN39" t="str">
            <v>40W/40W/40W</v>
          </cell>
          <cell r="HO39" t="str">
            <v>37m/ 37m/ 37m</v>
          </cell>
        </row>
        <row r="40">
          <cell r="C40" t="str">
            <v/>
          </cell>
          <cell r="H40">
            <v>0</v>
          </cell>
          <cell r="K40">
            <v>0</v>
          </cell>
          <cell r="P40">
            <v>0</v>
          </cell>
          <cell r="Q40" t="str">
            <v/>
          </cell>
          <cell r="AH40">
            <v>0</v>
          </cell>
          <cell r="AS40">
            <v>0</v>
          </cell>
          <cell r="HM40" t="str">
            <v/>
          </cell>
          <cell r="HN40" t="str">
            <v/>
          </cell>
          <cell r="HO40" t="str">
            <v/>
          </cell>
        </row>
        <row r="41">
          <cell r="C41" t="str">
            <v>STG0141</v>
          </cell>
          <cell r="H41" t="str">
            <v>L1800</v>
          </cell>
          <cell r="K41" t="str">
            <v>NSN FLEXI MULTIRADIO AIRSCALE</v>
          </cell>
          <cell r="P41">
            <v>3</v>
          </cell>
          <cell r="Q41" t="str">
            <v>1/1/1</v>
          </cell>
          <cell r="AH41">
            <v>40</v>
          </cell>
          <cell r="AS41" t="str">
            <v>Commscope HWXX-6516DS2-A2M</v>
          </cell>
          <cell r="HM41" t="str">
            <v>TẬP ĐOÀN CÔNG NGHIỆP - VIỄN THÔNG QUÂN ĐỘI</v>
          </cell>
          <cell r="HN41" t="str">
            <v>40W/40W/40W</v>
          </cell>
          <cell r="HO41" t="str">
            <v>40m/ 40m/ 40m</v>
          </cell>
        </row>
        <row r="42">
          <cell r="C42" t="str">
            <v>STG0211</v>
          </cell>
          <cell r="H42" t="str">
            <v>L1800</v>
          </cell>
          <cell r="K42" t="str">
            <v>NSN FLEXI MULTIRADIO AIRSCALE</v>
          </cell>
          <cell r="P42">
            <v>3</v>
          </cell>
          <cell r="Q42" t="str">
            <v>1/1/1</v>
          </cell>
          <cell r="AH42">
            <v>41</v>
          </cell>
          <cell r="AS42" t="str">
            <v>Commscope HWXX-6516DS2-A2M</v>
          </cell>
          <cell r="HM42" t="str">
            <v>TẬP ĐOÀN CÔNG NGHIỆP - VIỄN THÔNG QUÂN ĐỘI</v>
          </cell>
          <cell r="HN42" t="str">
            <v>40W/40W/40W</v>
          </cell>
          <cell r="HO42" t="str">
            <v>41m/ 41m/ 41m</v>
          </cell>
        </row>
        <row r="44">
          <cell r="C44" t="str">
            <v/>
          </cell>
          <cell r="H44">
            <v>0</v>
          </cell>
          <cell r="K44">
            <v>0</v>
          </cell>
          <cell r="P44">
            <v>0</v>
          </cell>
          <cell r="Q44" t="str">
            <v/>
          </cell>
          <cell r="AH44">
            <v>0</v>
          </cell>
          <cell r="AS44">
            <v>0</v>
          </cell>
          <cell r="HM44" t="str">
            <v/>
          </cell>
          <cell r="HN44" t="str">
            <v/>
          </cell>
          <cell r="HO44" t="str">
            <v/>
          </cell>
        </row>
        <row r="45">
          <cell r="C45" t="str">
            <v/>
          </cell>
          <cell r="H45">
            <v>0</v>
          </cell>
          <cell r="K45">
            <v>0</v>
          </cell>
          <cell r="P45">
            <v>0</v>
          </cell>
          <cell r="Q45" t="str">
            <v/>
          </cell>
          <cell r="AH45">
            <v>0</v>
          </cell>
          <cell r="AS45">
            <v>0</v>
          </cell>
          <cell r="HM45" t="str">
            <v/>
          </cell>
          <cell r="HN45" t="str">
            <v/>
          </cell>
          <cell r="HO45" t="str">
            <v/>
          </cell>
        </row>
        <row r="46">
          <cell r="C46" t="str">
            <v/>
          </cell>
          <cell r="H46">
            <v>0</v>
          </cell>
          <cell r="K46">
            <v>0</v>
          </cell>
          <cell r="P46">
            <v>0</v>
          </cell>
          <cell r="Q46" t="str">
            <v/>
          </cell>
          <cell r="AH46">
            <v>0</v>
          </cell>
          <cell r="AS46">
            <v>0</v>
          </cell>
          <cell r="HM46" t="str">
            <v/>
          </cell>
          <cell r="HN46" t="str">
            <v/>
          </cell>
          <cell r="HO46" t="str">
            <v/>
          </cell>
        </row>
        <row r="47">
          <cell r="C47" t="str">
            <v/>
          </cell>
          <cell r="H47">
            <v>0</v>
          </cell>
          <cell r="K47">
            <v>0</v>
          </cell>
          <cell r="P47">
            <v>0</v>
          </cell>
          <cell r="Q47" t="str">
            <v/>
          </cell>
          <cell r="AH47">
            <v>0</v>
          </cell>
          <cell r="AS47">
            <v>0</v>
          </cell>
          <cell r="HM47" t="str">
            <v/>
          </cell>
          <cell r="HN47" t="str">
            <v/>
          </cell>
          <cell r="HO47" t="str">
            <v/>
          </cell>
        </row>
        <row r="48">
          <cell r="C48" t="str">
            <v>STG0026</v>
          </cell>
          <cell r="H48" t="str">
            <v>L1800</v>
          </cell>
          <cell r="K48" t="str">
            <v>NSN FLEXI MULTIRADIO AIRSCALE</v>
          </cell>
          <cell r="P48">
            <v>3</v>
          </cell>
          <cell r="Q48" t="str">
            <v>1/1/1</v>
          </cell>
          <cell r="AH48">
            <v>19</v>
          </cell>
          <cell r="AS48" t="str">
            <v>Commscope HWXX-6516DS2-A2M</v>
          </cell>
          <cell r="HM48" t="str">
            <v>TẬP ĐOÀN CÔNG NGHIỆP - VIỄN THÔNG QUÂN ĐỘI</v>
          </cell>
          <cell r="HN48" t="str">
            <v>40W/40W/40W</v>
          </cell>
          <cell r="HO48" t="str">
            <v>29,5m/ 29,5m/ 29,5m</v>
          </cell>
        </row>
        <row r="49">
          <cell r="C49" t="str">
            <v/>
          </cell>
          <cell r="H49">
            <v>0</v>
          </cell>
          <cell r="K49">
            <v>0</v>
          </cell>
          <cell r="P49">
            <v>0</v>
          </cell>
          <cell r="Q49" t="str">
            <v/>
          </cell>
          <cell r="AH49">
            <v>0</v>
          </cell>
          <cell r="AS49">
            <v>0</v>
          </cell>
          <cell r="HM49" t="str">
            <v/>
          </cell>
          <cell r="HN49" t="str">
            <v/>
          </cell>
          <cell r="HO49" t="str">
            <v/>
          </cell>
        </row>
        <row r="50">
          <cell r="C50" t="str">
            <v/>
          </cell>
          <cell r="H50">
            <v>0</v>
          </cell>
          <cell r="K50">
            <v>0</v>
          </cell>
          <cell r="P50">
            <v>0</v>
          </cell>
          <cell r="Q50" t="str">
            <v/>
          </cell>
          <cell r="AH50">
            <v>0</v>
          </cell>
          <cell r="AS50">
            <v>0</v>
          </cell>
          <cell r="HM50" t="str">
            <v/>
          </cell>
          <cell r="HN50" t="str">
            <v/>
          </cell>
          <cell r="HO50" t="str">
            <v/>
          </cell>
        </row>
        <row r="51">
          <cell r="C51" t="str">
            <v/>
          </cell>
          <cell r="H51">
            <v>0</v>
          </cell>
          <cell r="K51">
            <v>0</v>
          </cell>
          <cell r="P51">
            <v>0</v>
          </cell>
          <cell r="Q51" t="str">
            <v/>
          </cell>
          <cell r="AH51">
            <v>0</v>
          </cell>
          <cell r="AS51">
            <v>0</v>
          </cell>
          <cell r="HM51" t="str">
            <v/>
          </cell>
          <cell r="HN51" t="str">
            <v/>
          </cell>
          <cell r="HO51" t="str">
            <v/>
          </cell>
        </row>
      </sheetData>
      <sheetData sheetId="5">
        <row r="4">
          <cell r="C4" t="str">
            <v/>
          </cell>
          <cell r="H4">
            <v>0</v>
          </cell>
          <cell r="K4">
            <v>0</v>
          </cell>
          <cell r="P4">
            <v>0</v>
          </cell>
          <cell r="Q4" t="str">
            <v/>
          </cell>
          <cell r="AH4">
            <v>0</v>
          </cell>
          <cell r="AS4">
            <v>0</v>
          </cell>
          <cell r="HM4" t="str">
            <v/>
          </cell>
          <cell r="HN4" t="str">
            <v/>
          </cell>
          <cell r="HO4" t="str">
            <v/>
          </cell>
        </row>
        <row r="5">
          <cell r="C5" t="str">
            <v/>
          </cell>
          <cell r="H5">
            <v>0</v>
          </cell>
          <cell r="K5">
            <v>0</v>
          </cell>
          <cell r="P5">
            <v>0</v>
          </cell>
          <cell r="Q5" t="str">
            <v/>
          </cell>
          <cell r="AH5">
            <v>0</v>
          </cell>
          <cell r="AS5">
            <v>0</v>
          </cell>
          <cell r="HM5" t="str">
            <v/>
          </cell>
          <cell r="HN5" t="str">
            <v/>
          </cell>
          <cell r="HO5" t="str">
            <v/>
          </cell>
        </row>
        <row r="6">
          <cell r="C6" t="str">
            <v/>
          </cell>
          <cell r="H6">
            <v>0</v>
          </cell>
          <cell r="K6">
            <v>0</v>
          </cell>
          <cell r="P6">
            <v>0</v>
          </cell>
          <cell r="Q6" t="str">
            <v/>
          </cell>
          <cell r="AH6">
            <v>0</v>
          </cell>
          <cell r="AS6">
            <v>0</v>
          </cell>
          <cell r="HM6" t="str">
            <v/>
          </cell>
          <cell r="HN6" t="str">
            <v/>
          </cell>
          <cell r="HO6" t="str">
            <v/>
          </cell>
        </row>
        <row r="7">
          <cell r="C7" t="str">
            <v/>
          </cell>
          <cell r="H7">
            <v>0</v>
          </cell>
          <cell r="K7">
            <v>0</v>
          </cell>
          <cell r="P7">
            <v>0</v>
          </cell>
          <cell r="Q7" t="str">
            <v/>
          </cell>
          <cell r="AH7">
            <v>0</v>
          </cell>
          <cell r="AS7">
            <v>0</v>
          </cell>
          <cell r="HM7" t="str">
            <v/>
          </cell>
          <cell r="HN7" t="str">
            <v/>
          </cell>
          <cell r="HO7" t="str">
            <v/>
          </cell>
        </row>
        <row r="8">
          <cell r="C8" t="str">
            <v/>
          </cell>
          <cell r="H8">
            <v>0</v>
          </cell>
          <cell r="K8">
            <v>0</v>
          </cell>
          <cell r="P8">
            <v>0</v>
          </cell>
          <cell r="Q8" t="str">
            <v/>
          </cell>
          <cell r="AH8">
            <v>0</v>
          </cell>
          <cell r="AS8">
            <v>0</v>
          </cell>
          <cell r="HM8" t="str">
            <v/>
          </cell>
          <cell r="HN8" t="str">
            <v/>
          </cell>
          <cell r="HO8" t="str">
            <v/>
          </cell>
        </row>
        <row r="9">
          <cell r="C9" t="str">
            <v/>
          </cell>
          <cell r="H9">
            <v>0</v>
          </cell>
          <cell r="K9">
            <v>0</v>
          </cell>
          <cell r="P9">
            <v>0</v>
          </cell>
          <cell r="Q9" t="str">
            <v/>
          </cell>
          <cell r="AH9">
            <v>0</v>
          </cell>
          <cell r="AS9">
            <v>0</v>
          </cell>
          <cell r="HM9" t="str">
            <v/>
          </cell>
          <cell r="HN9" t="str">
            <v/>
          </cell>
          <cell r="HO9" t="str">
            <v/>
          </cell>
        </row>
        <row r="10">
          <cell r="C10" t="str">
            <v/>
          </cell>
          <cell r="H10">
            <v>0</v>
          </cell>
          <cell r="K10">
            <v>0</v>
          </cell>
          <cell r="P10">
            <v>0</v>
          </cell>
          <cell r="Q10" t="str">
            <v/>
          </cell>
          <cell r="AH10">
            <v>0</v>
          </cell>
          <cell r="AS10">
            <v>0</v>
          </cell>
          <cell r="HM10" t="str">
            <v/>
          </cell>
          <cell r="HN10" t="str">
            <v/>
          </cell>
          <cell r="HO10" t="str">
            <v/>
          </cell>
        </row>
        <row r="11">
          <cell r="C11" t="str">
            <v/>
          </cell>
          <cell r="H11">
            <v>0</v>
          </cell>
          <cell r="K11">
            <v>0</v>
          </cell>
          <cell r="P11">
            <v>0</v>
          </cell>
          <cell r="Q11" t="str">
            <v/>
          </cell>
          <cell r="AH11">
            <v>0</v>
          </cell>
          <cell r="AS11">
            <v>0</v>
          </cell>
          <cell r="HM11" t="str">
            <v/>
          </cell>
          <cell r="HN11" t="str">
            <v/>
          </cell>
          <cell r="HO11" t="str">
            <v/>
          </cell>
        </row>
        <row r="12">
          <cell r="C12" t="str">
            <v/>
          </cell>
          <cell r="H12">
            <v>0</v>
          </cell>
          <cell r="K12">
            <v>0</v>
          </cell>
          <cell r="P12">
            <v>0</v>
          </cell>
          <cell r="Q12" t="str">
            <v/>
          </cell>
          <cell r="AH12">
            <v>0</v>
          </cell>
          <cell r="AS12">
            <v>0</v>
          </cell>
          <cell r="HM12" t="str">
            <v/>
          </cell>
          <cell r="HN12" t="str">
            <v/>
          </cell>
          <cell r="HO12" t="str">
            <v/>
          </cell>
        </row>
        <row r="13">
          <cell r="C13" t="str">
            <v/>
          </cell>
          <cell r="H13">
            <v>0</v>
          </cell>
          <cell r="K13">
            <v>0</v>
          </cell>
          <cell r="P13">
            <v>0</v>
          </cell>
          <cell r="Q13" t="str">
            <v/>
          </cell>
          <cell r="AH13">
            <v>0</v>
          </cell>
          <cell r="AS13">
            <v>0</v>
          </cell>
          <cell r="HM13" t="str">
            <v/>
          </cell>
          <cell r="HN13" t="str">
            <v/>
          </cell>
          <cell r="HO13" t="str">
            <v/>
          </cell>
        </row>
        <row r="14">
          <cell r="C14" t="str">
            <v/>
          </cell>
          <cell r="H14">
            <v>0</v>
          </cell>
          <cell r="K14">
            <v>0</v>
          </cell>
          <cell r="P14">
            <v>0</v>
          </cell>
          <cell r="Q14" t="str">
            <v/>
          </cell>
          <cell r="AH14">
            <v>0</v>
          </cell>
          <cell r="AS14">
            <v>0</v>
          </cell>
          <cell r="HM14" t="str">
            <v/>
          </cell>
          <cell r="HN14" t="str">
            <v/>
          </cell>
          <cell r="HO14" t="str">
            <v/>
          </cell>
        </row>
        <row r="15">
          <cell r="C15" t="str">
            <v/>
          </cell>
          <cell r="H15">
            <v>0</v>
          </cell>
          <cell r="K15">
            <v>0</v>
          </cell>
          <cell r="P15">
            <v>0</v>
          </cell>
          <cell r="Q15" t="str">
            <v/>
          </cell>
          <cell r="AH15">
            <v>0</v>
          </cell>
          <cell r="AS15">
            <v>0</v>
          </cell>
          <cell r="HM15" t="str">
            <v/>
          </cell>
          <cell r="HN15" t="str">
            <v/>
          </cell>
          <cell r="HO15" t="str">
            <v/>
          </cell>
        </row>
        <row r="16">
          <cell r="C16" t="str">
            <v/>
          </cell>
          <cell r="H16">
            <v>0</v>
          </cell>
          <cell r="K16">
            <v>0</v>
          </cell>
          <cell r="P16">
            <v>0</v>
          </cell>
          <cell r="Q16" t="str">
            <v/>
          </cell>
          <cell r="AH16">
            <v>0</v>
          </cell>
          <cell r="AS16">
            <v>0</v>
          </cell>
          <cell r="HM16" t="str">
            <v/>
          </cell>
          <cell r="HN16" t="str">
            <v/>
          </cell>
          <cell r="HO16" t="str">
            <v/>
          </cell>
        </row>
        <row r="17">
          <cell r="C17" t="str">
            <v/>
          </cell>
          <cell r="H17">
            <v>0</v>
          </cell>
          <cell r="K17">
            <v>0</v>
          </cell>
          <cell r="P17">
            <v>0</v>
          </cell>
          <cell r="Q17" t="str">
            <v/>
          </cell>
          <cell r="AH17">
            <v>0</v>
          </cell>
          <cell r="AS17">
            <v>0</v>
          </cell>
          <cell r="HM17" t="str">
            <v/>
          </cell>
          <cell r="HN17" t="str">
            <v/>
          </cell>
          <cell r="HO17" t="str">
            <v/>
          </cell>
        </row>
        <row r="18">
          <cell r="C18" t="str">
            <v/>
          </cell>
          <cell r="H18">
            <v>0</v>
          </cell>
          <cell r="K18">
            <v>0</v>
          </cell>
          <cell r="P18">
            <v>0</v>
          </cell>
          <cell r="Q18" t="str">
            <v/>
          </cell>
          <cell r="AH18">
            <v>0</v>
          </cell>
          <cell r="AS18">
            <v>0</v>
          </cell>
          <cell r="HM18" t="str">
            <v/>
          </cell>
          <cell r="HN18" t="str">
            <v/>
          </cell>
          <cell r="HO18" t="str">
            <v/>
          </cell>
        </row>
        <row r="19">
          <cell r="C19" t="str">
            <v/>
          </cell>
          <cell r="H19">
            <v>0</v>
          </cell>
          <cell r="K19">
            <v>0</v>
          </cell>
          <cell r="P19">
            <v>0</v>
          </cell>
          <cell r="Q19" t="str">
            <v/>
          </cell>
          <cell r="AH19">
            <v>0</v>
          </cell>
          <cell r="AS19">
            <v>0</v>
          </cell>
          <cell r="HM19" t="str">
            <v/>
          </cell>
          <cell r="HN19" t="str">
            <v/>
          </cell>
          <cell r="HO19" t="str">
            <v/>
          </cell>
        </row>
        <row r="20">
          <cell r="C20" t="str">
            <v/>
          </cell>
          <cell r="H20">
            <v>0</v>
          </cell>
          <cell r="K20">
            <v>0</v>
          </cell>
          <cell r="P20">
            <v>0</v>
          </cell>
          <cell r="Q20" t="str">
            <v/>
          </cell>
          <cell r="AH20">
            <v>0</v>
          </cell>
          <cell r="AS20">
            <v>0</v>
          </cell>
          <cell r="HM20" t="str">
            <v/>
          </cell>
          <cell r="HN20" t="str">
            <v/>
          </cell>
          <cell r="HO20" t="str">
            <v/>
          </cell>
        </row>
        <row r="21">
          <cell r="C21" t="str">
            <v/>
          </cell>
          <cell r="H21">
            <v>0</v>
          </cell>
          <cell r="K21">
            <v>0</v>
          </cell>
          <cell r="P21">
            <v>0</v>
          </cell>
          <cell r="Q21" t="str">
            <v/>
          </cell>
          <cell r="AH21">
            <v>0</v>
          </cell>
          <cell r="AS21">
            <v>0</v>
          </cell>
          <cell r="HM21" t="str">
            <v/>
          </cell>
          <cell r="HN21" t="str">
            <v/>
          </cell>
          <cell r="HO21" t="str">
            <v/>
          </cell>
        </row>
        <row r="22">
          <cell r="C22" t="str">
            <v/>
          </cell>
          <cell r="H22">
            <v>0</v>
          </cell>
          <cell r="K22">
            <v>0</v>
          </cell>
          <cell r="P22">
            <v>0</v>
          </cell>
          <cell r="Q22" t="str">
            <v/>
          </cell>
          <cell r="AH22">
            <v>0</v>
          </cell>
          <cell r="AS22">
            <v>0</v>
          </cell>
          <cell r="HM22" t="str">
            <v/>
          </cell>
          <cell r="HN22" t="str">
            <v/>
          </cell>
          <cell r="HO22" t="str">
            <v/>
          </cell>
        </row>
        <row r="23">
          <cell r="C23" t="str">
            <v/>
          </cell>
          <cell r="H23">
            <v>0</v>
          </cell>
          <cell r="K23">
            <v>0</v>
          </cell>
          <cell r="P23">
            <v>0</v>
          </cell>
          <cell r="Q23" t="str">
            <v/>
          </cell>
          <cell r="AH23">
            <v>0</v>
          </cell>
          <cell r="AS23">
            <v>0</v>
          </cell>
          <cell r="HM23" t="str">
            <v/>
          </cell>
          <cell r="HN23" t="str">
            <v/>
          </cell>
          <cell r="HO23" t="str">
            <v/>
          </cell>
        </row>
        <row r="24">
          <cell r="C24" t="str">
            <v/>
          </cell>
          <cell r="H24">
            <v>0</v>
          </cell>
          <cell r="K24">
            <v>0</v>
          </cell>
          <cell r="P24">
            <v>0</v>
          </cell>
          <cell r="Q24" t="str">
            <v/>
          </cell>
          <cell r="AH24">
            <v>0</v>
          </cell>
          <cell r="AS24">
            <v>0</v>
          </cell>
          <cell r="HM24" t="str">
            <v/>
          </cell>
          <cell r="HN24" t="str">
            <v/>
          </cell>
          <cell r="HO24" t="str">
            <v/>
          </cell>
        </row>
        <row r="25">
          <cell r="C25" t="str">
            <v/>
          </cell>
          <cell r="H25">
            <v>0</v>
          </cell>
          <cell r="K25">
            <v>0</v>
          </cell>
          <cell r="P25">
            <v>0</v>
          </cell>
          <cell r="Q25" t="str">
            <v/>
          </cell>
          <cell r="AH25">
            <v>0</v>
          </cell>
          <cell r="AS25">
            <v>0</v>
          </cell>
          <cell r="HM25" t="str">
            <v/>
          </cell>
          <cell r="HN25" t="str">
            <v/>
          </cell>
          <cell r="HO25" t="str">
            <v/>
          </cell>
        </row>
        <row r="26">
          <cell r="C26" t="str">
            <v/>
          </cell>
          <cell r="H26">
            <v>0</v>
          </cell>
          <cell r="K26">
            <v>0</v>
          </cell>
          <cell r="P26">
            <v>0</v>
          </cell>
          <cell r="Q26" t="str">
            <v/>
          </cell>
          <cell r="AH26">
            <v>0</v>
          </cell>
          <cell r="AS26">
            <v>0</v>
          </cell>
          <cell r="HM26" t="str">
            <v/>
          </cell>
          <cell r="HN26" t="str">
            <v/>
          </cell>
          <cell r="HO26" t="str">
            <v/>
          </cell>
        </row>
        <row r="27">
          <cell r="C27" t="str">
            <v/>
          </cell>
          <cell r="H27">
            <v>0</v>
          </cell>
          <cell r="K27">
            <v>0</v>
          </cell>
          <cell r="P27">
            <v>0</v>
          </cell>
          <cell r="Q27" t="str">
            <v/>
          </cell>
          <cell r="AH27">
            <v>0</v>
          </cell>
          <cell r="AS27">
            <v>0</v>
          </cell>
          <cell r="HM27" t="str">
            <v/>
          </cell>
          <cell r="HN27" t="str">
            <v/>
          </cell>
          <cell r="HO27" t="str">
            <v/>
          </cell>
        </row>
        <row r="28">
          <cell r="C28" t="str">
            <v/>
          </cell>
          <cell r="H28">
            <v>0</v>
          </cell>
          <cell r="K28">
            <v>0</v>
          </cell>
          <cell r="P28">
            <v>0</v>
          </cell>
          <cell r="Q28" t="str">
            <v/>
          </cell>
          <cell r="AH28">
            <v>0</v>
          </cell>
          <cell r="AS28">
            <v>0</v>
          </cell>
          <cell r="HM28" t="str">
            <v/>
          </cell>
          <cell r="HN28" t="str">
            <v/>
          </cell>
          <cell r="HO28" t="str">
            <v/>
          </cell>
        </row>
        <row r="29">
          <cell r="C29" t="str">
            <v/>
          </cell>
          <cell r="H29">
            <v>0</v>
          </cell>
          <cell r="K29">
            <v>0</v>
          </cell>
          <cell r="P29">
            <v>0</v>
          </cell>
          <cell r="Q29" t="str">
            <v/>
          </cell>
          <cell r="AH29">
            <v>0</v>
          </cell>
          <cell r="AS29">
            <v>0</v>
          </cell>
          <cell r="HM29" t="str">
            <v/>
          </cell>
          <cell r="HN29" t="str">
            <v/>
          </cell>
          <cell r="HO29" t="str">
            <v/>
          </cell>
        </row>
        <row r="30">
          <cell r="C30" t="str">
            <v/>
          </cell>
          <cell r="H30">
            <v>0</v>
          </cell>
          <cell r="K30">
            <v>0</v>
          </cell>
          <cell r="P30">
            <v>0</v>
          </cell>
          <cell r="Q30" t="str">
            <v/>
          </cell>
          <cell r="AH30">
            <v>0</v>
          </cell>
          <cell r="AS30">
            <v>0</v>
          </cell>
          <cell r="HM30" t="str">
            <v/>
          </cell>
          <cell r="HN30" t="str">
            <v/>
          </cell>
          <cell r="HO30" t="str">
            <v/>
          </cell>
        </row>
        <row r="31">
          <cell r="C31" t="str">
            <v/>
          </cell>
          <cell r="H31">
            <v>0</v>
          </cell>
          <cell r="K31">
            <v>0</v>
          </cell>
          <cell r="P31">
            <v>0</v>
          </cell>
          <cell r="Q31" t="str">
            <v/>
          </cell>
          <cell r="AH31">
            <v>0</v>
          </cell>
          <cell r="AS31">
            <v>0</v>
          </cell>
          <cell r="HM31" t="str">
            <v/>
          </cell>
          <cell r="HN31" t="str">
            <v/>
          </cell>
          <cell r="HO31" t="str">
            <v/>
          </cell>
        </row>
        <row r="32">
          <cell r="C32" t="str">
            <v/>
          </cell>
          <cell r="H32">
            <v>0</v>
          </cell>
          <cell r="K32">
            <v>0</v>
          </cell>
          <cell r="P32">
            <v>0</v>
          </cell>
          <cell r="Q32" t="str">
            <v/>
          </cell>
          <cell r="AH32">
            <v>0</v>
          </cell>
          <cell r="AS32">
            <v>0</v>
          </cell>
          <cell r="HM32" t="str">
            <v/>
          </cell>
          <cell r="HN32" t="str">
            <v/>
          </cell>
          <cell r="HO32" t="str">
            <v/>
          </cell>
        </row>
        <row r="33">
          <cell r="C33" t="str">
            <v/>
          </cell>
          <cell r="H33">
            <v>0</v>
          </cell>
          <cell r="K33">
            <v>0</v>
          </cell>
          <cell r="P33">
            <v>0</v>
          </cell>
          <cell r="Q33" t="str">
            <v/>
          </cell>
          <cell r="AH33">
            <v>0</v>
          </cell>
          <cell r="AS33">
            <v>0</v>
          </cell>
          <cell r="HM33" t="str">
            <v/>
          </cell>
          <cell r="HN33" t="str">
            <v/>
          </cell>
          <cell r="HO33" t="str">
            <v/>
          </cell>
        </row>
        <row r="34">
          <cell r="C34" t="str">
            <v/>
          </cell>
          <cell r="H34">
            <v>0</v>
          </cell>
          <cell r="K34">
            <v>0</v>
          </cell>
          <cell r="P34">
            <v>0</v>
          </cell>
          <cell r="Q34" t="str">
            <v/>
          </cell>
          <cell r="AH34">
            <v>0</v>
          </cell>
          <cell r="AS34">
            <v>0</v>
          </cell>
          <cell r="HM34" t="str">
            <v/>
          </cell>
          <cell r="HN34" t="str">
            <v/>
          </cell>
          <cell r="HO34" t="str">
            <v/>
          </cell>
        </row>
        <row r="35">
          <cell r="C35" t="str">
            <v/>
          </cell>
          <cell r="H35">
            <v>0</v>
          </cell>
          <cell r="K35">
            <v>0</v>
          </cell>
          <cell r="P35">
            <v>0</v>
          </cell>
          <cell r="Q35" t="str">
            <v/>
          </cell>
          <cell r="AH35">
            <v>0</v>
          </cell>
          <cell r="AS35">
            <v>0</v>
          </cell>
          <cell r="HM35" t="str">
            <v/>
          </cell>
          <cell r="HN35" t="str">
            <v/>
          </cell>
          <cell r="HO35" t="str">
            <v/>
          </cell>
        </row>
        <row r="36">
          <cell r="C36" t="str">
            <v/>
          </cell>
          <cell r="H36">
            <v>0</v>
          </cell>
          <cell r="K36">
            <v>0</v>
          </cell>
          <cell r="P36">
            <v>0</v>
          </cell>
          <cell r="Q36" t="str">
            <v/>
          </cell>
          <cell r="AH36">
            <v>0</v>
          </cell>
          <cell r="AS36">
            <v>0</v>
          </cell>
          <cell r="HM36" t="str">
            <v/>
          </cell>
          <cell r="HN36" t="str">
            <v/>
          </cell>
          <cell r="HO36" t="str">
            <v/>
          </cell>
        </row>
        <row r="37">
          <cell r="C37" t="str">
            <v/>
          </cell>
          <cell r="H37">
            <v>0</v>
          </cell>
          <cell r="K37">
            <v>0</v>
          </cell>
          <cell r="P37">
            <v>0</v>
          </cell>
          <cell r="Q37" t="str">
            <v/>
          </cell>
          <cell r="AH37">
            <v>0</v>
          </cell>
          <cell r="AS37">
            <v>0</v>
          </cell>
          <cell r="HM37" t="str">
            <v/>
          </cell>
          <cell r="HN37" t="str">
            <v/>
          </cell>
          <cell r="HO37" t="str">
            <v/>
          </cell>
        </row>
        <row r="38">
          <cell r="C38" t="str">
            <v/>
          </cell>
          <cell r="H38">
            <v>0</v>
          </cell>
          <cell r="K38">
            <v>0</v>
          </cell>
          <cell r="P38">
            <v>0</v>
          </cell>
          <cell r="Q38" t="str">
            <v/>
          </cell>
          <cell r="AH38">
            <v>0</v>
          </cell>
          <cell r="AS38">
            <v>0</v>
          </cell>
          <cell r="HM38" t="str">
            <v/>
          </cell>
          <cell r="HN38" t="str">
            <v/>
          </cell>
          <cell r="HO38" t="str">
            <v/>
          </cell>
        </row>
        <row r="39">
          <cell r="C39" t="str">
            <v/>
          </cell>
          <cell r="H39">
            <v>0</v>
          </cell>
          <cell r="K39">
            <v>0</v>
          </cell>
          <cell r="P39">
            <v>0</v>
          </cell>
          <cell r="Q39" t="str">
            <v/>
          </cell>
          <cell r="AH39">
            <v>0</v>
          </cell>
          <cell r="AS39">
            <v>0</v>
          </cell>
          <cell r="HM39" t="str">
            <v/>
          </cell>
          <cell r="HN39" t="str">
            <v/>
          </cell>
          <cell r="HO39" t="str">
            <v/>
          </cell>
        </row>
        <row r="40">
          <cell r="C40" t="str">
            <v/>
          </cell>
          <cell r="H40">
            <v>0</v>
          </cell>
          <cell r="K40">
            <v>0</v>
          </cell>
          <cell r="P40">
            <v>0</v>
          </cell>
          <cell r="Q40" t="str">
            <v/>
          </cell>
          <cell r="AH40">
            <v>0</v>
          </cell>
          <cell r="AS40">
            <v>0</v>
          </cell>
          <cell r="HM40" t="str">
            <v/>
          </cell>
          <cell r="HN40" t="str">
            <v/>
          </cell>
          <cell r="HO40" t="str">
            <v/>
          </cell>
        </row>
        <row r="41">
          <cell r="C41" t="str">
            <v/>
          </cell>
          <cell r="H41">
            <v>0</v>
          </cell>
          <cell r="K41">
            <v>0</v>
          </cell>
          <cell r="P41">
            <v>0</v>
          </cell>
          <cell r="Q41" t="str">
            <v/>
          </cell>
          <cell r="AH41">
            <v>0</v>
          </cell>
          <cell r="AS41">
            <v>0</v>
          </cell>
          <cell r="HM41" t="str">
            <v/>
          </cell>
          <cell r="HN41" t="str">
            <v/>
          </cell>
          <cell r="HO41" t="str">
            <v/>
          </cell>
        </row>
        <row r="42">
          <cell r="C42" t="str">
            <v/>
          </cell>
          <cell r="H42">
            <v>0</v>
          </cell>
          <cell r="K42">
            <v>0</v>
          </cell>
          <cell r="P42">
            <v>0</v>
          </cell>
          <cell r="Q42" t="str">
            <v/>
          </cell>
          <cell r="AH42">
            <v>0</v>
          </cell>
          <cell r="AS42">
            <v>0</v>
          </cell>
          <cell r="HM42" t="str">
            <v/>
          </cell>
          <cell r="HN42" t="str">
            <v/>
          </cell>
          <cell r="HO42" t="str">
            <v/>
          </cell>
        </row>
        <row r="44">
          <cell r="C44" t="str">
            <v/>
          </cell>
          <cell r="H44">
            <v>0</v>
          </cell>
          <cell r="K44">
            <v>0</v>
          </cell>
          <cell r="P44">
            <v>0</v>
          </cell>
          <cell r="Q44" t="str">
            <v/>
          </cell>
          <cell r="AH44">
            <v>0</v>
          </cell>
          <cell r="AS44">
            <v>0</v>
          </cell>
          <cell r="HM44" t="str">
            <v/>
          </cell>
          <cell r="HN44" t="str">
            <v/>
          </cell>
          <cell r="HO44" t="str">
            <v/>
          </cell>
        </row>
        <row r="45">
          <cell r="C45" t="str">
            <v/>
          </cell>
          <cell r="H45">
            <v>0</v>
          </cell>
          <cell r="K45">
            <v>0</v>
          </cell>
          <cell r="P45">
            <v>0</v>
          </cell>
          <cell r="Q45" t="str">
            <v/>
          </cell>
          <cell r="AH45">
            <v>0</v>
          </cell>
          <cell r="AS45">
            <v>0</v>
          </cell>
          <cell r="HM45" t="str">
            <v/>
          </cell>
          <cell r="HN45" t="str">
            <v/>
          </cell>
          <cell r="HO45" t="str">
            <v/>
          </cell>
        </row>
        <row r="46">
          <cell r="C46" t="str">
            <v/>
          </cell>
          <cell r="H46">
            <v>0</v>
          </cell>
          <cell r="K46">
            <v>0</v>
          </cell>
          <cell r="P46">
            <v>0</v>
          </cell>
          <cell r="Q46" t="str">
            <v/>
          </cell>
          <cell r="AH46">
            <v>0</v>
          </cell>
          <cell r="AS46">
            <v>0</v>
          </cell>
          <cell r="HM46" t="str">
            <v/>
          </cell>
          <cell r="HN46" t="str">
            <v/>
          </cell>
          <cell r="HO46" t="str">
            <v/>
          </cell>
        </row>
        <row r="47">
          <cell r="C47" t="str">
            <v/>
          </cell>
          <cell r="H47">
            <v>0</v>
          </cell>
          <cell r="K47">
            <v>0</v>
          </cell>
          <cell r="P47">
            <v>0</v>
          </cell>
          <cell r="Q47" t="str">
            <v/>
          </cell>
          <cell r="AH47">
            <v>0</v>
          </cell>
          <cell r="AS47">
            <v>0</v>
          </cell>
          <cell r="HM47" t="str">
            <v/>
          </cell>
          <cell r="HN47" t="str">
            <v/>
          </cell>
          <cell r="HO47" t="str">
            <v/>
          </cell>
        </row>
        <row r="48">
          <cell r="C48" t="str">
            <v/>
          </cell>
          <cell r="H48">
            <v>0</v>
          </cell>
          <cell r="K48">
            <v>0</v>
          </cell>
          <cell r="P48">
            <v>0</v>
          </cell>
          <cell r="Q48" t="str">
            <v/>
          </cell>
          <cell r="AH48">
            <v>0</v>
          </cell>
          <cell r="AS48">
            <v>0</v>
          </cell>
          <cell r="HM48" t="str">
            <v/>
          </cell>
          <cell r="HN48" t="str">
            <v/>
          </cell>
          <cell r="HO48" t="str">
            <v/>
          </cell>
        </row>
        <row r="49">
          <cell r="C49" t="str">
            <v/>
          </cell>
          <cell r="H49">
            <v>0</v>
          </cell>
          <cell r="K49">
            <v>0</v>
          </cell>
          <cell r="P49">
            <v>0</v>
          </cell>
          <cell r="Q49" t="str">
            <v/>
          </cell>
          <cell r="AH49">
            <v>0</v>
          </cell>
          <cell r="AS49">
            <v>0</v>
          </cell>
          <cell r="HM49" t="str">
            <v/>
          </cell>
          <cell r="HN49" t="str">
            <v/>
          </cell>
          <cell r="HO49" t="str">
            <v/>
          </cell>
        </row>
        <row r="50">
          <cell r="C50" t="str">
            <v/>
          </cell>
          <cell r="H50">
            <v>0</v>
          </cell>
          <cell r="K50">
            <v>0</v>
          </cell>
          <cell r="P50">
            <v>0</v>
          </cell>
          <cell r="Q50" t="str">
            <v/>
          </cell>
          <cell r="AH50">
            <v>0</v>
          </cell>
          <cell r="AS50">
            <v>0</v>
          </cell>
          <cell r="HM50" t="str">
            <v/>
          </cell>
          <cell r="HN50" t="str">
            <v/>
          </cell>
          <cell r="HO50" t="str">
            <v/>
          </cell>
        </row>
        <row r="51">
          <cell r="C51" t="str">
            <v/>
          </cell>
          <cell r="H51">
            <v>0</v>
          </cell>
          <cell r="K51">
            <v>0</v>
          </cell>
          <cell r="P51">
            <v>0</v>
          </cell>
          <cell r="Q51" t="str">
            <v/>
          </cell>
          <cell r="AH51">
            <v>0</v>
          </cell>
          <cell r="AS51">
            <v>0</v>
          </cell>
          <cell r="HM51" t="str">
            <v/>
          </cell>
          <cell r="HN51" t="str">
            <v/>
          </cell>
          <cell r="HO51" t="str">
            <v/>
          </cell>
        </row>
      </sheetData>
      <sheetData sheetId="6">
        <row r="4">
          <cell r="C4" t="str">
            <v/>
          </cell>
          <cell r="H4">
            <v>0</v>
          </cell>
          <cell r="K4">
            <v>0</v>
          </cell>
          <cell r="P4">
            <v>0</v>
          </cell>
          <cell r="Q4" t="str">
            <v/>
          </cell>
          <cell r="AH4">
            <v>0</v>
          </cell>
          <cell r="AS4">
            <v>0</v>
          </cell>
          <cell r="HM4" t="str">
            <v/>
          </cell>
          <cell r="HN4" t="str">
            <v/>
          </cell>
          <cell r="HO4" t="str">
            <v/>
          </cell>
        </row>
        <row r="5">
          <cell r="C5" t="str">
            <v/>
          </cell>
          <cell r="H5">
            <v>0</v>
          </cell>
          <cell r="K5">
            <v>0</v>
          </cell>
          <cell r="P5">
            <v>0</v>
          </cell>
          <cell r="Q5" t="str">
            <v/>
          </cell>
          <cell r="AH5">
            <v>0</v>
          </cell>
          <cell r="AS5">
            <v>0</v>
          </cell>
          <cell r="HM5" t="str">
            <v/>
          </cell>
          <cell r="HN5" t="str">
            <v/>
          </cell>
          <cell r="HO5" t="str">
            <v/>
          </cell>
        </row>
        <row r="6">
          <cell r="C6" t="str">
            <v/>
          </cell>
          <cell r="H6">
            <v>0</v>
          </cell>
          <cell r="K6">
            <v>0</v>
          </cell>
          <cell r="P6">
            <v>0</v>
          </cell>
          <cell r="Q6" t="str">
            <v/>
          </cell>
          <cell r="AH6">
            <v>0</v>
          </cell>
          <cell r="AS6">
            <v>0</v>
          </cell>
          <cell r="HM6" t="str">
            <v/>
          </cell>
          <cell r="HN6" t="str">
            <v/>
          </cell>
          <cell r="HO6" t="str">
            <v/>
          </cell>
        </row>
        <row r="7">
          <cell r="C7" t="str">
            <v/>
          </cell>
          <cell r="H7">
            <v>0</v>
          </cell>
          <cell r="K7">
            <v>0</v>
          </cell>
          <cell r="P7">
            <v>0</v>
          </cell>
          <cell r="Q7" t="str">
            <v/>
          </cell>
          <cell r="AH7">
            <v>0</v>
          </cell>
          <cell r="AS7">
            <v>0</v>
          </cell>
          <cell r="HM7" t="str">
            <v/>
          </cell>
          <cell r="HN7" t="str">
            <v/>
          </cell>
          <cell r="HO7" t="str">
            <v/>
          </cell>
        </row>
        <row r="8">
          <cell r="C8" t="str">
            <v/>
          </cell>
          <cell r="H8">
            <v>0</v>
          </cell>
          <cell r="K8">
            <v>0</v>
          </cell>
          <cell r="P8">
            <v>0</v>
          </cell>
          <cell r="Q8" t="str">
            <v/>
          </cell>
          <cell r="AH8">
            <v>0</v>
          </cell>
          <cell r="AS8">
            <v>0</v>
          </cell>
          <cell r="HM8" t="str">
            <v/>
          </cell>
          <cell r="HN8" t="str">
            <v/>
          </cell>
          <cell r="HO8" t="str">
            <v/>
          </cell>
        </row>
        <row r="9">
          <cell r="C9" t="str">
            <v/>
          </cell>
          <cell r="H9">
            <v>0</v>
          </cell>
          <cell r="K9">
            <v>0</v>
          </cell>
          <cell r="P9">
            <v>0</v>
          </cell>
          <cell r="Q9" t="str">
            <v/>
          </cell>
          <cell r="AH9">
            <v>0</v>
          </cell>
          <cell r="AS9">
            <v>0</v>
          </cell>
          <cell r="HM9" t="str">
            <v/>
          </cell>
          <cell r="HN9" t="str">
            <v/>
          </cell>
          <cell r="HO9" t="str">
            <v/>
          </cell>
        </row>
        <row r="10">
          <cell r="C10" t="str">
            <v/>
          </cell>
          <cell r="H10">
            <v>0</v>
          </cell>
          <cell r="K10">
            <v>0</v>
          </cell>
          <cell r="P10">
            <v>0</v>
          </cell>
          <cell r="Q10" t="str">
            <v/>
          </cell>
          <cell r="AH10">
            <v>0</v>
          </cell>
          <cell r="AS10">
            <v>0</v>
          </cell>
          <cell r="HM10" t="str">
            <v/>
          </cell>
          <cell r="HN10" t="str">
            <v/>
          </cell>
          <cell r="HO10" t="str">
            <v/>
          </cell>
        </row>
        <row r="11">
          <cell r="C11" t="str">
            <v/>
          </cell>
          <cell r="H11">
            <v>0</v>
          </cell>
          <cell r="K11">
            <v>0</v>
          </cell>
          <cell r="P11">
            <v>0</v>
          </cell>
          <cell r="Q11" t="str">
            <v/>
          </cell>
          <cell r="AH11">
            <v>0</v>
          </cell>
          <cell r="AS11">
            <v>0</v>
          </cell>
          <cell r="HM11" t="str">
            <v/>
          </cell>
          <cell r="HN11" t="str">
            <v/>
          </cell>
          <cell r="HO11" t="str">
            <v/>
          </cell>
        </row>
        <row r="12">
          <cell r="C12" t="str">
            <v/>
          </cell>
          <cell r="H12">
            <v>0</v>
          </cell>
          <cell r="K12">
            <v>0</v>
          </cell>
          <cell r="P12">
            <v>0</v>
          </cell>
          <cell r="Q12" t="str">
            <v/>
          </cell>
          <cell r="AH12">
            <v>0</v>
          </cell>
          <cell r="AS12">
            <v>0</v>
          </cell>
          <cell r="HM12" t="str">
            <v/>
          </cell>
          <cell r="HN12" t="str">
            <v/>
          </cell>
          <cell r="HO12" t="str">
            <v/>
          </cell>
        </row>
        <row r="13">
          <cell r="C13" t="str">
            <v/>
          </cell>
          <cell r="H13">
            <v>0</v>
          </cell>
          <cell r="K13">
            <v>0</v>
          </cell>
          <cell r="P13">
            <v>0</v>
          </cell>
          <cell r="Q13" t="str">
            <v/>
          </cell>
          <cell r="AH13">
            <v>0</v>
          </cell>
          <cell r="AS13">
            <v>0</v>
          </cell>
          <cell r="HM13" t="str">
            <v/>
          </cell>
          <cell r="HN13" t="str">
            <v/>
          </cell>
          <cell r="HO13" t="str">
            <v/>
          </cell>
        </row>
        <row r="14">
          <cell r="C14" t="str">
            <v/>
          </cell>
          <cell r="H14">
            <v>0</v>
          </cell>
          <cell r="K14">
            <v>0</v>
          </cell>
          <cell r="P14">
            <v>0</v>
          </cell>
          <cell r="Q14" t="str">
            <v/>
          </cell>
          <cell r="AH14">
            <v>0</v>
          </cell>
          <cell r="AS14">
            <v>0</v>
          </cell>
          <cell r="HM14" t="str">
            <v/>
          </cell>
          <cell r="HN14" t="str">
            <v/>
          </cell>
          <cell r="HO14" t="str">
            <v/>
          </cell>
        </row>
        <row r="15">
          <cell r="C15" t="str">
            <v/>
          </cell>
          <cell r="H15">
            <v>0</v>
          </cell>
          <cell r="K15">
            <v>0</v>
          </cell>
          <cell r="P15">
            <v>0</v>
          </cell>
          <cell r="Q15" t="str">
            <v/>
          </cell>
          <cell r="AH15">
            <v>0</v>
          </cell>
          <cell r="AS15">
            <v>0</v>
          </cell>
          <cell r="HM15" t="str">
            <v/>
          </cell>
          <cell r="HN15" t="str">
            <v/>
          </cell>
          <cell r="HO15" t="str">
            <v/>
          </cell>
        </row>
        <row r="16">
          <cell r="C16" t="str">
            <v/>
          </cell>
          <cell r="H16">
            <v>0</v>
          </cell>
          <cell r="K16">
            <v>0</v>
          </cell>
          <cell r="P16">
            <v>0</v>
          </cell>
          <cell r="Q16" t="str">
            <v/>
          </cell>
          <cell r="AH16">
            <v>0</v>
          </cell>
          <cell r="AS16">
            <v>0</v>
          </cell>
          <cell r="HM16" t="str">
            <v/>
          </cell>
          <cell r="HN16" t="str">
            <v/>
          </cell>
          <cell r="HO16" t="str">
            <v/>
          </cell>
        </row>
        <row r="17">
          <cell r="C17" t="str">
            <v/>
          </cell>
          <cell r="H17">
            <v>0</v>
          </cell>
          <cell r="K17">
            <v>0</v>
          </cell>
          <cell r="P17">
            <v>0</v>
          </cell>
          <cell r="Q17" t="str">
            <v/>
          </cell>
          <cell r="AH17">
            <v>0</v>
          </cell>
          <cell r="AS17">
            <v>0</v>
          </cell>
          <cell r="HM17" t="str">
            <v/>
          </cell>
          <cell r="HN17" t="str">
            <v/>
          </cell>
          <cell r="HO17" t="str">
            <v/>
          </cell>
        </row>
        <row r="18">
          <cell r="C18" t="str">
            <v/>
          </cell>
          <cell r="H18">
            <v>0</v>
          </cell>
          <cell r="K18">
            <v>0</v>
          </cell>
          <cell r="P18">
            <v>0</v>
          </cell>
          <cell r="Q18" t="str">
            <v/>
          </cell>
          <cell r="AH18">
            <v>0</v>
          </cell>
          <cell r="AS18">
            <v>0</v>
          </cell>
          <cell r="HM18" t="str">
            <v/>
          </cell>
          <cell r="HN18" t="str">
            <v/>
          </cell>
          <cell r="HO18" t="str">
            <v/>
          </cell>
        </row>
        <row r="19">
          <cell r="C19" t="str">
            <v/>
          </cell>
          <cell r="H19">
            <v>0</v>
          </cell>
          <cell r="K19">
            <v>0</v>
          </cell>
          <cell r="P19">
            <v>0</v>
          </cell>
          <cell r="Q19" t="str">
            <v/>
          </cell>
          <cell r="AH19">
            <v>0</v>
          </cell>
          <cell r="AS19">
            <v>0</v>
          </cell>
          <cell r="HM19" t="str">
            <v/>
          </cell>
          <cell r="HN19" t="str">
            <v/>
          </cell>
          <cell r="HO19" t="str">
            <v/>
          </cell>
        </row>
        <row r="20">
          <cell r="C20" t="str">
            <v/>
          </cell>
          <cell r="H20">
            <v>0</v>
          </cell>
          <cell r="K20">
            <v>0</v>
          </cell>
          <cell r="P20">
            <v>0</v>
          </cell>
          <cell r="Q20" t="str">
            <v/>
          </cell>
          <cell r="AH20">
            <v>0</v>
          </cell>
          <cell r="AS20">
            <v>0</v>
          </cell>
          <cell r="HM20" t="str">
            <v/>
          </cell>
          <cell r="HN20" t="str">
            <v/>
          </cell>
          <cell r="HO20" t="str">
            <v/>
          </cell>
        </row>
        <row r="21">
          <cell r="C21" t="str">
            <v/>
          </cell>
          <cell r="H21">
            <v>0</v>
          </cell>
          <cell r="K21">
            <v>0</v>
          </cell>
          <cell r="P21">
            <v>0</v>
          </cell>
          <cell r="Q21" t="str">
            <v/>
          </cell>
          <cell r="AH21">
            <v>0</v>
          </cell>
          <cell r="AS21">
            <v>0</v>
          </cell>
          <cell r="HM21" t="str">
            <v/>
          </cell>
          <cell r="HN21" t="str">
            <v/>
          </cell>
          <cell r="HO21" t="str">
            <v/>
          </cell>
        </row>
        <row r="22">
          <cell r="C22" t="str">
            <v/>
          </cell>
          <cell r="H22">
            <v>0</v>
          </cell>
          <cell r="K22">
            <v>0</v>
          </cell>
          <cell r="P22">
            <v>0</v>
          </cell>
          <cell r="Q22" t="str">
            <v/>
          </cell>
          <cell r="AH22">
            <v>0</v>
          </cell>
          <cell r="AS22">
            <v>0</v>
          </cell>
          <cell r="HM22" t="str">
            <v/>
          </cell>
          <cell r="HN22" t="str">
            <v/>
          </cell>
          <cell r="HO22" t="str">
            <v/>
          </cell>
        </row>
        <row r="23">
          <cell r="C23" t="str">
            <v/>
          </cell>
          <cell r="H23">
            <v>0</v>
          </cell>
          <cell r="K23">
            <v>0</v>
          </cell>
          <cell r="P23">
            <v>0</v>
          </cell>
          <cell r="Q23" t="str">
            <v/>
          </cell>
          <cell r="AH23">
            <v>0</v>
          </cell>
          <cell r="AS23">
            <v>0</v>
          </cell>
          <cell r="HM23" t="str">
            <v/>
          </cell>
          <cell r="HN23" t="str">
            <v/>
          </cell>
          <cell r="HO23" t="str">
            <v/>
          </cell>
        </row>
        <row r="24">
          <cell r="C24" t="str">
            <v/>
          </cell>
          <cell r="H24">
            <v>0</v>
          </cell>
          <cell r="K24">
            <v>0</v>
          </cell>
          <cell r="P24">
            <v>0</v>
          </cell>
          <cell r="Q24" t="str">
            <v/>
          </cell>
          <cell r="AH24">
            <v>0</v>
          </cell>
          <cell r="AS24">
            <v>0</v>
          </cell>
          <cell r="HM24" t="str">
            <v/>
          </cell>
          <cell r="HN24" t="str">
            <v/>
          </cell>
          <cell r="HO24" t="str">
            <v/>
          </cell>
        </row>
        <row r="25">
          <cell r="C25" t="str">
            <v/>
          </cell>
          <cell r="H25">
            <v>0</v>
          </cell>
          <cell r="K25">
            <v>0</v>
          </cell>
          <cell r="P25">
            <v>0</v>
          </cell>
          <cell r="Q25" t="str">
            <v/>
          </cell>
          <cell r="AH25">
            <v>0</v>
          </cell>
          <cell r="AS25">
            <v>0</v>
          </cell>
          <cell r="HM25" t="str">
            <v/>
          </cell>
          <cell r="HN25" t="str">
            <v/>
          </cell>
          <cell r="HO25" t="str">
            <v/>
          </cell>
        </row>
        <row r="26">
          <cell r="C26" t="str">
            <v/>
          </cell>
          <cell r="H26">
            <v>0</v>
          </cell>
          <cell r="K26">
            <v>0</v>
          </cell>
          <cell r="P26">
            <v>0</v>
          </cell>
          <cell r="Q26" t="str">
            <v/>
          </cell>
          <cell r="AH26">
            <v>0</v>
          </cell>
          <cell r="AS26">
            <v>0</v>
          </cell>
          <cell r="HM26" t="str">
            <v/>
          </cell>
          <cell r="HN26" t="str">
            <v/>
          </cell>
          <cell r="HO26" t="str">
            <v/>
          </cell>
        </row>
        <row r="27">
          <cell r="C27" t="str">
            <v/>
          </cell>
          <cell r="H27">
            <v>0</v>
          </cell>
          <cell r="K27">
            <v>0</v>
          </cell>
          <cell r="P27">
            <v>0</v>
          </cell>
          <cell r="Q27" t="str">
            <v/>
          </cell>
          <cell r="AH27">
            <v>0</v>
          </cell>
          <cell r="AS27">
            <v>0</v>
          </cell>
          <cell r="HM27" t="str">
            <v/>
          </cell>
          <cell r="HN27" t="str">
            <v/>
          </cell>
          <cell r="HO27" t="str">
            <v/>
          </cell>
        </row>
        <row r="28">
          <cell r="C28" t="str">
            <v/>
          </cell>
          <cell r="H28">
            <v>0</v>
          </cell>
          <cell r="K28">
            <v>0</v>
          </cell>
          <cell r="P28">
            <v>0</v>
          </cell>
          <cell r="Q28" t="str">
            <v/>
          </cell>
          <cell r="AH28">
            <v>0</v>
          </cell>
          <cell r="AS28">
            <v>0</v>
          </cell>
          <cell r="HM28" t="str">
            <v/>
          </cell>
          <cell r="HN28" t="str">
            <v/>
          </cell>
          <cell r="HO28" t="str">
            <v/>
          </cell>
        </row>
        <row r="29">
          <cell r="C29" t="str">
            <v/>
          </cell>
          <cell r="H29">
            <v>0</v>
          </cell>
          <cell r="K29">
            <v>0</v>
          </cell>
          <cell r="P29">
            <v>0</v>
          </cell>
          <cell r="Q29" t="str">
            <v/>
          </cell>
          <cell r="AH29">
            <v>0</v>
          </cell>
          <cell r="AS29">
            <v>0</v>
          </cell>
          <cell r="HM29" t="str">
            <v/>
          </cell>
          <cell r="HN29" t="str">
            <v/>
          </cell>
          <cell r="HO29" t="str">
            <v/>
          </cell>
        </row>
        <row r="30">
          <cell r="C30" t="str">
            <v/>
          </cell>
          <cell r="H30">
            <v>0</v>
          </cell>
          <cell r="K30">
            <v>0</v>
          </cell>
          <cell r="P30">
            <v>0</v>
          </cell>
          <cell r="Q30" t="str">
            <v/>
          </cell>
          <cell r="AH30">
            <v>0</v>
          </cell>
          <cell r="AS30">
            <v>0</v>
          </cell>
          <cell r="HM30" t="str">
            <v/>
          </cell>
          <cell r="HN30" t="str">
            <v/>
          </cell>
          <cell r="HO30" t="str">
            <v/>
          </cell>
        </row>
        <row r="31">
          <cell r="C31" t="str">
            <v/>
          </cell>
          <cell r="H31">
            <v>0</v>
          </cell>
          <cell r="K31">
            <v>0</v>
          </cell>
          <cell r="P31">
            <v>0</v>
          </cell>
          <cell r="Q31" t="str">
            <v/>
          </cell>
          <cell r="AH31">
            <v>0</v>
          </cell>
          <cell r="AS31">
            <v>0</v>
          </cell>
          <cell r="HM31" t="str">
            <v/>
          </cell>
          <cell r="HN31" t="str">
            <v/>
          </cell>
          <cell r="HO31" t="str">
            <v/>
          </cell>
        </row>
        <row r="32">
          <cell r="C32" t="str">
            <v/>
          </cell>
          <cell r="H32">
            <v>0</v>
          </cell>
          <cell r="K32">
            <v>0</v>
          </cell>
          <cell r="P32">
            <v>0</v>
          </cell>
          <cell r="Q32" t="str">
            <v/>
          </cell>
          <cell r="AH32">
            <v>0</v>
          </cell>
          <cell r="AS32">
            <v>0</v>
          </cell>
          <cell r="HM32" t="str">
            <v/>
          </cell>
          <cell r="HN32" t="str">
            <v/>
          </cell>
          <cell r="HO32" t="str">
            <v/>
          </cell>
        </row>
        <row r="33">
          <cell r="C33" t="str">
            <v/>
          </cell>
          <cell r="H33">
            <v>0</v>
          </cell>
          <cell r="K33">
            <v>0</v>
          </cell>
          <cell r="P33">
            <v>0</v>
          </cell>
          <cell r="Q33" t="str">
            <v/>
          </cell>
          <cell r="AH33">
            <v>0</v>
          </cell>
          <cell r="AS33">
            <v>0</v>
          </cell>
          <cell r="HM33" t="str">
            <v/>
          </cell>
          <cell r="HN33" t="str">
            <v/>
          </cell>
          <cell r="HO33" t="str">
            <v/>
          </cell>
        </row>
        <row r="34">
          <cell r="C34" t="str">
            <v/>
          </cell>
          <cell r="H34">
            <v>0</v>
          </cell>
          <cell r="K34">
            <v>0</v>
          </cell>
          <cell r="P34">
            <v>0</v>
          </cell>
          <cell r="Q34" t="str">
            <v/>
          </cell>
          <cell r="AH34">
            <v>0</v>
          </cell>
          <cell r="AS34">
            <v>0</v>
          </cell>
          <cell r="HM34" t="str">
            <v/>
          </cell>
          <cell r="HN34" t="str">
            <v/>
          </cell>
          <cell r="HO34" t="str">
            <v/>
          </cell>
        </row>
        <row r="35">
          <cell r="C35" t="str">
            <v/>
          </cell>
          <cell r="H35">
            <v>0</v>
          </cell>
          <cell r="K35">
            <v>0</v>
          </cell>
          <cell r="P35">
            <v>0</v>
          </cell>
          <cell r="Q35" t="str">
            <v/>
          </cell>
          <cell r="AH35">
            <v>0</v>
          </cell>
          <cell r="AS35">
            <v>0</v>
          </cell>
          <cell r="HM35" t="str">
            <v/>
          </cell>
          <cell r="HN35" t="str">
            <v/>
          </cell>
          <cell r="HO35" t="str">
            <v/>
          </cell>
        </row>
        <row r="36">
          <cell r="C36" t="str">
            <v/>
          </cell>
          <cell r="H36">
            <v>0</v>
          </cell>
          <cell r="K36">
            <v>0</v>
          </cell>
          <cell r="P36">
            <v>0</v>
          </cell>
          <cell r="Q36" t="str">
            <v/>
          </cell>
          <cell r="AH36">
            <v>0</v>
          </cell>
          <cell r="AS36">
            <v>0</v>
          </cell>
          <cell r="HM36" t="str">
            <v/>
          </cell>
          <cell r="HN36" t="str">
            <v/>
          </cell>
          <cell r="HO36" t="str">
            <v/>
          </cell>
        </row>
        <row r="37">
          <cell r="C37" t="str">
            <v/>
          </cell>
          <cell r="H37">
            <v>0</v>
          </cell>
          <cell r="K37">
            <v>0</v>
          </cell>
          <cell r="P37">
            <v>0</v>
          </cell>
          <cell r="Q37" t="str">
            <v/>
          </cell>
          <cell r="AH37">
            <v>0</v>
          </cell>
          <cell r="AS37">
            <v>0</v>
          </cell>
          <cell r="HM37" t="str">
            <v/>
          </cell>
          <cell r="HN37" t="str">
            <v/>
          </cell>
          <cell r="HO37" t="str">
            <v/>
          </cell>
        </row>
        <row r="38">
          <cell r="C38" t="str">
            <v/>
          </cell>
          <cell r="H38">
            <v>0</v>
          </cell>
          <cell r="K38">
            <v>0</v>
          </cell>
          <cell r="P38">
            <v>0</v>
          </cell>
          <cell r="Q38" t="str">
            <v/>
          </cell>
          <cell r="AH38">
            <v>0</v>
          </cell>
          <cell r="AS38">
            <v>0</v>
          </cell>
          <cell r="HM38" t="str">
            <v/>
          </cell>
          <cell r="HN38" t="str">
            <v/>
          </cell>
          <cell r="HO38" t="str">
            <v/>
          </cell>
        </row>
        <row r="39">
          <cell r="C39" t="str">
            <v/>
          </cell>
          <cell r="H39">
            <v>0</v>
          </cell>
          <cell r="K39">
            <v>0</v>
          </cell>
          <cell r="P39">
            <v>0</v>
          </cell>
          <cell r="Q39" t="str">
            <v/>
          </cell>
          <cell r="AH39">
            <v>0</v>
          </cell>
          <cell r="AS39">
            <v>0</v>
          </cell>
          <cell r="HM39" t="str">
            <v/>
          </cell>
          <cell r="HN39" t="str">
            <v/>
          </cell>
          <cell r="HO39" t="str">
            <v/>
          </cell>
        </row>
        <row r="40">
          <cell r="C40" t="str">
            <v/>
          </cell>
          <cell r="H40">
            <v>0</v>
          </cell>
          <cell r="K40">
            <v>0</v>
          </cell>
          <cell r="P40">
            <v>0</v>
          </cell>
          <cell r="Q40" t="str">
            <v/>
          </cell>
          <cell r="AH40">
            <v>0</v>
          </cell>
          <cell r="AS40">
            <v>0</v>
          </cell>
          <cell r="HM40" t="str">
            <v/>
          </cell>
          <cell r="HN40" t="str">
            <v/>
          </cell>
          <cell r="HO40" t="str">
            <v/>
          </cell>
        </row>
        <row r="41">
          <cell r="C41" t="str">
            <v/>
          </cell>
          <cell r="H41">
            <v>0</v>
          </cell>
          <cell r="K41">
            <v>0</v>
          </cell>
          <cell r="P41">
            <v>0</v>
          </cell>
          <cell r="Q41" t="str">
            <v/>
          </cell>
          <cell r="AH41">
            <v>0</v>
          </cell>
          <cell r="AS41">
            <v>0</v>
          </cell>
          <cell r="HM41" t="str">
            <v/>
          </cell>
          <cell r="HN41" t="str">
            <v/>
          </cell>
          <cell r="HO41" t="str">
            <v/>
          </cell>
        </row>
        <row r="42">
          <cell r="C42" t="str">
            <v/>
          </cell>
          <cell r="H42">
            <v>0</v>
          </cell>
          <cell r="K42">
            <v>0</v>
          </cell>
          <cell r="P42">
            <v>0</v>
          </cell>
          <cell r="Q42" t="str">
            <v/>
          </cell>
          <cell r="AH42">
            <v>0</v>
          </cell>
          <cell r="AS42">
            <v>0</v>
          </cell>
          <cell r="HM42" t="str">
            <v/>
          </cell>
          <cell r="HN42" t="str">
            <v/>
          </cell>
          <cell r="HO42" t="str">
            <v/>
          </cell>
        </row>
        <row r="44">
          <cell r="C44" t="str">
            <v/>
          </cell>
          <cell r="H44">
            <v>0</v>
          </cell>
          <cell r="K44">
            <v>0</v>
          </cell>
          <cell r="P44">
            <v>0</v>
          </cell>
          <cell r="Q44" t="str">
            <v/>
          </cell>
          <cell r="AH44">
            <v>0</v>
          </cell>
          <cell r="AS44">
            <v>0</v>
          </cell>
          <cell r="HM44" t="str">
            <v/>
          </cell>
          <cell r="HN44" t="str">
            <v/>
          </cell>
          <cell r="HO44" t="str">
            <v/>
          </cell>
        </row>
        <row r="45">
          <cell r="C45" t="str">
            <v/>
          </cell>
          <cell r="H45">
            <v>0</v>
          </cell>
          <cell r="K45">
            <v>0</v>
          </cell>
          <cell r="P45">
            <v>0</v>
          </cell>
          <cell r="Q45" t="str">
            <v/>
          </cell>
          <cell r="AH45">
            <v>0</v>
          </cell>
          <cell r="AS45">
            <v>0</v>
          </cell>
          <cell r="HM45" t="str">
            <v/>
          </cell>
          <cell r="HN45" t="str">
            <v/>
          </cell>
          <cell r="HO45" t="str">
            <v/>
          </cell>
        </row>
        <row r="46">
          <cell r="C46" t="str">
            <v/>
          </cell>
          <cell r="H46">
            <v>0</v>
          </cell>
          <cell r="K46">
            <v>0</v>
          </cell>
          <cell r="P46">
            <v>0</v>
          </cell>
          <cell r="Q46" t="str">
            <v/>
          </cell>
          <cell r="AH46">
            <v>0</v>
          </cell>
          <cell r="AS46">
            <v>0</v>
          </cell>
          <cell r="HM46" t="str">
            <v/>
          </cell>
          <cell r="HN46" t="str">
            <v/>
          </cell>
          <cell r="HO46" t="str">
            <v/>
          </cell>
        </row>
        <row r="47">
          <cell r="C47" t="str">
            <v/>
          </cell>
          <cell r="H47">
            <v>0</v>
          </cell>
          <cell r="K47">
            <v>0</v>
          </cell>
          <cell r="P47">
            <v>0</v>
          </cell>
          <cell r="Q47" t="str">
            <v/>
          </cell>
          <cell r="AH47">
            <v>0</v>
          </cell>
          <cell r="AS47">
            <v>0</v>
          </cell>
          <cell r="HM47" t="str">
            <v/>
          </cell>
          <cell r="HN47" t="str">
            <v/>
          </cell>
          <cell r="HO47" t="str">
            <v/>
          </cell>
        </row>
        <row r="48">
          <cell r="C48" t="str">
            <v/>
          </cell>
          <cell r="H48">
            <v>0</v>
          </cell>
          <cell r="K48">
            <v>0</v>
          </cell>
          <cell r="P48">
            <v>0</v>
          </cell>
          <cell r="Q48" t="str">
            <v/>
          </cell>
          <cell r="AH48">
            <v>0</v>
          </cell>
          <cell r="AS48">
            <v>0</v>
          </cell>
          <cell r="HM48" t="str">
            <v/>
          </cell>
          <cell r="HN48" t="str">
            <v/>
          </cell>
          <cell r="HO48" t="str">
            <v/>
          </cell>
        </row>
        <row r="49">
          <cell r="C49" t="str">
            <v/>
          </cell>
          <cell r="H49">
            <v>0</v>
          </cell>
          <cell r="K49">
            <v>0</v>
          </cell>
          <cell r="P49">
            <v>0</v>
          </cell>
          <cell r="Q49" t="str">
            <v/>
          </cell>
          <cell r="AH49">
            <v>0</v>
          </cell>
          <cell r="AS49">
            <v>0</v>
          </cell>
          <cell r="HM49" t="str">
            <v/>
          </cell>
          <cell r="HN49" t="str">
            <v/>
          </cell>
          <cell r="HO49" t="str">
            <v/>
          </cell>
        </row>
        <row r="50">
          <cell r="C50" t="str">
            <v/>
          </cell>
          <cell r="H50">
            <v>0</v>
          </cell>
          <cell r="K50">
            <v>0</v>
          </cell>
          <cell r="P50">
            <v>0</v>
          </cell>
          <cell r="Q50" t="str">
            <v/>
          </cell>
          <cell r="AH50">
            <v>0</v>
          </cell>
          <cell r="AS50">
            <v>0</v>
          </cell>
          <cell r="HM50" t="str">
            <v/>
          </cell>
          <cell r="HN50" t="str">
            <v/>
          </cell>
          <cell r="HO50" t="str">
            <v/>
          </cell>
        </row>
        <row r="51">
          <cell r="C51" t="str">
            <v/>
          </cell>
          <cell r="H51">
            <v>0</v>
          </cell>
          <cell r="K51">
            <v>0</v>
          </cell>
          <cell r="P51">
            <v>0</v>
          </cell>
          <cell r="Q51" t="str">
            <v/>
          </cell>
          <cell r="AH51">
            <v>0</v>
          </cell>
          <cell r="AS51">
            <v>0</v>
          </cell>
          <cell r="HM51" t="str">
            <v/>
          </cell>
          <cell r="HN51" t="str">
            <v/>
          </cell>
          <cell r="HO51" t="str">
            <v/>
          </cell>
        </row>
      </sheetData>
      <sheetData sheetId="7"/>
      <sheetData sheetId="8">
        <row r="4">
          <cell r="A4">
            <v>1</v>
          </cell>
          <cell r="ADX4" t="str">
            <v>No</v>
          </cell>
          <cell r="AEE4" t="str">
            <v>Yes</v>
          </cell>
          <cell r="AEF4" t="str">
            <v>No</v>
          </cell>
          <cell r="AEG4" t="str">
            <v/>
          </cell>
          <cell r="AEH4" t="str">
            <v>Yes</v>
          </cell>
          <cell r="AEI4">
            <v>17</v>
          </cell>
        </row>
        <row r="5">
          <cell r="A5">
            <v>2</v>
          </cell>
          <cell r="ADX5" t="str">
            <v>No</v>
          </cell>
          <cell r="AEE5" t="str">
            <v>Yes</v>
          </cell>
          <cell r="AEF5" t="str">
            <v>No</v>
          </cell>
          <cell r="AEG5" t="str">
            <v/>
          </cell>
          <cell r="AEH5" t="str">
            <v>Yes</v>
          </cell>
          <cell r="AEI5">
            <v>11.5</v>
          </cell>
        </row>
        <row r="6">
          <cell r="A6">
            <v>3</v>
          </cell>
          <cell r="ADX6" t="str">
            <v>No</v>
          </cell>
          <cell r="AEE6" t="str">
            <v>Yes</v>
          </cell>
          <cell r="AEF6" t="str">
            <v>No</v>
          </cell>
          <cell r="AEG6" t="str">
            <v/>
          </cell>
          <cell r="AEH6" t="str">
            <v>Yes</v>
          </cell>
          <cell r="AEI6">
            <v>22.5</v>
          </cell>
        </row>
        <row r="7">
          <cell r="A7">
            <v>4</v>
          </cell>
          <cell r="ADX7" t="str">
            <v>No</v>
          </cell>
          <cell r="AEE7" t="str">
            <v>Yes</v>
          </cell>
          <cell r="AEF7" t="str">
            <v>Yes</v>
          </cell>
          <cell r="AEG7">
            <v>33</v>
          </cell>
          <cell r="AEH7" t="str">
            <v>Yes</v>
          </cell>
          <cell r="AEI7">
            <v>29</v>
          </cell>
        </row>
        <row r="8">
          <cell r="A8">
            <v>5</v>
          </cell>
          <cell r="ADX8" t="str">
            <v>No</v>
          </cell>
          <cell r="AEE8" t="str">
            <v>Yes</v>
          </cell>
          <cell r="AEF8" t="str">
            <v>No</v>
          </cell>
          <cell r="AEG8" t="str">
            <v/>
          </cell>
          <cell r="AEH8" t="str">
            <v>Yes</v>
          </cell>
          <cell r="AEI8">
            <v>16.5</v>
          </cell>
        </row>
        <row r="9">
          <cell r="A9">
            <v>6</v>
          </cell>
          <cell r="ADX9" t="str">
            <v>No</v>
          </cell>
          <cell r="AEE9" t="str">
            <v>Yes</v>
          </cell>
          <cell r="AEF9" t="str">
            <v>No</v>
          </cell>
          <cell r="AEG9" t="str">
            <v/>
          </cell>
          <cell r="AEH9" t="str">
            <v>Yes</v>
          </cell>
          <cell r="AEI9">
            <v>28</v>
          </cell>
        </row>
        <row r="10">
          <cell r="A10">
            <v>7</v>
          </cell>
          <cell r="ADX10" t="str">
            <v>No</v>
          </cell>
          <cell r="AEE10" t="str">
            <v>Yes</v>
          </cell>
          <cell r="AEF10" t="str">
            <v>No</v>
          </cell>
          <cell r="AEG10" t="str">
            <v/>
          </cell>
          <cell r="AEH10" t="str">
            <v>Yes</v>
          </cell>
          <cell r="AEI10">
            <v>7</v>
          </cell>
        </row>
        <row r="11">
          <cell r="A11">
            <v>8</v>
          </cell>
          <cell r="ADX11" t="str">
            <v>No</v>
          </cell>
          <cell r="AEE11" t="str">
            <v>Yes</v>
          </cell>
          <cell r="AEF11" t="str">
            <v>No</v>
          </cell>
          <cell r="AEG11" t="str">
            <v/>
          </cell>
          <cell r="AEH11" t="str">
            <v>Yes</v>
          </cell>
          <cell r="AEI11">
            <v>9.5</v>
          </cell>
        </row>
        <row r="12">
          <cell r="A12">
            <v>9</v>
          </cell>
          <cell r="ADX12" t="str">
            <v>No</v>
          </cell>
          <cell r="AEE12" t="str">
            <v>Yes</v>
          </cell>
          <cell r="AEF12" t="str">
            <v>No</v>
          </cell>
          <cell r="AEG12" t="str">
            <v/>
          </cell>
          <cell r="AEH12" t="str">
            <v>Yes</v>
          </cell>
          <cell r="AEI12">
            <v>22</v>
          </cell>
        </row>
        <row r="13">
          <cell r="A13">
            <v>10</v>
          </cell>
          <cell r="ADX13" t="str">
            <v>No</v>
          </cell>
          <cell r="AEE13" t="str">
            <v>Yes</v>
          </cell>
          <cell r="AEF13" t="str">
            <v>No</v>
          </cell>
          <cell r="AEG13" t="str">
            <v/>
          </cell>
          <cell r="AEH13" t="str">
            <v>Yes</v>
          </cell>
          <cell r="AEI13">
            <v>26</v>
          </cell>
        </row>
        <row r="14">
          <cell r="A14">
            <v>11</v>
          </cell>
          <cell r="ADX14" t="str">
            <v>No</v>
          </cell>
          <cell r="AEE14" t="str">
            <v>Yes</v>
          </cell>
          <cell r="AEF14" t="str">
            <v>No</v>
          </cell>
          <cell r="AEG14" t="str">
            <v/>
          </cell>
          <cell r="AEH14" t="str">
            <v>Yes</v>
          </cell>
          <cell r="AEI14">
            <v>17</v>
          </cell>
        </row>
        <row r="15">
          <cell r="A15">
            <v>12</v>
          </cell>
          <cell r="ADX15" t="str">
            <v>No</v>
          </cell>
          <cell r="AEE15" t="str">
            <v>Yes</v>
          </cell>
          <cell r="AEF15" t="str">
            <v>No</v>
          </cell>
          <cell r="AEG15" t="str">
            <v/>
          </cell>
          <cell r="AEH15" t="str">
            <v>Yes</v>
          </cell>
          <cell r="AEI15">
            <v>21</v>
          </cell>
        </row>
        <row r="16">
          <cell r="A16">
            <v>13</v>
          </cell>
          <cell r="ADX16" t="str">
            <v>No</v>
          </cell>
          <cell r="AEE16" t="str">
            <v>Yes</v>
          </cell>
          <cell r="AEF16" t="str">
            <v>No</v>
          </cell>
          <cell r="AEG16" t="str">
            <v/>
          </cell>
          <cell r="AEH16" t="str">
            <v>Yes</v>
          </cell>
          <cell r="AEI16">
            <v>23</v>
          </cell>
        </row>
        <row r="17">
          <cell r="A17">
            <v>14</v>
          </cell>
          <cell r="ADX17" t="str">
            <v>No</v>
          </cell>
          <cell r="AEE17" t="str">
            <v>Yes</v>
          </cell>
          <cell r="AEF17" t="str">
            <v>Yes</v>
          </cell>
          <cell r="AEG17">
            <v>36</v>
          </cell>
          <cell r="AEH17" t="str">
            <v>Yes</v>
          </cell>
          <cell r="AEI17">
            <v>32</v>
          </cell>
        </row>
        <row r="18">
          <cell r="A18">
            <v>15</v>
          </cell>
          <cell r="ADX18" t="str">
            <v>No</v>
          </cell>
          <cell r="AEE18" t="str">
            <v>Yes</v>
          </cell>
          <cell r="AEF18" t="str">
            <v>Yes</v>
          </cell>
          <cell r="AEG18">
            <v>52</v>
          </cell>
          <cell r="AEH18" t="str">
            <v>Yes</v>
          </cell>
          <cell r="AEI18">
            <v>41.5</v>
          </cell>
        </row>
        <row r="19">
          <cell r="A19">
            <v>16</v>
          </cell>
          <cell r="ADX19" t="str">
            <v>No</v>
          </cell>
          <cell r="AEE19" t="str">
            <v>Yes</v>
          </cell>
          <cell r="AEF19" t="str">
            <v>No</v>
          </cell>
          <cell r="AEG19" t="str">
            <v/>
          </cell>
          <cell r="AEH19" t="str">
            <v>Yes</v>
          </cell>
          <cell r="AEI19">
            <v>4</v>
          </cell>
        </row>
        <row r="20">
          <cell r="A20">
            <v>17</v>
          </cell>
          <cell r="ADX20" t="str">
            <v>No</v>
          </cell>
          <cell r="AEE20" t="str">
            <v>Yes</v>
          </cell>
          <cell r="AEF20" t="str">
            <v>No</v>
          </cell>
          <cell r="AEG20" t="str">
            <v/>
          </cell>
          <cell r="AEH20" t="str">
            <v>Yes</v>
          </cell>
          <cell r="AEI20">
            <v>25</v>
          </cell>
        </row>
        <row r="21">
          <cell r="A21">
            <v>18</v>
          </cell>
          <cell r="ADX21" t="str">
            <v>No</v>
          </cell>
          <cell r="AEE21" t="str">
            <v>Yes</v>
          </cell>
          <cell r="AEF21" t="str">
            <v>Yes</v>
          </cell>
          <cell r="AEG21">
            <v>35</v>
          </cell>
          <cell r="AEH21" t="str">
            <v>Yes</v>
          </cell>
          <cell r="AEI21">
            <v>31</v>
          </cell>
        </row>
        <row r="22">
          <cell r="A22">
            <v>19</v>
          </cell>
          <cell r="ADX22" t="str">
            <v>No</v>
          </cell>
          <cell r="AEE22" t="str">
            <v>Yes</v>
          </cell>
          <cell r="AEF22" t="str">
            <v>No</v>
          </cell>
          <cell r="AEG22" t="str">
            <v/>
          </cell>
          <cell r="AEH22" t="str">
            <v>Yes</v>
          </cell>
          <cell r="AEI22">
            <v>19.5</v>
          </cell>
        </row>
        <row r="23">
          <cell r="A23">
            <v>20</v>
          </cell>
          <cell r="ADX23" t="str">
            <v>No</v>
          </cell>
          <cell r="AEE23" t="str">
            <v>Yes</v>
          </cell>
          <cell r="AEF23" t="str">
            <v>No</v>
          </cell>
          <cell r="AEG23" t="str">
            <v/>
          </cell>
          <cell r="AEH23" t="str">
            <v>Yes</v>
          </cell>
          <cell r="AEI23">
            <v>18</v>
          </cell>
        </row>
        <row r="24">
          <cell r="A24">
            <v>21</v>
          </cell>
          <cell r="ADX24" t="str">
            <v>No</v>
          </cell>
          <cell r="AEE24" t="str">
            <v>Yes</v>
          </cell>
          <cell r="AEF24" t="str">
            <v>Yes</v>
          </cell>
          <cell r="AEG24">
            <v>35</v>
          </cell>
          <cell r="AEH24" t="str">
            <v>Yes</v>
          </cell>
          <cell r="AEI24">
            <v>24.5</v>
          </cell>
        </row>
        <row r="25">
          <cell r="A25">
            <v>22</v>
          </cell>
          <cell r="ADX25" t="str">
            <v>No</v>
          </cell>
          <cell r="AEE25" t="str">
            <v>Yes</v>
          </cell>
          <cell r="AEF25" t="str">
            <v>No</v>
          </cell>
          <cell r="AEG25" t="str">
            <v/>
          </cell>
          <cell r="AEH25" t="str">
            <v>Yes</v>
          </cell>
          <cell r="AEI25">
            <v>7</v>
          </cell>
        </row>
        <row r="26">
          <cell r="A26">
            <v>23</v>
          </cell>
          <cell r="ADX26" t="str">
            <v>No</v>
          </cell>
          <cell r="AEE26" t="str">
            <v>Yes</v>
          </cell>
          <cell r="AEF26" t="str">
            <v>No</v>
          </cell>
          <cell r="AEG26" t="str">
            <v/>
          </cell>
          <cell r="AEH26" t="str">
            <v>Yes</v>
          </cell>
          <cell r="AEI26">
            <v>24</v>
          </cell>
        </row>
        <row r="27">
          <cell r="A27">
            <v>24</v>
          </cell>
          <cell r="ADX27" t="str">
            <v>No</v>
          </cell>
          <cell r="AEE27" t="str">
            <v>Yes</v>
          </cell>
          <cell r="AEF27" t="str">
            <v>No</v>
          </cell>
          <cell r="AEG27" t="str">
            <v/>
          </cell>
          <cell r="AEH27" t="str">
            <v>Yes</v>
          </cell>
          <cell r="AEI27">
            <v>25</v>
          </cell>
        </row>
        <row r="28">
          <cell r="A28">
            <v>25</v>
          </cell>
          <cell r="ADX28" t="str">
            <v>No</v>
          </cell>
          <cell r="AEE28" t="str">
            <v>Yes</v>
          </cell>
          <cell r="AEF28" t="str">
            <v>No</v>
          </cell>
          <cell r="AEG28" t="str">
            <v/>
          </cell>
          <cell r="AEH28" t="str">
            <v>Yes</v>
          </cell>
          <cell r="AEI28">
            <v>17.5</v>
          </cell>
        </row>
        <row r="29">
          <cell r="A29">
            <v>26</v>
          </cell>
          <cell r="ADX29" t="str">
            <v>No</v>
          </cell>
          <cell r="AEE29" t="str">
            <v>Yes</v>
          </cell>
          <cell r="AEF29" t="str">
            <v>Yes</v>
          </cell>
          <cell r="AEG29">
            <v>36</v>
          </cell>
          <cell r="AEH29" t="str">
            <v>Yes</v>
          </cell>
          <cell r="AEI29">
            <v>28</v>
          </cell>
        </row>
        <row r="30">
          <cell r="A30">
            <v>27</v>
          </cell>
          <cell r="ADX30" t="str">
            <v>No</v>
          </cell>
          <cell r="AEE30" t="str">
            <v>Yes</v>
          </cell>
          <cell r="AEF30" t="str">
            <v>No</v>
          </cell>
          <cell r="AEG30" t="str">
            <v/>
          </cell>
          <cell r="AEH30" t="str">
            <v>Yes</v>
          </cell>
          <cell r="AEI30">
            <v>20</v>
          </cell>
        </row>
        <row r="31">
          <cell r="A31">
            <v>28</v>
          </cell>
          <cell r="ADX31" t="str">
            <v>No</v>
          </cell>
          <cell r="AEE31" t="str">
            <v>Yes</v>
          </cell>
          <cell r="AEF31" t="str">
            <v>No</v>
          </cell>
          <cell r="AEG31" t="str">
            <v/>
          </cell>
          <cell r="AEH31" t="str">
            <v>Yes</v>
          </cell>
          <cell r="AEI31">
            <v>26</v>
          </cell>
        </row>
        <row r="32">
          <cell r="A32">
            <v>29</v>
          </cell>
          <cell r="ADX32" t="str">
            <v>No</v>
          </cell>
          <cell r="AEE32" t="str">
            <v>Yes</v>
          </cell>
          <cell r="AEF32" t="str">
            <v>No</v>
          </cell>
          <cell r="AEG32" t="str">
            <v/>
          </cell>
          <cell r="AEH32" t="str">
            <v>Yes</v>
          </cell>
          <cell r="AEI32">
            <v>-2.5</v>
          </cell>
        </row>
        <row r="33">
          <cell r="A33">
            <v>30</v>
          </cell>
          <cell r="ADX33" t="str">
            <v>No</v>
          </cell>
          <cell r="AEE33" t="str">
            <v>Yes</v>
          </cell>
          <cell r="AEF33" t="str">
            <v>No</v>
          </cell>
          <cell r="AEG33" t="str">
            <v/>
          </cell>
          <cell r="AEH33" t="str">
            <v>Yes</v>
          </cell>
          <cell r="AEI33">
            <v>19.5</v>
          </cell>
        </row>
        <row r="34">
          <cell r="A34">
            <v>31</v>
          </cell>
          <cell r="ADX34" t="str">
            <v>No</v>
          </cell>
          <cell r="AEE34" t="str">
            <v>Yes</v>
          </cell>
          <cell r="AEF34" t="str">
            <v>No</v>
          </cell>
          <cell r="AEG34" t="str">
            <v/>
          </cell>
          <cell r="AEH34" t="str">
            <v>Yes</v>
          </cell>
          <cell r="AEI34">
            <v>8.5</v>
          </cell>
        </row>
        <row r="35">
          <cell r="A35">
            <v>32</v>
          </cell>
          <cell r="ADX35" t="str">
            <v>No</v>
          </cell>
          <cell r="AEE35" t="str">
            <v>Yes</v>
          </cell>
          <cell r="AEF35" t="str">
            <v>No</v>
          </cell>
          <cell r="AEG35" t="str">
            <v/>
          </cell>
          <cell r="AEH35" t="str">
            <v>Yes</v>
          </cell>
          <cell r="AEI35">
            <v>-4.5</v>
          </cell>
        </row>
        <row r="36">
          <cell r="A36">
            <v>33</v>
          </cell>
          <cell r="ADX36" t="str">
            <v>No</v>
          </cell>
          <cell r="AEE36" t="str">
            <v>Yes</v>
          </cell>
          <cell r="AEF36" t="str">
            <v>No</v>
          </cell>
          <cell r="AEG36" t="str">
            <v/>
          </cell>
          <cell r="AEH36" t="str">
            <v>Yes</v>
          </cell>
          <cell r="AEI36">
            <v>4.5</v>
          </cell>
        </row>
        <row r="37">
          <cell r="A37">
            <v>34</v>
          </cell>
          <cell r="ADX37" t="str">
            <v>No</v>
          </cell>
          <cell r="AEE37" t="str">
            <v>Yes</v>
          </cell>
          <cell r="AEF37" t="str">
            <v>No</v>
          </cell>
          <cell r="AEG37" t="str">
            <v/>
          </cell>
          <cell r="AEH37" t="str">
            <v>Yes</v>
          </cell>
          <cell r="AEI37">
            <v>8.5</v>
          </cell>
        </row>
        <row r="38">
          <cell r="A38">
            <v>35</v>
          </cell>
          <cell r="ADX38" t="str">
            <v>No</v>
          </cell>
          <cell r="AEE38" t="str">
            <v>Yes</v>
          </cell>
          <cell r="AEF38" t="str">
            <v>Yes</v>
          </cell>
          <cell r="AEG38">
            <v>36</v>
          </cell>
          <cell r="AEH38" t="str">
            <v>Yes</v>
          </cell>
          <cell r="AEI38">
            <v>25.5</v>
          </cell>
        </row>
        <row r="39">
          <cell r="A39">
            <v>36</v>
          </cell>
          <cell r="ADX39" t="str">
            <v>No</v>
          </cell>
          <cell r="AEE39" t="str">
            <v>Yes</v>
          </cell>
          <cell r="AEF39" t="str">
            <v>No</v>
          </cell>
          <cell r="AEG39" t="str">
            <v/>
          </cell>
          <cell r="AEH39" t="str">
            <v>Yes</v>
          </cell>
          <cell r="AEI39">
            <v>25</v>
          </cell>
        </row>
        <row r="40">
          <cell r="A40">
            <v>37</v>
          </cell>
          <cell r="ADX40" t="str">
            <v>No</v>
          </cell>
          <cell r="AEE40" t="str">
            <v>Yes</v>
          </cell>
          <cell r="AEF40" t="str">
            <v>Yes</v>
          </cell>
          <cell r="AEG40">
            <v>37</v>
          </cell>
          <cell r="AEH40" t="str">
            <v>Yes</v>
          </cell>
          <cell r="AEI40">
            <v>33</v>
          </cell>
        </row>
        <row r="41">
          <cell r="A41">
            <v>38</v>
          </cell>
          <cell r="ADX41" t="str">
            <v>No</v>
          </cell>
          <cell r="AEE41" t="str">
            <v>Yes</v>
          </cell>
          <cell r="AEF41" t="str">
            <v>Yes</v>
          </cell>
          <cell r="AEG41">
            <v>36</v>
          </cell>
          <cell r="AEH41" t="str">
            <v>Yes</v>
          </cell>
          <cell r="AEI41">
            <v>32</v>
          </cell>
        </row>
        <row r="42">
          <cell r="A42">
            <v>39</v>
          </cell>
          <cell r="ADX42" t="str">
            <v>No</v>
          </cell>
          <cell r="AEE42" t="str">
            <v>Yes</v>
          </cell>
          <cell r="AEF42" t="str">
            <v>Yes</v>
          </cell>
          <cell r="AEG42">
            <v>36</v>
          </cell>
          <cell r="AEH42" t="str">
            <v>Yes</v>
          </cell>
          <cell r="AEI42">
            <v>22</v>
          </cell>
        </row>
        <row r="44">
          <cell r="A44">
            <v>41</v>
          </cell>
          <cell r="ADX44" t="str">
            <v>No</v>
          </cell>
          <cell r="AEE44" t="str">
            <v>Yes</v>
          </cell>
          <cell r="AEF44" t="str">
            <v>Yes</v>
          </cell>
          <cell r="AEG44">
            <v>40</v>
          </cell>
          <cell r="AEH44" t="str">
            <v>Yes</v>
          </cell>
          <cell r="AEI44">
            <v>29.5</v>
          </cell>
        </row>
        <row r="45">
          <cell r="A45">
            <v>42</v>
          </cell>
          <cell r="ADX45" t="str">
            <v>No</v>
          </cell>
          <cell r="AEE45" t="str">
            <v>Yes</v>
          </cell>
          <cell r="AEF45" t="str">
            <v>No</v>
          </cell>
          <cell r="AEG45" t="str">
            <v/>
          </cell>
          <cell r="AEH45" t="str">
            <v>Yes</v>
          </cell>
          <cell r="AEI45">
            <v>13</v>
          </cell>
        </row>
        <row r="46">
          <cell r="A46">
            <v>43</v>
          </cell>
          <cell r="ADX46" t="str">
            <v>No</v>
          </cell>
          <cell r="AEE46" t="str">
            <v>Yes</v>
          </cell>
          <cell r="AEF46" t="str">
            <v>No</v>
          </cell>
          <cell r="AEG46" t="str">
            <v/>
          </cell>
          <cell r="AEH46" t="str">
            <v>Yes</v>
          </cell>
          <cell r="AEI46">
            <v>14</v>
          </cell>
        </row>
        <row r="47">
          <cell r="A47">
            <v>44</v>
          </cell>
          <cell r="ADX47" t="str">
            <v>No</v>
          </cell>
          <cell r="AEE47" t="str">
            <v>Yes</v>
          </cell>
          <cell r="AEF47" t="str">
            <v>No</v>
          </cell>
          <cell r="AEG47" t="str">
            <v/>
          </cell>
          <cell r="AEH47" t="str">
            <v>Yes</v>
          </cell>
          <cell r="AEI47">
            <v>12</v>
          </cell>
        </row>
        <row r="48">
          <cell r="A48">
            <v>45</v>
          </cell>
          <cell r="ADX48" t="str">
            <v>No</v>
          </cell>
          <cell r="AEE48" t="str">
            <v>Yes</v>
          </cell>
          <cell r="AEF48" t="str">
            <v>No</v>
          </cell>
          <cell r="AEG48" t="str">
            <v/>
          </cell>
          <cell r="AEH48" t="str">
            <v>Yes</v>
          </cell>
          <cell r="AEI48">
            <v>7.5</v>
          </cell>
        </row>
        <row r="49">
          <cell r="A49">
            <v>46</v>
          </cell>
          <cell r="ADX49" t="str">
            <v>No</v>
          </cell>
          <cell r="AEE49" t="str">
            <v>Yes</v>
          </cell>
          <cell r="AEF49" t="str">
            <v>Yes</v>
          </cell>
          <cell r="AEG49">
            <v>34</v>
          </cell>
          <cell r="AEH49" t="str">
            <v>Yes</v>
          </cell>
          <cell r="AEI49">
            <v>30</v>
          </cell>
        </row>
        <row r="50">
          <cell r="A50">
            <v>47</v>
          </cell>
          <cell r="ADX50" t="str">
            <v>No</v>
          </cell>
          <cell r="AEE50" t="str">
            <v>Yes</v>
          </cell>
          <cell r="AEF50" t="str">
            <v>Yes</v>
          </cell>
          <cell r="AEG50">
            <v>36</v>
          </cell>
          <cell r="AEH50" t="str">
            <v>Yes</v>
          </cell>
          <cell r="AEI50">
            <v>32</v>
          </cell>
        </row>
        <row r="51">
          <cell r="A51">
            <v>48</v>
          </cell>
          <cell r="ADX51" t="str">
            <v>No</v>
          </cell>
          <cell r="AEE51" t="str">
            <v>Yes</v>
          </cell>
          <cell r="AEF51" t="str">
            <v>No</v>
          </cell>
          <cell r="AEG51" t="str">
            <v/>
          </cell>
          <cell r="AEH51" t="str">
            <v>Yes</v>
          </cell>
          <cell r="AEI51">
            <v>18</v>
          </cell>
        </row>
      </sheetData>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4" workbookViewId="0">
      <selection activeCell="B16" sqref="B16"/>
    </sheetView>
  </sheetViews>
  <sheetFormatPr defaultRowHeight="15"/>
  <cols>
    <col min="1" max="24" width="3.7109375" style="112" customWidth="1"/>
    <col min="25" max="26" width="2.28515625" customWidth="1"/>
  </cols>
  <sheetData>
    <row r="1" spans="1:24" ht="45.75" customHeight="1">
      <c r="A1" s="222" t="s">
        <v>235</v>
      </c>
      <c r="B1" s="222"/>
      <c r="C1" s="222"/>
      <c r="D1" s="222"/>
      <c r="E1" s="222"/>
      <c r="F1" s="222"/>
      <c r="G1" s="222"/>
      <c r="H1" s="222"/>
      <c r="I1" s="222"/>
      <c r="J1" s="222"/>
      <c r="K1" s="222"/>
      <c r="L1" s="222"/>
      <c r="M1" s="222"/>
      <c r="N1" s="222"/>
      <c r="O1" s="222"/>
      <c r="P1" s="222"/>
      <c r="Q1" s="222"/>
      <c r="R1" s="222"/>
      <c r="S1" s="222"/>
      <c r="T1" s="222"/>
      <c r="U1" s="222"/>
      <c r="V1" s="222"/>
      <c r="W1" s="222"/>
      <c r="X1" s="222"/>
    </row>
    <row r="2" spans="1:24">
      <c r="A2" s="125" t="s">
        <v>159</v>
      </c>
    </row>
    <row r="3" spans="1:24">
      <c r="A3" s="125" t="s">
        <v>185</v>
      </c>
      <c r="C3" s="124"/>
    </row>
    <row r="4" spans="1:24">
      <c r="A4" s="125"/>
    </row>
    <row r="5" spans="1:24">
      <c r="A5" s="125"/>
      <c r="C5" s="124">
        <v>1</v>
      </c>
      <c r="D5" s="112" t="s">
        <v>186</v>
      </c>
    </row>
    <row r="6" spans="1:24">
      <c r="A6" s="125"/>
      <c r="D6" s="112" t="s">
        <v>187</v>
      </c>
    </row>
    <row r="7" spans="1:24">
      <c r="A7" s="124" t="s">
        <v>188</v>
      </c>
      <c r="B7" s="112" t="s">
        <v>234</v>
      </c>
    </row>
    <row r="8" spans="1:24">
      <c r="A8" s="124"/>
      <c r="B8" s="112" t="s">
        <v>160</v>
      </c>
    </row>
    <row r="9" spans="1:24">
      <c r="A9" s="124"/>
      <c r="B9" s="112" t="s">
        <v>163</v>
      </c>
    </row>
    <row r="10" spans="1:24">
      <c r="A10" s="124"/>
      <c r="B10" s="112" t="s">
        <v>236</v>
      </c>
    </row>
    <row r="11" spans="1:24">
      <c r="A11" s="124" t="s">
        <v>189</v>
      </c>
      <c r="B11" s="112" t="s">
        <v>239</v>
      </c>
    </row>
    <row r="12" spans="1:24">
      <c r="A12" s="124" t="s">
        <v>190</v>
      </c>
      <c r="B12" s="112" t="s">
        <v>161</v>
      </c>
    </row>
    <row r="13" spans="1:24">
      <c r="A13" s="124"/>
      <c r="B13" s="112" t="s">
        <v>162</v>
      </c>
    </row>
    <row r="14" spans="1:24">
      <c r="A14" s="124"/>
      <c r="B14" s="112" t="s">
        <v>237</v>
      </c>
    </row>
    <row r="15" spans="1:24">
      <c r="A15" s="124" t="s">
        <v>642</v>
      </c>
      <c r="B15" s="112" t="s">
        <v>238</v>
      </c>
    </row>
    <row r="16" spans="1:24">
      <c r="A16" s="124"/>
      <c r="B16" s="112" t="s">
        <v>164</v>
      </c>
    </row>
    <row r="17" spans="1:24">
      <c r="A17" s="124" t="s">
        <v>191</v>
      </c>
      <c r="B17" s="112" t="s">
        <v>637</v>
      </c>
      <c r="C17"/>
      <c r="D17"/>
      <c r="E17"/>
      <c r="F17"/>
      <c r="G17"/>
      <c r="H17"/>
      <c r="I17"/>
      <c r="J17"/>
      <c r="K17"/>
      <c r="L17"/>
      <c r="M17"/>
      <c r="N17"/>
      <c r="O17"/>
      <c r="P17"/>
      <c r="Q17"/>
      <c r="R17"/>
      <c r="S17"/>
      <c r="T17"/>
      <c r="U17"/>
      <c r="V17"/>
      <c r="W17"/>
      <c r="X17"/>
    </row>
    <row r="18" spans="1:24">
      <c r="A18" s="124"/>
      <c r="B18" s="112" t="s">
        <v>638</v>
      </c>
      <c r="C18"/>
      <c r="D18"/>
      <c r="E18"/>
      <c r="F18"/>
      <c r="G18"/>
      <c r="H18"/>
      <c r="I18"/>
      <c r="J18"/>
      <c r="K18"/>
      <c r="L18"/>
      <c r="M18"/>
      <c r="N18"/>
      <c r="O18"/>
      <c r="P18"/>
      <c r="Q18"/>
      <c r="R18"/>
      <c r="S18"/>
      <c r="T18"/>
      <c r="U18"/>
      <c r="V18"/>
      <c r="W18"/>
      <c r="X18"/>
    </row>
    <row r="19" spans="1:24">
      <c r="A19" s="124"/>
      <c r="B19" s="112" t="s">
        <v>639</v>
      </c>
      <c r="C19"/>
      <c r="D19"/>
      <c r="E19"/>
      <c r="F19"/>
      <c r="G19"/>
      <c r="H19"/>
      <c r="I19"/>
      <c r="J19"/>
      <c r="K19"/>
      <c r="L19"/>
      <c r="M19"/>
      <c r="N19"/>
      <c r="O19"/>
      <c r="P19"/>
      <c r="Q19"/>
      <c r="R19"/>
      <c r="S19"/>
      <c r="T19"/>
      <c r="U19"/>
      <c r="V19"/>
      <c r="W19"/>
      <c r="X19"/>
    </row>
    <row r="20" spans="1:24">
      <c r="A20" s="124"/>
      <c r="B20" s="112" t="s">
        <v>640</v>
      </c>
      <c r="C20"/>
      <c r="D20"/>
      <c r="E20"/>
      <c r="F20"/>
      <c r="G20"/>
      <c r="H20"/>
      <c r="I20"/>
      <c r="J20"/>
      <c r="K20"/>
      <c r="L20"/>
      <c r="M20"/>
      <c r="N20"/>
      <c r="O20"/>
      <c r="P20"/>
      <c r="Q20"/>
      <c r="R20"/>
      <c r="S20"/>
      <c r="T20"/>
      <c r="U20"/>
      <c r="V20"/>
      <c r="W20"/>
      <c r="X20"/>
    </row>
    <row r="21" spans="1:24">
      <c r="A21" s="124"/>
      <c r="B21" s="112" t="s">
        <v>641</v>
      </c>
      <c r="C21"/>
      <c r="D21"/>
      <c r="E21"/>
      <c r="F21"/>
      <c r="G21"/>
      <c r="H21"/>
      <c r="I21"/>
      <c r="J21"/>
      <c r="K21"/>
      <c r="L21"/>
      <c r="M21"/>
      <c r="N21"/>
      <c r="O21"/>
      <c r="P21"/>
      <c r="Q21"/>
      <c r="R21"/>
      <c r="S21"/>
      <c r="T21"/>
      <c r="U21"/>
      <c r="V21"/>
      <c r="W21"/>
      <c r="X21"/>
    </row>
    <row r="22" spans="1:24">
      <c r="A22" s="124"/>
      <c r="B22" s="112" t="s">
        <v>164</v>
      </c>
      <c r="C22"/>
      <c r="D22"/>
      <c r="E22"/>
      <c r="F22"/>
      <c r="G22"/>
      <c r="H22"/>
      <c r="I22"/>
      <c r="J22"/>
      <c r="K22"/>
      <c r="L22"/>
      <c r="M22"/>
      <c r="N22"/>
      <c r="O22"/>
      <c r="P22"/>
      <c r="Q22"/>
      <c r="R22"/>
      <c r="S22"/>
      <c r="T22"/>
      <c r="U22"/>
      <c r="V22"/>
      <c r="W22"/>
      <c r="X22"/>
    </row>
    <row r="23" spans="1:24">
      <c r="A23" s="124"/>
      <c r="C23"/>
      <c r="D23"/>
      <c r="E23"/>
      <c r="F23"/>
      <c r="G23"/>
      <c r="H23"/>
      <c r="I23"/>
      <c r="J23"/>
      <c r="K23"/>
      <c r="L23"/>
      <c r="M23"/>
      <c r="N23"/>
      <c r="O23"/>
      <c r="P23"/>
      <c r="Q23"/>
      <c r="R23"/>
      <c r="S23"/>
      <c r="T23"/>
      <c r="U23"/>
      <c r="V23"/>
      <c r="W23"/>
      <c r="X23"/>
    </row>
    <row r="24" spans="1:24">
      <c r="A24" s="124"/>
      <c r="C24"/>
      <c r="D24"/>
      <c r="E24"/>
      <c r="F24"/>
      <c r="G24"/>
      <c r="H24"/>
      <c r="I24"/>
      <c r="J24"/>
      <c r="K24"/>
      <c r="L24"/>
      <c r="M24"/>
      <c r="N24"/>
      <c r="O24"/>
      <c r="P24"/>
      <c r="Q24"/>
      <c r="R24"/>
      <c r="S24"/>
      <c r="T24"/>
      <c r="U24"/>
      <c r="V24"/>
      <c r="W24"/>
      <c r="X24"/>
    </row>
  </sheetData>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1:EN34"/>
  <sheetViews>
    <sheetView zoomScale="85" zoomScaleNormal="85" workbookViewId="0">
      <selection activeCell="A3" sqref="A3:XFD34"/>
    </sheetView>
  </sheetViews>
  <sheetFormatPr defaultRowHeight="15"/>
  <cols>
    <col min="1" max="1" width="5" bestFit="1" customWidth="1"/>
    <col min="2" max="2" width="41.85546875" customWidth="1"/>
    <col min="3" max="3" width="11" customWidth="1"/>
    <col min="6" max="6" width="2.140625" customWidth="1"/>
    <col min="7" max="9" width="2.140625" hidden="1" customWidth="1"/>
    <col min="10" max="10" width="25.7109375" customWidth="1"/>
    <col min="11" max="11" width="10.85546875" customWidth="1"/>
    <col min="12" max="12" width="21.28515625" customWidth="1"/>
    <col min="13" max="13" width="7.42578125" customWidth="1"/>
    <col min="14" max="16" width="5.42578125" customWidth="1"/>
    <col min="18" max="18" width="7" customWidth="1"/>
    <col min="19" max="19" width="7.140625" customWidth="1"/>
    <col min="20" max="20" width="9" customWidth="1"/>
    <col min="21" max="21" width="22.28515625" customWidth="1"/>
    <col min="22" max="22" width="16.7109375" customWidth="1"/>
    <col min="23" max="23" width="16" customWidth="1"/>
    <col min="24" max="24" width="1.85546875" customWidth="1"/>
    <col min="29" max="31" width="5.28515625" customWidth="1"/>
    <col min="33" max="33" width="6.5703125" customWidth="1"/>
    <col min="34" max="34" width="6.85546875" customWidth="1"/>
    <col min="35" max="35" width="8.7109375" customWidth="1"/>
    <col min="37" max="37" width="12.42578125" customWidth="1"/>
    <col min="38" max="38" width="14.7109375" customWidth="1"/>
    <col min="39" max="39" width="2.140625" customWidth="1"/>
    <col min="40" max="46" width="8.85546875" hidden="1" customWidth="1"/>
    <col min="47" max="47" width="2.42578125" hidden="1" customWidth="1"/>
    <col min="48" max="49" width="2.140625" hidden="1" customWidth="1"/>
    <col min="54" max="56" width="5.28515625" customWidth="1"/>
    <col min="58" max="60" width="5.5703125" customWidth="1"/>
    <col min="61" max="61" width="22.85546875" customWidth="1"/>
    <col min="63" max="63" width="7.7109375" customWidth="1"/>
    <col min="64" max="64" width="1.85546875" customWidth="1"/>
    <col min="65" max="65" width="9.5703125" customWidth="1"/>
    <col min="66" max="66" width="21.5703125" customWidth="1"/>
    <col min="68" max="68" width="5.140625" bestFit="1" customWidth="1"/>
    <col min="69" max="71" width="6" customWidth="1"/>
    <col min="72" max="72" width="9.140625" style="78"/>
    <col min="73" max="75" width="6.5703125" customWidth="1"/>
    <col min="76" max="76" width="25.7109375" style="78" customWidth="1"/>
    <col min="77" max="77" width="15.7109375" customWidth="1"/>
    <col min="78" max="78" width="21.140625" customWidth="1"/>
    <col min="79" max="79" width="3.140625" customWidth="1"/>
    <col min="80" max="82" width="7.7109375" hidden="1" customWidth="1"/>
    <col min="83" max="83" width="10.5703125" hidden="1" customWidth="1"/>
    <col min="84" max="84" width="13" hidden="1" customWidth="1"/>
    <col min="85" max="85" width="16.28515625" hidden="1" customWidth="1"/>
    <col min="86" max="86" width="12.140625" hidden="1" customWidth="1"/>
    <col min="87" max="89" width="3.140625" hidden="1" customWidth="1"/>
    <col min="90" max="91" width="5.28515625" customWidth="1"/>
    <col min="94" max="96" width="6.5703125" customWidth="1"/>
    <col min="98" max="100" width="5.85546875" customWidth="1"/>
    <col min="101" max="101" width="19" customWidth="1"/>
    <col min="102" max="102" width="17.42578125" customWidth="1"/>
    <col min="103" max="103" width="22.7109375" customWidth="1"/>
    <col min="104" max="104" width="3" customWidth="1"/>
    <col min="105" max="105" width="18" customWidth="1"/>
    <col min="106" max="106" width="11.5703125" customWidth="1"/>
    <col min="107" max="107" width="25.85546875" customWidth="1"/>
    <col min="109" max="111" width="6.5703125" customWidth="1"/>
    <col min="113" max="115" width="5.85546875" customWidth="1"/>
    <col min="116" max="116" width="19" customWidth="1"/>
    <col min="117" max="117" width="22.42578125" customWidth="1"/>
    <col min="118" max="118" width="22.7109375" customWidth="1"/>
    <col min="119" max="134" width="5.42578125" hidden="1" customWidth="1"/>
    <col min="140" max="140" width="25.28515625" customWidth="1"/>
  </cols>
  <sheetData>
    <row r="1" spans="1:144" ht="51">
      <c r="A1" s="63" t="s">
        <v>0</v>
      </c>
      <c r="B1" s="63" t="s">
        <v>10</v>
      </c>
      <c r="C1" s="63" t="s">
        <v>1</v>
      </c>
      <c r="D1" s="55" t="s">
        <v>14</v>
      </c>
      <c r="E1" s="55" t="s">
        <v>13</v>
      </c>
      <c r="F1" s="64" t="s">
        <v>86</v>
      </c>
      <c r="G1" s="64"/>
      <c r="H1" s="64"/>
      <c r="I1" s="64"/>
      <c r="J1" s="55" t="s">
        <v>72</v>
      </c>
      <c r="K1" s="55" t="s">
        <v>73</v>
      </c>
      <c r="L1" s="55" t="s">
        <v>3</v>
      </c>
      <c r="M1" s="55" t="s">
        <v>4</v>
      </c>
      <c r="N1" s="56" t="s">
        <v>77</v>
      </c>
      <c r="O1" s="56" t="s">
        <v>78</v>
      </c>
      <c r="P1" s="56" t="s">
        <v>79</v>
      </c>
      <c r="Q1" s="55" t="s">
        <v>92</v>
      </c>
      <c r="R1" s="56" t="s">
        <v>74</v>
      </c>
      <c r="S1" s="56" t="s">
        <v>75</v>
      </c>
      <c r="T1" s="56" t="s">
        <v>76</v>
      </c>
      <c r="U1" s="55" t="s">
        <v>6</v>
      </c>
      <c r="V1" s="55" t="s">
        <v>7</v>
      </c>
      <c r="W1" s="55" t="s">
        <v>80</v>
      </c>
      <c r="X1" s="64" t="s">
        <v>87</v>
      </c>
      <c r="Y1" s="57" t="s">
        <v>81</v>
      </c>
      <c r="Z1" s="57" t="s">
        <v>82</v>
      </c>
      <c r="AA1" s="57" t="s">
        <v>3</v>
      </c>
      <c r="AB1" s="57" t="s">
        <v>4</v>
      </c>
      <c r="AC1" s="58" t="s">
        <v>77</v>
      </c>
      <c r="AD1" s="58" t="s">
        <v>78</v>
      </c>
      <c r="AE1" s="58" t="s">
        <v>79</v>
      </c>
      <c r="AF1" s="57" t="s">
        <v>92</v>
      </c>
      <c r="AG1" s="58" t="s">
        <v>74</v>
      </c>
      <c r="AH1" s="58" t="s">
        <v>75</v>
      </c>
      <c r="AI1" s="58" t="s">
        <v>76</v>
      </c>
      <c r="AJ1" s="57" t="s">
        <v>6</v>
      </c>
      <c r="AK1" s="57" t="s">
        <v>7</v>
      </c>
      <c r="AL1" s="57" t="s">
        <v>80</v>
      </c>
      <c r="AM1" s="64" t="s">
        <v>88</v>
      </c>
      <c r="AN1" s="76"/>
      <c r="AO1" s="76"/>
      <c r="AP1" s="76"/>
      <c r="AQ1" s="76"/>
      <c r="AR1" s="76"/>
      <c r="AS1" s="76"/>
      <c r="AT1" s="76"/>
      <c r="AU1" s="76"/>
      <c r="AV1" s="76"/>
      <c r="AW1" s="76"/>
      <c r="AX1" s="59" t="s">
        <v>83</v>
      </c>
      <c r="AY1" s="59" t="s">
        <v>84</v>
      </c>
      <c r="AZ1" s="59" t="s">
        <v>3</v>
      </c>
      <c r="BA1" s="59" t="s">
        <v>4</v>
      </c>
      <c r="BB1" s="56" t="s">
        <v>77</v>
      </c>
      <c r="BC1" s="56" t="s">
        <v>78</v>
      </c>
      <c r="BD1" s="56" t="s">
        <v>79</v>
      </c>
      <c r="BE1" s="59" t="s">
        <v>92</v>
      </c>
      <c r="BF1" s="56" t="s">
        <v>74</v>
      </c>
      <c r="BG1" s="56" t="s">
        <v>75</v>
      </c>
      <c r="BH1" s="56" t="s">
        <v>76</v>
      </c>
      <c r="BI1" s="59" t="s">
        <v>85</v>
      </c>
      <c r="BJ1" s="59" t="s">
        <v>7</v>
      </c>
      <c r="BK1" s="59" t="s">
        <v>80</v>
      </c>
      <c r="BL1" s="64" t="s">
        <v>89</v>
      </c>
      <c r="BM1" s="57" t="s">
        <v>90</v>
      </c>
      <c r="BN1" s="57" t="s">
        <v>94</v>
      </c>
      <c r="BO1" s="57" t="s">
        <v>3</v>
      </c>
      <c r="BP1" s="57" t="s">
        <v>91</v>
      </c>
      <c r="BQ1" s="60" t="s">
        <v>77</v>
      </c>
      <c r="BR1" s="60" t="s">
        <v>78</v>
      </c>
      <c r="BS1" s="60" t="s">
        <v>79</v>
      </c>
      <c r="BT1" s="76" t="s">
        <v>92</v>
      </c>
      <c r="BU1" s="60" t="s">
        <v>74</v>
      </c>
      <c r="BV1" s="60" t="s">
        <v>75</v>
      </c>
      <c r="BW1" s="60" t="s">
        <v>76</v>
      </c>
      <c r="BX1" s="76" t="s">
        <v>85</v>
      </c>
      <c r="BY1" s="57" t="s">
        <v>7</v>
      </c>
      <c r="BZ1" s="57" t="s">
        <v>80</v>
      </c>
      <c r="CA1" s="65" t="s">
        <v>93</v>
      </c>
      <c r="CB1" s="57"/>
      <c r="CC1" s="57"/>
      <c r="CD1" s="57"/>
      <c r="CE1" s="57"/>
      <c r="CF1" s="57"/>
      <c r="CG1" s="57"/>
      <c r="CH1" s="57"/>
      <c r="CI1" s="57"/>
      <c r="CJ1" s="57"/>
      <c r="CK1" s="57"/>
      <c r="CL1" s="61" t="s">
        <v>95</v>
      </c>
      <c r="CM1" s="61" t="s">
        <v>96</v>
      </c>
      <c r="CN1" s="61" t="s">
        <v>3</v>
      </c>
      <c r="CO1" s="61" t="s">
        <v>91</v>
      </c>
      <c r="CP1" s="57" t="s">
        <v>77</v>
      </c>
      <c r="CQ1" s="57" t="s">
        <v>78</v>
      </c>
      <c r="CR1" s="57" t="s">
        <v>79</v>
      </c>
      <c r="CS1" s="61" t="s">
        <v>92</v>
      </c>
      <c r="CT1" s="57" t="s">
        <v>74</v>
      </c>
      <c r="CU1" s="57" t="s">
        <v>75</v>
      </c>
      <c r="CV1" s="57" t="s">
        <v>76</v>
      </c>
      <c r="CW1" s="61" t="s">
        <v>85</v>
      </c>
      <c r="CX1" s="61" t="s">
        <v>7</v>
      </c>
      <c r="CY1" s="61" t="s">
        <v>80</v>
      </c>
      <c r="CZ1" s="65" t="s">
        <v>97</v>
      </c>
      <c r="DA1" s="57" t="s">
        <v>98</v>
      </c>
      <c r="DB1" s="57" t="s">
        <v>99</v>
      </c>
      <c r="DC1" s="57" t="s">
        <v>3</v>
      </c>
      <c r="DD1" s="57" t="s">
        <v>91</v>
      </c>
      <c r="DE1" s="62" t="s">
        <v>77</v>
      </c>
      <c r="DF1" s="62" t="s">
        <v>78</v>
      </c>
      <c r="DG1" s="62" t="s">
        <v>79</v>
      </c>
      <c r="DH1" s="57" t="s">
        <v>92</v>
      </c>
      <c r="DI1" s="62" t="s">
        <v>74</v>
      </c>
      <c r="DJ1" s="62" t="s">
        <v>75</v>
      </c>
      <c r="DK1" s="62" t="s">
        <v>76</v>
      </c>
      <c r="DL1" s="57" t="s">
        <v>85</v>
      </c>
      <c r="DM1" s="57" t="s">
        <v>7</v>
      </c>
      <c r="DN1" s="57" t="s">
        <v>80</v>
      </c>
      <c r="DO1" s="57"/>
      <c r="DP1" s="57"/>
      <c r="DQ1" s="57"/>
      <c r="DR1" s="57"/>
      <c r="DS1" s="57"/>
      <c r="DT1" s="57"/>
      <c r="DU1" s="57"/>
      <c r="DV1" s="57"/>
      <c r="DW1" s="57"/>
      <c r="DX1" s="57"/>
      <c r="DY1" s="57"/>
      <c r="DZ1" s="57"/>
      <c r="EA1" s="57"/>
      <c r="EB1" s="57"/>
      <c r="EC1" s="57"/>
      <c r="ED1" s="57"/>
      <c r="EE1" s="66" t="s">
        <v>20</v>
      </c>
      <c r="EF1" s="66" t="s">
        <v>21</v>
      </c>
      <c r="EG1" s="66" t="s">
        <v>71</v>
      </c>
      <c r="EH1" s="5" t="s">
        <v>254</v>
      </c>
      <c r="EI1" s="66" t="s">
        <v>252</v>
      </c>
      <c r="EJ1" s="138" t="s">
        <v>170</v>
      </c>
      <c r="EK1" s="83" t="s">
        <v>100</v>
      </c>
      <c r="EL1">
        <v>33</v>
      </c>
      <c r="EM1" s="83" t="s">
        <v>101</v>
      </c>
      <c r="EN1">
        <v>33</v>
      </c>
    </row>
    <row r="2" spans="1:144" s="112" customFormat="1">
      <c r="A2" s="67">
        <f>Tonghop!A2</f>
        <v>1</v>
      </c>
      <c r="B2" s="68" t="str">
        <f>Tonghop!D2</f>
        <v>Số 84, đường Lê Duẩn, phường 3, thành phố Sóc Trăng, tỉnh Sóc Trăng.</v>
      </c>
      <c r="C2" s="71" t="str">
        <f>Tonghop!E2</f>
        <v>Sóc Trăng</v>
      </c>
      <c r="D2" s="71" t="str">
        <f>Tonghop!I2</f>
        <v>1802421/2019/PTN-KĐ</v>
      </c>
      <c r="E2" s="67">
        <f>Tonghop!H2</f>
        <v>1</v>
      </c>
      <c r="F2" s="69"/>
      <c r="G2" s="69"/>
      <c r="H2" s="69"/>
      <c r="I2" s="69"/>
      <c r="J2" s="72" t="str">
        <f>IF(E2&gt;1,LEFT(Tonghop!L2,FIND("/",Tonghop!L2,1)-1),Tonghop!L2)</f>
        <v>TẬP ĐOÀN CÔNG NGHIỆP - VIỄN THÔNG QUÂN ĐỘI</v>
      </c>
      <c r="K2" s="72" t="str">
        <f>IF(E2&gt;1,LEFT(Tonghop!M2,FIND(";",Tonghop!M2,1)-1),Tonghop!M2)</f>
        <v>STG0504</v>
      </c>
      <c r="L2" s="72" t="str">
        <f>IF(E2&gt;1,LEFT(Tonghop!N2,FIND(";",Tonghop!N2,1)-1),Tonghop!N2)</f>
        <v>NOKIA Flexi WCDMA BTS</v>
      </c>
      <c r="M2" s="72">
        <f>(LEN(Q2)+1)/2</f>
        <v>3</v>
      </c>
      <c r="N2" s="72" t="str">
        <f>MID(Q2,1,1)</f>
        <v>2</v>
      </c>
      <c r="O2" s="72" t="str">
        <f>MID(Q2,3,1)</f>
        <v>2</v>
      </c>
      <c r="P2" s="72" t="str">
        <f>MID(Q2,5,1)</f>
        <v>2</v>
      </c>
      <c r="Q2" s="72" t="str">
        <f>IF(E2&gt;1,LEFT(Tonghop!P2,FIND(";",Tonghop!P2,1)-1),Tonghop!P2)</f>
        <v>2/2/2</v>
      </c>
      <c r="R2" s="72" t="str">
        <f>MID(U2,1,FIND("W",U2,1)-1)</f>
        <v>40</v>
      </c>
      <c r="S2" s="72" t="str">
        <f>MID(U2,FIND("W",U2,1)+2,FIND("W",U2,FIND("W",U2,1)+1)-FIND("W",U2,1)-2)</f>
        <v>40</v>
      </c>
      <c r="T2" s="72" t="str">
        <f>MID(U2,FIND("W",U2,FIND("W",U2,1)+1)+2,LEN(U2)-FIND("W",U2,FIND("W",U2,1)+1)-2)</f>
        <v>40</v>
      </c>
      <c r="U2" s="72" t="str">
        <f>IF(E2&gt;1,LEFT(Tonghop!Q2,FIND(";",Tonghop!Q2,1)-1),Tonghop!Q2)</f>
        <v>40W/40W/40W</v>
      </c>
      <c r="V2" s="72" t="str">
        <f>IF(E2&gt;1,LEFT(Tonghop!R2,FIND("/",Tonghop!R2,1)-1),Tonghop!R2)</f>
        <v>U2100</v>
      </c>
      <c r="W2" s="72" t="str">
        <f>IF(E2&gt;1,LEFT(Tonghop!S2,FIND(";",Tonghop!S2,1)-1),Tonghop!S2)</f>
        <v>25m/ 25m/ 25m</v>
      </c>
      <c r="X2" s="73"/>
      <c r="Y2" s="74" t="str">
        <f>IF(E2&gt;2,MID(Tonghop!L2,LEN(Temp!J2)+2,FIND("/",Tonghop!L2,LEN(Temp!J2)+2)-LEN(Temp!J2)-2),IF(E2=2,RIGHT(Tonghop!L2,LEN(Tonghop!L2)-LEN(Temp!J2)-1),""))</f>
        <v/>
      </c>
      <c r="Z2" s="74" t="str">
        <f>IF(E2&gt;2,MID(Tonghop!M2,LEN(Temp!K2)+2,FIND(";",Tonghop!M2,LEN(Temp!K2)+2)-LEN(Temp!K2)-2),IF(E2=2,RIGHT(Tonghop!M2,LEN(Tonghop!M2)-LEN(Temp!K2)-1),""))</f>
        <v/>
      </c>
      <c r="AA2" s="74" t="str">
        <f>IF(E2&gt;2,MID(Tonghop!N2,LEN(Temp!L2)+2,FIND(";",Tonghop!N2,LEN(Temp!L2)+2)-LEN(Temp!L2)-2),IF(E2=2,RIGHT(Tonghop!N2,LEN(Tonghop!N2)-LEN(Temp!L2)-1),""))</f>
        <v/>
      </c>
      <c r="AB2" s="75" t="str">
        <f>IF(AF2="","",(LEN(AF2)+1)/2)</f>
        <v/>
      </c>
      <c r="AC2" s="75" t="str">
        <f>MID(AF2,1,1)</f>
        <v/>
      </c>
      <c r="AD2" s="75" t="str">
        <f>MID(AF2,3,1)</f>
        <v/>
      </c>
      <c r="AE2" s="75" t="str">
        <f>MID(AF2,5,1)</f>
        <v/>
      </c>
      <c r="AF2" s="74" t="str">
        <f>IF(E2&gt;2,MID(Tonghop!P2,LEN(Temp!Q2)+2,FIND(";",Tonghop!P2,LEN(Temp!Q2)+2)-LEN(Temp!Q2)-2),IF(E2=2,RIGHT(Tonghop!P2,LEN(Tonghop!P2)-LEN(Temp!Q2)-1),""))</f>
        <v/>
      </c>
      <c r="AG2" s="72" t="str">
        <f>IF(LEN(AJ2)&gt;0,MID(AJ2,1,FIND("W",AJ2,1)-1),"")</f>
        <v/>
      </c>
      <c r="AH2" s="72" t="str">
        <f>IF(LEN(AJ2)&gt;0,MID(AJ2,FIND("W",AJ2,1)+2,FIND("W",AJ2,FIND("W",AJ2,1)+1)-FIND("W",AJ2,1)-2),"")</f>
        <v/>
      </c>
      <c r="AI2" s="72" t="str">
        <f>IF(LEN(AJ2)&gt;0,MID(AJ2,FIND("W",AJ2,FIND("W",AJ2,1)+1)+2,LEN(AJ2)-FIND("W",AJ2,FIND("W",AJ2,1)+1)-2),"")</f>
        <v/>
      </c>
      <c r="AJ2" s="74" t="str">
        <f>IF(E2&gt;2,MID(Tonghop!Q2,LEN(Temp!U2)+2,FIND(";",Tonghop!Q2,LEN(Temp!U2)+2)-LEN(Temp!U2)-2),IF(E2=2,RIGHT(Tonghop!Q2,LEN(Tonghop!Q2)-LEN(Temp!U2)-1),""))</f>
        <v/>
      </c>
      <c r="AK2" s="74" t="str">
        <f>IF(E2&gt;2,MID(Tonghop!R2,LEN(Temp!V2)+2,FIND("/",Tonghop!R2,LEN(Temp!V2)+2)-LEN(Temp!V2)-2),IF(E2=2,RIGHT(Tonghop!R2,LEN(Tonghop!R2)-LEN(Temp!V2)-1),""))</f>
        <v/>
      </c>
      <c r="AL2" s="74" t="str">
        <f>IF(E2&gt;2,MID(Tonghop!S2,LEN(Temp!W2)+2,FIND(";",Tonghop!S2,LEN(Temp!W2)+2)-LEN(Temp!W2)-2),IF(E2=2,RIGHT(Tonghop!S2,LEN(Tonghop!S2)-LEN(Temp!W2)-1),""))</f>
        <v/>
      </c>
      <c r="AM2" s="73"/>
      <c r="AN2" s="75" t="str">
        <f>IF(E2&gt;2,RIGHT(Tonghop!L2,LEN(Tonghop!L2)-LEN(Temp!J2)-LEN(Temp!Y2)-2),"")</f>
        <v/>
      </c>
      <c r="AO2" s="75" t="str">
        <f>IF(E2&gt;2,RIGHT(Tonghop!M2,LEN(Tonghop!M2)-LEN(Temp!K2)-LEN(Temp!Z2)-2),"")</f>
        <v/>
      </c>
      <c r="AP2" s="75" t="str">
        <f>IF(E2&gt;2,RIGHT(Tonghop!N2,LEN(Tonghop!N2)-LEN(Temp!L2)-LEN(Temp!AA2)-2),"")</f>
        <v/>
      </c>
      <c r="AQ2" s="75" t="str">
        <f>IF(E2&gt;2,RIGHT(Tonghop!P2,LEN(Tonghop!P2)-LEN(Temp!Q2)-LEN(Temp!AF2)-2),"")</f>
        <v/>
      </c>
      <c r="AR2" s="75" t="str">
        <f>IF(E2&gt;2,RIGHT(Tonghop!Q2,LEN(Tonghop!Q2)-LEN(U2)-LEN(Temp!AJ2)-2),"")</f>
        <v/>
      </c>
      <c r="AS2" s="75" t="str">
        <f>IF(E2&gt;2,RIGHT(Tonghop!R2,LEN(Tonghop!R2)-LEN(V2)-LEN(Temp!AK2)-2),"")</f>
        <v/>
      </c>
      <c r="AT2" s="75" t="str">
        <f>IF(E2&gt;2,RIGHT(Tonghop!S2,LEN(Tonghop!S2)-LEN(W2)-LEN(Temp!AL2)-2),"")</f>
        <v/>
      </c>
      <c r="AU2" s="75"/>
      <c r="AV2" s="75"/>
      <c r="AW2" s="75"/>
      <c r="AX2" s="75" t="str">
        <f>IF(E2&gt;3,LEFT(AN2,FIND("/",AN2,1)-1),AN2)</f>
        <v/>
      </c>
      <c r="AY2" s="75" t="str">
        <f>IF(E2&gt;3,LEFT(AO2,FIND(";",AO2,1)-1),AO2)</f>
        <v/>
      </c>
      <c r="AZ2" s="75" t="str">
        <f>IF(E2&gt;3,LEFT(AP2,FIND(";",AP2,1)-1),AP2)</f>
        <v/>
      </c>
      <c r="BA2" s="75" t="str">
        <f>IF(BE2="","",(LEN(BE2)+1)/2)</f>
        <v/>
      </c>
      <c r="BB2" s="75" t="str">
        <f>MID(BE2,1,1)</f>
        <v/>
      </c>
      <c r="BC2" s="75" t="str">
        <f>MID(BE2,3,1)</f>
        <v/>
      </c>
      <c r="BD2" s="75" t="str">
        <f>MID(BE2,5,1)</f>
        <v/>
      </c>
      <c r="BE2" s="75" t="str">
        <f>IF(E2&gt;3,LEFT(AQ2,FIND(";",AQ2,1)-1),AQ2)</f>
        <v/>
      </c>
      <c r="BF2" s="72" t="str">
        <f>IF(LEN(BI2)&gt;0,MID(BI2,1,FIND("W",BI2,1)-1),"")</f>
        <v/>
      </c>
      <c r="BG2" s="72" t="str">
        <f>IF(LEN(BI2)&gt;0,MID(BI2,FIND("W",BI2,1)+2,FIND("W",BI2,FIND("W",BI2,1)+1)-FIND("W",BI2,1)-2),"")</f>
        <v/>
      </c>
      <c r="BH2" s="72" t="str">
        <f>IF(LEN(BI2)&gt;0,MID(BI2,FIND("W",BI2,FIND("W",BI2,1)+1)+2,LEN(BI2)-FIND("W",BI2,FIND("W",BI2,1)+1)-2),"")</f>
        <v/>
      </c>
      <c r="BI2" s="75" t="str">
        <f>IF(E2&gt;3,LEFT(AR2,FIND(";",AR2,1)-1),AR2)</f>
        <v/>
      </c>
      <c r="BJ2" s="75" t="str">
        <f>IF(E2&gt;3,LEFT(AS2,FIND("/",AS2,1)-1),AS2)</f>
        <v/>
      </c>
      <c r="BK2" s="75" t="str">
        <f>IF(E2&gt;3,LEFT(AT2,FIND(";",AT2,1)-1),AT2)</f>
        <v/>
      </c>
      <c r="BL2" s="69"/>
      <c r="BM2" s="68" t="str">
        <f>IF(E2&gt;4,MID(AN2,LEN(AX2)+2,FIND("/",AN2,LEN(AX2)+2)-LEN(AX2)-2),IF(E2=4,RIGHT(AN2,LEN(AN2)-LEN(AX2)-1),""))</f>
        <v/>
      </c>
      <c r="BN2" s="68" t="str">
        <f>IF(E2&gt;4,MID(AO2,LEN(AY2)+2,FIND(";",AO2,LEN(AY2)+2)-LEN(AY2)-2),IF(E2=4,RIGHT(AO2,LEN(AO2)-LEN(AY2)-1),""))</f>
        <v/>
      </c>
      <c r="BO2" s="68" t="str">
        <f>IF(E2&gt;4,MID(AP2,LEN(AZ2)+2,FIND(";",AP2,LEN(AZ2)+2)-LEN(AZ2)-2),IF(E2=4,RIGHT(AP2,LEN(AP2)-LEN(AZ2)-1),""))</f>
        <v/>
      </c>
      <c r="BP2" s="75" t="str">
        <f>IF(BT2="","",(LEN(BT2)+1)/2)</f>
        <v/>
      </c>
      <c r="BQ2" s="75" t="str">
        <f>MID(BT2,1,1)</f>
        <v/>
      </c>
      <c r="BR2" s="75" t="str">
        <f>MID(BT2,3,1)</f>
        <v/>
      </c>
      <c r="BS2" s="75" t="str">
        <f>MID(BT2,5,1)</f>
        <v/>
      </c>
      <c r="BT2" s="77" t="str">
        <f>IF(E2&gt;4,MID(AQ2,LEN(BE2)+2,FIND(";",AQ2,LEN(BE2)+2)-LEN(BE2)-2),IF(E2=4,RIGHT(AQ2,LEN(AQ2)-LEN(BE2)-1),""))</f>
        <v/>
      </c>
      <c r="BU2" s="72" t="str">
        <f>IF(LEN(BX2)&gt;0,MID(BX2,1,FIND("W",BX2,1)-1),"")</f>
        <v/>
      </c>
      <c r="BV2" s="72" t="str">
        <f>IF(LEN(BX2)&gt;0,MID(BX2,FIND("W",BX2,1)+2,FIND("W",BX2,FIND("W",BX2,1)+1)-FIND("W",BX2,1)-2),"")</f>
        <v/>
      </c>
      <c r="BW2" s="72" t="str">
        <f>IF(LEN(BX2)&gt;0,MID(BX2,FIND("W",BX2,FIND("W",BX2,1)+1)+2,LEN(BX2)-FIND("W",BX2,FIND("W",BX2,1)+1)-2),"")</f>
        <v/>
      </c>
      <c r="BX2" s="77" t="str">
        <f>IF(E2&gt;4,MID(AR2,LEN(BI2)+2,FIND(";",AR2,LEN(BI2)+2)-LEN(BI2)-2),IF(E2=4,RIGHT(AR2,LEN(AR2)-LEN(BI2)-1),""))</f>
        <v/>
      </c>
      <c r="BY2" s="77" t="str">
        <f>IF(E2&gt;4,MID(AS2,LEN(BJ2)+2,FIND("/",AS2,LEN(BJ2)+2)-LEN(BJ2)-2),IF(E2=4,RIGHT(AS2,LEN(AS2)-LEN(BJ2)-1),""))</f>
        <v/>
      </c>
      <c r="BZ2" s="77" t="str">
        <f>IF(E2&gt;4,MID(AT2,LEN(BK2)+2,FIND(";",AT2,LEN(BK2)+2)-LEN(BK2)-2),IF(E2=4,RIGHT(AT2,LEN(AT2)-LEN(BK2)-1),""))</f>
        <v/>
      </c>
      <c r="CA2" s="69"/>
      <c r="CB2" s="75" t="str">
        <f>IF(E2&gt;4,RIGHT(AN2,LEN(AN2)-LEN(AX2)-LEN(Temp!BM2)-2),"")</f>
        <v/>
      </c>
      <c r="CC2" s="75" t="str">
        <f>IF(E2&gt;4,RIGHT(AO2,LEN(AO2)-LEN(AY2)-LEN(Temp!BN2)-2),"")</f>
        <v/>
      </c>
      <c r="CD2" s="75" t="str">
        <f>IF(E2&gt;4,RIGHT(AP2,LEN(AP2)-LEN(AZ2)-LEN(Temp!BO2)-2),"")</f>
        <v/>
      </c>
      <c r="CE2" s="75" t="str">
        <f>IF(E2&gt;4,RIGHT(AQ2,LEN(AQ2)-LEN(BE2)-LEN(BT2)-2),"")</f>
        <v/>
      </c>
      <c r="CF2" s="75" t="str">
        <f>IF(E2&gt;4,RIGHT(AR2,LEN(AR2)-LEN(BI2)-LEN(BX2)-2),"")</f>
        <v/>
      </c>
      <c r="CG2" s="75" t="str">
        <f>IF(E2&gt;4,RIGHT(AS2,LEN(AS2)-LEN(BJ2)-LEN(BY2)-2),"")</f>
        <v/>
      </c>
      <c r="CH2" s="75" t="str">
        <f>IF(E2&gt;4,RIGHT(AT2,LEN(AT2)-LEN(BK2)-LEN(BZ2)-2),"")</f>
        <v/>
      </c>
      <c r="CI2" s="75"/>
      <c r="CJ2" s="79"/>
      <c r="CK2" s="79"/>
      <c r="CL2" s="75" t="str">
        <f>IF(E2&gt;5,LEFT(CB2,FIND("/",CB2,1)-1),CB2)</f>
        <v/>
      </c>
      <c r="CM2" s="75" t="str">
        <f>IF(E2&gt;5,LEFT(CC2,FIND(";",CC2,1)-1),CC2)</f>
        <v/>
      </c>
      <c r="CN2" s="75" t="str">
        <f>IF(E2&gt;5,LEFT(CD2,FIND(";",CD2,1)-1),CD2)</f>
        <v/>
      </c>
      <c r="CO2" s="75" t="str">
        <f>IF(CS2="","",(LEN(CS2)+1)/2)</f>
        <v/>
      </c>
      <c r="CP2" s="75" t="str">
        <f>MID(CS2,1,1)</f>
        <v/>
      </c>
      <c r="CQ2" s="75" t="str">
        <f>MID(CS2,3,1)</f>
        <v/>
      </c>
      <c r="CR2" s="75" t="str">
        <f>MID(CS2,5,1)</f>
        <v/>
      </c>
      <c r="CS2" s="75" t="str">
        <f>IF(E2&gt;5,LEFT(CE2,FIND(";",CE2,1)-1),CE2)</f>
        <v/>
      </c>
      <c r="CT2" s="72" t="str">
        <f>IF(LEN(CW2)&gt;0,MID(CW2,1,FIND("W",CW2,1)-1),"")</f>
        <v/>
      </c>
      <c r="CU2" s="72" t="str">
        <f>IF(LEN(CW2)&gt;0,MID(CW2,FIND("W",CW2,1)+2,FIND("W",CW2,FIND("W",CW2,1)+1)-FIND("W",CW2,1)-2),"")</f>
        <v/>
      </c>
      <c r="CV2" s="72" t="str">
        <f>IF(LEN(CW2)&gt;0,MID(CW2,FIND("W",CW2,FIND("W",CW2,1)+1)+2,LEN(CW2)-FIND("W",CW2,FIND("W",CW2,1)+1)-2),"")</f>
        <v/>
      </c>
      <c r="CW2" s="75" t="str">
        <f>IF(E2&gt;5,LEFT(CF2,FIND(";",CF2,1)-1),CF2)</f>
        <v/>
      </c>
      <c r="CX2" s="75" t="str">
        <f>IF(E2&gt;5,LEFT(CG2,FIND("/",CG2,1)-1),CG2)</f>
        <v/>
      </c>
      <c r="CY2" s="75" t="str">
        <f>IF(E2&gt;5,LEFT(CH2,FIND(";",CH2,1)-1),CH2)</f>
        <v/>
      </c>
      <c r="CZ2" s="69"/>
      <c r="DA2" s="68" t="str">
        <f>IF(E2=6,RIGHT(CB2,LEN(CB2)-LEN(CL2)-1),"")</f>
        <v/>
      </c>
      <c r="DB2" s="68" t="str">
        <f>IF(D2=6,RIGHT(CC2,LEN(CC2)-LEN(CM2)-1),"")</f>
        <v/>
      </c>
      <c r="DC2" s="68" t="str">
        <f>IF(E2=6,RIGHT(CD2,LEN(CD2)-LEN(CN2)-1),"")</f>
        <v/>
      </c>
      <c r="DD2" s="75" t="str">
        <f>IF(DH2="","",(LEN(DH2)+1)/2)</f>
        <v/>
      </c>
      <c r="DE2" s="75" t="str">
        <f>MID(DH2,1,1)</f>
        <v/>
      </c>
      <c r="DF2" s="75" t="str">
        <f>MID(DH2,3,1)</f>
        <v/>
      </c>
      <c r="DG2" s="75" t="str">
        <f>MID(DH2,5,1)</f>
        <v/>
      </c>
      <c r="DH2" s="77" t="str">
        <f>IF(E2=6,RIGHT(CE2,LEN(CE2)-LEN(CS2)-1),"")</f>
        <v/>
      </c>
      <c r="DI2" s="72" t="str">
        <f>IF(LEN(DL2)&gt;0,MID(DL2,1,FIND("W",DL2,1)-1),"")</f>
        <v/>
      </c>
      <c r="DJ2" s="72" t="str">
        <f>IF(LEN(DL2)&gt;0,MID(DL2,FIND("W",DL2,1)+2,FIND("W",DL2,FIND("W",DL2,1)+1)-FIND("W",DL2,1)-2),"")</f>
        <v/>
      </c>
      <c r="DK2" s="72" t="str">
        <f>IF(LEN(DL2)&gt;0,MID(DL2,FIND("W",DL2,FIND("W",DL2,1)+1)+2,LEN(DL2)-FIND("W",DL2,FIND("W",DL2,1)+1)-2),"")</f>
        <v/>
      </c>
      <c r="DL2" s="77" t="str">
        <f>IF(E2=6,RIGHT(CF2,LEN(CF2)-LEN(CW2)-1),"")</f>
        <v/>
      </c>
      <c r="DM2" s="77" t="str">
        <f>IF(E2=6,RIGHT(CG2,LEN(CG2)-LEN(CX2)-1),"")</f>
        <v/>
      </c>
      <c r="DN2" s="77" t="str">
        <f>IF(E2=6,RIGHT(CH2,LEN(CH2)-LEN(CY2)-1),"")</f>
        <v/>
      </c>
      <c r="DO2" s="68"/>
      <c r="DP2" s="68"/>
      <c r="DQ2" s="68"/>
      <c r="DR2" s="68"/>
      <c r="DS2" s="68"/>
      <c r="DT2" s="68"/>
      <c r="DU2" s="68"/>
      <c r="DV2" s="68"/>
      <c r="DW2" s="68"/>
      <c r="DX2" s="68"/>
      <c r="DY2" s="68"/>
      <c r="DZ2" s="68"/>
      <c r="EA2" s="68"/>
      <c r="EB2" s="68"/>
      <c r="EC2" s="68"/>
      <c r="ED2" s="68"/>
      <c r="EE2" s="68" t="str">
        <f>Tonghop!V2</f>
        <v>Yes</v>
      </c>
      <c r="EF2" s="68" t="str">
        <f>Tonghop!W2</f>
        <v>No</v>
      </c>
      <c r="EG2" s="68" t="str">
        <f>Tonghop!X2</f>
        <v/>
      </c>
      <c r="EH2" s="68" t="str">
        <f>Tonghop!Y2</f>
        <v>Yes</v>
      </c>
      <c r="EI2" s="68">
        <f>Tonghop!Z2</f>
        <v>4</v>
      </c>
      <c r="EJ2" s="139"/>
    </row>
    <row r="3" spans="1:144" s="112" customFormat="1">
      <c r="A3" s="67">
        <f>Tonghop!A3</f>
        <v>2</v>
      </c>
      <c r="B3" s="68" t="str">
        <f>Tonghop!D3</f>
        <v>Ban Chỉ huy Quân sự tỉnh, số 551, đường Lê Hồng Phong, phường 3, thành phố Sóc Trăng, tỉnh Sóc Trăng.</v>
      </c>
      <c r="C3" s="71" t="str">
        <f>Tonghop!E3</f>
        <v>Sóc Trăng</v>
      </c>
      <c r="D3" s="71" t="str">
        <f>Tonghop!I3</f>
        <v>1802422/2019/PTN-KĐ</v>
      </c>
      <c r="E3" s="67">
        <f>Tonghop!H3</f>
        <v>2</v>
      </c>
      <c r="F3" s="69"/>
      <c r="G3" s="69"/>
      <c r="H3" s="69"/>
      <c r="I3" s="69"/>
      <c r="J3" s="72" t="str">
        <f>IF(E3&gt;1,LEFT(Tonghop!L3,FIND("/",Tonghop!L3,1)-1),Tonghop!L3)</f>
        <v>TẬP ĐOÀN CÔNG NGHIỆP - VIỄN THÔNG QUÂN ĐỘI</v>
      </c>
      <c r="K3" s="72" t="str">
        <f>IF(E3&gt;1,LEFT(Tonghop!M3,FIND(";",Tonghop!M3,1)-1),Tonghop!M3)</f>
        <v>STG0051</v>
      </c>
      <c r="L3" s="72" t="str">
        <f>IF(E3&gt;1,LEFT(Tonghop!N3,FIND(";",Tonghop!N3,1)-1),Tonghop!N3)</f>
        <v>NOKIA Flexi EDGE BTS</v>
      </c>
      <c r="M3" s="72">
        <f t="shared" ref="M3:M34" si="0">(LEN(Q3)+1)/2</f>
        <v>3</v>
      </c>
      <c r="N3" s="72" t="str">
        <f t="shared" ref="N3:N34" si="1">MID(Q3,1,1)</f>
        <v>2</v>
      </c>
      <c r="O3" s="72" t="str">
        <f t="shared" ref="O3:O34" si="2">MID(Q3,3,1)</f>
        <v>2</v>
      </c>
      <c r="P3" s="72" t="str">
        <f t="shared" ref="P3:P34" si="3">MID(Q3,5,1)</f>
        <v>4</v>
      </c>
      <c r="Q3" s="72" t="str">
        <f>IF(E3&gt;1,LEFT(Tonghop!P3,FIND(";",Tonghop!P3,1)-1),Tonghop!P3)</f>
        <v>2/2/4</v>
      </c>
      <c r="R3" s="72" t="str">
        <f t="shared" ref="R3:R34" si="4">MID(U3,1,FIND("W",U3,1)-1)</f>
        <v>41.7</v>
      </c>
      <c r="S3" s="72" t="str">
        <f t="shared" ref="S3:S34" si="5">MID(U3,FIND("W",U3,1)+2,FIND("W",U3,FIND("W",U3,1)+1)-FIND("W",U3,1)-2)</f>
        <v>41.7</v>
      </c>
      <c r="T3" s="72" t="str">
        <f t="shared" ref="T3:T34" si="6">MID(U3,FIND("W",U3,FIND("W",U3,1)+1)+2,LEN(U3)-FIND("W",U3,FIND("W",U3,1)+1)-2)</f>
        <v>37.24</v>
      </c>
      <c r="U3" s="72" t="str">
        <f>IF(E3&gt;1,LEFT(Tonghop!Q3,FIND(";",Tonghop!Q3,1)-1),Tonghop!Q3)</f>
        <v>41.7W/41.7W/37.24W</v>
      </c>
      <c r="V3" s="72" t="str">
        <f>IF(E3&gt;1,LEFT(Tonghop!R3,FIND("/",Tonghop!R3,1)-1),Tonghop!R3)</f>
        <v>G900</v>
      </c>
      <c r="W3" s="72" t="str">
        <f>IF(E3&gt;1,LEFT(Tonghop!S3,FIND(";",Tonghop!S3,1)-1),Tonghop!S3)</f>
        <v>31m/ 31m/ 31m</v>
      </c>
      <c r="X3" s="73"/>
      <c r="Y3" s="74" t="str">
        <f>IF(E3&gt;2,MID(Tonghop!L3,LEN(Temp!J3)+2,FIND("/",Tonghop!L3,LEN(Temp!J3)+2)-LEN(Temp!J3)-2),IF(E3=2,RIGHT(Tonghop!L3,LEN(Tonghop!L3)-LEN(Temp!J3)-1),""))</f>
        <v>TẬP ĐOÀN CÔNG NGHIỆP - VIỄN THÔNG QUÂN ĐỘI</v>
      </c>
      <c r="Z3" s="74" t="str">
        <f>IF(E3&gt;2,MID(Tonghop!M3,LEN(Temp!K3)+2,FIND(";",Tonghop!M3,LEN(Temp!K3)+2)-LEN(Temp!K3)-2),IF(E3=2,RIGHT(Tonghop!M3,LEN(Tonghop!M3)-LEN(Temp!K3)-1),""))</f>
        <v>STG0051</v>
      </c>
      <c r="AA3" s="74" t="str">
        <f>IF(E3&gt;2,MID(Tonghop!N3,LEN(Temp!L3)+2,FIND(";",Tonghop!N3,LEN(Temp!L3)+2)-LEN(Temp!L3)-2),IF(E3=2,RIGHT(Tonghop!N3,LEN(Tonghop!N3)-LEN(Temp!L3)-1),""))</f>
        <v>NOKIA Flexi WCDMA BTS</v>
      </c>
      <c r="AB3" s="75">
        <f t="shared" ref="AB3:AB34" si="7">IF(AF3="","",(LEN(AF3)+1)/2)</f>
        <v>3</v>
      </c>
      <c r="AC3" s="75" t="str">
        <f t="shared" ref="AC3:AC34" si="8">MID(AF3,1,1)</f>
        <v>2</v>
      </c>
      <c r="AD3" s="75" t="str">
        <f t="shared" ref="AD3:AD34" si="9">MID(AF3,3,1)</f>
        <v>2</v>
      </c>
      <c r="AE3" s="75" t="str">
        <f t="shared" ref="AE3:AE34" si="10">MID(AF3,5,1)</f>
        <v>2</v>
      </c>
      <c r="AF3" s="74" t="str">
        <f>IF(E3&gt;2,MID(Tonghop!P3,LEN(Temp!Q3)+2,FIND(";",Tonghop!P3,LEN(Temp!Q3)+2)-LEN(Temp!Q3)-2),IF(E3=2,RIGHT(Tonghop!P3,LEN(Tonghop!P3)-LEN(Temp!Q3)-1),""))</f>
        <v>2/2/2</v>
      </c>
      <c r="AG3" s="72" t="str">
        <f t="shared" ref="AG3:AG34" si="11">IF(LEN(AJ3)&gt;0,MID(AJ3,1,FIND("W",AJ3,1)-1),"")</f>
        <v>40</v>
      </c>
      <c r="AH3" s="72" t="str">
        <f t="shared" ref="AH3:AH34" si="12">IF(LEN(AJ3)&gt;0,MID(AJ3,FIND("W",AJ3,1)+2,FIND("W",AJ3,FIND("W",AJ3,1)+1)-FIND("W",AJ3,1)-2),"")</f>
        <v>40</v>
      </c>
      <c r="AI3" s="72" t="str">
        <f t="shared" ref="AI3:AI34" si="13">IF(LEN(AJ3)&gt;0,MID(AJ3,FIND("W",AJ3,FIND("W",AJ3,1)+1)+2,LEN(AJ3)-FIND("W",AJ3,FIND("W",AJ3,1)+1)-2),"")</f>
        <v>40</v>
      </c>
      <c r="AJ3" s="74" t="str">
        <f>IF(E3&gt;2,MID(Tonghop!Q3,LEN(Temp!U3)+2,FIND(";",Tonghop!Q3,LEN(Temp!U3)+2)-LEN(Temp!U3)-2),IF(E3=2,RIGHT(Tonghop!Q3,LEN(Tonghop!Q3)-LEN(Temp!U3)-1),""))</f>
        <v>40W/40W/40W</v>
      </c>
      <c r="AK3" s="74" t="str">
        <f>IF(E3&gt;2,MID(Tonghop!R3,LEN(Temp!V3)+2,FIND("/",Tonghop!R3,LEN(Temp!V3)+2)-LEN(Temp!V3)-2),IF(E3=2,RIGHT(Tonghop!R3,LEN(Tonghop!R3)-LEN(Temp!V3)-1),""))</f>
        <v>U2100</v>
      </c>
      <c r="AL3" s="74" t="str">
        <f>IF(E3&gt;2,MID(Tonghop!S3,LEN(Temp!W3)+2,FIND(";",Tonghop!S3,LEN(Temp!W3)+2)-LEN(Temp!W3)-2),IF(E3=2,RIGHT(Tonghop!S3,LEN(Tonghop!S3)-LEN(Temp!W3)-1),""))</f>
        <v>29m/ 29m/ 29m</v>
      </c>
      <c r="AM3" s="73"/>
      <c r="AN3" s="75" t="str">
        <f>IF(E3&gt;2,RIGHT(Tonghop!L3,LEN(Tonghop!L3)-LEN(Temp!J3)-LEN(Temp!Y3)-2),"")</f>
        <v/>
      </c>
      <c r="AO3" s="75" t="str">
        <f>IF(E3&gt;2,RIGHT(Tonghop!M3,LEN(Tonghop!M3)-LEN(Temp!K3)-LEN(Temp!Z3)-2),"")</f>
        <v/>
      </c>
      <c r="AP3" s="75" t="str">
        <f>IF(E3&gt;2,RIGHT(Tonghop!N3,LEN(Tonghop!N3)-LEN(Temp!L3)-LEN(Temp!AA3)-2),"")</f>
        <v/>
      </c>
      <c r="AQ3" s="75" t="str">
        <f>IF(E3&gt;2,RIGHT(Tonghop!P3,LEN(Tonghop!P3)-LEN(Temp!Q3)-LEN(Temp!AF3)-2),"")</f>
        <v/>
      </c>
      <c r="AR3" s="75" t="str">
        <f>IF(E3&gt;2,RIGHT(Tonghop!Q3,LEN(Tonghop!Q3)-LEN(U3)-LEN(Temp!AJ3)-2),"")</f>
        <v/>
      </c>
      <c r="AS3" s="75" t="str">
        <f>IF(E3&gt;2,RIGHT(Tonghop!R3,LEN(Tonghop!R3)-LEN(V3)-LEN(Temp!AK3)-2),"")</f>
        <v/>
      </c>
      <c r="AT3" s="75" t="str">
        <f>IF(E3&gt;2,RIGHT(Tonghop!S3,LEN(Tonghop!S3)-LEN(W3)-LEN(Temp!AL3)-2),"")</f>
        <v/>
      </c>
      <c r="AU3" s="75"/>
      <c r="AV3" s="75"/>
      <c r="AW3" s="75"/>
      <c r="AX3" s="75" t="str">
        <f t="shared" ref="AX3:AX34" si="14">IF(E3&gt;3,LEFT(AN3,FIND("/",AN3,1)-1),AN3)</f>
        <v/>
      </c>
      <c r="AY3" s="75" t="str">
        <f t="shared" ref="AY3:AY34" si="15">IF(E3&gt;3,LEFT(AO3,FIND(";",AO3,1)-1),AO3)</f>
        <v/>
      </c>
      <c r="AZ3" s="75" t="str">
        <f t="shared" ref="AZ3:AZ34" si="16">IF(E3&gt;3,LEFT(AP3,FIND(";",AP3,1)-1),AP3)</f>
        <v/>
      </c>
      <c r="BA3" s="75" t="str">
        <f t="shared" ref="BA3:BA34" si="17">IF(BE3="","",(LEN(BE3)+1)/2)</f>
        <v/>
      </c>
      <c r="BB3" s="75" t="str">
        <f t="shared" ref="BB3:BB34" si="18">MID(BE3,1,1)</f>
        <v/>
      </c>
      <c r="BC3" s="75" t="str">
        <f t="shared" ref="BC3:BC34" si="19">MID(BE3,3,1)</f>
        <v/>
      </c>
      <c r="BD3" s="75" t="str">
        <f t="shared" ref="BD3:BD34" si="20">MID(BE3,5,1)</f>
        <v/>
      </c>
      <c r="BE3" s="75" t="str">
        <f t="shared" ref="BE3:BE34" si="21">IF(E3&gt;3,LEFT(AQ3,FIND(";",AQ3,1)-1),AQ3)</f>
        <v/>
      </c>
      <c r="BF3" s="72" t="str">
        <f t="shared" ref="BF3:BF34" si="22">IF(LEN(BI3)&gt;0,MID(BI3,1,FIND("W",BI3,1)-1),"")</f>
        <v/>
      </c>
      <c r="BG3" s="72" t="str">
        <f t="shared" ref="BG3:BG34" si="23">IF(LEN(BI3)&gt;0,MID(BI3,FIND("W",BI3,1)+2,FIND("W",BI3,FIND("W",BI3,1)+1)-FIND("W",BI3,1)-2),"")</f>
        <v/>
      </c>
      <c r="BH3" s="72" t="str">
        <f t="shared" ref="BH3:BH34" si="24">IF(LEN(BI3)&gt;0,MID(BI3,FIND("W",BI3,FIND("W",BI3,1)+1)+2,LEN(BI3)-FIND("W",BI3,FIND("W",BI3,1)+1)-2),"")</f>
        <v/>
      </c>
      <c r="BI3" s="75" t="str">
        <f t="shared" ref="BI3:BI34" si="25">IF(E3&gt;3,LEFT(AR3,FIND(";",AR3,1)-1),AR3)</f>
        <v/>
      </c>
      <c r="BJ3" s="75" t="str">
        <f t="shared" ref="BJ3:BJ34" si="26">IF(E3&gt;3,LEFT(AS3,FIND("/",AS3,1)-1),AS3)</f>
        <v/>
      </c>
      <c r="BK3" s="75" t="str">
        <f t="shared" ref="BK3:BK34" si="27">IF(E3&gt;3,LEFT(AT3,FIND(";",AT3,1)-1),AT3)</f>
        <v/>
      </c>
      <c r="BL3" s="69"/>
      <c r="BM3" s="68" t="str">
        <f t="shared" ref="BM3:BM34" si="28">IF(E3&gt;4,MID(AN3,LEN(AX3)+2,FIND("/",AN3,LEN(AX3)+2)-LEN(AX3)-2),IF(E3=4,RIGHT(AN3,LEN(AN3)-LEN(AX3)-1),""))</f>
        <v/>
      </c>
      <c r="BN3" s="68" t="str">
        <f t="shared" ref="BN3:BN34" si="29">IF(E3&gt;4,MID(AO3,LEN(AY3)+2,FIND(";",AO3,LEN(AY3)+2)-LEN(AY3)-2),IF(E3=4,RIGHT(AO3,LEN(AO3)-LEN(AY3)-1),""))</f>
        <v/>
      </c>
      <c r="BO3" s="68" t="str">
        <f t="shared" ref="BO3:BO34" si="30">IF(E3&gt;4,MID(AP3,LEN(AZ3)+2,FIND(";",AP3,LEN(AZ3)+2)-LEN(AZ3)-2),IF(E3=4,RIGHT(AP3,LEN(AP3)-LEN(AZ3)-1),""))</f>
        <v/>
      </c>
      <c r="BP3" s="75" t="str">
        <f t="shared" ref="BP3:BP34" si="31">IF(BT3="","",(LEN(BT3)+1)/2)</f>
        <v/>
      </c>
      <c r="BQ3" s="75" t="str">
        <f t="shared" ref="BQ3:BQ34" si="32">MID(BT3,1,1)</f>
        <v/>
      </c>
      <c r="BR3" s="75" t="str">
        <f t="shared" ref="BR3:BR34" si="33">MID(BT3,3,1)</f>
        <v/>
      </c>
      <c r="BS3" s="75" t="str">
        <f t="shared" ref="BS3:BS34" si="34">MID(BT3,5,1)</f>
        <v/>
      </c>
      <c r="BT3" s="77" t="str">
        <f t="shared" ref="BT3:BT34" si="35">IF(E3&gt;4,MID(AQ3,LEN(BE3)+2,FIND(";",AQ3,LEN(BE3)+2)-LEN(BE3)-2),IF(E3=4,RIGHT(AQ3,LEN(AQ3)-LEN(BE3)-1),""))</f>
        <v/>
      </c>
      <c r="BU3" s="72" t="str">
        <f t="shared" ref="BU3:BU34" si="36">IF(LEN(BX3)&gt;0,MID(BX3,1,FIND("W",BX3,1)-1),"")</f>
        <v/>
      </c>
      <c r="BV3" s="72" t="str">
        <f t="shared" ref="BV3:BV34" si="37">IF(LEN(BX3)&gt;0,MID(BX3,FIND("W",BX3,1)+2,FIND("W",BX3,FIND("W",BX3,1)+1)-FIND("W",BX3,1)-2),"")</f>
        <v/>
      </c>
      <c r="BW3" s="72" t="str">
        <f t="shared" ref="BW3:BW34" si="38">IF(LEN(BX3)&gt;0,MID(BX3,FIND("W",BX3,FIND("W",BX3,1)+1)+2,LEN(BX3)-FIND("W",BX3,FIND("W",BX3,1)+1)-2),"")</f>
        <v/>
      </c>
      <c r="BX3" s="77" t="str">
        <f t="shared" ref="BX3:BX34" si="39">IF(E3&gt;4,MID(AR3,LEN(BI3)+2,FIND(";",AR3,LEN(BI3)+2)-LEN(BI3)-2),IF(E3=4,RIGHT(AR3,LEN(AR3)-LEN(BI3)-1),""))</f>
        <v/>
      </c>
      <c r="BY3" s="77" t="str">
        <f t="shared" ref="BY3:BY34" si="40">IF(E3&gt;4,MID(AS3,LEN(BJ3)+2,FIND("/",AS3,LEN(BJ3)+2)-LEN(BJ3)-2),IF(E3=4,RIGHT(AS3,LEN(AS3)-LEN(BJ3)-1),""))</f>
        <v/>
      </c>
      <c r="BZ3" s="77" t="str">
        <f t="shared" ref="BZ3:BZ34" si="41">IF(E3&gt;4,MID(AT3,LEN(BK3)+2,FIND(";",AT3,LEN(BK3)+2)-LEN(BK3)-2),IF(E3=4,RIGHT(AT3,LEN(AT3)-LEN(BK3)-1),""))</f>
        <v/>
      </c>
      <c r="CA3" s="69"/>
      <c r="CB3" s="75" t="str">
        <f>IF(E3&gt;4,RIGHT(AN3,LEN(AN3)-LEN(AX3)-LEN(Temp!BM3)-2),"")</f>
        <v/>
      </c>
      <c r="CC3" s="75" t="str">
        <f>IF(E3&gt;4,RIGHT(AO3,LEN(AO3)-LEN(AY3)-LEN(Temp!BN3)-2),"")</f>
        <v/>
      </c>
      <c r="CD3" s="75" t="str">
        <f>IF(E3&gt;4,RIGHT(AP3,LEN(AP3)-LEN(AZ3)-LEN(Temp!BO3)-2),"")</f>
        <v/>
      </c>
      <c r="CE3" s="75" t="str">
        <f t="shared" ref="CE3:CE34" si="42">IF(E3&gt;4,RIGHT(AQ3,LEN(AQ3)-LEN(BE3)-LEN(BT3)-2),"")</f>
        <v/>
      </c>
      <c r="CF3" s="75" t="str">
        <f t="shared" ref="CF3:CF34" si="43">IF(E3&gt;4,RIGHT(AR3,LEN(AR3)-LEN(BI3)-LEN(BX3)-2),"")</f>
        <v/>
      </c>
      <c r="CG3" s="75" t="str">
        <f t="shared" ref="CG3:CG34" si="44">IF(E3&gt;4,RIGHT(AS3,LEN(AS3)-LEN(BJ3)-LEN(BY3)-2),"")</f>
        <v/>
      </c>
      <c r="CH3" s="75" t="str">
        <f t="shared" ref="CH3:CH34" si="45">IF(E3&gt;4,RIGHT(AT3,LEN(AT3)-LEN(BK3)-LEN(BZ3)-2),"")</f>
        <v/>
      </c>
      <c r="CI3" s="75"/>
      <c r="CJ3" s="79"/>
      <c r="CK3" s="79"/>
      <c r="CL3" s="75" t="str">
        <f t="shared" ref="CL3:CL34" si="46">IF(E3&gt;5,LEFT(CB3,FIND("/",CB3,1)-1),CB3)</f>
        <v/>
      </c>
      <c r="CM3" s="75" t="str">
        <f t="shared" ref="CM3:CM34" si="47">IF(E3&gt;5,LEFT(CC3,FIND(";",CC3,1)-1),CC3)</f>
        <v/>
      </c>
      <c r="CN3" s="75" t="str">
        <f t="shared" ref="CN3:CN34" si="48">IF(E3&gt;5,LEFT(CD3,FIND(";",CD3,1)-1),CD3)</f>
        <v/>
      </c>
      <c r="CO3" s="75" t="str">
        <f t="shared" ref="CO3:CO34" si="49">IF(CS3="","",(LEN(CS3)+1)/2)</f>
        <v/>
      </c>
      <c r="CP3" s="75" t="str">
        <f t="shared" ref="CP3:CP34" si="50">MID(CS3,1,1)</f>
        <v/>
      </c>
      <c r="CQ3" s="75" t="str">
        <f t="shared" ref="CQ3:CQ34" si="51">MID(CS3,3,1)</f>
        <v/>
      </c>
      <c r="CR3" s="75" t="str">
        <f t="shared" ref="CR3:CR34" si="52">MID(CS3,5,1)</f>
        <v/>
      </c>
      <c r="CS3" s="75" t="str">
        <f t="shared" ref="CS3:CS34" si="53">IF(E3&gt;5,LEFT(CE3,FIND(";",CE3,1)-1),CE3)</f>
        <v/>
      </c>
      <c r="CT3" s="72" t="str">
        <f t="shared" ref="CT3:CT34" si="54">IF(LEN(CW3)&gt;0,MID(CW3,1,FIND("W",CW3,1)-1),"")</f>
        <v/>
      </c>
      <c r="CU3" s="72" t="str">
        <f t="shared" ref="CU3:CU34" si="55">IF(LEN(CW3)&gt;0,MID(CW3,FIND("W",CW3,1)+2,FIND("W",CW3,FIND("W",CW3,1)+1)-FIND("W",CW3,1)-2),"")</f>
        <v/>
      </c>
      <c r="CV3" s="72" t="str">
        <f t="shared" ref="CV3:CV34" si="56">IF(LEN(CW3)&gt;0,MID(CW3,FIND("W",CW3,FIND("W",CW3,1)+1)+2,LEN(CW3)-FIND("W",CW3,FIND("W",CW3,1)+1)-2),"")</f>
        <v/>
      </c>
      <c r="CW3" s="75" t="str">
        <f t="shared" ref="CW3:CW34" si="57">IF(E3&gt;5,LEFT(CF3,FIND(";",CF3,1)-1),CF3)</f>
        <v/>
      </c>
      <c r="CX3" s="75" t="str">
        <f t="shared" ref="CX3:CX34" si="58">IF(E3&gt;5,LEFT(CG3,FIND("/",CG3,1)-1),CG3)</f>
        <v/>
      </c>
      <c r="CY3" s="75" t="str">
        <f t="shared" ref="CY3:CY34" si="59">IF(E3&gt;5,LEFT(CH3,FIND(";",CH3,1)-1),CH3)</f>
        <v/>
      </c>
      <c r="CZ3" s="69"/>
      <c r="DA3" s="68" t="str">
        <f t="shared" ref="DA3:DA34" si="60">IF(E3=6,RIGHT(CB3,LEN(CB3)-LEN(CL3)-1),"")</f>
        <v/>
      </c>
      <c r="DB3" s="68" t="str">
        <f t="shared" ref="DB3:DB34" si="61">IF(D3=6,RIGHT(CC3,LEN(CC3)-LEN(CM3)-1),"")</f>
        <v/>
      </c>
      <c r="DC3" s="68" t="str">
        <f t="shared" ref="DC3:DC34" si="62">IF(E3=6,RIGHT(CD3,LEN(CD3)-LEN(CN3)-1),"")</f>
        <v/>
      </c>
      <c r="DD3" s="75" t="str">
        <f t="shared" ref="DD3:DD34" si="63">IF(DH3="","",(LEN(DH3)+1)/2)</f>
        <v/>
      </c>
      <c r="DE3" s="75" t="str">
        <f t="shared" ref="DE3:DE34" si="64">MID(DH3,1,1)</f>
        <v/>
      </c>
      <c r="DF3" s="75" t="str">
        <f t="shared" ref="DF3:DF34" si="65">MID(DH3,3,1)</f>
        <v/>
      </c>
      <c r="DG3" s="75" t="str">
        <f t="shared" ref="DG3:DG34" si="66">MID(DH3,5,1)</f>
        <v/>
      </c>
      <c r="DH3" s="77" t="str">
        <f t="shared" ref="DH3:DH34" si="67">IF(E3=6,RIGHT(CE3,LEN(CE3)-LEN(CS3)-1),"")</f>
        <v/>
      </c>
      <c r="DI3" s="72" t="str">
        <f t="shared" ref="DI3:DI34" si="68">IF(LEN(DL3)&gt;0,MID(DL3,1,FIND("W",DL3,1)-1),"")</f>
        <v/>
      </c>
      <c r="DJ3" s="72" t="str">
        <f t="shared" ref="DJ3:DJ34" si="69">IF(LEN(DL3)&gt;0,MID(DL3,FIND("W",DL3,1)+2,FIND("W",DL3,FIND("W",DL3,1)+1)-FIND("W",DL3,1)-2),"")</f>
        <v/>
      </c>
      <c r="DK3" s="72" t="str">
        <f t="shared" ref="DK3:DK34" si="70">IF(LEN(DL3)&gt;0,MID(DL3,FIND("W",DL3,FIND("W",DL3,1)+1)+2,LEN(DL3)-FIND("W",DL3,FIND("W",DL3,1)+1)-2),"")</f>
        <v/>
      </c>
      <c r="DL3" s="77" t="str">
        <f t="shared" ref="DL3:DL34" si="71">IF(E3=6,RIGHT(CF3,LEN(CF3)-LEN(CW3)-1),"")</f>
        <v/>
      </c>
      <c r="DM3" s="77" t="str">
        <f t="shared" ref="DM3:DM34" si="72">IF(E3=6,RIGHT(CG3,LEN(CG3)-LEN(CX3)-1),"")</f>
        <v/>
      </c>
      <c r="DN3" s="77" t="str">
        <f t="shared" ref="DN3:DN34" si="73">IF(E3=6,RIGHT(CH3,LEN(CH3)-LEN(CY3)-1),"")</f>
        <v/>
      </c>
      <c r="DO3" s="68"/>
      <c r="DP3" s="68"/>
      <c r="DQ3" s="68"/>
      <c r="DR3" s="68"/>
      <c r="DS3" s="68"/>
      <c r="DT3" s="68"/>
      <c r="DU3" s="68"/>
      <c r="DV3" s="68"/>
      <c r="DW3" s="68"/>
      <c r="DX3" s="68"/>
      <c r="DY3" s="68"/>
      <c r="DZ3" s="68"/>
      <c r="EA3" s="68"/>
      <c r="EB3" s="68"/>
      <c r="EC3" s="68"/>
      <c r="ED3" s="68"/>
      <c r="EE3" s="68" t="str">
        <f>Tonghop!V3</f>
        <v>Yes</v>
      </c>
      <c r="EF3" s="68" t="str">
        <f>Tonghop!W3</f>
        <v>No</v>
      </c>
      <c r="EG3" s="68" t="str">
        <f>Tonghop!X3</f>
        <v/>
      </c>
      <c r="EH3" s="68" t="str">
        <f>Tonghop!Y3</f>
        <v>Yes</v>
      </c>
      <c r="EI3" s="68">
        <f>Tonghop!Z3</f>
        <v>25</v>
      </c>
      <c r="EJ3" s="139"/>
    </row>
    <row r="4" spans="1:144" s="112" customFormat="1">
      <c r="A4" s="67">
        <f>Tonghop!A4</f>
        <v>3</v>
      </c>
      <c r="B4" s="68" t="str">
        <f>Tonghop!D4</f>
        <v>Số 383/146, đường 30 Tháng 4, khóm 5, phường 9, thành phố Sóc Trăng, tỉnh Sóc Trăng.</v>
      </c>
      <c r="C4" s="71" t="str">
        <f>Tonghop!E4</f>
        <v>Sóc Trăng</v>
      </c>
      <c r="D4" s="71" t="str">
        <f>Tonghop!I4</f>
        <v>1802423/2019/PTN-KĐ</v>
      </c>
      <c r="E4" s="67">
        <f>Tonghop!H4</f>
        <v>1</v>
      </c>
      <c r="F4" s="69"/>
      <c r="G4" s="69"/>
      <c r="H4" s="69"/>
      <c r="I4" s="69"/>
      <c r="J4" s="72" t="str">
        <f>IF(E4&gt;1,LEFT(Tonghop!L4,FIND("/",Tonghop!L4,1)-1),Tonghop!L4)</f>
        <v>TẬP ĐOÀN CÔNG NGHIỆP - VIỄN THÔNG QUÂN ĐỘI</v>
      </c>
      <c r="K4" s="72" t="str">
        <f>IF(E4&gt;1,LEFT(Tonghop!M4,FIND(";",Tonghop!M4,1)-1),Tonghop!M4)</f>
        <v>STG0415</v>
      </c>
      <c r="L4" s="72" t="str">
        <f>IF(E4&gt;1,LEFT(Tonghop!N4,FIND(";",Tonghop!N4,1)-1),Tonghop!N4)</f>
        <v>NOKIA Flexi WCDMA BTS</v>
      </c>
      <c r="M4" s="72">
        <f t="shared" si="0"/>
        <v>3</v>
      </c>
      <c r="N4" s="72" t="str">
        <f t="shared" si="1"/>
        <v>2</v>
      </c>
      <c r="O4" s="72" t="str">
        <f t="shared" si="2"/>
        <v>2</v>
      </c>
      <c r="P4" s="72" t="str">
        <f t="shared" si="3"/>
        <v>2</v>
      </c>
      <c r="Q4" s="72" t="str">
        <f>IF(E4&gt;1,LEFT(Tonghop!P4,FIND(";",Tonghop!P4,1)-1),Tonghop!P4)</f>
        <v>2/2/2</v>
      </c>
      <c r="R4" s="72" t="str">
        <f t="shared" si="4"/>
        <v>40</v>
      </c>
      <c r="S4" s="72" t="str">
        <f t="shared" si="5"/>
        <v>40</v>
      </c>
      <c r="T4" s="72" t="str">
        <f t="shared" si="6"/>
        <v>40</v>
      </c>
      <c r="U4" s="72" t="str">
        <f>IF(E4&gt;1,LEFT(Tonghop!Q4,FIND(";",Tonghop!Q4,1)-1),Tonghop!Q4)</f>
        <v>40W/40W/40W</v>
      </c>
      <c r="V4" s="72" t="str">
        <f>IF(E4&gt;1,LEFT(Tonghop!R4,FIND("/",Tonghop!R4,1)-1),Tonghop!R4)</f>
        <v>U2100</v>
      </c>
      <c r="W4" s="72" t="str">
        <f>IF(E4&gt;1,LEFT(Tonghop!S4,FIND(";",Tonghop!S4,1)-1),Tonghop!S4)</f>
        <v>35m/ 35m/ 35m</v>
      </c>
      <c r="X4" s="73"/>
      <c r="Y4" s="74" t="str">
        <f>IF(E4&gt;2,MID(Tonghop!L4,LEN(Temp!J4)+2,FIND("/",Tonghop!L4,LEN(Temp!J4)+2)-LEN(Temp!J4)-2),IF(E4=2,RIGHT(Tonghop!L4,LEN(Tonghop!L4)-LEN(Temp!J4)-1),""))</f>
        <v/>
      </c>
      <c r="Z4" s="74" t="str">
        <f>IF(E4&gt;2,MID(Tonghop!M4,LEN(Temp!K4)+2,FIND(";",Tonghop!M4,LEN(Temp!K4)+2)-LEN(Temp!K4)-2),IF(E4=2,RIGHT(Tonghop!M4,LEN(Tonghop!M4)-LEN(Temp!K4)-1),""))</f>
        <v/>
      </c>
      <c r="AA4" s="74" t="str">
        <f>IF(E4&gt;2,MID(Tonghop!N4,LEN(Temp!L4)+2,FIND(";",Tonghop!N4,LEN(Temp!L4)+2)-LEN(Temp!L4)-2),IF(E4=2,RIGHT(Tonghop!N4,LEN(Tonghop!N4)-LEN(Temp!L4)-1),""))</f>
        <v/>
      </c>
      <c r="AB4" s="75" t="str">
        <f t="shared" si="7"/>
        <v/>
      </c>
      <c r="AC4" s="75" t="str">
        <f t="shared" si="8"/>
        <v/>
      </c>
      <c r="AD4" s="75" t="str">
        <f t="shared" si="9"/>
        <v/>
      </c>
      <c r="AE4" s="75" t="str">
        <f t="shared" si="10"/>
        <v/>
      </c>
      <c r="AF4" s="74" t="str">
        <f>IF(E4&gt;2,MID(Tonghop!P4,LEN(Temp!Q4)+2,FIND(";",Tonghop!P4,LEN(Temp!Q4)+2)-LEN(Temp!Q4)-2),IF(E4=2,RIGHT(Tonghop!P4,LEN(Tonghop!P4)-LEN(Temp!Q4)-1),""))</f>
        <v/>
      </c>
      <c r="AG4" s="72" t="str">
        <f t="shared" si="11"/>
        <v/>
      </c>
      <c r="AH4" s="72" t="str">
        <f t="shared" si="12"/>
        <v/>
      </c>
      <c r="AI4" s="72" t="str">
        <f t="shared" si="13"/>
        <v/>
      </c>
      <c r="AJ4" s="74" t="str">
        <f>IF(E4&gt;2,MID(Tonghop!Q4,LEN(Temp!U4)+2,FIND(";",Tonghop!Q4,LEN(Temp!U4)+2)-LEN(Temp!U4)-2),IF(E4=2,RIGHT(Tonghop!Q4,LEN(Tonghop!Q4)-LEN(Temp!U4)-1),""))</f>
        <v/>
      </c>
      <c r="AK4" s="74" t="str">
        <f>IF(E4&gt;2,MID(Tonghop!R4,LEN(Temp!V4)+2,FIND("/",Tonghop!R4,LEN(Temp!V4)+2)-LEN(Temp!V4)-2),IF(E4=2,RIGHT(Tonghop!R4,LEN(Tonghop!R4)-LEN(Temp!V4)-1),""))</f>
        <v/>
      </c>
      <c r="AL4" s="74" t="str">
        <f>IF(E4&gt;2,MID(Tonghop!S4,LEN(Temp!W4)+2,FIND(";",Tonghop!S4,LEN(Temp!W4)+2)-LEN(Temp!W4)-2),IF(E4=2,RIGHT(Tonghop!S4,LEN(Tonghop!S4)-LEN(Temp!W4)-1),""))</f>
        <v/>
      </c>
      <c r="AM4" s="73"/>
      <c r="AN4" s="75" t="str">
        <f>IF(E4&gt;2,RIGHT(Tonghop!L4,LEN(Tonghop!L4)-LEN(Temp!J4)-LEN(Temp!Y4)-2),"")</f>
        <v/>
      </c>
      <c r="AO4" s="75" t="str">
        <f>IF(E4&gt;2,RIGHT(Tonghop!M4,LEN(Tonghop!M4)-LEN(Temp!K4)-LEN(Temp!Z4)-2),"")</f>
        <v/>
      </c>
      <c r="AP4" s="75" t="str">
        <f>IF(E4&gt;2,RIGHT(Tonghop!N4,LEN(Tonghop!N4)-LEN(Temp!L4)-LEN(Temp!AA4)-2),"")</f>
        <v/>
      </c>
      <c r="AQ4" s="75" t="str">
        <f>IF(E4&gt;2,RIGHT(Tonghop!P4,LEN(Tonghop!P4)-LEN(Temp!Q4)-LEN(Temp!AF4)-2),"")</f>
        <v/>
      </c>
      <c r="AR4" s="75" t="str">
        <f>IF(E4&gt;2,RIGHT(Tonghop!Q4,LEN(Tonghop!Q4)-LEN(U4)-LEN(Temp!AJ4)-2),"")</f>
        <v/>
      </c>
      <c r="AS4" s="75" t="str">
        <f>IF(E4&gt;2,RIGHT(Tonghop!R4,LEN(Tonghop!R4)-LEN(V4)-LEN(Temp!AK4)-2),"")</f>
        <v/>
      </c>
      <c r="AT4" s="75" t="str">
        <f>IF(E4&gt;2,RIGHT(Tonghop!S4,LEN(Tonghop!S4)-LEN(W4)-LEN(Temp!AL4)-2),"")</f>
        <v/>
      </c>
      <c r="AU4" s="75"/>
      <c r="AV4" s="75"/>
      <c r="AW4" s="75"/>
      <c r="AX4" s="75" t="str">
        <f t="shared" si="14"/>
        <v/>
      </c>
      <c r="AY4" s="75" t="str">
        <f t="shared" si="15"/>
        <v/>
      </c>
      <c r="AZ4" s="75" t="str">
        <f t="shared" si="16"/>
        <v/>
      </c>
      <c r="BA4" s="75" t="str">
        <f t="shared" si="17"/>
        <v/>
      </c>
      <c r="BB4" s="75" t="str">
        <f t="shared" si="18"/>
        <v/>
      </c>
      <c r="BC4" s="75" t="str">
        <f t="shared" si="19"/>
        <v/>
      </c>
      <c r="BD4" s="75" t="str">
        <f t="shared" si="20"/>
        <v/>
      </c>
      <c r="BE4" s="75" t="str">
        <f t="shared" si="21"/>
        <v/>
      </c>
      <c r="BF4" s="72" t="str">
        <f t="shared" si="22"/>
        <v/>
      </c>
      <c r="BG4" s="72" t="str">
        <f t="shared" si="23"/>
        <v/>
      </c>
      <c r="BH4" s="72" t="str">
        <f t="shared" si="24"/>
        <v/>
      </c>
      <c r="BI4" s="75" t="str">
        <f t="shared" si="25"/>
        <v/>
      </c>
      <c r="BJ4" s="75" t="str">
        <f t="shared" si="26"/>
        <v/>
      </c>
      <c r="BK4" s="75" t="str">
        <f t="shared" si="27"/>
        <v/>
      </c>
      <c r="BL4" s="69"/>
      <c r="BM4" s="68" t="str">
        <f t="shared" si="28"/>
        <v/>
      </c>
      <c r="BN4" s="68" t="str">
        <f t="shared" si="29"/>
        <v/>
      </c>
      <c r="BO4" s="68" t="str">
        <f t="shared" si="30"/>
        <v/>
      </c>
      <c r="BP4" s="75" t="str">
        <f t="shared" si="31"/>
        <v/>
      </c>
      <c r="BQ4" s="75" t="str">
        <f t="shared" si="32"/>
        <v/>
      </c>
      <c r="BR4" s="75" t="str">
        <f t="shared" si="33"/>
        <v/>
      </c>
      <c r="BS4" s="75" t="str">
        <f t="shared" si="34"/>
        <v/>
      </c>
      <c r="BT4" s="77" t="str">
        <f t="shared" si="35"/>
        <v/>
      </c>
      <c r="BU4" s="72" t="str">
        <f t="shared" si="36"/>
        <v/>
      </c>
      <c r="BV4" s="72" t="str">
        <f t="shared" si="37"/>
        <v/>
      </c>
      <c r="BW4" s="72" t="str">
        <f t="shared" si="38"/>
        <v/>
      </c>
      <c r="BX4" s="77" t="str">
        <f t="shared" si="39"/>
        <v/>
      </c>
      <c r="BY4" s="77" t="str">
        <f t="shared" si="40"/>
        <v/>
      </c>
      <c r="BZ4" s="77" t="str">
        <f t="shared" si="41"/>
        <v/>
      </c>
      <c r="CA4" s="69"/>
      <c r="CB4" s="75" t="str">
        <f>IF(E4&gt;4,RIGHT(AN4,LEN(AN4)-LEN(AX4)-LEN(Temp!BM4)-2),"")</f>
        <v/>
      </c>
      <c r="CC4" s="75" t="str">
        <f>IF(E4&gt;4,RIGHT(AO4,LEN(AO4)-LEN(AY4)-LEN(Temp!BN4)-2),"")</f>
        <v/>
      </c>
      <c r="CD4" s="75" t="str">
        <f>IF(E4&gt;4,RIGHT(AP4,LEN(AP4)-LEN(AZ4)-LEN(Temp!BO4)-2),"")</f>
        <v/>
      </c>
      <c r="CE4" s="75" t="str">
        <f t="shared" si="42"/>
        <v/>
      </c>
      <c r="CF4" s="75" t="str">
        <f t="shared" si="43"/>
        <v/>
      </c>
      <c r="CG4" s="75" t="str">
        <f t="shared" si="44"/>
        <v/>
      </c>
      <c r="CH4" s="75" t="str">
        <f t="shared" si="45"/>
        <v/>
      </c>
      <c r="CI4" s="75"/>
      <c r="CJ4" s="79"/>
      <c r="CK4" s="79"/>
      <c r="CL4" s="75" t="str">
        <f t="shared" si="46"/>
        <v/>
      </c>
      <c r="CM4" s="75" t="str">
        <f t="shared" si="47"/>
        <v/>
      </c>
      <c r="CN4" s="75" t="str">
        <f t="shared" si="48"/>
        <v/>
      </c>
      <c r="CO4" s="75" t="str">
        <f t="shared" si="49"/>
        <v/>
      </c>
      <c r="CP4" s="75" t="str">
        <f t="shared" si="50"/>
        <v/>
      </c>
      <c r="CQ4" s="75" t="str">
        <f t="shared" si="51"/>
        <v/>
      </c>
      <c r="CR4" s="75" t="str">
        <f t="shared" si="52"/>
        <v/>
      </c>
      <c r="CS4" s="75" t="str">
        <f t="shared" si="53"/>
        <v/>
      </c>
      <c r="CT4" s="72" t="str">
        <f t="shared" si="54"/>
        <v/>
      </c>
      <c r="CU4" s="72" t="str">
        <f t="shared" si="55"/>
        <v/>
      </c>
      <c r="CV4" s="72" t="str">
        <f t="shared" si="56"/>
        <v/>
      </c>
      <c r="CW4" s="75" t="str">
        <f t="shared" si="57"/>
        <v/>
      </c>
      <c r="CX4" s="75" t="str">
        <f t="shared" si="58"/>
        <v/>
      </c>
      <c r="CY4" s="75" t="str">
        <f t="shared" si="59"/>
        <v/>
      </c>
      <c r="CZ4" s="69"/>
      <c r="DA4" s="68" t="str">
        <f t="shared" si="60"/>
        <v/>
      </c>
      <c r="DB4" s="68" t="str">
        <f t="shared" si="61"/>
        <v/>
      </c>
      <c r="DC4" s="68" t="str">
        <f t="shared" si="62"/>
        <v/>
      </c>
      <c r="DD4" s="75" t="str">
        <f t="shared" si="63"/>
        <v/>
      </c>
      <c r="DE4" s="75" t="str">
        <f t="shared" si="64"/>
        <v/>
      </c>
      <c r="DF4" s="75" t="str">
        <f t="shared" si="65"/>
        <v/>
      </c>
      <c r="DG4" s="75" t="str">
        <f t="shared" si="66"/>
        <v/>
      </c>
      <c r="DH4" s="77" t="str">
        <f t="shared" si="67"/>
        <v/>
      </c>
      <c r="DI4" s="72" t="str">
        <f t="shared" si="68"/>
        <v/>
      </c>
      <c r="DJ4" s="72" t="str">
        <f t="shared" si="69"/>
        <v/>
      </c>
      <c r="DK4" s="72" t="str">
        <f t="shared" si="70"/>
        <v/>
      </c>
      <c r="DL4" s="77" t="str">
        <f t="shared" si="71"/>
        <v/>
      </c>
      <c r="DM4" s="77" t="str">
        <f t="shared" si="72"/>
        <v/>
      </c>
      <c r="DN4" s="77" t="str">
        <f t="shared" si="73"/>
        <v/>
      </c>
      <c r="DO4" s="68"/>
      <c r="DP4" s="68"/>
      <c r="DQ4" s="68"/>
      <c r="DR4" s="68"/>
      <c r="DS4" s="68"/>
      <c r="DT4" s="68"/>
      <c r="DU4" s="68"/>
      <c r="DV4" s="68"/>
      <c r="DW4" s="68"/>
      <c r="DX4" s="68"/>
      <c r="DY4" s="68"/>
      <c r="DZ4" s="68"/>
      <c r="EA4" s="68"/>
      <c r="EB4" s="68"/>
      <c r="EC4" s="68"/>
      <c r="ED4" s="68"/>
      <c r="EE4" s="68" t="str">
        <f>Tonghop!V4</f>
        <v>Yes</v>
      </c>
      <c r="EF4" s="68" t="str">
        <f>Tonghop!W4</f>
        <v>Yes</v>
      </c>
      <c r="EG4" s="68">
        <f>Tonghop!X4</f>
        <v>35</v>
      </c>
      <c r="EH4" s="68" t="str">
        <f>Tonghop!Y4</f>
        <v>Yes</v>
      </c>
      <c r="EI4" s="68">
        <f>Tonghop!Z4</f>
        <v>31</v>
      </c>
      <c r="EJ4" s="139"/>
    </row>
    <row r="5" spans="1:144" s="112" customFormat="1">
      <c r="A5" s="67">
        <f>Tonghop!A5</f>
        <v>4</v>
      </c>
      <c r="B5" s="68" t="str">
        <f>Tonghop!D5</f>
        <v>Số 451, đường Trần Hưng Đạo, khóm 8, phường 3, thành phố Sóc Trăng, tỉnh Sóc Trăng.</v>
      </c>
      <c r="C5" s="71" t="str">
        <f>Tonghop!E5</f>
        <v>Sóc Trăng</v>
      </c>
      <c r="D5" s="71" t="str">
        <f>Tonghop!I5</f>
        <v>1802424/2019/PTN-KĐ</v>
      </c>
      <c r="E5" s="67">
        <f>Tonghop!H5</f>
        <v>3</v>
      </c>
      <c r="F5" s="69"/>
      <c r="G5" s="69"/>
      <c r="H5" s="69"/>
      <c r="I5" s="69"/>
      <c r="J5" s="72" t="str">
        <f>IF(E5&gt;1,LEFT(Tonghop!L5,FIND("/",Tonghop!L5,1)-1),Tonghop!L5)</f>
        <v>TẬP ĐOÀN CÔNG NGHIỆP - VIỄN THÔNG QUÂN ĐỘI</v>
      </c>
      <c r="K5" s="72" t="str">
        <f>IF(E5&gt;1,LEFT(Tonghop!M5,FIND(";",Tonghop!M5,1)-1),Tonghop!M5)</f>
        <v>STG0010</v>
      </c>
      <c r="L5" s="72" t="str">
        <f>IF(E5&gt;1,LEFT(Tonghop!N5,FIND(";",Tonghop!N5,1)-1),Tonghop!N5)</f>
        <v>NOKIA Flexi EDGE BTS</v>
      </c>
      <c r="M5" s="72">
        <f t="shared" si="0"/>
        <v>3</v>
      </c>
      <c r="N5" s="72" t="str">
        <f t="shared" si="1"/>
        <v>2</v>
      </c>
      <c r="O5" s="72" t="str">
        <f t="shared" si="2"/>
        <v>2</v>
      </c>
      <c r="P5" s="72" t="str">
        <f t="shared" si="3"/>
        <v>2</v>
      </c>
      <c r="Q5" s="72" t="str">
        <f>IF(E5&gt;1,LEFT(Tonghop!P5,FIND(";",Tonghop!P5,1)-1),Tonghop!P5)</f>
        <v>2/2/2</v>
      </c>
      <c r="R5" s="72" t="str">
        <f t="shared" si="4"/>
        <v>41.7</v>
      </c>
      <c r="S5" s="72" t="str">
        <f t="shared" si="5"/>
        <v>41.7</v>
      </c>
      <c r="T5" s="72" t="str">
        <f t="shared" si="6"/>
        <v>41.7</v>
      </c>
      <c r="U5" s="72" t="str">
        <f>IF(E5&gt;1,LEFT(Tonghop!Q5,FIND(";",Tonghop!Q5,1)-1),Tonghop!Q5)</f>
        <v>41.7W/41.7W/41.7W</v>
      </c>
      <c r="V5" s="72" t="str">
        <f>IF(E5&gt;1,LEFT(Tonghop!R5,FIND("/",Tonghop!R5,1)-1),Tonghop!R5)</f>
        <v>G1800</v>
      </c>
      <c r="W5" s="72" t="str">
        <f>IF(E5&gt;1,LEFT(Tonghop!S5,FIND(";",Tonghop!S5,1)-1),Tonghop!S5)</f>
        <v>30m/ 30m/ 30m</v>
      </c>
      <c r="X5" s="73"/>
      <c r="Y5" s="74" t="str">
        <f>IF(E5&gt;2,MID(Tonghop!L5,LEN(Temp!J5)+2,FIND("/",Tonghop!L5,LEN(Temp!J5)+2)-LEN(Temp!J5)-2),IF(E5=2,RIGHT(Tonghop!L5,LEN(Tonghop!L5)-LEN(Temp!J5)-1),""))</f>
        <v>TẬP ĐOÀN CÔNG NGHIỆP - VIỄN THÔNG QUÂN ĐỘI</v>
      </c>
      <c r="Z5" s="74" t="str">
        <f>IF(E5&gt;2,MID(Tonghop!M5,LEN(Temp!K5)+2,FIND(";",Tonghop!M5,LEN(Temp!K5)+2)-LEN(Temp!K5)-2),IF(E5=2,RIGHT(Tonghop!M5,LEN(Tonghop!M5)-LEN(Temp!K5)-1),""))</f>
        <v>STG0010</v>
      </c>
      <c r="AA5" s="74" t="str">
        <f>IF(E5&gt;2,MID(Tonghop!N5,LEN(Temp!L5)+2,FIND(";",Tonghop!N5,LEN(Temp!L5)+2)-LEN(Temp!L5)-2),IF(E5=2,RIGHT(Tonghop!N5,LEN(Tonghop!N5)-LEN(Temp!L5)-1),""))</f>
        <v>NOKIA Flexi WCDMA BTS</v>
      </c>
      <c r="AB5" s="75">
        <f t="shared" si="7"/>
        <v>3</v>
      </c>
      <c r="AC5" s="75" t="str">
        <f t="shared" si="8"/>
        <v>2</v>
      </c>
      <c r="AD5" s="75" t="str">
        <f t="shared" si="9"/>
        <v>2</v>
      </c>
      <c r="AE5" s="75" t="str">
        <f t="shared" si="10"/>
        <v>2</v>
      </c>
      <c r="AF5" s="74" t="str">
        <f>IF(E5&gt;2,MID(Tonghop!P5,LEN(Temp!Q5)+2,FIND(";",Tonghop!P5,LEN(Temp!Q5)+2)-LEN(Temp!Q5)-2),IF(E5=2,RIGHT(Tonghop!P5,LEN(Tonghop!P5)-LEN(Temp!Q5)-1),""))</f>
        <v>2/2/2</v>
      </c>
      <c r="AG5" s="72" t="str">
        <f t="shared" si="11"/>
        <v>40</v>
      </c>
      <c r="AH5" s="72" t="str">
        <f t="shared" si="12"/>
        <v>40</v>
      </c>
      <c r="AI5" s="72" t="str">
        <f t="shared" si="13"/>
        <v>40</v>
      </c>
      <c r="AJ5" s="74" t="str">
        <f>IF(E5&gt;2,MID(Tonghop!Q5,LEN(Temp!U5)+2,FIND(";",Tonghop!Q5,LEN(Temp!U5)+2)-LEN(Temp!U5)-2),IF(E5=2,RIGHT(Tonghop!Q5,LEN(Tonghop!Q5)-LEN(Temp!U5)-1),""))</f>
        <v>40W/40W/40W</v>
      </c>
      <c r="AK5" s="74" t="str">
        <f>IF(E5&gt;2,MID(Tonghop!R5,LEN(Temp!V5)+2,FIND("/",Tonghop!R5,LEN(Temp!V5)+2)-LEN(Temp!V5)-2),IF(E5=2,RIGHT(Tonghop!R5,LEN(Tonghop!R5)-LEN(Temp!V5)-1),""))</f>
        <v>U2100</v>
      </c>
      <c r="AL5" s="74" t="str">
        <f>IF(E5&gt;2,MID(Tonghop!S5,LEN(Temp!W5)+2,FIND(";",Tonghop!S5,LEN(Temp!W5)+2)-LEN(Temp!W5)-2),IF(E5=2,RIGHT(Tonghop!S5,LEN(Tonghop!S5)-LEN(Temp!W5)-1),""))</f>
        <v>30m/ 30m/ 30m</v>
      </c>
      <c r="AM5" s="73"/>
      <c r="AN5" s="75" t="str">
        <f>IF(E5&gt;2,RIGHT(Tonghop!L5,LEN(Tonghop!L5)-LEN(Temp!J5)-LEN(Temp!Y5)-2),"")</f>
        <v>TẬP ĐOÀN CÔNG NGHIỆP - VIỄN THÔNG QUÂN ĐỘI</v>
      </c>
      <c r="AO5" s="75" t="str">
        <f>IF(E5&gt;2,RIGHT(Tonghop!M5,LEN(Tonghop!M5)-LEN(Temp!K5)-LEN(Temp!Z5)-2),"")</f>
        <v>STG0010</v>
      </c>
      <c r="AP5" s="75" t="str">
        <f>IF(E5&gt;2,RIGHT(Tonghop!N5,LEN(Tonghop!N5)-LEN(Temp!L5)-LEN(Temp!AA5)-2),"")</f>
        <v>NSN FLEXI MULTIRADIO AIRSCALE</v>
      </c>
      <c r="AQ5" s="75" t="str">
        <f>IF(E5&gt;2,RIGHT(Tonghop!P5,LEN(Tonghop!P5)-LEN(Temp!Q5)-LEN(Temp!AF5)-2),"")</f>
        <v>1/1/1</v>
      </c>
      <c r="AR5" s="75" t="str">
        <f>IF(E5&gt;2,RIGHT(Tonghop!Q5,LEN(Tonghop!Q5)-LEN(U5)-LEN(Temp!AJ5)-2),"")</f>
        <v>40W/40W/40W</v>
      </c>
      <c r="AS5" s="75" t="str">
        <f>IF(E5&gt;2,RIGHT(Tonghop!R5,LEN(Tonghop!R5)-LEN(V5)-LEN(Temp!AK5)-2),"")</f>
        <v>L1800</v>
      </c>
      <c r="AT5" s="75" t="str">
        <f>IF(E5&gt;2,RIGHT(Tonghop!S5,LEN(Tonghop!S5)-LEN(W5)-LEN(Temp!AL5)-2),"")</f>
        <v>30m/ 30m/ 30m</v>
      </c>
      <c r="AU5" s="75"/>
      <c r="AV5" s="75"/>
      <c r="AW5" s="75"/>
      <c r="AX5" s="75" t="str">
        <f t="shared" si="14"/>
        <v>TẬP ĐOÀN CÔNG NGHIỆP - VIỄN THÔNG QUÂN ĐỘI</v>
      </c>
      <c r="AY5" s="75" t="str">
        <f t="shared" si="15"/>
        <v>STG0010</v>
      </c>
      <c r="AZ5" s="75" t="str">
        <f t="shared" si="16"/>
        <v>NSN FLEXI MULTIRADIO AIRSCALE</v>
      </c>
      <c r="BA5" s="75">
        <f t="shared" si="17"/>
        <v>3</v>
      </c>
      <c r="BB5" s="75" t="str">
        <f t="shared" si="18"/>
        <v>1</v>
      </c>
      <c r="BC5" s="75" t="str">
        <f t="shared" si="19"/>
        <v>1</v>
      </c>
      <c r="BD5" s="75" t="str">
        <f t="shared" si="20"/>
        <v>1</v>
      </c>
      <c r="BE5" s="75" t="str">
        <f t="shared" si="21"/>
        <v>1/1/1</v>
      </c>
      <c r="BF5" s="72" t="str">
        <f t="shared" si="22"/>
        <v>40</v>
      </c>
      <c r="BG5" s="72" t="str">
        <f t="shared" si="23"/>
        <v>40</v>
      </c>
      <c r="BH5" s="72" t="str">
        <f t="shared" si="24"/>
        <v>40</v>
      </c>
      <c r="BI5" s="75" t="str">
        <f t="shared" si="25"/>
        <v>40W/40W/40W</v>
      </c>
      <c r="BJ5" s="75" t="str">
        <f t="shared" si="26"/>
        <v>L1800</v>
      </c>
      <c r="BK5" s="75" t="str">
        <f t="shared" si="27"/>
        <v>30m/ 30m/ 30m</v>
      </c>
      <c r="BL5" s="69"/>
      <c r="BM5" s="68" t="str">
        <f t="shared" si="28"/>
        <v/>
      </c>
      <c r="BN5" s="68" t="str">
        <f t="shared" si="29"/>
        <v/>
      </c>
      <c r="BO5" s="68" t="str">
        <f t="shared" si="30"/>
        <v/>
      </c>
      <c r="BP5" s="75" t="str">
        <f t="shared" si="31"/>
        <v/>
      </c>
      <c r="BQ5" s="75" t="str">
        <f t="shared" si="32"/>
        <v/>
      </c>
      <c r="BR5" s="75" t="str">
        <f t="shared" si="33"/>
        <v/>
      </c>
      <c r="BS5" s="75" t="str">
        <f t="shared" si="34"/>
        <v/>
      </c>
      <c r="BT5" s="77" t="str">
        <f t="shared" si="35"/>
        <v/>
      </c>
      <c r="BU5" s="72" t="str">
        <f t="shared" si="36"/>
        <v/>
      </c>
      <c r="BV5" s="72" t="str">
        <f t="shared" si="37"/>
        <v/>
      </c>
      <c r="BW5" s="72" t="str">
        <f t="shared" si="38"/>
        <v/>
      </c>
      <c r="BX5" s="77" t="str">
        <f t="shared" si="39"/>
        <v/>
      </c>
      <c r="BY5" s="77" t="str">
        <f t="shared" si="40"/>
        <v/>
      </c>
      <c r="BZ5" s="77" t="str">
        <f t="shared" si="41"/>
        <v/>
      </c>
      <c r="CA5" s="69"/>
      <c r="CB5" s="75" t="str">
        <f>IF(E5&gt;4,RIGHT(AN5,LEN(AN5)-LEN(AX5)-LEN(Temp!BM5)-2),"")</f>
        <v/>
      </c>
      <c r="CC5" s="75" t="str">
        <f>IF(E5&gt;4,RIGHT(AO5,LEN(AO5)-LEN(AY5)-LEN(Temp!BN5)-2),"")</f>
        <v/>
      </c>
      <c r="CD5" s="75" t="str">
        <f>IF(E5&gt;4,RIGHT(AP5,LEN(AP5)-LEN(AZ5)-LEN(Temp!BO5)-2),"")</f>
        <v/>
      </c>
      <c r="CE5" s="75" t="str">
        <f t="shared" si="42"/>
        <v/>
      </c>
      <c r="CF5" s="75" t="str">
        <f t="shared" si="43"/>
        <v/>
      </c>
      <c r="CG5" s="75" t="str">
        <f t="shared" si="44"/>
        <v/>
      </c>
      <c r="CH5" s="75" t="str">
        <f t="shared" si="45"/>
        <v/>
      </c>
      <c r="CI5" s="75"/>
      <c r="CJ5" s="79"/>
      <c r="CK5" s="79"/>
      <c r="CL5" s="75" t="str">
        <f t="shared" si="46"/>
        <v/>
      </c>
      <c r="CM5" s="75" t="str">
        <f t="shared" si="47"/>
        <v/>
      </c>
      <c r="CN5" s="75" t="str">
        <f t="shared" si="48"/>
        <v/>
      </c>
      <c r="CO5" s="75" t="str">
        <f t="shared" si="49"/>
        <v/>
      </c>
      <c r="CP5" s="75" t="str">
        <f t="shared" si="50"/>
        <v/>
      </c>
      <c r="CQ5" s="75" t="str">
        <f t="shared" si="51"/>
        <v/>
      </c>
      <c r="CR5" s="75" t="str">
        <f t="shared" si="52"/>
        <v/>
      </c>
      <c r="CS5" s="75" t="str">
        <f t="shared" si="53"/>
        <v/>
      </c>
      <c r="CT5" s="72" t="str">
        <f t="shared" si="54"/>
        <v/>
      </c>
      <c r="CU5" s="72" t="str">
        <f t="shared" si="55"/>
        <v/>
      </c>
      <c r="CV5" s="72" t="str">
        <f t="shared" si="56"/>
        <v/>
      </c>
      <c r="CW5" s="75" t="str">
        <f t="shared" si="57"/>
        <v/>
      </c>
      <c r="CX5" s="75" t="str">
        <f t="shared" si="58"/>
        <v/>
      </c>
      <c r="CY5" s="75" t="str">
        <f t="shared" si="59"/>
        <v/>
      </c>
      <c r="CZ5" s="69"/>
      <c r="DA5" s="68" t="str">
        <f t="shared" si="60"/>
        <v/>
      </c>
      <c r="DB5" s="68" t="str">
        <f t="shared" si="61"/>
        <v/>
      </c>
      <c r="DC5" s="68" t="str">
        <f t="shared" si="62"/>
        <v/>
      </c>
      <c r="DD5" s="75" t="str">
        <f t="shared" si="63"/>
        <v/>
      </c>
      <c r="DE5" s="75" t="str">
        <f t="shared" si="64"/>
        <v/>
      </c>
      <c r="DF5" s="75" t="str">
        <f t="shared" si="65"/>
        <v/>
      </c>
      <c r="DG5" s="75" t="str">
        <f t="shared" si="66"/>
        <v/>
      </c>
      <c r="DH5" s="77" t="str">
        <f t="shared" si="67"/>
        <v/>
      </c>
      <c r="DI5" s="72" t="str">
        <f t="shared" si="68"/>
        <v/>
      </c>
      <c r="DJ5" s="72" t="str">
        <f t="shared" si="69"/>
        <v/>
      </c>
      <c r="DK5" s="72" t="str">
        <f t="shared" si="70"/>
        <v/>
      </c>
      <c r="DL5" s="77" t="str">
        <f t="shared" si="71"/>
        <v/>
      </c>
      <c r="DM5" s="77" t="str">
        <f t="shared" si="72"/>
        <v/>
      </c>
      <c r="DN5" s="77" t="str">
        <f t="shared" si="73"/>
        <v/>
      </c>
      <c r="DO5" s="68"/>
      <c r="DP5" s="68"/>
      <c r="DQ5" s="68"/>
      <c r="DR5" s="68"/>
      <c r="DS5" s="68"/>
      <c r="DT5" s="68"/>
      <c r="DU5" s="68"/>
      <c r="DV5" s="68"/>
      <c r="DW5" s="68"/>
      <c r="DX5" s="68"/>
      <c r="DY5" s="68"/>
      <c r="DZ5" s="68"/>
      <c r="EA5" s="68"/>
      <c r="EB5" s="68"/>
      <c r="EC5" s="68"/>
      <c r="ED5" s="68"/>
      <c r="EE5" s="68" t="str">
        <f>Tonghop!V5</f>
        <v>Yes</v>
      </c>
      <c r="EF5" s="68" t="str">
        <f>Tonghop!W5</f>
        <v>No</v>
      </c>
      <c r="EG5" s="68" t="str">
        <f>Tonghop!X5</f>
        <v/>
      </c>
      <c r="EH5" s="68" t="str">
        <f>Tonghop!Y5</f>
        <v>Yes</v>
      </c>
      <c r="EI5" s="68">
        <f>Tonghop!Z5</f>
        <v>19.5</v>
      </c>
      <c r="EJ5" s="139"/>
    </row>
    <row r="6" spans="1:144" s="112" customFormat="1">
      <c r="A6" s="67">
        <f>Tonghop!A6</f>
        <v>5</v>
      </c>
      <c r="B6" s="68" t="str">
        <f>Tonghop!D6</f>
        <v>Số 11, đường Trần Quang Khải, phường 2, thành phố Sóc Trăng, tỉnh Sóc Trăng.</v>
      </c>
      <c r="C6" s="71" t="str">
        <f>Tonghop!E6</f>
        <v>Sóc Trăng</v>
      </c>
      <c r="D6" s="71" t="str">
        <f>Tonghop!I6</f>
        <v>1802425/2019/PTN-KĐ</v>
      </c>
      <c r="E6" s="67">
        <f>Tonghop!H6</f>
        <v>3</v>
      </c>
      <c r="F6" s="69"/>
      <c r="G6" s="69"/>
      <c r="H6" s="69"/>
      <c r="I6" s="69"/>
      <c r="J6" s="72" t="str">
        <f>IF(E6&gt;1,LEFT(Tonghop!L6,FIND("/",Tonghop!L6,1)-1),Tonghop!L6)</f>
        <v>TẬP ĐOÀN CÔNG NGHIỆP - VIỄN THÔNG QUÂN ĐỘI</v>
      </c>
      <c r="K6" s="72" t="str">
        <f>IF(E6&gt;1,LEFT(Tonghop!M6,FIND(";",Tonghop!M6,1)-1),Tonghop!M6)</f>
        <v>STG0099</v>
      </c>
      <c r="L6" s="72" t="str">
        <f>IF(E6&gt;1,LEFT(Tonghop!N6,FIND(";",Tonghop!N6,1)-1),Tonghop!N6)</f>
        <v>NOKIA Flexi EDGE BTS</v>
      </c>
      <c r="M6" s="72">
        <f t="shared" si="0"/>
        <v>3</v>
      </c>
      <c r="N6" s="72" t="str">
        <f t="shared" si="1"/>
        <v>2</v>
      </c>
      <c r="O6" s="72" t="str">
        <f t="shared" si="2"/>
        <v>2</v>
      </c>
      <c r="P6" s="72" t="str">
        <f t="shared" si="3"/>
        <v>2</v>
      </c>
      <c r="Q6" s="72" t="str">
        <f>IF(E6&gt;1,LEFT(Tonghop!P6,FIND(";",Tonghop!P6,1)-1),Tonghop!P6)</f>
        <v>2/2/2</v>
      </c>
      <c r="R6" s="72" t="str">
        <f t="shared" si="4"/>
        <v>41.7</v>
      </c>
      <c r="S6" s="72" t="str">
        <f t="shared" si="5"/>
        <v>41.7</v>
      </c>
      <c r="T6" s="72" t="str">
        <f t="shared" si="6"/>
        <v>41.7</v>
      </c>
      <c r="U6" s="72" t="str">
        <f>IF(E6&gt;1,LEFT(Tonghop!Q6,FIND(";",Tonghop!Q6,1)-1),Tonghop!Q6)</f>
        <v>41.7W/41.7W/41.7W</v>
      </c>
      <c r="V6" s="72" t="str">
        <f>IF(E6&gt;1,LEFT(Tonghop!R6,FIND("/",Tonghop!R6,1)-1),Tonghop!R6)</f>
        <v>G1800</v>
      </c>
      <c r="W6" s="72" t="str">
        <f>IF(E6&gt;1,LEFT(Tonghop!S6,FIND(";",Tonghop!S6,1)-1),Tonghop!S6)</f>
        <v>22m/ 22m/ 22m</v>
      </c>
      <c r="X6" s="73"/>
      <c r="Y6" s="74" t="str">
        <f>IF(E6&gt;2,MID(Tonghop!L6,LEN(Temp!J6)+2,FIND("/",Tonghop!L6,LEN(Temp!J6)+2)-LEN(Temp!J6)-2),IF(E6=2,RIGHT(Tonghop!L6,LEN(Tonghop!L6)-LEN(Temp!J6)-1),""))</f>
        <v>TẬP ĐOÀN CÔNG NGHIỆP - VIỄN THÔNG QUÂN ĐỘI</v>
      </c>
      <c r="Z6" s="74" t="str">
        <f>IF(E6&gt;2,MID(Tonghop!M6,LEN(Temp!K6)+2,FIND(";",Tonghop!M6,LEN(Temp!K6)+2)-LEN(Temp!K6)-2),IF(E6=2,RIGHT(Tonghop!M6,LEN(Tonghop!M6)-LEN(Temp!K6)-1),""))</f>
        <v>STG0099</v>
      </c>
      <c r="AA6" s="74" t="str">
        <f>IF(E6&gt;2,MID(Tonghop!N6,LEN(Temp!L6)+2,FIND(";",Tonghop!N6,LEN(Temp!L6)+2)-LEN(Temp!L6)-2),IF(E6=2,RIGHT(Tonghop!N6,LEN(Tonghop!N6)-LEN(Temp!L6)-1),""))</f>
        <v>NOKIA Flexi WCDMA BTS</v>
      </c>
      <c r="AB6" s="75">
        <f t="shared" si="7"/>
        <v>3</v>
      </c>
      <c r="AC6" s="75" t="str">
        <f t="shared" si="8"/>
        <v>2</v>
      </c>
      <c r="AD6" s="75" t="str">
        <f t="shared" si="9"/>
        <v>2</v>
      </c>
      <c r="AE6" s="75" t="str">
        <f t="shared" si="10"/>
        <v>2</v>
      </c>
      <c r="AF6" s="74" t="str">
        <f>IF(E6&gt;2,MID(Tonghop!P6,LEN(Temp!Q6)+2,FIND(";",Tonghop!P6,LEN(Temp!Q6)+2)-LEN(Temp!Q6)-2),IF(E6=2,RIGHT(Tonghop!P6,LEN(Tonghop!P6)-LEN(Temp!Q6)-1),""))</f>
        <v>2/2/2</v>
      </c>
      <c r="AG6" s="72" t="str">
        <f t="shared" si="11"/>
        <v>40</v>
      </c>
      <c r="AH6" s="72" t="str">
        <f t="shared" si="12"/>
        <v>40</v>
      </c>
      <c r="AI6" s="72" t="str">
        <f t="shared" si="13"/>
        <v>40</v>
      </c>
      <c r="AJ6" s="74" t="str">
        <f>IF(E6&gt;2,MID(Tonghop!Q6,LEN(Temp!U6)+2,FIND(";",Tonghop!Q6,LEN(Temp!U6)+2)-LEN(Temp!U6)-2),IF(E6=2,RIGHT(Tonghop!Q6,LEN(Tonghop!Q6)-LEN(Temp!U6)-1),""))</f>
        <v>40W/40W/40W</v>
      </c>
      <c r="AK6" s="74" t="str">
        <f>IF(E6&gt;2,MID(Tonghop!R6,LEN(Temp!V6)+2,FIND("/",Tonghop!R6,LEN(Temp!V6)+2)-LEN(Temp!V6)-2),IF(E6=2,RIGHT(Tonghop!R6,LEN(Tonghop!R6)-LEN(Temp!V6)-1),""))</f>
        <v>U2100</v>
      </c>
      <c r="AL6" s="74" t="str">
        <f>IF(E6&gt;2,MID(Tonghop!S6,LEN(Temp!W6)+2,FIND(";",Tonghop!S6,LEN(Temp!W6)+2)-LEN(Temp!W6)-2),IF(E6=2,RIGHT(Tonghop!S6,LEN(Tonghop!S6)-LEN(Temp!W6)-1),""))</f>
        <v>22m/ 22m/ 22m</v>
      </c>
      <c r="AM6" s="73"/>
      <c r="AN6" s="75" t="str">
        <f>IF(E6&gt;2,RIGHT(Tonghop!L6,LEN(Tonghop!L6)-LEN(Temp!J6)-LEN(Temp!Y6)-2),"")</f>
        <v>TẬP ĐOÀN CÔNG NGHIỆP - VIỄN THÔNG QUÂN ĐỘI</v>
      </c>
      <c r="AO6" s="75" t="str">
        <f>IF(E6&gt;2,RIGHT(Tonghop!M6,LEN(Tonghop!M6)-LEN(Temp!K6)-LEN(Temp!Z6)-2),"")</f>
        <v>STG0099</v>
      </c>
      <c r="AP6" s="75" t="str">
        <f>IF(E6&gt;2,RIGHT(Tonghop!N6,LEN(Tonghop!N6)-LEN(Temp!L6)-LEN(Temp!AA6)-2),"")</f>
        <v>NSN FLEXI MULTIRADIO AIRSCALE</v>
      </c>
      <c r="AQ6" s="75" t="str">
        <f>IF(E6&gt;2,RIGHT(Tonghop!P6,LEN(Tonghop!P6)-LEN(Temp!Q6)-LEN(Temp!AF6)-2),"")</f>
        <v>1/1/1</v>
      </c>
      <c r="AR6" s="75" t="str">
        <f>IF(E6&gt;2,RIGHT(Tonghop!Q6,LEN(Tonghop!Q6)-LEN(U6)-LEN(Temp!AJ6)-2),"")</f>
        <v>40W/40W/40W</v>
      </c>
      <c r="AS6" s="75" t="str">
        <f>IF(E6&gt;2,RIGHT(Tonghop!R6,LEN(Tonghop!R6)-LEN(V6)-LEN(Temp!AK6)-2),"")</f>
        <v>L1800</v>
      </c>
      <c r="AT6" s="75" t="str">
        <f>IF(E6&gt;2,RIGHT(Tonghop!S6,LEN(Tonghop!S6)-LEN(W6)-LEN(Temp!AL6)-2),"")</f>
        <v>22m/ 22m/ 22m</v>
      </c>
      <c r="AU6" s="75"/>
      <c r="AV6" s="75"/>
      <c r="AW6" s="75"/>
      <c r="AX6" s="75" t="str">
        <f t="shared" si="14"/>
        <v>TẬP ĐOÀN CÔNG NGHIỆP - VIỄN THÔNG QUÂN ĐỘI</v>
      </c>
      <c r="AY6" s="75" t="str">
        <f t="shared" si="15"/>
        <v>STG0099</v>
      </c>
      <c r="AZ6" s="75" t="str">
        <f t="shared" si="16"/>
        <v>NSN FLEXI MULTIRADIO AIRSCALE</v>
      </c>
      <c r="BA6" s="75">
        <f t="shared" si="17"/>
        <v>3</v>
      </c>
      <c r="BB6" s="75" t="str">
        <f t="shared" si="18"/>
        <v>1</v>
      </c>
      <c r="BC6" s="75" t="str">
        <f t="shared" si="19"/>
        <v>1</v>
      </c>
      <c r="BD6" s="75" t="str">
        <f t="shared" si="20"/>
        <v>1</v>
      </c>
      <c r="BE6" s="75" t="str">
        <f t="shared" si="21"/>
        <v>1/1/1</v>
      </c>
      <c r="BF6" s="72" t="str">
        <f t="shared" si="22"/>
        <v>40</v>
      </c>
      <c r="BG6" s="72" t="str">
        <f t="shared" si="23"/>
        <v>40</v>
      </c>
      <c r="BH6" s="72" t="str">
        <f t="shared" si="24"/>
        <v>40</v>
      </c>
      <c r="BI6" s="75" t="str">
        <f t="shared" si="25"/>
        <v>40W/40W/40W</v>
      </c>
      <c r="BJ6" s="75" t="str">
        <f t="shared" si="26"/>
        <v>L1800</v>
      </c>
      <c r="BK6" s="75" t="str">
        <f t="shared" si="27"/>
        <v>22m/ 22m/ 22m</v>
      </c>
      <c r="BL6" s="69"/>
      <c r="BM6" s="68" t="str">
        <f t="shared" si="28"/>
        <v/>
      </c>
      <c r="BN6" s="68" t="str">
        <f t="shared" si="29"/>
        <v/>
      </c>
      <c r="BO6" s="68" t="str">
        <f t="shared" si="30"/>
        <v/>
      </c>
      <c r="BP6" s="75" t="str">
        <f t="shared" si="31"/>
        <v/>
      </c>
      <c r="BQ6" s="75" t="str">
        <f t="shared" si="32"/>
        <v/>
      </c>
      <c r="BR6" s="75" t="str">
        <f t="shared" si="33"/>
        <v/>
      </c>
      <c r="BS6" s="75" t="str">
        <f t="shared" si="34"/>
        <v/>
      </c>
      <c r="BT6" s="77" t="str">
        <f t="shared" si="35"/>
        <v/>
      </c>
      <c r="BU6" s="72" t="str">
        <f t="shared" si="36"/>
        <v/>
      </c>
      <c r="BV6" s="72" t="str">
        <f t="shared" si="37"/>
        <v/>
      </c>
      <c r="BW6" s="72" t="str">
        <f t="shared" si="38"/>
        <v/>
      </c>
      <c r="BX6" s="77" t="str">
        <f t="shared" si="39"/>
        <v/>
      </c>
      <c r="BY6" s="77" t="str">
        <f t="shared" si="40"/>
        <v/>
      </c>
      <c r="BZ6" s="77" t="str">
        <f t="shared" si="41"/>
        <v/>
      </c>
      <c r="CA6" s="69"/>
      <c r="CB6" s="75" t="str">
        <f>IF(E6&gt;4,RIGHT(AN6,LEN(AN6)-LEN(AX6)-LEN(Temp!BM6)-2),"")</f>
        <v/>
      </c>
      <c r="CC6" s="75" t="str">
        <f>IF(E6&gt;4,RIGHT(AO6,LEN(AO6)-LEN(AY6)-LEN(Temp!BN6)-2),"")</f>
        <v/>
      </c>
      <c r="CD6" s="75" t="str">
        <f>IF(E6&gt;4,RIGHT(AP6,LEN(AP6)-LEN(AZ6)-LEN(Temp!BO6)-2),"")</f>
        <v/>
      </c>
      <c r="CE6" s="75" t="str">
        <f t="shared" si="42"/>
        <v/>
      </c>
      <c r="CF6" s="75" t="str">
        <f t="shared" si="43"/>
        <v/>
      </c>
      <c r="CG6" s="75" t="str">
        <f t="shared" si="44"/>
        <v/>
      </c>
      <c r="CH6" s="75" t="str">
        <f t="shared" si="45"/>
        <v/>
      </c>
      <c r="CI6" s="75"/>
      <c r="CJ6" s="79"/>
      <c r="CK6" s="79"/>
      <c r="CL6" s="75" t="str">
        <f t="shared" si="46"/>
        <v/>
      </c>
      <c r="CM6" s="75" t="str">
        <f t="shared" si="47"/>
        <v/>
      </c>
      <c r="CN6" s="75" t="str">
        <f t="shared" si="48"/>
        <v/>
      </c>
      <c r="CO6" s="75" t="str">
        <f t="shared" si="49"/>
        <v/>
      </c>
      <c r="CP6" s="75" t="str">
        <f t="shared" si="50"/>
        <v/>
      </c>
      <c r="CQ6" s="75" t="str">
        <f t="shared" si="51"/>
        <v/>
      </c>
      <c r="CR6" s="75" t="str">
        <f t="shared" si="52"/>
        <v/>
      </c>
      <c r="CS6" s="75" t="str">
        <f t="shared" si="53"/>
        <v/>
      </c>
      <c r="CT6" s="72" t="str">
        <f t="shared" si="54"/>
        <v/>
      </c>
      <c r="CU6" s="72" t="str">
        <f t="shared" si="55"/>
        <v/>
      </c>
      <c r="CV6" s="72" t="str">
        <f t="shared" si="56"/>
        <v/>
      </c>
      <c r="CW6" s="75" t="str">
        <f t="shared" si="57"/>
        <v/>
      </c>
      <c r="CX6" s="75" t="str">
        <f t="shared" si="58"/>
        <v/>
      </c>
      <c r="CY6" s="75" t="str">
        <f t="shared" si="59"/>
        <v/>
      </c>
      <c r="CZ6" s="69"/>
      <c r="DA6" s="68" t="str">
        <f t="shared" si="60"/>
        <v/>
      </c>
      <c r="DB6" s="68" t="str">
        <f t="shared" si="61"/>
        <v/>
      </c>
      <c r="DC6" s="68" t="str">
        <f t="shared" si="62"/>
        <v/>
      </c>
      <c r="DD6" s="75" t="str">
        <f t="shared" si="63"/>
        <v/>
      </c>
      <c r="DE6" s="75" t="str">
        <f t="shared" si="64"/>
        <v/>
      </c>
      <c r="DF6" s="75" t="str">
        <f t="shared" si="65"/>
        <v/>
      </c>
      <c r="DG6" s="75" t="str">
        <f t="shared" si="66"/>
        <v/>
      </c>
      <c r="DH6" s="77" t="str">
        <f t="shared" si="67"/>
        <v/>
      </c>
      <c r="DI6" s="72" t="str">
        <f t="shared" si="68"/>
        <v/>
      </c>
      <c r="DJ6" s="72" t="str">
        <f t="shared" si="69"/>
        <v/>
      </c>
      <c r="DK6" s="72" t="str">
        <f t="shared" si="70"/>
        <v/>
      </c>
      <c r="DL6" s="77" t="str">
        <f t="shared" si="71"/>
        <v/>
      </c>
      <c r="DM6" s="77" t="str">
        <f t="shared" si="72"/>
        <v/>
      </c>
      <c r="DN6" s="77" t="str">
        <f t="shared" si="73"/>
        <v/>
      </c>
      <c r="DO6" s="68"/>
      <c r="DP6" s="68"/>
      <c r="DQ6" s="68"/>
      <c r="DR6" s="68"/>
      <c r="DS6" s="68"/>
      <c r="DT6" s="68"/>
      <c r="DU6" s="68"/>
      <c r="DV6" s="68"/>
      <c r="DW6" s="68"/>
      <c r="DX6" s="68"/>
      <c r="DY6" s="68"/>
      <c r="DZ6" s="68"/>
      <c r="EA6" s="68"/>
      <c r="EB6" s="68"/>
      <c r="EC6" s="68"/>
      <c r="ED6" s="68"/>
      <c r="EE6" s="68" t="str">
        <f>Tonghop!V6</f>
        <v>Yes</v>
      </c>
      <c r="EF6" s="68" t="str">
        <f>Tonghop!W6</f>
        <v>No</v>
      </c>
      <c r="EG6" s="68" t="str">
        <f>Tonghop!X6</f>
        <v/>
      </c>
      <c r="EH6" s="68" t="str">
        <f>Tonghop!Y6</f>
        <v>Yes</v>
      </c>
      <c r="EI6" s="68">
        <f>Tonghop!Z6</f>
        <v>18</v>
      </c>
      <c r="EJ6" s="139"/>
    </row>
    <row r="7" spans="1:144" s="112" customFormat="1">
      <c r="A7" s="67">
        <f>Tonghop!A7</f>
        <v>6</v>
      </c>
      <c r="B7" s="68" t="str">
        <f>Tonghop!D7</f>
        <v>Số 5/22, đường Phạm Hùng, khóm 3, phường 5, thành phố Sóc Trăng, tỉnh Sóc Trăng.</v>
      </c>
      <c r="C7" s="71" t="str">
        <f>Tonghop!E7</f>
        <v>Sóc Trăng</v>
      </c>
      <c r="D7" s="71" t="str">
        <f>Tonghop!I7</f>
        <v>1802426/2019/PTN-KĐ</v>
      </c>
      <c r="E7" s="67">
        <f>Tonghop!H7</f>
        <v>3</v>
      </c>
      <c r="F7" s="69"/>
      <c r="G7" s="69"/>
      <c r="H7" s="69"/>
      <c r="I7" s="69"/>
      <c r="J7" s="72" t="str">
        <f>IF(E7&gt;1,LEFT(Tonghop!L7,FIND("/",Tonghop!L7,1)-1),Tonghop!L7)</f>
        <v>TẬP ĐOÀN CÔNG NGHIỆP - VIỄN THÔNG QUÂN ĐỘI</v>
      </c>
      <c r="K7" s="72" t="str">
        <f>IF(E7&gt;1,LEFT(Tonghop!M7,FIND(";",Tonghop!M7,1)-1),Tonghop!M7)</f>
        <v>STG0104</v>
      </c>
      <c r="L7" s="72" t="str">
        <f>IF(E7&gt;1,LEFT(Tonghop!N7,FIND(";",Tonghop!N7,1)-1),Tonghop!N7)</f>
        <v>NOKIA Flexi EDGE BTS</v>
      </c>
      <c r="M7" s="72">
        <f t="shared" si="0"/>
        <v>3</v>
      </c>
      <c r="N7" s="72" t="str">
        <f t="shared" si="1"/>
        <v>2</v>
      </c>
      <c r="O7" s="72" t="str">
        <f t="shared" si="2"/>
        <v>2</v>
      </c>
      <c r="P7" s="72" t="str">
        <f t="shared" si="3"/>
        <v>2</v>
      </c>
      <c r="Q7" s="72" t="str">
        <f>IF(E7&gt;1,LEFT(Tonghop!P7,FIND(";",Tonghop!P7,1)-1),Tonghop!P7)</f>
        <v>2/2/2</v>
      </c>
      <c r="R7" s="72" t="str">
        <f t="shared" si="4"/>
        <v>41.7</v>
      </c>
      <c r="S7" s="72" t="str">
        <f t="shared" si="5"/>
        <v>41.7</v>
      </c>
      <c r="T7" s="72" t="str">
        <f t="shared" si="6"/>
        <v>41.7</v>
      </c>
      <c r="U7" s="72" t="str">
        <f>IF(E7&gt;1,LEFT(Tonghop!Q7,FIND(";",Tonghop!Q7,1)-1),Tonghop!Q7)</f>
        <v>41.7W/41.7W/41.7W</v>
      </c>
      <c r="V7" s="72" t="str">
        <f>IF(E7&gt;1,LEFT(Tonghop!R7,FIND("/",Tonghop!R7,1)-1),Tonghop!R7)</f>
        <v>G1800</v>
      </c>
      <c r="W7" s="72" t="str">
        <f>IF(E7&gt;1,LEFT(Tonghop!S7,FIND(";",Tonghop!S7,1)-1),Tonghop!S7)</f>
        <v>35m/ 35m/ 35m</v>
      </c>
      <c r="X7" s="73"/>
      <c r="Y7" s="74" t="str">
        <f>IF(E7&gt;2,MID(Tonghop!L7,LEN(Temp!J7)+2,FIND("/",Tonghop!L7,LEN(Temp!J7)+2)-LEN(Temp!J7)-2),IF(E7=2,RIGHT(Tonghop!L7,LEN(Tonghop!L7)-LEN(Temp!J7)-1),""))</f>
        <v>TẬP ĐOÀN CÔNG NGHIỆP - VIỄN THÔNG QUÂN ĐỘI</v>
      </c>
      <c r="Z7" s="74" t="str">
        <f>IF(E7&gt;2,MID(Tonghop!M7,LEN(Temp!K7)+2,FIND(";",Tonghop!M7,LEN(Temp!K7)+2)-LEN(Temp!K7)-2),IF(E7=2,RIGHT(Tonghop!M7,LEN(Tonghop!M7)-LEN(Temp!K7)-1),""))</f>
        <v>STG0104</v>
      </c>
      <c r="AA7" s="74" t="str">
        <f>IF(E7&gt;2,MID(Tonghop!N7,LEN(Temp!L7)+2,FIND(";",Tonghop!N7,LEN(Temp!L7)+2)-LEN(Temp!L7)-2),IF(E7=2,RIGHT(Tonghop!N7,LEN(Tonghop!N7)-LEN(Temp!L7)-1),""))</f>
        <v>NOKIA Flexi WCDMA BTS</v>
      </c>
      <c r="AB7" s="75">
        <f t="shared" si="7"/>
        <v>3</v>
      </c>
      <c r="AC7" s="75" t="str">
        <f t="shared" si="8"/>
        <v>2</v>
      </c>
      <c r="AD7" s="75" t="str">
        <f t="shared" si="9"/>
        <v>2</v>
      </c>
      <c r="AE7" s="75" t="str">
        <f t="shared" si="10"/>
        <v>2</v>
      </c>
      <c r="AF7" s="74" t="str">
        <f>IF(E7&gt;2,MID(Tonghop!P7,LEN(Temp!Q7)+2,FIND(";",Tonghop!P7,LEN(Temp!Q7)+2)-LEN(Temp!Q7)-2),IF(E7=2,RIGHT(Tonghop!P7,LEN(Tonghop!P7)-LEN(Temp!Q7)-1),""))</f>
        <v>2/2/2</v>
      </c>
      <c r="AG7" s="72" t="str">
        <f t="shared" si="11"/>
        <v>40</v>
      </c>
      <c r="AH7" s="72" t="str">
        <f t="shared" si="12"/>
        <v>40</v>
      </c>
      <c r="AI7" s="72" t="str">
        <f t="shared" si="13"/>
        <v>40</v>
      </c>
      <c r="AJ7" s="74" t="str">
        <f>IF(E7&gt;2,MID(Tonghop!Q7,LEN(Temp!U7)+2,FIND(";",Tonghop!Q7,LEN(Temp!U7)+2)-LEN(Temp!U7)-2),IF(E7=2,RIGHT(Tonghop!Q7,LEN(Tonghop!Q7)-LEN(Temp!U7)-1),""))</f>
        <v>40W/40W/40W</v>
      </c>
      <c r="AK7" s="74" t="str">
        <f>IF(E7&gt;2,MID(Tonghop!R7,LEN(Temp!V7)+2,FIND("/",Tonghop!R7,LEN(Temp!V7)+2)-LEN(Temp!V7)-2),IF(E7=2,RIGHT(Tonghop!R7,LEN(Tonghop!R7)-LEN(Temp!V7)-1),""))</f>
        <v>U2100</v>
      </c>
      <c r="AL7" s="74" t="str">
        <f>IF(E7&gt;2,MID(Tonghop!S7,LEN(Temp!W7)+2,FIND(";",Tonghop!S7,LEN(Temp!W7)+2)-LEN(Temp!W7)-2),IF(E7=2,RIGHT(Tonghop!S7,LEN(Tonghop!S7)-LEN(Temp!W7)-1),""))</f>
        <v>40m/ 40m/ 40m</v>
      </c>
      <c r="AM7" s="73"/>
      <c r="AN7" s="75" t="str">
        <f>IF(E7&gt;2,RIGHT(Tonghop!L7,LEN(Tonghop!L7)-LEN(Temp!J7)-LEN(Temp!Y7)-2),"")</f>
        <v>TẬP ĐOÀN CÔNG NGHIỆP - VIỄN THÔNG QUÂN ĐỘI</v>
      </c>
      <c r="AO7" s="75" t="str">
        <f>IF(E7&gt;2,RIGHT(Tonghop!M7,LEN(Tonghop!M7)-LEN(Temp!K7)-LEN(Temp!Z7)-2),"")</f>
        <v>STG0104</v>
      </c>
      <c r="AP7" s="75" t="str">
        <f>IF(E7&gt;2,RIGHT(Tonghop!N7,LEN(Tonghop!N7)-LEN(Temp!L7)-LEN(Temp!AA7)-2),"")</f>
        <v>NSN FLEXI MULTIRADIO AIRSCALE</v>
      </c>
      <c r="AQ7" s="75" t="str">
        <f>IF(E7&gt;2,RIGHT(Tonghop!P7,LEN(Tonghop!P7)-LEN(Temp!Q7)-LEN(Temp!AF7)-2),"")</f>
        <v>1/1/1</v>
      </c>
      <c r="AR7" s="75" t="str">
        <f>IF(E7&gt;2,RIGHT(Tonghop!Q7,LEN(Tonghop!Q7)-LEN(U7)-LEN(Temp!AJ7)-2),"")</f>
        <v>40W/40W/40W</v>
      </c>
      <c r="AS7" s="75" t="str">
        <f>IF(E7&gt;2,RIGHT(Tonghop!R7,LEN(Tonghop!R7)-LEN(V7)-LEN(Temp!AK7)-2),"")</f>
        <v>L1800</v>
      </c>
      <c r="AT7" s="75" t="str">
        <f>IF(E7&gt;2,RIGHT(Tonghop!S7,LEN(Tonghop!S7)-LEN(W7)-LEN(Temp!AL7)-2),"")</f>
        <v>40m/ 40m/ 40m</v>
      </c>
      <c r="AU7" s="75"/>
      <c r="AV7" s="75"/>
      <c r="AW7" s="75"/>
      <c r="AX7" s="75" t="str">
        <f t="shared" si="14"/>
        <v>TẬP ĐOÀN CÔNG NGHIỆP - VIỄN THÔNG QUÂN ĐỘI</v>
      </c>
      <c r="AY7" s="75" t="str">
        <f t="shared" si="15"/>
        <v>STG0104</v>
      </c>
      <c r="AZ7" s="75" t="str">
        <f t="shared" si="16"/>
        <v>NSN FLEXI MULTIRADIO AIRSCALE</v>
      </c>
      <c r="BA7" s="75">
        <f t="shared" si="17"/>
        <v>3</v>
      </c>
      <c r="BB7" s="75" t="str">
        <f t="shared" si="18"/>
        <v>1</v>
      </c>
      <c r="BC7" s="75" t="str">
        <f t="shared" si="19"/>
        <v>1</v>
      </c>
      <c r="BD7" s="75" t="str">
        <f t="shared" si="20"/>
        <v>1</v>
      </c>
      <c r="BE7" s="75" t="str">
        <f t="shared" si="21"/>
        <v>1/1/1</v>
      </c>
      <c r="BF7" s="72" t="str">
        <f t="shared" si="22"/>
        <v>40</v>
      </c>
      <c r="BG7" s="72" t="str">
        <f t="shared" si="23"/>
        <v>40</v>
      </c>
      <c r="BH7" s="72" t="str">
        <f t="shared" si="24"/>
        <v>40</v>
      </c>
      <c r="BI7" s="75" t="str">
        <f t="shared" si="25"/>
        <v>40W/40W/40W</v>
      </c>
      <c r="BJ7" s="75" t="str">
        <f t="shared" si="26"/>
        <v>L1800</v>
      </c>
      <c r="BK7" s="75" t="str">
        <f t="shared" si="27"/>
        <v>40m/ 40m/ 40m</v>
      </c>
      <c r="BL7" s="69"/>
      <c r="BM7" s="68" t="str">
        <f t="shared" si="28"/>
        <v/>
      </c>
      <c r="BN7" s="68" t="str">
        <f t="shared" si="29"/>
        <v/>
      </c>
      <c r="BO7" s="68" t="str">
        <f t="shared" si="30"/>
        <v/>
      </c>
      <c r="BP7" s="75" t="str">
        <f t="shared" si="31"/>
        <v/>
      </c>
      <c r="BQ7" s="75" t="str">
        <f t="shared" si="32"/>
        <v/>
      </c>
      <c r="BR7" s="75" t="str">
        <f t="shared" si="33"/>
        <v/>
      </c>
      <c r="BS7" s="75" t="str">
        <f t="shared" si="34"/>
        <v/>
      </c>
      <c r="BT7" s="77" t="str">
        <f t="shared" si="35"/>
        <v/>
      </c>
      <c r="BU7" s="72" t="str">
        <f t="shared" si="36"/>
        <v/>
      </c>
      <c r="BV7" s="72" t="str">
        <f t="shared" si="37"/>
        <v/>
      </c>
      <c r="BW7" s="72" t="str">
        <f t="shared" si="38"/>
        <v/>
      </c>
      <c r="BX7" s="77" t="str">
        <f t="shared" si="39"/>
        <v/>
      </c>
      <c r="BY7" s="77" t="str">
        <f t="shared" si="40"/>
        <v/>
      </c>
      <c r="BZ7" s="77" t="str">
        <f t="shared" si="41"/>
        <v/>
      </c>
      <c r="CA7" s="69"/>
      <c r="CB7" s="75" t="str">
        <f>IF(E7&gt;4,RIGHT(AN7,LEN(AN7)-LEN(AX7)-LEN(Temp!BM7)-2),"")</f>
        <v/>
      </c>
      <c r="CC7" s="75" t="str">
        <f>IF(E7&gt;4,RIGHT(AO7,LEN(AO7)-LEN(AY7)-LEN(Temp!BN7)-2),"")</f>
        <v/>
      </c>
      <c r="CD7" s="75" t="str">
        <f>IF(E7&gt;4,RIGHT(AP7,LEN(AP7)-LEN(AZ7)-LEN(Temp!BO7)-2),"")</f>
        <v/>
      </c>
      <c r="CE7" s="75" t="str">
        <f t="shared" si="42"/>
        <v/>
      </c>
      <c r="CF7" s="75" t="str">
        <f t="shared" si="43"/>
        <v/>
      </c>
      <c r="CG7" s="75" t="str">
        <f t="shared" si="44"/>
        <v/>
      </c>
      <c r="CH7" s="75" t="str">
        <f t="shared" si="45"/>
        <v/>
      </c>
      <c r="CI7" s="75"/>
      <c r="CJ7" s="79"/>
      <c r="CK7" s="79"/>
      <c r="CL7" s="75" t="str">
        <f t="shared" si="46"/>
        <v/>
      </c>
      <c r="CM7" s="75" t="str">
        <f t="shared" si="47"/>
        <v/>
      </c>
      <c r="CN7" s="75" t="str">
        <f t="shared" si="48"/>
        <v/>
      </c>
      <c r="CO7" s="75" t="str">
        <f t="shared" si="49"/>
        <v/>
      </c>
      <c r="CP7" s="75" t="str">
        <f t="shared" si="50"/>
        <v/>
      </c>
      <c r="CQ7" s="75" t="str">
        <f t="shared" si="51"/>
        <v/>
      </c>
      <c r="CR7" s="75" t="str">
        <f t="shared" si="52"/>
        <v/>
      </c>
      <c r="CS7" s="75" t="str">
        <f t="shared" si="53"/>
        <v/>
      </c>
      <c r="CT7" s="72" t="str">
        <f t="shared" si="54"/>
        <v/>
      </c>
      <c r="CU7" s="72" t="str">
        <f t="shared" si="55"/>
        <v/>
      </c>
      <c r="CV7" s="72" t="str">
        <f t="shared" si="56"/>
        <v/>
      </c>
      <c r="CW7" s="75" t="str">
        <f t="shared" si="57"/>
        <v/>
      </c>
      <c r="CX7" s="75" t="str">
        <f t="shared" si="58"/>
        <v/>
      </c>
      <c r="CY7" s="75" t="str">
        <f t="shared" si="59"/>
        <v/>
      </c>
      <c r="CZ7" s="69"/>
      <c r="DA7" s="68" t="str">
        <f t="shared" si="60"/>
        <v/>
      </c>
      <c r="DB7" s="68" t="str">
        <f t="shared" si="61"/>
        <v/>
      </c>
      <c r="DC7" s="68" t="str">
        <f t="shared" si="62"/>
        <v/>
      </c>
      <c r="DD7" s="75" t="str">
        <f t="shared" si="63"/>
        <v/>
      </c>
      <c r="DE7" s="75" t="str">
        <f t="shared" si="64"/>
        <v/>
      </c>
      <c r="DF7" s="75" t="str">
        <f t="shared" si="65"/>
        <v/>
      </c>
      <c r="DG7" s="75" t="str">
        <f t="shared" si="66"/>
        <v/>
      </c>
      <c r="DH7" s="77" t="str">
        <f t="shared" si="67"/>
        <v/>
      </c>
      <c r="DI7" s="72" t="str">
        <f t="shared" si="68"/>
        <v/>
      </c>
      <c r="DJ7" s="72" t="str">
        <f t="shared" si="69"/>
        <v/>
      </c>
      <c r="DK7" s="72" t="str">
        <f t="shared" si="70"/>
        <v/>
      </c>
      <c r="DL7" s="77" t="str">
        <f t="shared" si="71"/>
        <v/>
      </c>
      <c r="DM7" s="77" t="str">
        <f t="shared" si="72"/>
        <v/>
      </c>
      <c r="DN7" s="77" t="str">
        <f t="shared" si="73"/>
        <v/>
      </c>
      <c r="DO7" s="68"/>
      <c r="DP7" s="68"/>
      <c r="DQ7" s="68"/>
      <c r="DR7" s="68"/>
      <c r="DS7" s="68"/>
      <c r="DT7" s="68"/>
      <c r="DU7" s="68"/>
      <c r="DV7" s="68"/>
      <c r="DW7" s="68"/>
      <c r="DX7" s="68"/>
      <c r="DY7" s="68"/>
      <c r="DZ7" s="68"/>
      <c r="EA7" s="68"/>
      <c r="EB7" s="68"/>
      <c r="EC7" s="68"/>
      <c r="ED7" s="68"/>
      <c r="EE7" s="68" t="str">
        <f>Tonghop!V7</f>
        <v>Yes</v>
      </c>
      <c r="EF7" s="68" t="str">
        <f>Tonghop!W7</f>
        <v>Yes</v>
      </c>
      <c r="EG7" s="68">
        <f>Tonghop!X7</f>
        <v>35</v>
      </c>
      <c r="EH7" s="68" t="str">
        <f>Tonghop!Y7</f>
        <v>Yes</v>
      </c>
      <c r="EI7" s="68">
        <f>Tonghop!Z7</f>
        <v>24.5</v>
      </c>
      <c r="EJ7" s="139"/>
    </row>
    <row r="8" spans="1:144" s="112" customFormat="1">
      <c r="A8" s="67">
        <f>Tonghop!A8</f>
        <v>7</v>
      </c>
      <c r="B8" s="68" t="str">
        <f>Tonghop!D8</f>
        <v>Số 29, đường Lê Duẩn, khóm 7, phường 3, thành phố Sóc Trăng, tỉnh Sóc Trăng.</v>
      </c>
      <c r="C8" s="71" t="str">
        <f>Tonghop!E8</f>
        <v>Sóc Trăng</v>
      </c>
      <c r="D8" s="71" t="str">
        <f>Tonghop!I8</f>
        <v>1802427/2019/PTN-KĐ</v>
      </c>
      <c r="E8" s="67">
        <f>Tonghop!H8</f>
        <v>3</v>
      </c>
      <c r="F8" s="69"/>
      <c r="G8" s="69"/>
      <c r="H8" s="69"/>
      <c r="I8" s="69"/>
      <c r="J8" s="72" t="str">
        <f>IF(E8&gt;1,LEFT(Tonghop!L8,FIND("/",Tonghop!L8,1)-1),Tonghop!L8)</f>
        <v>TẬP ĐOÀN CÔNG NGHIỆP - VIỄN THÔNG QUÂN ĐỘI</v>
      </c>
      <c r="K8" s="72" t="str">
        <f>IF(E8&gt;1,LEFT(Tonghop!M8,FIND(";",Tonghop!M8,1)-1),Tonghop!M8)</f>
        <v>STG0107</v>
      </c>
      <c r="L8" s="72" t="str">
        <f>IF(E8&gt;1,LEFT(Tonghop!N8,FIND(";",Tonghop!N8,1)-1),Tonghop!N8)</f>
        <v>NOKIA Flexi EDGE BTS</v>
      </c>
      <c r="M8" s="72">
        <f t="shared" si="0"/>
        <v>3</v>
      </c>
      <c r="N8" s="72" t="str">
        <f t="shared" si="1"/>
        <v>2</v>
      </c>
      <c r="O8" s="72" t="str">
        <f t="shared" si="2"/>
        <v>2</v>
      </c>
      <c r="P8" s="72" t="str">
        <f t="shared" si="3"/>
        <v>2</v>
      </c>
      <c r="Q8" s="72" t="str">
        <f>IF(E8&gt;1,LEFT(Tonghop!P8,FIND(";",Tonghop!P8,1)-1),Tonghop!P8)</f>
        <v>2/2/2</v>
      </c>
      <c r="R8" s="72" t="str">
        <f t="shared" si="4"/>
        <v>41.7</v>
      </c>
      <c r="S8" s="72" t="str">
        <f t="shared" si="5"/>
        <v>41.7</v>
      </c>
      <c r="T8" s="72" t="str">
        <f t="shared" si="6"/>
        <v>41.7</v>
      </c>
      <c r="U8" s="72" t="str">
        <f>IF(E8&gt;1,LEFT(Tonghop!Q8,FIND(";",Tonghop!Q8,1)-1),Tonghop!Q8)</f>
        <v>41.7W/41.7W/41.7W</v>
      </c>
      <c r="V8" s="72" t="str">
        <f>IF(E8&gt;1,LEFT(Tonghop!R8,FIND("/",Tonghop!R8,1)-1),Tonghop!R8)</f>
        <v>G1800</v>
      </c>
      <c r="W8" s="72" t="str">
        <f>IF(E8&gt;1,LEFT(Tonghop!S8,FIND(";",Tonghop!S8,1)-1),Tonghop!S8)</f>
        <v>28m/ 28m/ 28m</v>
      </c>
      <c r="X8" s="73"/>
      <c r="Y8" s="74" t="str">
        <f>IF(E8&gt;2,MID(Tonghop!L8,LEN(Temp!J8)+2,FIND("/",Tonghop!L8,LEN(Temp!J8)+2)-LEN(Temp!J8)-2),IF(E8=2,RIGHT(Tonghop!L8,LEN(Tonghop!L8)-LEN(Temp!J8)-1),""))</f>
        <v>TẬP ĐOÀN CÔNG NGHIỆP - VIỄN THÔNG QUÂN ĐỘI</v>
      </c>
      <c r="Z8" s="74" t="str">
        <f>IF(E8&gt;2,MID(Tonghop!M8,LEN(Temp!K8)+2,FIND(";",Tonghop!M8,LEN(Temp!K8)+2)-LEN(Temp!K8)-2),IF(E8=2,RIGHT(Tonghop!M8,LEN(Tonghop!M8)-LEN(Temp!K8)-1),""))</f>
        <v>STG0107</v>
      </c>
      <c r="AA8" s="74" t="str">
        <f>IF(E8&gt;2,MID(Tonghop!N8,LEN(Temp!L8)+2,FIND(";",Tonghop!N8,LEN(Temp!L8)+2)-LEN(Temp!L8)-2),IF(E8=2,RIGHT(Tonghop!N8,LEN(Tonghop!N8)-LEN(Temp!L8)-1),""))</f>
        <v>NOKIA Flexi WCDMA BTS</v>
      </c>
      <c r="AB8" s="75">
        <f t="shared" si="7"/>
        <v>3</v>
      </c>
      <c r="AC8" s="75" t="str">
        <f t="shared" si="8"/>
        <v>2</v>
      </c>
      <c r="AD8" s="75" t="str">
        <f t="shared" si="9"/>
        <v>2</v>
      </c>
      <c r="AE8" s="75" t="str">
        <f t="shared" si="10"/>
        <v>2</v>
      </c>
      <c r="AF8" s="74" t="str">
        <f>IF(E8&gt;2,MID(Tonghop!P8,LEN(Temp!Q8)+2,FIND(";",Tonghop!P8,LEN(Temp!Q8)+2)-LEN(Temp!Q8)-2),IF(E8=2,RIGHT(Tonghop!P8,LEN(Tonghop!P8)-LEN(Temp!Q8)-1),""))</f>
        <v>2/2/2</v>
      </c>
      <c r="AG8" s="72" t="str">
        <f t="shared" si="11"/>
        <v>40</v>
      </c>
      <c r="AH8" s="72" t="str">
        <f t="shared" si="12"/>
        <v>40</v>
      </c>
      <c r="AI8" s="72" t="str">
        <f t="shared" si="13"/>
        <v>40</v>
      </c>
      <c r="AJ8" s="74" t="str">
        <f>IF(E8&gt;2,MID(Tonghop!Q8,LEN(Temp!U8)+2,FIND(";",Tonghop!Q8,LEN(Temp!U8)+2)-LEN(Temp!U8)-2),IF(E8=2,RIGHT(Tonghop!Q8,LEN(Tonghop!Q8)-LEN(Temp!U8)-1),""))</f>
        <v>40W/40W/40W</v>
      </c>
      <c r="AK8" s="74" t="str">
        <f>IF(E8&gt;2,MID(Tonghop!R8,LEN(Temp!V8)+2,FIND("/",Tonghop!R8,LEN(Temp!V8)+2)-LEN(Temp!V8)-2),IF(E8=2,RIGHT(Tonghop!R8,LEN(Tonghop!R8)-LEN(Temp!V8)-1),""))</f>
        <v>U2100</v>
      </c>
      <c r="AL8" s="74" t="str">
        <f>IF(E8&gt;2,MID(Tonghop!S8,LEN(Temp!W8)+2,FIND(";",Tonghop!S8,LEN(Temp!W8)+2)-LEN(Temp!W8)-2),IF(E8=2,RIGHT(Tonghop!S8,LEN(Tonghop!S8)-LEN(Temp!W8)-1),""))</f>
        <v>35m/ 35m/ 35m</v>
      </c>
      <c r="AM8" s="73"/>
      <c r="AN8" s="75" t="str">
        <f>IF(E8&gt;2,RIGHT(Tonghop!L8,LEN(Tonghop!L8)-LEN(Temp!J8)-LEN(Temp!Y8)-2),"")</f>
        <v>TẬP ĐOÀN CÔNG NGHIỆP - VIỄN THÔNG QUÂN ĐỘI</v>
      </c>
      <c r="AO8" s="75" t="str">
        <f>IF(E8&gt;2,RIGHT(Tonghop!M8,LEN(Tonghop!M8)-LEN(Temp!K8)-LEN(Temp!Z8)-2),"")</f>
        <v>STG0107</v>
      </c>
      <c r="AP8" s="75" t="str">
        <f>IF(E8&gt;2,RIGHT(Tonghop!N8,LEN(Tonghop!N8)-LEN(Temp!L8)-LEN(Temp!AA8)-2),"")</f>
        <v>NSN FLEXI MULTIRADIO AIRSCALE</v>
      </c>
      <c r="AQ8" s="75" t="str">
        <f>IF(E8&gt;2,RIGHT(Tonghop!P8,LEN(Tonghop!P8)-LEN(Temp!Q8)-LEN(Temp!AF8)-2),"")</f>
        <v>1/1/1</v>
      </c>
      <c r="AR8" s="75" t="str">
        <f>IF(E8&gt;2,RIGHT(Tonghop!Q8,LEN(Tonghop!Q8)-LEN(U8)-LEN(Temp!AJ8)-2),"")</f>
        <v>40W/40W/40W</v>
      </c>
      <c r="AS8" s="75" t="str">
        <f>IF(E8&gt;2,RIGHT(Tonghop!R8,LEN(Tonghop!R8)-LEN(V8)-LEN(Temp!AK8)-2),"")</f>
        <v>L1800</v>
      </c>
      <c r="AT8" s="75" t="str">
        <f>IF(E8&gt;2,RIGHT(Tonghop!S8,LEN(Tonghop!S8)-LEN(W8)-LEN(Temp!AL8)-2),"")</f>
        <v>35m/ 35m/ 35m</v>
      </c>
      <c r="AU8" s="75"/>
      <c r="AV8" s="75"/>
      <c r="AW8" s="75"/>
      <c r="AX8" s="75" t="str">
        <f t="shared" si="14"/>
        <v>TẬP ĐOÀN CÔNG NGHIỆP - VIỄN THÔNG QUÂN ĐỘI</v>
      </c>
      <c r="AY8" s="75" t="str">
        <f t="shared" si="15"/>
        <v>STG0107</v>
      </c>
      <c r="AZ8" s="75" t="str">
        <f t="shared" si="16"/>
        <v>NSN FLEXI MULTIRADIO AIRSCALE</v>
      </c>
      <c r="BA8" s="75">
        <f t="shared" si="17"/>
        <v>3</v>
      </c>
      <c r="BB8" s="75" t="str">
        <f t="shared" si="18"/>
        <v>1</v>
      </c>
      <c r="BC8" s="75" t="str">
        <f t="shared" si="19"/>
        <v>1</v>
      </c>
      <c r="BD8" s="75" t="str">
        <f t="shared" si="20"/>
        <v>1</v>
      </c>
      <c r="BE8" s="75" t="str">
        <f t="shared" si="21"/>
        <v>1/1/1</v>
      </c>
      <c r="BF8" s="72" t="str">
        <f t="shared" si="22"/>
        <v>40</v>
      </c>
      <c r="BG8" s="72" t="str">
        <f t="shared" si="23"/>
        <v>40</v>
      </c>
      <c r="BH8" s="72" t="str">
        <f t="shared" si="24"/>
        <v>40</v>
      </c>
      <c r="BI8" s="75" t="str">
        <f t="shared" si="25"/>
        <v>40W/40W/40W</v>
      </c>
      <c r="BJ8" s="75" t="str">
        <f t="shared" si="26"/>
        <v>L1800</v>
      </c>
      <c r="BK8" s="75" t="str">
        <f t="shared" si="27"/>
        <v>35m/ 35m/ 35m</v>
      </c>
      <c r="BL8" s="69"/>
      <c r="BM8" s="68" t="str">
        <f t="shared" si="28"/>
        <v/>
      </c>
      <c r="BN8" s="68" t="str">
        <f t="shared" si="29"/>
        <v/>
      </c>
      <c r="BO8" s="68" t="str">
        <f t="shared" si="30"/>
        <v/>
      </c>
      <c r="BP8" s="75" t="str">
        <f t="shared" si="31"/>
        <v/>
      </c>
      <c r="BQ8" s="75" t="str">
        <f t="shared" si="32"/>
        <v/>
      </c>
      <c r="BR8" s="75" t="str">
        <f t="shared" si="33"/>
        <v/>
      </c>
      <c r="BS8" s="75" t="str">
        <f t="shared" si="34"/>
        <v/>
      </c>
      <c r="BT8" s="77" t="str">
        <f t="shared" si="35"/>
        <v/>
      </c>
      <c r="BU8" s="72" t="str">
        <f t="shared" si="36"/>
        <v/>
      </c>
      <c r="BV8" s="72" t="str">
        <f t="shared" si="37"/>
        <v/>
      </c>
      <c r="BW8" s="72" t="str">
        <f t="shared" si="38"/>
        <v/>
      </c>
      <c r="BX8" s="77" t="str">
        <f t="shared" si="39"/>
        <v/>
      </c>
      <c r="BY8" s="77" t="str">
        <f t="shared" si="40"/>
        <v/>
      </c>
      <c r="BZ8" s="77" t="str">
        <f t="shared" si="41"/>
        <v/>
      </c>
      <c r="CA8" s="69"/>
      <c r="CB8" s="75" t="str">
        <f>IF(E8&gt;4,RIGHT(AN8,LEN(AN8)-LEN(AX8)-LEN(Temp!BM8)-2),"")</f>
        <v/>
      </c>
      <c r="CC8" s="75" t="str">
        <f>IF(E8&gt;4,RIGHT(AO8,LEN(AO8)-LEN(AY8)-LEN(Temp!BN8)-2),"")</f>
        <v/>
      </c>
      <c r="CD8" s="75" t="str">
        <f>IF(E8&gt;4,RIGHT(AP8,LEN(AP8)-LEN(AZ8)-LEN(Temp!BO8)-2),"")</f>
        <v/>
      </c>
      <c r="CE8" s="75" t="str">
        <f t="shared" si="42"/>
        <v/>
      </c>
      <c r="CF8" s="75" t="str">
        <f t="shared" si="43"/>
        <v/>
      </c>
      <c r="CG8" s="75" t="str">
        <f t="shared" si="44"/>
        <v/>
      </c>
      <c r="CH8" s="75" t="str">
        <f t="shared" si="45"/>
        <v/>
      </c>
      <c r="CI8" s="75"/>
      <c r="CJ8" s="79"/>
      <c r="CK8" s="79"/>
      <c r="CL8" s="75" t="str">
        <f t="shared" si="46"/>
        <v/>
      </c>
      <c r="CM8" s="75" t="str">
        <f t="shared" si="47"/>
        <v/>
      </c>
      <c r="CN8" s="75" t="str">
        <f t="shared" si="48"/>
        <v/>
      </c>
      <c r="CO8" s="75" t="str">
        <f t="shared" si="49"/>
        <v/>
      </c>
      <c r="CP8" s="75" t="str">
        <f t="shared" si="50"/>
        <v/>
      </c>
      <c r="CQ8" s="75" t="str">
        <f t="shared" si="51"/>
        <v/>
      </c>
      <c r="CR8" s="75" t="str">
        <f t="shared" si="52"/>
        <v/>
      </c>
      <c r="CS8" s="75" t="str">
        <f t="shared" si="53"/>
        <v/>
      </c>
      <c r="CT8" s="72" t="str">
        <f t="shared" si="54"/>
        <v/>
      </c>
      <c r="CU8" s="72" t="str">
        <f t="shared" si="55"/>
        <v/>
      </c>
      <c r="CV8" s="72" t="str">
        <f t="shared" si="56"/>
        <v/>
      </c>
      <c r="CW8" s="75" t="str">
        <f t="shared" si="57"/>
        <v/>
      </c>
      <c r="CX8" s="75" t="str">
        <f t="shared" si="58"/>
        <v/>
      </c>
      <c r="CY8" s="75" t="str">
        <f t="shared" si="59"/>
        <v/>
      </c>
      <c r="CZ8" s="69"/>
      <c r="DA8" s="68" t="str">
        <f t="shared" si="60"/>
        <v/>
      </c>
      <c r="DB8" s="68" t="str">
        <f t="shared" si="61"/>
        <v/>
      </c>
      <c r="DC8" s="68" t="str">
        <f t="shared" si="62"/>
        <v/>
      </c>
      <c r="DD8" s="75" t="str">
        <f t="shared" si="63"/>
        <v/>
      </c>
      <c r="DE8" s="75" t="str">
        <f t="shared" si="64"/>
        <v/>
      </c>
      <c r="DF8" s="75" t="str">
        <f t="shared" si="65"/>
        <v/>
      </c>
      <c r="DG8" s="75" t="str">
        <f t="shared" si="66"/>
        <v/>
      </c>
      <c r="DH8" s="77" t="str">
        <f t="shared" si="67"/>
        <v/>
      </c>
      <c r="DI8" s="72" t="str">
        <f t="shared" si="68"/>
        <v/>
      </c>
      <c r="DJ8" s="72" t="str">
        <f t="shared" si="69"/>
        <v/>
      </c>
      <c r="DK8" s="72" t="str">
        <f t="shared" si="70"/>
        <v/>
      </c>
      <c r="DL8" s="77" t="str">
        <f t="shared" si="71"/>
        <v/>
      </c>
      <c r="DM8" s="77" t="str">
        <f t="shared" si="72"/>
        <v/>
      </c>
      <c r="DN8" s="77" t="str">
        <f t="shared" si="73"/>
        <v/>
      </c>
      <c r="DO8" s="68"/>
      <c r="DP8" s="68"/>
      <c r="DQ8" s="68"/>
      <c r="DR8" s="68"/>
      <c r="DS8" s="68"/>
      <c r="DT8" s="68"/>
      <c r="DU8" s="68"/>
      <c r="DV8" s="68"/>
      <c r="DW8" s="68"/>
      <c r="DX8" s="68"/>
      <c r="DY8" s="68"/>
      <c r="DZ8" s="68"/>
      <c r="EA8" s="68"/>
      <c r="EB8" s="68"/>
      <c r="EC8" s="68"/>
      <c r="ED8" s="68"/>
      <c r="EE8" s="68" t="str">
        <f>Tonghop!V8</f>
        <v>Yes</v>
      </c>
      <c r="EF8" s="68" t="str">
        <f>Tonghop!W8</f>
        <v>No</v>
      </c>
      <c r="EG8" s="68" t="str">
        <f>Tonghop!X8</f>
        <v/>
      </c>
      <c r="EH8" s="68" t="str">
        <f>Tonghop!Y8</f>
        <v>Yes</v>
      </c>
      <c r="EI8" s="68">
        <f>Tonghop!Z8</f>
        <v>7</v>
      </c>
      <c r="EJ8" s="139"/>
    </row>
    <row r="9" spans="1:144" s="112" customFormat="1">
      <c r="A9" s="67">
        <f>Tonghop!A9</f>
        <v>8</v>
      </c>
      <c r="B9" s="68" t="str">
        <f>Tonghop!D9</f>
        <v>Số 342, đường Mạc Đỉnh Chi, phường 9, thành phố Sóc Trăng, tỉnh Sóc Trăng.</v>
      </c>
      <c r="C9" s="71" t="str">
        <f>Tonghop!E9</f>
        <v>Sóc Trăng</v>
      </c>
      <c r="D9" s="71" t="str">
        <f>Tonghop!I9</f>
        <v>1802428/2019/PTN-KĐ</v>
      </c>
      <c r="E9" s="67">
        <f>Tonghop!H9</f>
        <v>3</v>
      </c>
      <c r="F9" s="69"/>
      <c r="G9" s="69"/>
      <c r="H9" s="69"/>
      <c r="I9" s="69"/>
      <c r="J9" s="72" t="str">
        <f>IF(E9&gt;1,LEFT(Tonghop!L9,FIND("/",Tonghop!L9,1)-1),Tonghop!L9)</f>
        <v>TẬP ĐOÀN CÔNG NGHIỆP - VIỄN THÔNG QUÂN ĐỘI</v>
      </c>
      <c r="K9" s="72" t="str">
        <f>IF(E9&gt;1,LEFT(Tonghop!M9,FIND(";",Tonghop!M9,1)-1),Tonghop!M9)</f>
        <v>STG0109</v>
      </c>
      <c r="L9" s="72" t="str">
        <f>IF(E9&gt;1,LEFT(Tonghop!N9,FIND(";",Tonghop!N9,1)-1),Tonghop!N9)</f>
        <v>NOKIA Flexi EDGE BTS</v>
      </c>
      <c r="M9" s="72">
        <f t="shared" si="0"/>
        <v>3</v>
      </c>
      <c r="N9" s="72" t="str">
        <f t="shared" si="1"/>
        <v>2</v>
      </c>
      <c r="O9" s="72" t="str">
        <f t="shared" si="2"/>
        <v>2</v>
      </c>
      <c r="P9" s="72" t="str">
        <f t="shared" si="3"/>
        <v>2</v>
      </c>
      <c r="Q9" s="72" t="str">
        <f>IF(E9&gt;1,LEFT(Tonghop!P9,FIND(";",Tonghop!P9,1)-1),Tonghop!P9)</f>
        <v>2/2/2</v>
      </c>
      <c r="R9" s="72" t="str">
        <f t="shared" si="4"/>
        <v>41.7</v>
      </c>
      <c r="S9" s="72" t="str">
        <f t="shared" si="5"/>
        <v>41.7</v>
      </c>
      <c r="T9" s="72" t="str">
        <f t="shared" si="6"/>
        <v>41.7</v>
      </c>
      <c r="U9" s="72" t="str">
        <f>IF(E9&gt;1,LEFT(Tonghop!Q9,FIND(";",Tonghop!Q9,1)-1),Tonghop!Q9)</f>
        <v>41.7W/41.7W/41.7W</v>
      </c>
      <c r="V9" s="72" t="str">
        <f>IF(E9&gt;1,LEFT(Tonghop!R9,FIND("/",Tonghop!R9,1)-1),Tonghop!R9)</f>
        <v>G1800</v>
      </c>
      <c r="W9" s="72" t="str">
        <f>IF(E9&gt;1,LEFT(Tonghop!S9,FIND(";",Tonghop!S9,1)-1),Tonghop!S9)</f>
        <v>32m/ 32m/ 32m</v>
      </c>
      <c r="X9" s="73"/>
      <c r="Y9" s="74" t="str">
        <f>IF(E9&gt;2,MID(Tonghop!L9,LEN(Temp!J9)+2,FIND("/",Tonghop!L9,LEN(Temp!J9)+2)-LEN(Temp!J9)-2),IF(E9=2,RIGHT(Tonghop!L9,LEN(Tonghop!L9)-LEN(Temp!J9)-1),""))</f>
        <v>TẬP ĐOÀN CÔNG NGHIỆP - VIỄN THÔNG QUÂN ĐỘI</v>
      </c>
      <c r="Z9" s="74" t="str">
        <f>IF(E9&gt;2,MID(Tonghop!M9,LEN(Temp!K9)+2,FIND(";",Tonghop!M9,LEN(Temp!K9)+2)-LEN(Temp!K9)-2),IF(E9=2,RIGHT(Tonghop!M9,LEN(Tonghop!M9)-LEN(Temp!K9)-1),""))</f>
        <v>STG0109</v>
      </c>
      <c r="AA9" s="74" t="str">
        <f>IF(E9&gt;2,MID(Tonghop!N9,LEN(Temp!L9)+2,FIND(";",Tonghop!N9,LEN(Temp!L9)+2)-LEN(Temp!L9)-2),IF(E9=2,RIGHT(Tonghop!N9,LEN(Tonghop!N9)-LEN(Temp!L9)-1),""))</f>
        <v>NOKIA Flexi WCDMA BTS</v>
      </c>
      <c r="AB9" s="75">
        <f t="shared" si="7"/>
        <v>3</v>
      </c>
      <c r="AC9" s="75" t="str">
        <f t="shared" si="8"/>
        <v>2</v>
      </c>
      <c r="AD9" s="75" t="str">
        <f t="shared" si="9"/>
        <v>2</v>
      </c>
      <c r="AE9" s="75" t="str">
        <f t="shared" si="10"/>
        <v>2</v>
      </c>
      <c r="AF9" s="74" t="str">
        <f>IF(E9&gt;2,MID(Tonghop!P9,LEN(Temp!Q9)+2,FIND(";",Tonghop!P9,LEN(Temp!Q9)+2)-LEN(Temp!Q9)-2),IF(E9=2,RIGHT(Tonghop!P9,LEN(Tonghop!P9)-LEN(Temp!Q9)-1),""))</f>
        <v>2/2/2</v>
      </c>
      <c r="AG9" s="72" t="str">
        <f t="shared" si="11"/>
        <v>40</v>
      </c>
      <c r="AH9" s="72" t="str">
        <f t="shared" si="12"/>
        <v>40</v>
      </c>
      <c r="AI9" s="72" t="str">
        <f t="shared" si="13"/>
        <v>40</v>
      </c>
      <c r="AJ9" s="74" t="str">
        <f>IF(E9&gt;2,MID(Tonghop!Q9,LEN(Temp!U9)+2,FIND(";",Tonghop!Q9,LEN(Temp!U9)+2)-LEN(Temp!U9)-2),IF(E9=2,RIGHT(Tonghop!Q9,LEN(Tonghop!Q9)-LEN(Temp!U9)-1),""))</f>
        <v>40W/40W/40W</v>
      </c>
      <c r="AK9" s="74" t="str">
        <f>IF(E9&gt;2,MID(Tonghop!R9,LEN(Temp!V9)+2,FIND("/",Tonghop!R9,LEN(Temp!V9)+2)-LEN(Temp!V9)-2),IF(E9=2,RIGHT(Tonghop!R9,LEN(Tonghop!R9)-LEN(Temp!V9)-1),""))</f>
        <v>U2100</v>
      </c>
      <c r="AL9" s="74" t="str">
        <f>IF(E9&gt;2,MID(Tonghop!S9,LEN(Temp!W9)+2,FIND(";",Tonghop!S9,LEN(Temp!W9)+2)-LEN(Temp!W9)-2),IF(E9=2,RIGHT(Tonghop!S9,LEN(Tonghop!S9)-LEN(Temp!W9)-1),""))</f>
        <v>28m/ 28m/ 28m</v>
      </c>
      <c r="AM9" s="73"/>
      <c r="AN9" s="75" t="str">
        <f>IF(E9&gt;2,RIGHT(Tonghop!L9,LEN(Tonghop!L9)-LEN(Temp!J9)-LEN(Temp!Y9)-2),"")</f>
        <v>TẬP ĐOÀN CÔNG NGHIỆP - VIỄN THÔNG QUÂN ĐỘI</v>
      </c>
      <c r="AO9" s="75" t="str">
        <f>IF(E9&gt;2,RIGHT(Tonghop!M9,LEN(Tonghop!M9)-LEN(Temp!K9)-LEN(Temp!Z9)-2),"")</f>
        <v>STG0109</v>
      </c>
      <c r="AP9" s="75" t="str">
        <f>IF(E9&gt;2,RIGHT(Tonghop!N9,LEN(Tonghop!N9)-LEN(Temp!L9)-LEN(Temp!AA9)-2),"")</f>
        <v>NSN FLEXI MULTIRADIO AIRSCALE</v>
      </c>
      <c r="AQ9" s="75" t="str">
        <f>IF(E9&gt;2,RIGHT(Tonghop!P9,LEN(Tonghop!P9)-LEN(Temp!Q9)-LEN(Temp!AF9)-2),"")</f>
        <v>1/1/1</v>
      </c>
      <c r="AR9" s="75" t="str">
        <f>IF(E9&gt;2,RIGHT(Tonghop!Q9,LEN(Tonghop!Q9)-LEN(U9)-LEN(Temp!AJ9)-2),"")</f>
        <v>40W/40W/40W</v>
      </c>
      <c r="AS9" s="75" t="str">
        <f>IF(E9&gt;2,RIGHT(Tonghop!R9,LEN(Tonghop!R9)-LEN(V9)-LEN(Temp!AK9)-2),"")</f>
        <v>L1800</v>
      </c>
      <c r="AT9" s="75" t="str">
        <f>IF(E9&gt;2,RIGHT(Tonghop!S9,LEN(Tonghop!S9)-LEN(W9)-LEN(Temp!AL9)-2),"")</f>
        <v>32m/ 32m/ 32m</v>
      </c>
      <c r="AU9" s="75"/>
      <c r="AV9" s="75"/>
      <c r="AW9" s="75"/>
      <c r="AX9" s="75" t="str">
        <f t="shared" si="14"/>
        <v>TẬP ĐOÀN CÔNG NGHIỆP - VIỄN THÔNG QUÂN ĐỘI</v>
      </c>
      <c r="AY9" s="75" t="str">
        <f t="shared" si="15"/>
        <v>STG0109</v>
      </c>
      <c r="AZ9" s="75" t="str">
        <f t="shared" si="16"/>
        <v>NSN FLEXI MULTIRADIO AIRSCALE</v>
      </c>
      <c r="BA9" s="75">
        <f t="shared" si="17"/>
        <v>3</v>
      </c>
      <c r="BB9" s="75" t="str">
        <f t="shared" si="18"/>
        <v>1</v>
      </c>
      <c r="BC9" s="75" t="str">
        <f t="shared" si="19"/>
        <v>1</v>
      </c>
      <c r="BD9" s="75" t="str">
        <f t="shared" si="20"/>
        <v>1</v>
      </c>
      <c r="BE9" s="75" t="str">
        <f t="shared" si="21"/>
        <v>1/1/1</v>
      </c>
      <c r="BF9" s="72" t="str">
        <f t="shared" si="22"/>
        <v>40</v>
      </c>
      <c r="BG9" s="72" t="str">
        <f t="shared" si="23"/>
        <v>40</v>
      </c>
      <c r="BH9" s="72" t="str">
        <f t="shared" si="24"/>
        <v>40</v>
      </c>
      <c r="BI9" s="75" t="str">
        <f t="shared" si="25"/>
        <v>40W/40W/40W</v>
      </c>
      <c r="BJ9" s="75" t="str">
        <f t="shared" si="26"/>
        <v>L1800</v>
      </c>
      <c r="BK9" s="75" t="str">
        <f t="shared" si="27"/>
        <v>32m/ 32m/ 32m</v>
      </c>
      <c r="BL9" s="69"/>
      <c r="BM9" s="68" t="str">
        <f t="shared" si="28"/>
        <v/>
      </c>
      <c r="BN9" s="68" t="str">
        <f t="shared" si="29"/>
        <v/>
      </c>
      <c r="BO9" s="68" t="str">
        <f t="shared" si="30"/>
        <v/>
      </c>
      <c r="BP9" s="75" t="str">
        <f t="shared" si="31"/>
        <v/>
      </c>
      <c r="BQ9" s="75" t="str">
        <f t="shared" si="32"/>
        <v/>
      </c>
      <c r="BR9" s="75" t="str">
        <f t="shared" si="33"/>
        <v/>
      </c>
      <c r="BS9" s="75" t="str">
        <f t="shared" si="34"/>
        <v/>
      </c>
      <c r="BT9" s="77" t="str">
        <f t="shared" si="35"/>
        <v/>
      </c>
      <c r="BU9" s="72" t="str">
        <f t="shared" si="36"/>
        <v/>
      </c>
      <c r="BV9" s="72" t="str">
        <f t="shared" si="37"/>
        <v/>
      </c>
      <c r="BW9" s="72" t="str">
        <f t="shared" si="38"/>
        <v/>
      </c>
      <c r="BX9" s="77" t="str">
        <f t="shared" si="39"/>
        <v/>
      </c>
      <c r="BY9" s="77" t="str">
        <f t="shared" si="40"/>
        <v/>
      </c>
      <c r="BZ9" s="77" t="str">
        <f t="shared" si="41"/>
        <v/>
      </c>
      <c r="CA9" s="69"/>
      <c r="CB9" s="75" t="str">
        <f>IF(E9&gt;4,RIGHT(AN9,LEN(AN9)-LEN(AX9)-LEN(Temp!BM9)-2),"")</f>
        <v/>
      </c>
      <c r="CC9" s="75" t="str">
        <f>IF(E9&gt;4,RIGHT(AO9,LEN(AO9)-LEN(AY9)-LEN(Temp!BN9)-2),"")</f>
        <v/>
      </c>
      <c r="CD9" s="75" t="str">
        <f>IF(E9&gt;4,RIGHT(AP9,LEN(AP9)-LEN(AZ9)-LEN(Temp!BO9)-2),"")</f>
        <v/>
      </c>
      <c r="CE9" s="75" t="str">
        <f t="shared" si="42"/>
        <v/>
      </c>
      <c r="CF9" s="75" t="str">
        <f t="shared" si="43"/>
        <v/>
      </c>
      <c r="CG9" s="75" t="str">
        <f t="shared" si="44"/>
        <v/>
      </c>
      <c r="CH9" s="75" t="str">
        <f t="shared" si="45"/>
        <v/>
      </c>
      <c r="CI9" s="75"/>
      <c r="CJ9" s="79"/>
      <c r="CK9" s="79"/>
      <c r="CL9" s="75" t="str">
        <f t="shared" si="46"/>
        <v/>
      </c>
      <c r="CM9" s="75" t="str">
        <f t="shared" si="47"/>
        <v/>
      </c>
      <c r="CN9" s="75" t="str">
        <f t="shared" si="48"/>
        <v/>
      </c>
      <c r="CO9" s="75" t="str">
        <f t="shared" si="49"/>
        <v/>
      </c>
      <c r="CP9" s="75" t="str">
        <f t="shared" si="50"/>
        <v/>
      </c>
      <c r="CQ9" s="75" t="str">
        <f t="shared" si="51"/>
        <v/>
      </c>
      <c r="CR9" s="75" t="str">
        <f t="shared" si="52"/>
        <v/>
      </c>
      <c r="CS9" s="75" t="str">
        <f t="shared" si="53"/>
        <v/>
      </c>
      <c r="CT9" s="72" t="str">
        <f t="shared" si="54"/>
        <v/>
      </c>
      <c r="CU9" s="72" t="str">
        <f t="shared" si="55"/>
        <v/>
      </c>
      <c r="CV9" s="72" t="str">
        <f t="shared" si="56"/>
        <v/>
      </c>
      <c r="CW9" s="75" t="str">
        <f t="shared" si="57"/>
        <v/>
      </c>
      <c r="CX9" s="75" t="str">
        <f t="shared" si="58"/>
        <v/>
      </c>
      <c r="CY9" s="75" t="str">
        <f t="shared" si="59"/>
        <v/>
      </c>
      <c r="CZ9" s="69"/>
      <c r="DA9" s="68" t="str">
        <f t="shared" si="60"/>
        <v/>
      </c>
      <c r="DB9" s="68" t="str">
        <f t="shared" si="61"/>
        <v/>
      </c>
      <c r="DC9" s="68" t="str">
        <f t="shared" si="62"/>
        <v/>
      </c>
      <c r="DD9" s="75" t="str">
        <f t="shared" si="63"/>
        <v/>
      </c>
      <c r="DE9" s="75" t="str">
        <f t="shared" si="64"/>
        <v/>
      </c>
      <c r="DF9" s="75" t="str">
        <f t="shared" si="65"/>
        <v/>
      </c>
      <c r="DG9" s="75" t="str">
        <f t="shared" si="66"/>
        <v/>
      </c>
      <c r="DH9" s="77" t="str">
        <f t="shared" si="67"/>
        <v/>
      </c>
      <c r="DI9" s="72" t="str">
        <f t="shared" si="68"/>
        <v/>
      </c>
      <c r="DJ9" s="72" t="str">
        <f t="shared" si="69"/>
        <v/>
      </c>
      <c r="DK9" s="72" t="str">
        <f t="shared" si="70"/>
        <v/>
      </c>
      <c r="DL9" s="77" t="str">
        <f t="shared" si="71"/>
        <v/>
      </c>
      <c r="DM9" s="77" t="str">
        <f t="shared" si="72"/>
        <v/>
      </c>
      <c r="DN9" s="77" t="str">
        <f t="shared" si="73"/>
        <v/>
      </c>
      <c r="DO9" s="68"/>
      <c r="DP9" s="68"/>
      <c r="DQ9" s="68"/>
      <c r="DR9" s="68"/>
      <c r="DS9" s="68"/>
      <c r="DT9" s="68"/>
      <c r="DU9" s="68"/>
      <c r="DV9" s="68"/>
      <c r="DW9" s="68"/>
      <c r="DX9" s="68"/>
      <c r="DY9" s="68"/>
      <c r="DZ9" s="68"/>
      <c r="EA9" s="68"/>
      <c r="EB9" s="68"/>
      <c r="EC9" s="68"/>
      <c r="ED9" s="68"/>
      <c r="EE9" s="68" t="str">
        <f>Tonghop!V9</f>
        <v>Yes</v>
      </c>
      <c r="EF9" s="68" t="str">
        <f>Tonghop!W9</f>
        <v>No</v>
      </c>
      <c r="EG9" s="68" t="str">
        <f>Tonghop!X9</f>
        <v/>
      </c>
      <c r="EH9" s="68" t="str">
        <f>Tonghop!Y9</f>
        <v>Yes</v>
      </c>
      <c r="EI9" s="68">
        <f>Tonghop!Z9</f>
        <v>24</v>
      </c>
      <c r="EJ9" s="139"/>
    </row>
    <row r="10" spans="1:144" s="112" customFormat="1">
      <c r="A10" s="67">
        <f>Tonghop!A10</f>
        <v>9</v>
      </c>
      <c r="B10" s="68" t="str">
        <f>Tonghop!D10</f>
        <v>Số 18B, đường Cao Thắng, khóm 5, phường 8, thành phố Sóc Trăng, tỉnh Sóc Trăng.</v>
      </c>
      <c r="C10" s="71" t="str">
        <f>Tonghop!E10</f>
        <v>Sóc Trăng</v>
      </c>
      <c r="D10" s="71" t="str">
        <f>Tonghop!I10</f>
        <v>1802429/2019/PTN-KĐ</v>
      </c>
      <c r="E10" s="67">
        <f>Tonghop!H10</f>
        <v>4</v>
      </c>
      <c r="F10" s="69"/>
      <c r="G10" s="69"/>
      <c r="H10" s="69"/>
      <c r="I10" s="69"/>
      <c r="J10" s="72" t="str">
        <f>IF(E10&gt;1,LEFT(Tonghop!L10,FIND("/",Tonghop!L10,1)-1),Tonghop!L10)</f>
        <v>TẬP ĐOÀN CÔNG NGHIỆP - VIỄN THÔNG QUÂN ĐỘI</v>
      </c>
      <c r="K10" s="72" t="str">
        <f>IF(E10&gt;1,LEFT(Tonghop!M10,FIND(";",Tonghop!M10,1)-1),Tonghop!M10)</f>
        <v>STG0110</v>
      </c>
      <c r="L10" s="72" t="str">
        <f>IF(E10&gt;1,LEFT(Tonghop!N10,FIND(";",Tonghop!N10,1)-1),Tonghop!N10)</f>
        <v>NOKIA Flexi EDGE BTS</v>
      </c>
      <c r="M10" s="72">
        <f t="shared" si="0"/>
        <v>3</v>
      </c>
      <c r="N10" s="72" t="str">
        <f t="shared" si="1"/>
        <v>4</v>
      </c>
      <c r="O10" s="72" t="str">
        <f t="shared" si="2"/>
        <v>4</v>
      </c>
      <c r="P10" s="72" t="str">
        <f t="shared" si="3"/>
        <v>4</v>
      </c>
      <c r="Q10" s="72" t="str">
        <f>IF(E10&gt;1,LEFT(Tonghop!P10,FIND(";",Tonghop!P10,1)-1),Tonghop!P10)</f>
        <v>4/4/4</v>
      </c>
      <c r="R10" s="72" t="str">
        <f t="shared" si="4"/>
        <v>37.24</v>
      </c>
      <c r="S10" s="72" t="str">
        <f t="shared" si="5"/>
        <v>37.24</v>
      </c>
      <c r="T10" s="72" t="str">
        <f t="shared" si="6"/>
        <v>37.24</v>
      </c>
      <c r="U10" s="72" t="str">
        <f>IF(E10&gt;1,LEFT(Tonghop!Q10,FIND(";",Tonghop!Q10,1)-1),Tonghop!Q10)</f>
        <v>37.24W/37.24W/37.24W</v>
      </c>
      <c r="V10" s="72" t="str">
        <f>IF(E10&gt;1,LEFT(Tonghop!R10,FIND("/",Tonghop!R10,1)-1),Tonghop!R10)</f>
        <v>G900</v>
      </c>
      <c r="W10" s="72" t="str">
        <f>IF(E10&gt;1,LEFT(Tonghop!S10,FIND(";",Tonghop!S10,1)-1),Tonghop!S10)</f>
        <v>29m/ 29m/ 29m</v>
      </c>
      <c r="X10" s="73"/>
      <c r="Y10" s="74" t="str">
        <f>IF(E10&gt;2,MID(Tonghop!L10,LEN(Temp!J10)+2,FIND("/",Tonghop!L10,LEN(Temp!J10)+2)-LEN(Temp!J10)-2),IF(E10=2,RIGHT(Tonghop!L10,LEN(Tonghop!L10)-LEN(Temp!J10)-1),""))</f>
        <v>TẬP ĐOÀN CÔNG NGHIỆP - VIỄN THÔNG QUÂN ĐỘI</v>
      </c>
      <c r="Z10" s="74" t="str">
        <f>IF(E10&gt;2,MID(Tonghop!M10,LEN(Temp!K10)+2,FIND(";",Tonghop!M10,LEN(Temp!K10)+2)-LEN(Temp!K10)-2),IF(E10=2,RIGHT(Tonghop!M10,LEN(Tonghop!M10)-LEN(Temp!K10)-1),""))</f>
        <v>STG0110</v>
      </c>
      <c r="AA10" s="74" t="str">
        <f>IF(E10&gt;2,MID(Tonghop!N10,LEN(Temp!L10)+2,FIND(";",Tonghop!N10,LEN(Temp!L10)+2)-LEN(Temp!L10)-2),IF(E10=2,RIGHT(Tonghop!N10,LEN(Tonghop!N10)-LEN(Temp!L10)-1),""))</f>
        <v>NOKIA Flexi EDGE BTS</v>
      </c>
      <c r="AB10" s="75">
        <f t="shared" si="7"/>
        <v>3</v>
      </c>
      <c r="AC10" s="75" t="str">
        <f t="shared" si="8"/>
        <v>4</v>
      </c>
      <c r="AD10" s="75" t="str">
        <f t="shared" si="9"/>
        <v>2</v>
      </c>
      <c r="AE10" s="75" t="str">
        <f t="shared" si="10"/>
        <v>4</v>
      </c>
      <c r="AF10" s="74" t="str">
        <f>IF(E10&gt;2,MID(Tonghop!P10,LEN(Temp!Q10)+2,FIND(";",Tonghop!P10,LEN(Temp!Q10)+2)-LEN(Temp!Q10)-2),IF(E10=2,RIGHT(Tonghop!P10,LEN(Tonghop!P10)-LEN(Temp!Q10)-1),""))</f>
        <v>4/2/4</v>
      </c>
      <c r="AG10" s="72" t="str">
        <f t="shared" si="11"/>
        <v>37.24</v>
      </c>
      <c r="AH10" s="72" t="str">
        <f t="shared" si="12"/>
        <v>41.7</v>
      </c>
      <c r="AI10" s="72" t="str">
        <f t="shared" si="13"/>
        <v>37.24</v>
      </c>
      <c r="AJ10" s="74" t="str">
        <f>IF(E10&gt;2,MID(Tonghop!Q10,LEN(Temp!U10)+2,FIND(";",Tonghop!Q10,LEN(Temp!U10)+2)-LEN(Temp!U10)-2),IF(E10=2,RIGHT(Tonghop!Q10,LEN(Tonghop!Q10)-LEN(Temp!U10)-1),""))</f>
        <v>37.24W/41.7W/37.24W</v>
      </c>
      <c r="AK10" s="74" t="str">
        <f>IF(E10&gt;2,MID(Tonghop!R10,LEN(Temp!V10)+2,FIND("/",Tonghop!R10,LEN(Temp!V10)+2)-LEN(Temp!V10)-2),IF(E10=2,RIGHT(Tonghop!R10,LEN(Tonghop!R10)-LEN(Temp!V10)-1),""))</f>
        <v>G1800</v>
      </c>
      <c r="AL10" s="74" t="str">
        <f>IF(E10&gt;2,MID(Tonghop!S10,LEN(Temp!W10)+2,FIND(";",Tonghop!S10,LEN(Temp!W10)+2)-LEN(Temp!W10)-2),IF(E10=2,RIGHT(Tonghop!S10,LEN(Tonghop!S10)-LEN(Temp!W10)-1),""))</f>
        <v>37m/ 37m/ 37m</v>
      </c>
      <c r="AM10" s="73"/>
      <c r="AN10" s="75" t="str">
        <f>IF(E10&gt;2,RIGHT(Tonghop!L10,LEN(Tonghop!L10)-LEN(Temp!J10)-LEN(Temp!Y10)-2),"")</f>
        <v>TẬP ĐOÀN CÔNG NGHIỆP - VIỄN THÔNG QUÂN ĐỘI/TẬP ĐOÀN CÔNG NGHIỆP - VIỄN THÔNG QUÂN ĐỘI</v>
      </c>
      <c r="AO10" s="75" t="str">
        <f>IF(E10&gt;2,RIGHT(Tonghop!M10,LEN(Tonghop!M10)-LEN(Temp!K10)-LEN(Temp!Z10)-2),"")</f>
        <v>STG0110;STG0110</v>
      </c>
      <c r="AP10" s="75" t="str">
        <f>IF(E10&gt;2,RIGHT(Tonghop!N10,LEN(Tonghop!N10)-LEN(Temp!L10)-LEN(Temp!AA10)-2),"")</f>
        <v>NOKIA Flexi WCDMA BTS;NSN FLEXI MULTIRADIO AIRSCALE</v>
      </c>
      <c r="AQ10" s="75" t="str">
        <f>IF(E10&gt;2,RIGHT(Tonghop!P10,LEN(Tonghop!P10)-LEN(Temp!Q10)-LEN(Temp!AF10)-2),"")</f>
        <v>2/2/2;1/1/1</v>
      </c>
      <c r="AR10" s="75" t="str">
        <f>IF(E10&gt;2,RIGHT(Tonghop!Q10,LEN(Tonghop!Q10)-LEN(U10)-LEN(Temp!AJ10)-2),"")</f>
        <v>40W/40W/40W;40W/40W/40W</v>
      </c>
      <c r="AS10" s="75" t="str">
        <f>IF(E10&gt;2,RIGHT(Tonghop!R10,LEN(Tonghop!R10)-LEN(V10)-LEN(Temp!AK10)-2),"")</f>
        <v>U2100/L1800</v>
      </c>
      <c r="AT10" s="75" t="str">
        <f>IF(E10&gt;2,RIGHT(Tonghop!S10,LEN(Tonghop!S10)-LEN(W10)-LEN(Temp!AL10)-2),"")</f>
        <v>37m/ 37m/ 37m;37m/ 37m/ 37m</v>
      </c>
      <c r="AU10" s="75"/>
      <c r="AV10" s="75"/>
      <c r="AW10" s="75"/>
      <c r="AX10" s="75" t="str">
        <f t="shared" si="14"/>
        <v>TẬP ĐOÀN CÔNG NGHIỆP - VIỄN THÔNG QUÂN ĐỘI</v>
      </c>
      <c r="AY10" s="75" t="str">
        <f t="shared" si="15"/>
        <v>STG0110</v>
      </c>
      <c r="AZ10" s="75" t="str">
        <f t="shared" si="16"/>
        <v>NOKIA Flexi WCDMA BTS</v>
      </c>
      <c r="BA10" s="75">
        <f t="shared" si="17"/>
        <v>3</v>
      </c>
      <c r="BB10" s="75" t="str">
        <f t="shared" si="18"/>
        <v>2</v>
      </c>
      <c r="BC10" s="75" t="str">
        <f t="shared" si="19"/>
        <v>2</v>
      </c>
      <c r="BD10" s="75" t="str">
        <f t="shared" si="20"/>
        <v>2</v>
      </c>
      <c r="BE10" s="75" t="str">
        <f t="shared" si="21"/>
        <v>2/2/2</v>
      </c>
      <c r="BF10" s="72" t="str">
        <f t="shared" si="22"/>
        <v>40</v>
      </c>
      <c r="BG10" s="72" t="str">
        <f t="shared" si="23"/>
        <v>40</v>
      </c>
      <c r="BH10" s="72" t="str">
        <f t="shared" si="24"/>
        <v>40</v>
      </c>
      <c r="BI10" s="75" t="str">
        <f t="shared" si="25"/>
        <v>40W/40W/40W</v>
      </c>
      <c r="BJ10" s="75" t="str">
        <f t="shared" si="26"/>
        <v>U2100</v>
      </c>
      <c r="BK10" s="75" t="str">
        <f t="shared" si="27"/>
        <v>37m/ 37m/ 37m</v>
      </c>
      <c r="BL10" s="69"/>
      <c r="BM10" s="68" t="str">
        <f t="shared" si="28"/>
        <v>TẬP ĐOÀN CÔNG NGHIỆP - VIỄN THÔNG QUÂN ĐỘI</v>
      </c>
      <c r="BN10" s="68" t="str">
        <f t="shared" si="29"/>
        <v>STG0110</v>
      </c>
      <c r="BO10" s="68" t="str">
        <f t="shared" si="30"/>
        <v>NSN FLEXI MULTIRADIO AIRSCALE</v>
      </c>
      <c r="BP10" s="75">
        <f t="shared" si="31"/>
        <v>3</v>
      </c>
      <c r="BQ10" s="75" t="str">
        <f t="shared" si="32"/>
        <v>1</v>
      </c>
      <c r="BR10" s="75" t="str">
        <f t="shared" si="33"/>
        <v>1</v>
      </c>
      <c r="BS10" s="75" t="str">
        <f t="shared" si="34"/>
        <v>1</v>
      </c>
      <c r="BT10" s="77" t="str">
        <f t="shared" si="35"/>
        <v>1/1/1</v>
      </c>
      <c r="BU10" s="72" t="str">
        <f t="shared" si="36"/>
        <v>40</v>
      </c>
      <c r="BV10" s="72" t="str">
        <f t="shared" si="37"/>
        <v>40</v>
      </c>
      <c r="BW10" s="72" t="str">
        <f t="shared" si="38"/>
        <v>40</v>
      </c>
      <c r="BX10" s="77" t="str">
        <f t="shared" si="39"/>
        <v>40W/40W/40W</v>
      </c>
      <c r="BY10" s="77" t="str">
        <f t="shared" si="40"/>
        <v>L1800</v>
      </c>
      <c r="BZ10" s="77" t="str">
        <f t="shared" si="41"/>
        <v>37m/ 37m/ 37m</v>
      </c>
      <c r="CA10" s="69"/>
      <c r="CB10" s="75" t="str">
        <f>IF(E10&gt;4,RIGHT(AN10,LEN(AN10)-LEN(AX10)-LEN(Temp!BM10)-2),"")</f>
        <v/>
      </c>
      <c r="CC10" s="75" t="str">
        <f>IF(E10&gt;4,RIGHT(AO10,LEN(AO10)-LEN(AY10)-LEN(Temp!BN10)-2),"")</f>
        <v/>
      </c>
      <c r="CD10" s="75" t="str">
        <f>IF(E10&gt;4,RIGHT(AP10,LEN(AP10)-LEN(AZ10)-LEN(Temp!BO10)-2),"")</f>
        <v/>
      </c>
      <c r="CE10" s="75" t="str">
        <f t="shared" si="42"/>
        <v/>
      </c>
      <c r="CF10" s="75" t="str">
        <f t="shared" si="43"/>
        <v/>
      </c>
      <c r="CG10" s="75" t="str">
        <f t="shared" si="44"/>
        <v/>
      </c>
      <c r="CH10" s="75" t="str">
        <f t="shared" si="45"/>
        <v/>
      </c>
      <c r="CI10" s="75"/>
      <c r="CJ10" s="79"/>
      <c r="CK10" s="79"/>
      <c r="CL10" s="75" t="str">
        <f t="shared" si="46"/>
        <v/>
      </c>
      <c r="CM10" s="75" t="str">
        <f t="shared" si="47"/>
        <v/>
      </c>
      <c r="CN10" s="75" t="str">
        <f t="shared" si="48"/>
        <v/>
      </c>
      <c r="CO10" s="75" t="str">
        <f t="shared" si="49"/>
        <v/>
      </c>
      <c r="CP10" s="75" t="str">
        <f t="shared" si="50"/>
        <v/>
      </c>
      <c r="CQ10" s="75" t="str">
        <f t="shared" si="51"/>
        <v/>
      </c>
      <c r="CR10" s="75" t="str">
        <f t="shared" si="52"/>
        <v/>
      </c>
      <c r="CS10" s="75" t="str">
        <f t="shared" si="53"/>
        <v/>
      </c>
      <c r="CT10" s="72" t="str">
        <f t="shared" si="54"/>
        <v/>
      </c>
      <c r="CU10" s="72" t="str">
        <f t="shared" si="55"/>
        <v/>
      </c>
      <c r="CV10" s="72" t="str">
        <f t="shared" si="56"/>
        <v/>
      </c>
      <c r="CW10" s="75" t="str">
        <f t="shared" si="57"/>
        <v/>
      </c>
      <c r="CX10" s="75" t="str">
        <f t="shared" si="58"/>
        <v/>
      </c>
      <c r="CY10" s="75" t="str">
        <f t="shared" si="59"/>
        <v/>
      </c>
      <c r="CZ10" s="69"/>
      <c r="DA10" s="68" t="str">
        <f t="shared" si="60"/>
        <v/>
      </c>
      <c r="DB10" s="68" t="str">
        <f t="shared" si="61"/>
        <v/>
      </c>
      <c r="DC10" s="68" t="str">
        <f t="shared" si="62"/>
        <v/>
      </c>
      <c r="DD10" s="75" t="str">
        <f t="shared" si="63"/>
        <v/>
      </c>
      <c r="DE10" s="75" t="str">
        <f t="shared" si="64"/>
        <v/>
      </c>
      <c r="DF10" s="75" t="str">
        <f t="shared" si="65"/>
        <v/>
      </c>
      <c r="DG10" s="75" t="str">
        <f t="shared" si="66"/>
        <v/>
      </c>
      <c r="DH10" s="77" t="str">
        <f t="shared" si="67"/>
        <v/>
      </c>
      <c r="DI10" s="72" t="str">
        <f t="shared" si="68"/>
        <v/>
      </c>
      <c r="DJ10" s="72" t="str">
        <f t="shared" si="69"/>
        <v/>
      </c>
      <c r="DK10" s="72" t="str">
        <f t="shared" si="70"/>
        <v/>
      </c>
      <c r="DL10" s="77" t="str">
        <f t="shared" si="71"/>
        <v/>
      </c>
      <c r="DM10" s="77" t="str">
        <f t="shared" si="72"/>
        <v/>
      </c>
      <c r="DN10" s="77" t="str">
        <f t="shared" si="73"/>
        <v/>
      </c>
      <c r="DO10" s="68"/>
      <c r="DP10" s="68"/>
      <c r="DQ10" s="68"/>
      <c r="DR10" s="68"/>
      <c r="DS10" s="68"/>
      <c r="DT10" s="68"/>
      <c r="DU10" s="68"/>
      <c r="DV10" s="68"/>
      <c r="DW10" s="68"/>
      <c r="DX10" s="68"/>
      <c r="DY10" s="68"/>
      <c r="DZ10" s="68"/>
      <c r="EA10" s="68"/>
      <c r="EB10" s="68"/>
      <c r="EC10" s="68"/>
      <c r="ED10" s="68"/>
      <c r="EE10" s="68" t="str">
        <f>Tonghop!V10</f>
        <v>Yes</v>
      </c>
      <c r="EF10" s="68" t="str">
        <f>Tonghop!W10</f>
        <v>No</v>
      </c>
      <c r="EG10" s="68" t="str">
        <f>Tonghop!X10</f>
        <v/>
      </c>
      <c r="EH10" s="68" t="str">
        <f>Tonghop!Y10</f>
        <v>Yes</v>
      </c>
      <c r="EI10" s="68">
        <f>Tonghop!Z10</f>
        <v>25</v>
      </c>
      <c r="EJ10" s="139"/>
    </row>
    <row r="11" spans="1:144" s="112" customFormat="1">
      <c r="A11" s="67">
        <f>Tonghop!A11</f>
        <v>10</v>
      </c>
      <c r="B11" s="68" t="str">
        <f>Tonghop!D11</f>
        <v>Số 134, đường Nguyễn Văn Linh, phường 2, thành phố Sóc Trăng, tỉnh Sóc Trăng.</v>
      </c>
      <c r="C11" s="71" t="str">
        <f>Tonghop!E11</f>
        <v>Sóc Trăng</v>
      </c>
      <c r="D11" s="71" t="str">
        <f>Tonghop!I11</f>
        <v>1802430/2019/PTN-KĐ</v>
      </c>
      <c r="E11" s="67">
        <f>Tonghop!H11</f>
        <v>3</v>
      </c>
      <c r="F11" s="69"/>
      <c r="G11" s="69"/>
      <c r="H11" s="69"/>
      <c r="I11" s="69"/>
      <c r="J11" s="72" t="str">
        <f>IF(E11&gt;1,LEFT(Tonghop!L11,FIND("/",Tonghop!L11,1)-1),Tonghop!L11)</f>
        <v>TẬP ĐOÀN CÔNG NGHIỆP - VIỄN THÔNG QUÂN ĐỘI</v>
      </c>
      <c r="K11" s="72" t="str">
        <f>IF(E11&gt;1,LEFT(Tonghop!M11,FIND(";",Tonghop!M11,1)-1),Tonghop!M11)</f>
        <v>STG0316</v>
      </c>
      <c r="L11" s="72" t="str">
        <f>IF(E11&gt;1,LEFT(Tonghop!N11,FIND(";",Tonghop!N11,1)-1),Tonghop!N11)</f>
        <v>NOKIA Flexi EDGE BTS</v>
      </c>
      <c r="M11" s="72">
        <f t="shared" si="0"/>
        <v>3</v>
      </c>
      <c r="N11" s="72" t="str">
        <f t="shared" si="1"/>
        <v>2</v>
      </c>
      <c r="O11" s="72" t="str">
        <f t="shared" si="2"/>
        <v>2</v>
      </c>
      <c r="P11" s="72" t="str">
        <f t="shared" si="3"/>
        <v>2</v>
      </c>
      <c r="Q11" s="72" t="str">
        <f>IF(E11&gt;1,LEFT(Tonghop!P11,FIND(";",Tonghop!P11,1)-1),Tonghop!P11)</f>
        <v>2/2/2</v>
      </c>
      <c r="R11" s="72" t="str">
        <f t="shared" si="4"/>
        <v>41.7</v>
      </c>
      <c r="S11" s="72" t="str">
        <f t="shared" si="5"/>
        <v>41.7</v>
      </c>
      <c r="T11" s="72" t="str">
        <f t="shared" si="6"/>
        <v>41.7</v>
      </c>
      <c r="U11" s="72" t="str">
        <f>IF(E11&gt;1,LEFT(Tonghop!Q11,FIND(";",Tonghop!Q11,1)-1),Tonghop!Q11)</f>
        <v>41.7W/41.7W/41.7W</v>
      </c>
      <c r="V11" s="72" t="str">
        <f>IF(E11&gt;1,LEFT(Tonghop!R11,FIND("/",Tonghop!R11,1)-1),Tonghop!R11)</f>
        <v>G1800</v>
      </c>
      <c r="W11" s="72" t="str">
        <f>IF(E11&gt;1,LEFT(Tonghop!S11,FIND(";",Tonghop!S11,1)-1),Tonghop!S11)</f>
        <v>30m/ 30m/ 30m</v>
      </c>
      <c r="X11" s="73"/>
      <c r="Y11" s="74" t="str">
        <f>IF(E11&gt;2,MID(Tonghop!L11,LEN(Temp!J11)+2,FIND("/",Tonghop!L11,LEN(Temp!J11)+2)-LEN(Temp!J11)-2),IF(E11=2,RIGHT(Tonghop!L11,LEN(Tonghop!L11)-LEN(Temp!J11)-1),""))</f>
        <v>TẬP ĐOÀN CÔNG NGHIỆP - VIỄN THÔNG QUÂN ĐỘI</v>
      </c>
      <c r="Z11" s="74" t="str">
        <f>IF(E11&gt;2,MID(Tonghop!M11,LEN(Temp!K11)+2,FIND(";",Tonghop!M11,LEN(Temp!K11)+2)-LEN(Temp!K11)-2),IF(E11=2,RIGHT(Tonghop!M11,LEN(Tonghop!M11)-LEN(Temp!K11)-1),""))</f>
        <v>STG0316</v>
      </c>
      <c r="AA11" s="74" t="str">
        <f>IF(E11&gt;2,MID(Tonghop!N11,LEN(Temp!L11)+2,FIND(";",Tonghop!N11,LEN(Temp!L11)+2)-LEN(Temp!L11)-2),IF(E11=2,RIGHT(Tonghop!N11,LEN(Tonghop!N11)-LEN(Temp!L11)-1),""))</f>
        <v>NOKIA Flexi WCDMA BTS</v>
      </c>
      <c r="AB11" s="75">
        <f t="shared" si="7"/>
        <v>3</v>
      </c>
      <c r="AC11" s="75" t="str">
        <f t="shared" si="8"/>
        <v>2</v>
      </c>
      <c r="AD11" s="75" t="str">
        <f t="shared" si="9"/>
        <v>2</v>
      </c>
      <c r="AE11" s="75" t="str">
        <f t="shared" si="10"/>
        <v>2</v>
      </c>
      <c r="AF11" s="74" t="str">
        <f>IF(E11&gt;2,MID(Tonghop!P11,LEN(Temp!Q11)+2,FIND(";",Tonghop!P11,LEN(Temp!Q11)+2)-LEN(Temp!Q11)-2),IF(E11=2,RIGHT(Tonghop!P11,LEN(Tonghop!P11)-LEN(Temp!Q11)-1),""))</f>
        <v>2/2/2</v>
      </c>
      <c r="AG11" s="72" t="str">
        <f t="shared" si="11"/>
        <v>40</v>
      </c>
      <c r="AH11" s="72" t="str">
        <f t="shared" si="12"/>
        <v>40</v>
      </c>
      <c r="AI11" s="72" t="str">
        <f t="shared" si="13"/>
        <v>40</v>
      </c>
      <c r="AJ11" s="74" t="str">
        <f>IF(E11&gt;2,MID(Tonghop!Q11,LEN(Temp!U11)+2,FIND(";",Tonghop!Q11,LEN(Temp!U11)+2)-LEN(Temp!U11)-2),IF(E11=2,RIGHT(Tonghop!Q11,LEN(Tonghop!Q11)-LEN(Temp!U11)-1),""))</f>
        <v>40W/40W/40W</v>
      </c>
      <c r="AK11" s="74" t="str">
        <f>IF(E11&gt;2,MID(Tonghop!R11,LEN(Temp!V11)+2,FIND("/",Tonghop!R11,LEN(Temp!V11)+2)-LEN(Temp!V11)-2),IF(E11=2,RIGHT(Tonghop!R11,LEN(Tonghop!R11)-LEN(Temp!V11)-1),""))</f>
        <v>U2100</v>
      </c>
      <c r="AL11" s="74" t="str">
        <f>IF(E11&gt;2,MID(Tonghop!S11,LEN(Temp!W11)+2,FIND(";",Tonghop!S11,LEN(Temp!W11)+2)-LEN(Temp!W11)-2),IF(E11=2,RIGHT(Tonghop!S11,LEN(Tonghop!S11)-LEN(Temp!W11)-1),""))</f>
        <v>30m/ 30m/ 30m</v>
      </c>
      <c r="AM11" s="73"/>
      <c r="AN11" s="75" t="str">
        <f>IF(E11&gt;2,RIGHT(Tonghop!L11,LEN(Tonghop!L11)-LEN(Temp!J11)-LEN(Temp!Y11)-2),"")</f>
        <v>TẬP ĐOÀN CÔNG NGHIỆP - VIỄN THÔNG QUÂN ĐỘI</v>
      </c>
      <c r="AO11" s="75" t="str">
        <f>IF(E11&gt;2,RIGHT(Tonghop!M11,LEN(Tonghop!M11)-LEN(Temp!K11)-LEN(Temp!Z11)-2),"")</f>
        <v>STG0316</v>
      </c>
      <c r="AP11" s="75" t="str">
        <f>IF(E11&gt;2,RIGHT(Tonghop!N11,LEN(Tonghop!N11)-LEN(Temp!L11)-LEN(Temp!AA11)-2),"")</f>
        <v>NSN FLEXI MULTIRADIO AIRSCALE</v>
      </c>
      <c r="AQ11" s="75" t="str">
        <f>IF(E11&gt;2,RIGHT(Tonghop!P11,LEN(Tonghop!P11)-LEN(Temp!Q11)-LEN(Temp!AF11)-2),"")</f>
        <v>1/1/1</v>
      </c>
      <c r="AR11" s="75" t="str">
        <f>IF(E11&gt;2,RIGHT(Tonghop!Q11,LEN(Tonghop!Q11)-LEN(U11)-LEN(Temp!AJ11)-2),"")</f>
        <v>40W/40W/40W</v>
      </c>
      <c r="AS11" s="75" t="str">
        <f>IF(E11&gt;2,RIGHT(Tonghop!R11,LEN(Tonghop!R11)-LEN(V11)-LEN(Temp!AK11)-2),"")</f>
        <v>L1800</v>
      </c>
      <c r="AT11" s="75" t="str">
        <f>IF(E11&gt;2,RIGHT(Tonghop!S11,LEN(Tonghop!S11)-LEN(W11)-LEN(Temp!AL11)-2),"")</f>
        <v>28m/ 28m/ 28m</v>
      </c>
      <c r="AU11" s="75"/>
      <c r="AV11" s="75"/>
      <c r="AW11" s="75"/>
      <c r="AX11" s="75" t="str">
        <f t="shared" si="14"/>
        <v>TẬP ĐOÀN CÔNG NGHIỆP - VIỄN THÔNG QUÂN ĐỘI</v>
      </c>
      <c r="AY11" s="75" t="str">
        <f t="shared" si="15"/>
        <v>STG0316</v>
      </c>
      <c r="AZ11" s="75" t="str">
        <f t="shared" si="16"/>
        <v>NSN FLEXI MULTIRADIO AIRSCALE</v>
      </c>
      <c r="BA11" s="75">
        <f t="shared" si="17"/>
        <v>3</v>
      </c>
      <c r="BB11" s="75" t="str">
        <f t="shared" si="18"/>
        <v>1</v>
      </c>
      <c r="BC11" s="75" t="str">
        <f t="shared" si="19"/>
        <v>1</v>
      </c>
      <c r="BD11" s="75" t="str">
        <f t="shared" si="20"/>
        <v>1</v>
      </c>
      <c r="BE11" s="75" t="str">
        <f t="shared" si="21"/>
        <v>1/1/1</v>
      </c>
      <c r="BF11" s="72" t="str">
        <f t="shared" si="22"/>
        <v>40</v>
      </c>
      <c r="BG11" s="72" t="str">
        <f t="shared" si="23"/>
        <v>40</v>
      </c>
      <c r="BH11" s="72" t="str">
        <f t="shared" si="24"/>
        <v>40</v>
      </c>
      <c r="BI11" s="75" t="str">
        <f t="shared" si="25"/>
        <v>40W/40W/40W</v>
      </c>
      <c r="BJ11" s="75" t="str">
        <f t="shared" si="26"/>
        <v>L1800</v>
      </c>
      <c r="BK11" s="75" t="str">
        <f t="shared" si="27"/>
        <v>28m/ 28m/ 28m</v>
      </c>
      <c r="BL11" s="69"/>
      <c r="BM11" s="68" t="str">
        <f t="shared" si="28"/>
        <v/>
      </c>
      <c r="BN11" s="68" t="str">
        <f t="shared" si="29"/>
        <v/>
      </c>
      <c r="BO11" s="68" t="str">
        <f t="shared" si="30"/>
        <v/>
      </c>
      <c r="BP11" s="75" t="str">
        <f t="shared" si="31"/>
        <v/>
      </c>
      <c r="BQ11" s="75" t="str">
        <f t="shared" si="32"/>
        <v/>
      </c>
      <c r="BR11" s="75" t="str">
        <f t="shared" si="33"/>
        <v/>
      </c>
      <c r="BS11" s="75" t="str">
        <f t="shared" si="34"/>
        <v/>
      </c>
      <c r="BT11" s="77" t="str">
        <f t="shared" si="35"/>
        <v/>
      </c>
      <c r="BU11" s="72" t="str">
        <f t="shared" si="36"/>
        <v/>
      </c>
      <c r="BV11" s="72" t="str">
        <f t="shared" si="37"/>
        <v/>
      </c>
      <c r="BW11" s="72" t="str">
        <f t="shared" si="38"/>
        <v/>
      </c>
      <c r="BX11" s="77" t="str">
        <f t="shared" si="39"/>
        <v/>
      </c>
      <c r="BY11" s="77" t="str">
        <f t="shared" si="40"/>
        <v/>
      </c>
      <c r="BZ11" s="77" t="str">
        <f t="shared" si="41"/>
        <v/>
      </c>
      <c r="CA11" s="69"/>
      <c r="CB11" s="75" t="str">
        <f>IF(E11&gt;4,RIGHT(AN11,LEN(AN11)-LEN(AX11)-LEN(Temp!BM11)-2),"")</f>
        <v/>
      </c>
      <c r="CC11" s="75" t="str">
        <f>IF(E11&gt;4,RIGHT(AO11,LEN(AO11)-LEN(AY11)-LEN(Temp!BN11)-2),"")</f>
        <v/>
      </c>
      <c r="CD11" s="75" t="str">
        <f>IF(E11&gt;4,RIGHT(AP11,LEN(AP11)-LEN(AZ11)-LEN(Temp!BO11)-2),"")</f>
        <v/>
      </c>
      <c r="CE11" s="75" t="str">
        <f t="shared" si="42"/>
        <v/>
      </c>
      <c r="CF11" s="75" t="str">
        <f t="shared" si="43"/>
        <v/>
      </c>
      <c r="CG11" s="75" t="str">
        <f t="shared" si="44"/>
        <v/>
      </c>
      <c r="CH11" s="75" t="str">
        <f t="shared" si="45"/>
        <v/>
      </c>
      <c r="CI11" s="75"/>
      <c r="CJ11" s="79"/>
      <c r="CK11" s="79"/>
      <c r="CL11" s="75" t="str">
        <f t="shared" si="46"/>
        <v/>
      </c>
      <c r="CM11" s="75" t="str">
        <f t="shared" si="47"/>
        <v/>
      </c>
      <c r="CN11" s="75" t="str">
        <f t="shared" si="48"/>
        <v/>
      </c>
      <c r="CO11" s="75" t="str">
        <f t="shared" si="49"/>
        <v/>
      </c>
      <c r="CP11" s="75" t="str">
        <f t="shared" si="50"/>
        <v/>
      </c>
      <c r="CQ11" s="75" t="str">
        <f t="shared" si="51"/>
        <v/>
      </c>
      <c r="CR11" s="75" t="str">
        <f t="shared" si="52"/>
        <v/>
      </c>
      <c r="CS11" s="75" t="str">
        <f t="shared" si="53"/>
        <v/>
      </c>
      <c r="CT11" s="72" t="str">
        <f t="shared" si="54"/>
        <v/>
      </c>
      <c r="CU11" s="72" t="str">
        <f t="shared" si="55"/>
        <v/>
      </c>
      <c r="CV11" s="72" t="str">
        <f t="shared" si="56"/>
        <v/>
      </c>
      <c r="CW11" s="75" t="str">
        <f t="shared" si="57"/>
        <v/>
      </c>
      <c r="CX11" s="75" t="str">
        <f t="shared" si="58"/>
        <v/>
      </c>
      <c r="CY11" s="75" t="str">
        <f t="shared" si="59"/>
        <v/>
      </c>
      <c r="CZ11" s="69"/>
      <c r="DA11" s="68" t="str">
        <f t="shared" si="60"/>
        <v/>
      </c>
      <c r="DB11" s="68" t="str">
        <f t="shared" si="61"/>
        <v/>
      </c>
      <c r="DC11" s="68" t="str">
        <f t="shared" si="62"/>
        <v/>
      </c>
      <c r="DD11" s="75" t="str">
        <f t="shared" si="63"/>
        <v/>
      </c>
      <c r="DE11" s="75" t="str">
        <f t="shared" si="64"/>
        <v/>
      </c>
      <c r="DF11" s="75" t="str">
        <f t="shared" si="65"/>
        <v/>
      </c>
      <c r="DG11" s="75" t="str">
        <f t="shared" si="66"/>
        <v/>
      </c>
      <c r="DH11" s="77" t="str">
        <f t="shared" si="67"/>
        <v/>
      </c>
      <c r="DI11" s="72" t="str">
        <f t="shared" si="68"/>
        <v/>
      </c>
      <c r="DJ11" s="72" t="str">
        <f t="shared" si="69"/>
        <v/>
      </c>
      <c r="DK11" s="72" t="str">
        <f t="shared" si="70"/>
        <v/>
      </c>
      <c r="DL11" s="77" t="str">
        <f t="shared" si="71"/>
        <v/>
      </c>
      <c r="DM11" s="77" t="str">
        <f t="shared" si="72"/>
        <v/>
      </c>
      <c r="DN11" s="77" t="str">
        <f t="shared" si="73"/>
        <v/>
      </c>
      <c r="DO11" s="68"/>
      <c r="DP11" s="68"/>
      <c r="DQ11" s="68"/>
      <c r="DR11" s="68"/>
      <c r="DS11" s="68"/>
      <c r="DT11" s="68"/>
      <c r="DU11" s="68"/>
      <c r="DV11" s="68"/>
      <c r="DW11" s="68"/>
      <c r="DX11" s="68"/>
      <c r="DY11" s="68"/>
      <c r="DZ11" s="68"/>
      <c r="EA11" s="68"/>
      <c r="EB11" s="68"/>
      <c r="EC11" s="68"/>
      <c r="ED11" s="68"/>
      <c r="EE11" s="68" t="str">
        <f>Tonghop!V11</f>
        <v>Yes</v>
      </c>
      <c r="EF11" s="68" t="str">
        <f>Tonghop!W11</f>
        <v>No</v>
      </c>
      <c r="EG11" s="68" t="str">
        <f>Tonghop!X11</f>
        <v/>
      </c>
      <c r="EH11" s="68" t="str">
        <f>Tonghop!Y11</f>
        <v>Yes</v>
      </c>
      <c r="EI11" s="68">
        <f>Tonghop!Z11</f>
        <v>17.5</v>
      </c>
      <c r="EJ11" s="139"/>
    </row>
    <row r="12" spans="1:144" s="112" customFormat="1">
      <c r="A12" s="67">
        <f>Tonghop!A12</f>
        <v>11</v>
      </c>
      <c r="B12" s="68" t="str">
        <f>Tonghop!D12</f>
        <v>Số 479/6, đường Nguyễn Huệ, khóm 4, phường 9, thành phố Sóc Trăng, tỉnh Sóc Trăng.</v>
      </c>
      <c r="C12" s="71" t="str">
        <f>Tonghop!E12</f>
        <v>Sóc Trăng</v>
      </c>
      <c r="D12" s="71" t="str">
        <f>Tonghop!I12</f>
        <v>1802431/2019/PTN-KĐ</v>
      </c>
      <c r="E12" s="67">
        <f>Tonghop!H12</f>
        <v>3</v>
      </c>
      <c r="F12" s="69"/>
      <c r="G12" s="69"/>
      <c r="H12" s="69"/>
      <c r="I12" s="69"/>
      <c r="J12" s="72" t="str">
        <f>IF(E12&gt;1,LEFT(Tonghop!L12,FIND("/",Tonghop!L12,1)-1),Tonghop!L12)</f>
        <v>TẬP ĐOÀN CÔNG NGHIỆP - VIỄN THÔNG QUÂN ĐỘI</v>
      </c>
      <c r="K12" s="72" t="str">
        <f>IF(E12&gt;1,LEFT(Tonghop!M12,FIND(";",Tonghop!M12,1)-1),Tonghop!M12)</f>
        <v>STG0317</v>
      </c>
      <c r="L12" s="72" t="str">
        <f>IF(E12&gt;1,LEFT(Tonghop!N12,FIND(";",Tonghop!N12,1)-1),Tonghop!N12)</f>
        <v>NOKIA Flexi EDGE BTS</v>
      </c>
      <c r="M12" s="72">
        <f t="shared" si="0"/>
        <v>3</v>
      </c>
      <c r="N12" s="72" t="str">
        <f t="shared" si="1"/>
        <v>2</v>
      </c>
      <c r="O12" s="72" t="str">
        <f t="shared" si="2"/>
        <v>2</v>
      </c>
      <c r="P12" s="72" t="str">
        <f t="shared" si="3"/>
        <v>2</v>
      </c>
      <c r="Q12" s="72" t="str">
        <f>IF(E12&gt;1,LEFT(Tonghop!P12,FIND(";",Tonghop!P12,1)-1),Tonghop!P12)</f>
        <v>2/2/2</v>
      </c>
      <c r="R12" s="72" t="str">
        <f t="shared" si="4"/>
        <v>41.7</v>
      </c>
      <c r="S12" s="72" t="str">
        <f t="shared" si="5"/>
        <v>41.7</v>
      </c>
      <c r="T12" s="72" t="str">
        <f t="shared" si="6"/>
        <v>41.7</v>
      </c>
      <c r="U12" s="72" t="str">
        <f>IF(E12&gt;1,LEFT(Tonghop!Q12,FIND(";",Tonghop!Q12,1)-1),Tonghop!Q12)</f>
        <v>41.7W/41.7W/41.7W</v>
      </c>
      <c r="V12" s="72" t="str">
        <f>IF(E12&gt;1,LEFT(Tonghop!R12,FIND("/",Tonghop!R12,1)-1),Tonghop!R12)</f>
        <v>G1800</v>
      </c>
      <c r="W12" s="72" t="str">
        <f>IF(E12&gt;1,LEFT(Tonghop!S12,FIND(";",Tonghop!S12,1)-1),Tonghop!S12)</f>
        <v>36m/ 36m/ 36m</v>
      </c>
      <c r="X12" s="73"/>
      <c r="Y12" s="74" t="str">
        <f>IF(E12&gt;2,MID(Tonghop!L12,LEN(Temp!J12)+2,FIND("/",Tonghop!L12,LEN(Temp!J12)+2)-LEN(Temp!J12)-2),IF(E12=2,RIGHT(Tonghop!L12,LEN(Tonghop!L12)-LEN(Temp!J12)-1),""))</f>
        <v>TẬP ĐOÀN CÔNG NGHIỆP - VIỄN THÔNG QUÂN ĐỘI</v>
      </c>
      <c r="Z12" s="74" t="str">
        <f>IF(E12&gt;2,MID(Tonghop!M12,LEN(Temp!K12)+2,FIND(";",Tonghop!M12,LEN(Temp!K12)+2)-LEN(Temp!K12)-2),IF(E12=2,RIGHT(Tonghop!M12,LEN(Tonghop!M12)-LEN(Temp!K12)-1),""))</f>
        <v>STG0317</v>
      </c>
      <c r="AA12" s="74" t="str">
        <f>IF(E12&gt;2,MID(Tonghop!N12,LEN(Temp!L12)+2,FIND(";",Tonghop!N12,LEN(Temp!L12)+2)-LEN(Temp!L12)-2),IF(E12=2,RIGHT(Tonghop!N12,LEN(Tonghop!N12)-LEN(Temp!L12)-1),""))</f>
        <v>NOKIA Flexi WCDMA BTS</v>
      </c>
      <c r="AB12" s="75">
        <f t="shared" si="7"/>
        <v>3</v>
      </c>
      <c r="AC12" s="75" t="str">
        <f t="shared" si="8"/>
        <v>2</v>
      </c>
      <c r="AD12" s="75" t="str">
        <f t="shared" si="9"/>
        <v>2</v>
      </c>
      <c r="AE12" s="75" t="str">
        <f t="shared" si="10"/>
        <v>2</v>
      </c>
      <c r="AF12" s="74" t="str">
        <f>IF(E12&gt;2,MID(Tonghop!P12,LEN(Temp!Q12)+2,FIND(";",Tonghop!P12,LEN(Temp!Q12)+2)-LEN(Temp!Q12)-2),IF(E12=2,RIGHT(Tonghop!P12,LEN(Tonghop!P12)-LEN(Temp!Q12)-1),""))</f>
        <v>2/2/2</v>
      </c>
      <c r="AG12" s="72" t="str">
        <f t="shared" si="11"/>
        <v>40</v>
      </c>
      <c r="AH12" s="72" t="str">
        <f t="shared" si="12"/>
        <v>40</v>
      </c>
      <c r="AI12" s="72" t="str">
        <f t="shared" si="13"/>
        <v>40</v>
      </c>
      <c r="AJ12" s="74" t="str">
        <f>IF(E12&gt;2,MID(Tonghop!Q12,LEN(Temp!U12)+2,FIND(";",Tonghop!Q12,LEN(Temp!U12)+2)-LEN(Temp!U12)-2),IF(E12=2,RIGHT(Tonghop!Q12,LEN(Tonghop!Q12)-LEN(Temp!U12)-1),""))</f>
        <v>40W/40W/40W</v>
      </c>
      <c r="AK12" s="74" t="str">
        <f>IF(E12&gt;2,MID(Tonghop!R12,LEN(Temp!V12)+2,FIND("/",Tonghop!R12,LEN(Temp!V12)+2)-LEN(Temp!V12)-2),IF(E12=2,RIGHT(Tonghop!R12,LEN(Tonghop!R12)-LEN(Temp!V12)-1),""))</f>
        <v>U2100</v>
      </c>
      <c r="AL12" s="74" t="str">
        <f>IF(E12&gt;2,MID(Tonghop!S12,LEN(Temp!W12)+2,FIND(";",Tonghop!S12,LEN(Temp!W12)+2)-LEN(Temp!W12)-2),IF(E12=2,RIGHT(Tonghop!S12,LEN(Tonghop!S12)-LEN(Temp!W12)-1),""))</f>
        <v>40m/ 40m/ 40m</v>
      </c>
      <c r="AM12" s="73"/>
      <c r="AN12" s="75" t="str">
        <f>IF(E12&gt;2,RIGHT(Tonghop!L12,LEN(Tonghop!L12)-LEN(Temp!J12)-LEN(Temp!Y12)-2),"")</f>
        <v>TẬP ĐOÀN CÔNG NGHIỆP - VIỄN THÔNG QUÂN ĐỘI</v>
      </c>
      <c r="AO12" s="75" t="str">
        <f>IF(E12&gt;2,RIGHT(Tonghop!M12,LEN(Tonghop!M12)-LEN(Temp!K12)-LEN(Temp!Z12)-2),"")</f>
        <v>STG0317</v>
      </c>
      <c r="AP12" s="75" t="str">
        <f>IF(E12&gt;2,RIGHT(Tonghop!N12,LEN(Tonghop!N12)-LEN(Temp!L12)-LEN(Temp!AA12)-2),"")</f>
        <v>NSN FLEXI MULTIRADIO AIRSCALE</v>
      </c>
      <c r="AQ12" s="75" t="str">
        <f>IF(E12&gt;2,RIGHT(Tonghop!P12,LEN(Tonghop!P12)-LEN(Temp!Q12)-LEN(Temp!AF12)-2),"")</f>
        <v>1/1/1</v>
      </c>
      <c r="AR12" s="75" t="str">
        <f>IF(E12&gt;2,RIGHT(Tonghop!Q12,LEN(Tonghop!Q12)-LEN(U12)-LEN(Temp!AJ12)-2),"")</f>
        <v>40W/40W/40W</v>
      </c>
      <c r="AS12" s="75" t="str">
        <f>IF(E12&gt;2,RIGHT(Tonghop!R12,LEN(Tonghop!R12)-LEN(V12)-LEN(Temp!AK12)-2),"")</f>
        <v>L1800</v>
      </c>
      <c r="AT12" s="75" t="str">
        <f>IF(E12&gt;2,RIGHT(Tonghop!S12,LEN(Tonghop!S12)-LEN(W12)-LEN(Temp!AL12)-2),"")</f>
        <v>40m/ 40m/ 40m</v>
      </c>
      <c r="AU12" s="75"/>
      <c r="AV12" s="75"/>
      <c r="AW12" s="75"/>
      <c r="AX12" s="75" t="str">
        <f t="shared" si="14"/>
        <v>TẬP ĐOÀN CÔNG NGHIỆP - VIỄN THÔNG QUÂN ĐỘI</v>
      </c>
      <c r="AY12" s="75" t="str">
        <f t="shared" si="15"/>
        <v>STG0317</v>
      </c>
      <c r="AZ12" s="75" t="str">
        <f t="shared" si="16"/>
        <v>NSN FLEXI MULTIRADIO AIRSCALE</v>
      </c>
      <c r="BA12" s="75">
        <f t="shared" si="17"/>
        <v>3</v>
      </c>
      <c r="BB12" s="75" t="str">
        <f t="shared" si="18"/>
        <v>1</v>
      </c>
      <c r="BC12" s="75" t="str">
        <f t="shared" si="19"/>
        <v>1</v>
      </c>
      <c r="BD12" s="75" t="str">
        <f t="shared" si="20"/>
        <v>1</v>
      </c>
      <c r="BE12" s="75" t="str">
        <f t="shared" si="21"/>
        <v>1/1/1</v>
      </c>
      <c r="BF12" s="72" t="str">
        <f t="shared" si="22"/>
        <v>40</v>
      </c>
      <c r="BG12" s="72" t="str">
        <f t="shared" si="23"/>
        <v>40</v>
      </c>
      <c r="BH12" s="72" t="str">
        <f t="shared" si="24"/>
        <v>40</v>
      </c>
      <c r="BI12" s="75" t="str">
        <f t="shared" si="25"/>
        <v>40W/40W/40W</v>
      </c>
      <c r="BJ12" s="75" t="str">
        <f t="shared" si="26"/>
        <v>L1800</v>
      </c>
      <c r="BK12" s="75" t="str">
        <f t="shared" si="27"/>
        <v>40m/ 40m/ 40m</v>
      </c>
      <c r="BL12" s="69"/>
      <c r="BM12" s="68" t="str">
        <f t="shared" si="28"/>
        <v/>
      </c>
      <c r="BN12" s="68" t="str">
        <f t="shared" si="29"/>
        <v/>
      </c>
      <c r="BO12" s="68" t="str">
        <f t="shared" si="30"/>
        <v/>
      </c>
      <c r="BP12" s="75" t="str">
        <f t="shared" si="31"/>
        <v/>
      </c>
      <c r="BQ12" s="75" t="str">
        <f t="shared" si="32"/>
        <v/>
      </c>
      <c r="BR12" s="75" t="str">
        <f t="shared" si="33"/>
        <v/>
      </c>
      <c r="BS12" s="75" t="str">
        <f t="shared" si="34"/>
        <v/>
      </c>
      <c r="BT12" s="77" t="str">
        <f t="shared" si="35"/>
        <v/>
      </c>
      <c r="BU12" s="72" t="str">
        <f t="shared" si="36"/>
        <v/>
      </c>
      <c r="BV12" s="72" t="str">
        <f t="shared" si="37"/>
        <v/>
      </c>
      <c r="BW12" s="72" t="str">
        <f t="shared" si="38"/>
        <v/>
      </c>
      <c r="BX12" s="77" t="str">
        <f t="shared" si="39"/>
        <v/>
      </c>
      <c r="BY12" s="77" t="str">
        <f t="shared" si="40"/>
        <v/>
      </c>
      <c r="BZ12" s="77" t="str">
        <f t="shared" si="41"/>
        <v/>
      </c>
      <c r="CA12" s="69"/>
      <c r="CB12" s="75" t="str">
        <f>IF(E12&gt;4,RIGHT(AN12,LEN(AN12)-LEN(AX12)-LEN(Temp!BM12)-2),"")</f>
        <v/>
      </c>
      <c r="CC12" s="75" t="str">
        <f>IF(E12&gt;4,RIGHT(AO12,LEN(AO12)-LEN(AY12)-LEN(Temp!BN12)-2),"")</f>
        <v/>
      </c>
      <c r="CD12" s="75" t="str">
        <f>IF(E12&gt;4,RIGHT(AP12,LEN(AP12)-LEN(AZ12)-LEN(Temp!BO12)-2),"")</f>
        <v/>
      </c>
      <c r="CE12" s="75" t="str">
        <f t="shared" si="42"/>
        <v/>
      </c>
      <c r="CF12" s="75" t="str">
        <f t="shared" si="43"/>
        <v/>
      </c>
      <c r="CG12" s="75" t="str">
        <f t="shared" si="44"/>
        <v/>
      </c>
      <c r="CH12" s="75" t="str">
        <f t="shared" si="45"/>
        <v/>
      </c>
      <c r="CI12" s="75"/>
      <c r="CJ12" s="79"/>
      <c r="CK12" s="79"/>
      <c r="CL12" s="75" t="str">
        <f t="shared" si="46"/>
        <v/>
      </c>
      <c r="CM12" s="75" t="str">
        <f t="shared" si="47"/>
        <v/>
      </c>
      <c r="CN12" s="75" t="str">
        <f t="shared" si="48"/>
        <v/>
      </c>
      <c r="CO12" s="75" t="str">
        <f t="shared" si="49"/>
        <v/>
      </c>
      <c r="CP12" s="75" t="str">
        <f t="shared" si="50"/>
        <v/>
      </c>
      <c r="CQ12" s="75" t="str">
        <f t="shared" si="51"/>
        <v/>
      </c>
      <c r="CR12" s="75" t="str">
        <f t="shared" si="52"/>
        <v/>
      </c>
      <c r="CS12" s="75" t="str">
        <f t="shared" si="53"/>
        <v/>
      </c>
      <c r="CT12" s="72" t="str">
        <f t="shared" si="54"/>
        <v/>
      </c>
      <c r="CU12" s="72" t="str">
        <f t="shared" si="55"/>
        <v/>
      </c>
      <c r="CV12" s="72" t="str">
        <f t="shared" si="56"/>
        <v/>
      </c>
      <c r="CW12" s="75" t="str">
        <f t="shared" si="57"/>
        <v/>
      </c>
      <c r="CX12" s="75" t="str">
        <f t="shared" si="58"/>
        <v/>
      </c>
      <c r="CY12" s="75" t="str">
        <f t="shared" si="59"/>
        <v/>
      </c>
      <c r="CZ12" s="69"/>
      <c r="DA12" s="68" t="str">
        <f t="shared" si="60"/>
        <v/>
      </c>
      <c r="DB12" s="68" t="str">
        <f t="shared" si="61"/>
        <v/>
      </c>
      <c r="DC12" s="68" t="str">
        <f t="shared" si="62"/>
        <v/>
      </c>
      <c r="DD12" s="75" t="str">
        <f t="shared" si="63"/>
        <v/>
      </c>
      <c r="DE12" s="75" t="str">
        <f t="shared" si="64"/>
        <v/>
      </c>
      <c r="DF12" s="75" t="str">
        <f t="shared" si="65"/>
        <v/>
      </c>
      <c r="DG12" s="75" t="str">
        <f t="shared" si="66"/>
        <v/>
      </c>
      <c r="DH12" s="77" t="str">
        <f t="shared" si="67"/>
        <v/>
      </c>
      <c r="DI12" s="72" t="str">
        <f t="shared" si="68"/>
        <v/>
      </c>
      <c r="DJ12" s="72" t="str">
        <f t="shared" si="69"/>
        <v/>
      </c>
      <c r="DK12" s="72" t="str">
        <f t="shared" si="70"/>
        <v/>
      </c>
      <c r="DL12" s="77" t="str">
        <f t="shared" si="71"/>
        <v/>
      </c>
      <c r="DM12" s="77" t="str">
        <f t="shared" si="72"/>
        <v/>
      </c>
      <c r="DN12" s="77" t="str">
        <f t="shared" si="73"/>
        <v/>
      </c>
      <c r="DO12" s="68"/>
      <c r="DP12" s="68"/>
      <c r="DQ12" s="68"/>
      <c r="DR12" s="68"/>
      <c r="DS12" s="68"/>
      <c r="DT12" s="68"/>
      <c r="DU12" s="68"/>
      <c r="DV12" s="68"/>
      <c r="DW12" s="68"/>
      <c r="DX12" s="68"/>
      <c r="DY12" s="68"/>
      <c r="DZ12" s="68"/>
      <c r="EA12" s="68"/>
      <c r="EB12" s="68"/>
      <c r="EC12" s="68"/>
      <c r="ED12" s="68"/>
      <c r="EE12" s="68" t="str">
        <f>Tonghop!V12</f>
        <v>Yes</v>
      </c>
      <c r="EF12" s="68" t="str">
        <f>Tonghop!W12</f>
        <v>Yes</v>
      </c>
      <c r="EG12" s="68">
        <f>Tonghop!X12</f>
        <v>36</v>
      </c>
      <c r="EH12" s="68" t="str">
        <f>Tonghop!Y12</f>
        <v>Yes</v>
      </c>
      <c r="EI12" s="68">
        <f>Tonghop!Z12</f>
        <v>28</v>
      </c>
      <c r="EJ12" s="139"/>
    </row>
    <row r="13" spans="1:144" s="112" customFormat="1">
      <c r="A13" s="67">
        <f>Tonghop!A13</f>
        <v>12</v>
      </c>
      <c r="B13" s="68" t="str">
        <f>Tonghop!D13</f>
        <v>Khóm 5, phường 2, thành phố Sóc Trăng, tỉnh Sóc Trăng.</v>
      </c>
      <c r="C13" s="71" t="str">
        <f>Tonghop!E13</f>
        <v>Sóc Trăng</v>
      </c>
      <c r="D13" s="71" t="str">
        <f>Tonghop!I13</f>
        <v>1802432/2019/PTN-KĐ</v>
      </c>
      <c r="E13" s="67">
        <f>Tonghop!H13</f>
        <v>3</v>
      </c>
      <c r="F13" s="69"/>
      <c r="G13" s="69"/>
      <c r="H13" s="69"/>
      <c r="I13" s="69"/>
      <c r="J13" s="72" t="str">
        <f>IF(E13&gt;1,LEFT(Tonghop!L13,FIND("/",Tonghop!L13,1)-1),Tonghop!L13)</f>
        <v>TẬP ĐOÀN CÔNG NGHIỆP - VIỄN THÔNG QUÂN ĐỘI</v>
      </c>
      <c r="K13" s="72" t="str">
        <f>IF(E13&gt;1,LEFT(Tonghop!M13,FIND(";",Tonghop!M13,1)-1),Tonghop!M13)</f>
        <v>STG0379</v>
      </c>
      <c r="L13" s="72" t="str">
        <f>IF(E13&gt;1,LEFT(Tonghop!N13,FIND(";",Tonghop!N13,1)-1),Tonghop!N13)</f>
        <v>NOKIA Flexi EDGE BTS</v>
      </c>
      <c r="M13" s="72">
        <f t="shared" si="0"/>
        <v>3</v>
      </c>
      <c r="N13" s="72" t="str">
        <f t="shared" si="1"/>
        <v>2</v>
      </c>
      <c r="O13" s="72" t="str">
        <f t="shared" si="2"/>
        <v>2</v>
      </c>
      <c r="P13" s="72" t="str">
        <f t="shared" si="3"/>
        <v>2</v>
      </c>
      <c r="Q13" s="72" t="str">
        <f>IF(E13&gt;1,LEFT(Tonghop!P13,FIND(";",Tonghop!P13,1)-1),Tonghop!P13)</f>
        <v>2/2/2</v>
      </c>
      <c r="R13" s="72" t="str">
        <f t="shared" si="4"/>
        <v>41.7</v>
      </c>
      <c r="S13" s="72" t="str">
        <f t="shared" si="5"/>
        <v>41.7</v>
      </c>
      <c r="T13" s="72" t="str">
        <f t="shared" si="6"/>
        <v>41.7</v>
      </c>
      <c r="U13" s="72" t="str">
        <f>IF(E13&gt;1,LEFT(Tonghop!Q13,FIND(";",Tonghop!Q13,1)-1),Tonghop!Q13)</f>
        <v>41.7W/41.7W/41.7W</v>
      </c>
      <c r="V13" s="72" t="str">
        <f>IF(E13&gt;1,LEFT(Tonghop!R13,FIND("/",Tonghop!R13,1)-1),Tonghop!R13)</f>
        <v>G1800</v>
      </c>
      <c r="W13" s="72" t="str">
        <f>IF(E13&gt;1,LEFT(Tonghop!S13,FIND(";",Tonghop!S13,1)-1),Tonghop!S13)</f>
        <v>28m/ 28m/ 28m</v>
      </c>
      <c r="X13" s="73"/>
      <c r="Y13" s="74" t="str">
        <f>IF(E13&gt;2,MID(Tonghop!L13,LEN(Temp!J13)+2,FIND("/",Tonghop!L13,LEN(Temp!J13)+2)-LEN(Temp!J13)-2),IF(E13=2,RIGHT(Tonghop!L13,LEN(Tonghop!L13)-LEN(Temp!J13)-1),""))</f>
        <v>TẬP ĐOÀN CÔNG NGHIỆP - VIỄN THÔNG QUÂN ĐỘI</v>
      </c>
      <c r="Z13" s="74" t="str">
        <f>IF(E13&gt;2,MID(Tonghop!M13,LEN(Temp!K13)+2,FIND(";",Tonghop!M13,LEN(Temp!K13)+2)-LEN(Temp!K13)-2),IF(E13=2,RIGHT(Tonghop!M13,LEN(Tonghop!M13)-LEN(Temp!K13)-1),""))</f>
        <v>STG0379</v>
      </c>
      <c r="AA13" s="74" t="str">
        <f>IF(E13&gt;2,MID(Tonghop!N13,LEN(Temp!L13)+2,FIND(";",Tonghop!N13,LEN(Temp!L13)+2)-LEN(Temp!L13)-2),IF(E13=2,RIGHT(Tonghop!N13,LEN(Tonghop!N13)-LEN(Temp!L13)-1),""))</f>
        <v>NOKIA Flexi WCDMA BTS</v>
      </c>
      <c r="AB13" s="75">
        <f t="shared" si="7"/>
        <v>3</v>
      </c>
      <c r="AC13" s="75" t="str">
        <f t="shared" si="8"/>
        <v>2</v>
      </c>
      <c r="AD13" s="75" t="str">
        <f t="shared" si="9"/>
        <v>2</v>
      </c>
      <c r="AE13" s="75" t="str">
        <f t="shared" si="10"/>
        <v>2</v>
      </c>
      <c r="AF13" s="74" t="str">
        <f>IF(E13&gt;2,MID(Tonghop!P13,LEN(Temp!Q13)+2,FIND(";",Tonghop!P13,LEN(Temp!Q13)+2)-LEN(Temp!Q13)-2),IF(E13=2,RIGHT(Tonghop!P13,LEN(Tonghop!P13)-LEN(Temp!Q13)-1),""))</f>
        <v>2/2/2</v>
      </c>
      <c r="AG13" s="72" t="str">
        <f t="shared" si="11"/>
        <v>40</v>
      </c>
      <c r="AH13" s="72" t="str">
        <f t="shared" si="12"/>
        <v>40</v>
      </c>
      <c r="AI13" s="72" t="str">
        <f t="shared" si="13"/>
        <v>40</v>
      </c>
      <c r="AJ13" s="74" t="str">
        <f>IF(E13&gt;2,MID(Tonghop!Q13,LEN(Temp!U13)+2,FIND(";",Tonghop!Q13,LEN(Temp!U13)+2)-LEN(Temp!U13)-2),IF(E13=2,RIGHT(Tonghop!Q13,LEN(Tonghop!Q13)-LEN(Temp!U13)-1),""))</f>
        <v>40W/40W/40W</v>
      </c>
      <c r="AK13" s="74" t="str">
        <f>IF(E13&gt;2,MID(Tonghop!R13,LEN(Temp!V13)+2,FIND("/",Tonghop!R13,LEN(Temp!V13)+2)-LEN(Temp!V13)-2),IF(E13=2,RIGHT(Tonghop!R13,LEN(Tonghop!R13)-LEN(Temp!V13)-1),""))</f>
        <v>U2100</v>
      </c>
      <c r="AL13" s="74" t="str">
        <f>IF(E13&gt;2,MID(Tonghop!S13,LEN(Temp!W13)+2,FIND(";",Tonghop!S13,LEN(Temp!W13)+2)-LEN(Temp!W13)-2),IF(E13=2,RIGHT(Tonghop!S13,LEN(Tonghop!S13)-LEN(Temp!W13)-1),""))</f>
        <v>28m/ 28m/ 28m</v>
      </c>
      <c r="AM13" s="73"/>
      <c r="AN13" s="75" t="str">
        <f>IF(E13&gt;2,RIGHT(Tonghop!L13,LEN(Tonghop!L13)-LEN(Temp!J13)-LEN(Temp!Y13)-2),"")</f>
        <v>TẬP ĐOÀN CÔNG NGHIỆP - VIỄN THÔNG QUÂN ĐỘI</v>
      </c>
      <c r="AO13" s="75" t="str">
        <f>IF(E13&gt;2,RIGHT(Tonghop!M13,LEN(Tonghop!M13)-LEN(Temp!K13)-LEN(Temp!Z13)-2),"")</f>
        <v>STG0379</v>
      </c>
      <c r="AP13" s="75" t="str">
        <f>IF(E13&gt;2,RIGHT(Tonghop!N13,LEN(Tonghop!N13)-LEN(Temp!L13)-LEN(Temp!AA13)-2),"")</f>
        <v>NSN FLEXI MULTIRADIO AIRSCALE</v>
      </c>
      <c r="AQ13" s="75" t="str">
        <f>IF(E13&gt;2,RIGHT(Tonghop!P13,LEN(Tonghop!P13)-LEN(Temp!Q13)-LEN(Temp!AF13)-2),"")</f>
        <v>1/1/1</v>
      </c>
      <c r="AR13" s="75" t="str">
        <f>IF(E13&gt;2,RIGHT(Tonghop!Q13,LEN(Tonghop!Q13)-LEN(U13)-LEN(Temp!AJ13)-2),"")</f>
        <v>40W/40W/40W</v>
      </c>
      <c r="AS13" s="75" t="str">
        <f>IF(E13&gt;2,RIGHT(Tonghop!R13,LEN(Tonghop!R13)-LEN(V13)-LEN(Temp!AK13)-2),"")</f>
        <v>L1800</v>
      </c>
      <c r="AT13" s="75" t="str">
        <f>IF(E13&gt;2,RIGHT(Tonghop!S13,LEN(Tonghop!S13)-LEN(W13)-LEN(Temp!AL13)-2),"")</f>
        <v>28m/ 28m/ 28m</v>
      </c>
      <c r="AU13" s="75"/>
      <c r="AV13" s="75"/>
      <c r="AW13" s="75"/>
      <c r="AX13" s="75" t="str">
        <f t="shared" si="14"/>
        <v>TẬP ĐOÀN CÔNG NGHIỆP - VIỄN THÔNG QUÂN ĐỘI</v>
      </c>
      <c r="AY13" s="75" t="str">
        <f t="shared" si="15"/>
        <v>STG0379</v>
      </c>
      <c r="AZ13" s="75" t="str">
        <f t="shared" si="16"/>
        <v>NSN FLEXI MULTIRADIO AIRSCALE</v>
      </c>
      <c r="BA13" s="75">
        <f t="shared" si="17"/>
        <v>3</v>
      </c>
      <c r="BB13" s="75" t="str">
        <f t="shared" si="18"/>
        <v>1</v>
      </c>
      <c r="BC13" s="75" t="str">
        <f t="shared" si="19"/>
        <v>1</v>
      </c>
      <c r="BD13" s="75" t="str">
        <f t="shared" si="20"/>
        <v>1</v>
      </c>
      <c r="BE13" s="75" t="str">
        <f t="shared" si="21"/>
        <v>1/1/1</v>
      </c>
      <c r="BF13" s="72" t="str">
        <f t="shared" si="22"/>
        <v>40</v>
      </c>
      <c r="BG13" s="72" t="str">
        <f t="shared" si="23"/>
        <v>40</v>
      </c>
      <c r="BH13" s="72" t="str">
        <f t="shared" si="24"/>
        <v>40</v>
      </c>
      <c r="BI13" s="75" t="str">
        <f t="shared" si="25"/>
        <v>40W/40W/40W</v>
      </c>
      <c r="BJ13" s="75" t="str">
        <f t="shared" si="26"/>
        <v>L1800</v>
      </c>
      <c r="BK13" s="75" t="str">
        <f t="shared" si="27"/>
        <v>28m/ 28m/ 28m</v>
      </c>
      <c r="BL13" s="69"/>
      <c r="BM13" s="68" t="str">
        <f t="shared" si="28"/>
        <v/>
      </c>
      <c r="BN13" s="68" t="str">
        <f t="shared" si="29"/>
        <v/>
      </c>
      <c r="BO13" s="68" t="str">
        <f t="shared" si="30"/>
        <v/>
      </c>
      <c r="BP13" s="75" t="str">
        <f t="shared" si="31"/>
        <v/>
      </c>
      <c r="BQ13" s="75" t="str">
        <f t="shared" si="32"/>
        <v/>
      </c>
      <c r="BR13" s="75" t="str">
        <f t="shared" si="33"/>
        <v/>
      </c>
      <c r="BS13" s="75" t="str">
        <f t="shared" si="34"/>
        <v/>
      </c>
      <c r="BT13" s="77" t="str">
        <f t="shared" si="35"/>
        <v/>
      </c>
      <c r="BU13" s="72" t="str">
        <f t="shared" si="36"/>
        <v/>
      </c>
      <c r="BV13" s="72" t="str">
        <f t="shared" si="37"/>
        <v/>
      </c>
      <c r="BW13" s="72" t="str">
        <f t="shared" si="38"/>
        <v/>
      </c>
      <c r="BX13" s="77" t="str">
        <f t="shared" si="39"/>
        <v/>
      </c>
      <c r="BY13" s="77" t="str">
        <f t="shared" si="40"/>
        <v/>
      </c>
      <c r="BZ13" s="77" t="str">
        <f t="shared" si="41"/>
        <v/>
      </c>
      <c r="CA13" s="69"/>
      <c r="CB13" s="75" t="str">
        <f>IF(E13&gt;4,RIGHT(AN13,LEN(AN13)-LEN(AX13)-LEN(Temp!BM13)-2),"")</f>
        <v/>
      </c>
      <c r="CC13" s="75" t="str">
        <f>IF(E13&gt;4,RIGHT(AO13,LEN(AO13)-LEN(AY13)-LEN(Temp!BN13)-2),"")</f>
        <v/>
      </c>
      <c r="CD13" s="75" t="str">
        <f>IF(E13&gt;4,RIGHT(AP13,LEN(AP13)-LEN(AZ13)-LEN(Temp!BO13)-2),"")</f>
        <v/>
      </c>
      <c r="CE13" s="75" t="str">
        <f t="shared" si="42"/>
        <v/>
      </c>
      <c r="CF13" s="75" t="str">
        <f t="shared" si="43"/>
        <v/>
      </c>
      <c r="CG13" s="75" t="str">
        <f t="shared" si="44"/>
        <v/>
      </c>
      <c r="CH13" s="75" t="str">
        <f t="shared" si="45"/>
        <v/>
      </c>
      <c r="CI13" s="75"/>
      <c r="CJ13" s="79"/>
      <c r="CK13" s="79"/>
      <c r="CL13" s="75" t="str">
        <f t="shared" si="46"/>
        <v/>
      </c>
      <c r="CM13" s="75" t="str">
        <f t="shared" si="47"/>
        <v/>
      </c>
      <c r="CN13" s="75" t="str">
        <f t="shared" si="48"/>
        <v/>
      </c>
      <c r="CO13" s="75" t="str">
        <f t="shared" si="49"/>
        <v/>
      </c>
      <c r="CP13" s="75" t="str">
        <f t="shared" si="50"/>
        <v/>
      </c>
      <c r="CQ13" s="75" t="str">
        <f t="shared" si="51"/>
        <v/>
      </c>
      <c r="CR13" s="75" t="str">
        <f t="shared" si="52"/>
        <v/>
      </c>
      <c r="CS13" s="75" t="str">
        <f t="shared" si="53"/>
        <v/>
      </c>
      <c r="CT13" s="72" t="str">
        <f t="shared" si="54"/>
        <v/>
      </c>
      <c r="CU13" s="72" t="str">
        <f t="shared" si="55"/>
        <v/>
      </c>
      <c r="CV13" s="72" t="str">
        <f t="shared" si="56"/>
        <v/>
      </c>
      <c r="CW13" s="75" t="str">
        <f t="shared" si="57"/>
        <v/>
      </c>
      <c r="CX13" s="75" t="str">
        <f t="shared" si="58"/>
        <v/>
      </c>
      <c r="CY13" s="75" t="str">
        <f t="shared" si="59"/>
        <v/>
      </c>
      <c r="CZ13" s="69"/>
      <c r="DA13" s="68" t="str">
        <f t="shared" si="60"/>
        <v/>
      </c>
      <c r="DB13" s="68" t="str">
        <f t="shared" si="61"/>
        <v/>
      </c>
      <c r="DC13" s="68" t="str">
        <f t="shared" si="62"/>
        <v/>
      </c>
      <c r="DD13" s="75" t="str">
        <f t="shared" si="63"/>
        <v/>
      </c>
      <c r="DE13" s="75" t="str">
        <f t="shared" si="64"/>
        <v/>
      </c>
      <c r="DF13" s="75" t="str">
        <f t="shared" si="65"/>
        <v/>
      </c>
      <c r="DG13" s="75" t="str">
        <f t="shared" si="66"/>
        <v/>
      </c>
      <c r="DH13" s="77" t="str">
        <f t="shared" si="67"/>
        <v/>
      </c>
      <c r="DI13" s="72" t="str">
        <f t="shared" si="68"/>
        <v/>
      </c>
      <c r="DJ13" s="72" t="str">
        <f t="shared" si="69"/>
        <v/>
      </c>
      <c r="DK13" s="72" t="str">
        <f t="shared" si="70"/>
        <v/>
      </c>
      <c r="DL13" s="77" t="str">
        <f t="shared" si="71"/>
        <v/>
      </c>
      <c r="DM13" s="77" t="str">
        <f t="shared" si="72"/>
        <v/>
      </c>
      <c r="DN13" s="77" t="str">
        <f t="shared" si="73"/>
        <v/>
      </c>
      <c r="DO13" s="68"/>
      <c r="DP13" s="68"/>
      <c r="DQ13" s="68"/>
      <c r="DR13" s="68"/>
      <c r="DS13" s="68"/>
      <c r="DT13" s="68"/>
      <c r="DU13" s="68"/>
      <c r="DV13" s="68"/>
      <c r="DW13" s="68"/>
      <c r="DX13" s="68"/>
      <c r="DY13" s="68"/>
      <c r="DZ13" s="68"/>
      <c r="EA13" s="68"/>
      <c r="EB13" s="68"/>
      <c r="EC13" s="68"/>
      <c r="ED13" s="68"/>
      <c r="EE13" s="68" t="str">
        <f>Tonghop!V13</f>
        <v>Yes</v>
      </c>
      <c r="EF13" s="68" t="str">
        <f>Tonghop!W13</f>
        <v>No</v>
      </c>
      <c r="EG13" s="68" t="str">
        <f>Tonghop!X13</f>
        <v/>
      </c>
      <c r="EH13" s="68" t="str">
        <f>Tonghop!Y13</f>
        <v>Yes</v>
      </c>
      <c r="EI13" s="68">
        <f>Tonghop!Z13</f>
        <v>20</v>
      </c>
      <c r="EJ13" s="139"/>
    </row>
    <row r="14" spans="1:144" s="112" customFormat="1">
      <c r="A14" s="67">
        <f>Tonghop!A14</f>
        <v>13</v>
      </c>
      <c r="B14" s="68" t="str">
        <f>Tonghop!D14</f>
        <v>Số 332, đường Điện Biên Phủ, khóm 1, phường 6, thành phố Sóc Trăng, tỉnh Sóc Trăng.</v>
      </c>
      <c r="C14" s="71" t="str">
        <f>Tonghop!E14</f>
        <v>Sóc Trăng</v>
      </c>
      <c r="D14" s="71" t="str">
        <f>Tonghop!I14</f>
        <v>1802433/2019/PTN-KĐ</v>
      </c>
      <c r="E14" s="67">
        <f>Tonghop!H14</f>
        <v>3</v>
      </c>
      <c r="F14" s="69"/>
      <c r="G14" s="69"/>
      <c r="H14" s="69"/>
      <c r="I14" s="69"/>
      <c r="J14" s="72" t="str">
        <f>IF(E14&gt;1,LEFT(Tonghop!L14,FIND("/",Tonghop!L14,1)-1),Tonghop!L14)</f>
        <v>TẬP ĐOÀN CÔNG NGHIỆP - VIỄN THÔNG QUÂN ĐỘI</v>
      </c>
      <c r="K14" s="72" t="str">
        <f>IF(E14&gt;1,LEFT(Tonghop!M14,FIND(";",Tonghop!M14,1)-1),Tonghop!M14)</f>
        <v>STG0380</v>
      </c>
      <c r="L14" s="72" t="str">
        <f>IF(E14&gt;1,LEFT(Tonghop!N14,FIND(";",Tonghop!N14,1)-1),Tonghop!N14)</f>
        <v>NOKIA Flexi EDGE BTS</v>
      </c>
      <c r="M14" s="72">
        <f t="shared" si="0"/>
        <v>3</v>
      </c>
      <c r="N14" s="72" t="str">
        <f t="shared" si="1"/>
        <v>4</v>
      </c>
      <c r="O14" s="72" t="str">
        <f t="shared" si="2"/>
        <v>4</v>
      </c>
      <c r="P14" s="72" t="str">
        <f t="shared" si="3"/>
        <v>2</v>
      </c>
      <c r="Q14" s="72" t="str">
        <f>IF(E14&gt;1,LEFT(Tonghop!P14,FIND(";",Tonghop!P14,1)-1),Tonghop!P14)</f>
        <v>4/4/2</v>
      </c>
      <c r="R14" s="72" t="str">
        <f t="shared" si="4"/>
        <v>37.24</v>
      </c>
      <c r="S14" s="72" t="str">
        <f t="shared" si="5"/>
        <v>37.24</v>
      </c>
      <c r="T14" s="72" t="str">
        <f t="shared" si="6"/>
        <v>41.7</v>
      </c>
      <c r="U14" s="72" t="str">
        <f>IF(E14&gt;1,LEFT(Tonghop!Q14,FIND(";",Tonghop!Q14,1)-1),Tonghop!Q14)</f>
        <v>37.24W/37.24W/41.7W</v>
      </c>
      <c r="V14" s="72" t="str">
        <f>IF(E14&gt;1,LEFT(Tonghop!R14,FIND("/",Tonghop!R14,1)-1),Tonghop!R14)</f>
        <v>G1800</v>
      </c>
      <c r="W14" s="72" t="str">
        <f>IF(E14&gt;1,LEFT(Tonghop!S14,FIND(";",Tonghop!S14,1)-1),Tonghop!S14)</f>
        <v>38m/ 38m/ 38m</v>
      </c>
      <c r="X14" s="73"/>
      <c r="Y14" s="74" t="str">
        <f>IF(E14&gt;2,MID(Tonghop!L14,LEN(Temp!J14)+2,FIND("/",Tonghop!L14,LEN(Temp!J14)+2)-LEN(Temp!J14)-2),IF(E14=2,RIGHT(Tonghop!L14,LEN(Tonghop!L14)-LEN(Temp!J14)-1),""))</f>
        <v>TẬP ĐOÀN CÔNG NGHIỆP - VIỄN THÔNG QUÂN ĐỘI</v>
      </c>
      <c r="Z14" s="74" t="str">
        <f>IF(E14&gt;2,MID(Tonghop!M14,LEN(Temp!K14)+2,FIND(";",Tonghop!M14,LEN(Temp!K14)+2)-LEN(Temp!K14)-2),IF(E14=2,RIGHT(Tonghop!M14,LEN(Tonghop!M14)-LEN(Temp!K14)-1),""))</f>
        <v>STG0380</v>
      </c>
      <c r="AA14" s="74" t="str">
        <f>IF(E14&gt;2,MID(Tonghop!N14,LEN(Temp!L14)+2,FIND(";",Tonghop!N14,LEN(Temp!L14)+2)-LEN(Temp!L14)-2),IF(E14=2,RIGHT(Tonghop!N14,LEN(Tonghop!N14)-LEN(Temp!L14)-1),""))</f>
        <v>NOKIA Flexi WCDMA BTS</v>
      </c>
      <c r="AB14" s="75">
        <f t="shared" si="7"/>
        <v>3</v>
      </c>
      <c r="AC14" s="75" t="str">
        <f t="shared" si="8"/>
        <v>2</v>
      </c>
      <c r="AD14" s="75" t="str">
        <f t="shared" si="9"/>
        <v>2</v>
      </c>
      <c r="AE14" s="75" t="str">
        <f t="shared" si="10"/>
        <v>2</v>
      </c>
      <c r="AF14" s="74" t="str">
        <f>IF(E14&gt;2,MID(Tonghop!P14,LEN(Temp!Q14)+2,FIND(";",Tonghop!P14,LEN(Temp!Q14)+2)-LEN(Temp!Q14)-2),IF(E14=2,RIGHT(Tonghop!P14,LEN(Tonghop!P14)-LEN(Temp!Q14)-1),""))</f>
        <v>2/2/2</v>
      </c>
      <c r="AG14" s="72" t="str">
        <f t="shared" si="11"/>
        <v>40</v>
      </c>
      <c r="AH14" s="72" t="str">
        <f t="shared" si="12"/>
        <v>40</v>
      </c>
      <c r="AI14" s="72" t="str">
        <f t="shared" si="13"/>
        <v>40</v>
      </c>
      <c r="AJ14" s="74" t="str">
        <f>IF(E14&gt;2,MID(Tonghop!Q14,LEN(Temp!U14)+2,FIND(";",Tonghop!Q14,LEN(Temp!U14)+2)-LEN(Temp!U14)-2),IF(E14=2,RIGHT(Tonghop!Q14,LEN(Tonghop!Q14)-LEN(Temp!U14)-1),""))</f>
        <v>40W/40W/40W</v>
      </c>
      <c r="AK14" s="74" t="str">
        <f>IF(E14&gt;2,MID(Tonghop!R14,LEN(Temp!V14)+2,FIND("/",Tonghop!R14,LEN(Temp!V14)+2)-LEN(Temp!V14)-2),IF(E14=2,RIGHT(Tonghop!R14,LEN(Tonghop!R14)-LEN(Temp!V14)-1),""))</f>
        <v>U2100</v>
      </c>
      <c r="AL14" s="74" t="str">
        <f>IF(E14&gt;2,MID(Tonghop!S14,LEN(Temp!W14)+2,FIND(";",Tonghop!S14,LEN(Temp!W14)+2)-LEN(Temp!W14)-2),IF(E14=2,RIGHT(Tonghop!S14,LEN(Tonghop!S14)-LEN(Temp!W14)-1),""))</f>
        <v>38m/ 38m/ 38m</v>
      </c>
      <c r="AM14" s="73"/>
      <c r="AN14" s="75" t="str">
        <f>IF(E14&gt;2,RIGHT(Tonghop!L14,LEN(Tonghop!L14)-LEN(Temp!J14)-LEN(Temp!Y14)-2),"")</f>
        <v>TẬP ĐOÀN CÔNG NGHIỆP - VIỄN THÔNG QUÂN ĐỘI</v>
      </c>
      <c r="AO14" s="75" t="str">
        <f>IF(E14&gt;2,RIGHT(Tonghop!M14,LEN(Tonghop!M14)-LEN(Temp!K14)-LEN(Temp!Z14)-2),"")</f>
        <v>STG0380</v>
      </c>
      <c r="AP14" s="75" t="str">
        <f>IF(E14&gt;2,RIGHT(Tonghop!N14,LEN(Tonghop!N14)-LEN(Temp!L14)-LEN(Temp!AA14)-2),"")</f>
        <v>NSN FLEXI MULTIRADIO AIRSCALE</v>
      </c>
      <c r="AQ14" s="75" t="str">
        <f>IF(E14&gt;2,RIGHT(Tonghop!P14,LEN(Tonghop!P14)-LEN(Temp!Q14)-LEN(Temp!AF14)-2),"")</f>
        <v>1/1/1</v>
      </c>
      <c r="AR14" s="75" t="str">
        <f>IF(E14&gt;2,RIGHT(Tonghop!Q14,LEN(Tonghop!Q14)-LEN(U14)-LEN(Temp!AJ14)-2),"")</f>
        <v>40W/40W/40W</v>
      </c>
      <c r="AS14" s="75" t="str">
        <f>IF(E14&gt;2,RIGHT(Tonghop!R14,LEN(Tonghop!R14)-LEN(V14)-LEN(Temp!AK14)-2),"")</f>
        <v>L1800</v>
      </c>
      <c r="AT14" s="75" t="str">
        <f>IF(E14&gt;2,RIGHT(Tonghop!S14,LEN(Tonghop!S14)-LEN(W14)-LEN(Temp!AL14)-2),"")</f>
        <v>34m/ 34m/ 34m</v>
      </c>
      <c r="AU14" s="75"/>
      <c r="AV14" s="75"/>
      <c r="AW14" s="75"/>
      <c r="AX14" s="75" t="str">
        <f t="shared" si="14"/>
        <v>TẬP ĐOÀN CÔNG NGHIỆP - VIỄN THÔNG QUÂN ĐỘI</v>
      </c>
      <c r="AY14" s="75" t="str">
        <f t="shared" si="15"/>
        <v>STG0380</v>
      </c>
      <c r="AZ14" s="75" t="str">
        <f t="shared" si="16"/>
        <v>NSN FLEXI MULTIRADIO AIRSCALE</v>
      </c>
      <c r="BA14" s="75">
        <f t="shared" si="17"/>
        <v>3</v>
      </c>
      <c r="BB14" s="75" t="str">
        <f t="shared" si="18"/>
        <v>1</v>
      </c>
      <c r="BC14" s="75" t="str">
        <f t="shared" si="19"/>
        <v>1</v>
      </c>
      <c r="BD14" s="75" t="str">
        <f t="shared" si="20"/>
        <v>1</v>
      </c>
      <c r="BE14" s="75" t="str">
        <f t="shared" si="21"/>
        <v>1/1/1</v>
      </c>
      <c r="BF14" s="72" t="str">
        <f t="shared" si="22"/>
        <v>40</v>
      </c>
      <c r="BG14" s="72" t="str">
        <f t="shared" si="23"/>
        <v>40</v>
      </c>
      <c r="BH14" s="72" t="str">
        <f t="shared" si="24"/>
        <v>40</v>
      </c>
      <c r="BI14" s="75" t="str">
        <f t="shared" si="25"/>
        <v>40W/40W/40W</v>
      </c>
      <c r="BJ14" s="75" t="str">
        <f t="shared" si="26"/>
        <v>L1800</v>
      </c>
      <c r="BK14" s="75" t="str">
        <f t="shared" si="27"/>
        <v>34m/ 34m/ 34m</v>
      </c>
      <c r="BL14" s="69"/>
      <c r="BM14" s="68" t="str">
        <f t="shared" si="28"/>
        <v/>
      </c>
      <c r="BN14" s="68" t="str">
        <f t="shared" si="29"/>
        <v/>
      </c>
      <c r="BO14" s="68" t="str">
        <f t="shared" si="30"/>
        <v/>
      </c>
      <c r="BP14" s="75" t="str">
        <f t="shared" si="31"/>
        <v/>
      </c>
      <c r="BQ14" s="75" t="str">
        <f t="shared" si="32"/>
        <v/>
      </c>
      <c r="BR14" s="75" t="str">
        <f t="shared" si="33"/>
        <v/>
      </c>
      <c r="BS14" s="75" t="str">
        <f t="shared" si="34"/>
        <v/>
      </c>
      <c r="BT14" s="77" t="str">
        <f t="shared" si="35"/>
        <v/>
      </c>
      <c r="BU14" s="72" t="str">
        <f t="shared" si="36"/>
        <v/>
      </c>
      <c r="BV14" s="72" t="str">
        <f t="shared" si="37"/>
        <v/>
      </c>
      <c r="BW14" s="72" t="str">
        <f t="shared" si="38"/>
        <v/>
      </c>
      <c r="BX14" s="77" t="str">
        <f t="shared" si="39"/>
        <v/>
      </c>
      <c r="BY14" s="77" t="str">
        <f t="shared" si="40"/>
        <v/>
      </c>
      <c r="BZ14" s="77" t="str">
        <f t="shared" si="41"/>
        <v/>
      </c>
      <c r="CA14" s="69"/>
      <c r="CB14" s="75" t="str">
        <f>IF(E14&gt;4,RIGHT(AN14,LEN(AN14)-LEN(AX14)-LEN(Temp!BM14)-2),"")</f>
        <v/>
      </c>
      <c r="CC14" s="75" t="str">
        <f>IF(E14&gt;4,RIGHT(AO14,LEN(AO14)-LEN(AY14)-LEN(Temp!BN14)-2),"")</f>
        <v/>
      </c>
      <c r="CD14" s="75" t="str">
        <f>IF(E14&gt;4,RIGHT(AP14,LEN(AP14)-LEN(AZ14)-LEN(Temp!BO14)-2),"")</f>
        <v/>
      </c>
      <c r="CE14" s="75" t="str">
        <f t="shared" si="42"/>
        <v/>
      </c>
      <c r="CF14" s="75" t="str">
        <f t="shared" si="43"/>
        <v/>
      </c>
      <c r="CG14" s="75" t="str">
        <f t="shared" si="44"/>
        <v/>
      </c>
      <c r="CH14" s="75" t="str">
        <f t="shared" si="45"/>
        <v/>
      </c>
      <c r="CI14" s="75"/>
      <c r="CJ14" s="79"/>
      <c r="CK14" s="79"/>
      <c r="CL14" s="75" t="str">
        <f t="shared" si="46"/>
        <v/>
      </c>
      <c r="CM14" s="75" t="str">
        <f t="shared" si="47"/>
        <v/>
      </c>
      <c r="CN14" s="75" t="str">
        <f t="shared" si="48"/>
        <v/>
      </c>
      <c r="CO14" s="75" t="str">
        <f t="shared" si="49"/>
        <v/>
      </c>
      <c r="CP14" s="75" t="str">
        <f t="shared" si="50"/>
        <v/>
      </c>
      <c r="CQ14" s="75" t="str">
        <f t="shared" si="51"/>
        <v/>
      </c>
      <c r="CR14" s="75" t="str">
        <f t="shared" si="52"/>
        <v/>
      </c>
      <c r="CS14" s="75" t="str">
        <f t="shared" si="53"/>
        <v/>
      </c>
      <c r="CT14" s="72" t="str">
        <f t="shared" si="54"/>
        <v/>
      </c>
      <c r="CU14" s="72" t="str">
        <f t="shared" si="55"/>
        <v/>
      </c>
      <c r="CV14" s="72" t="str">
        <f t="shared" si="56"/>
        <v/>
      </c>
      <c r="CW14" s="75" t="str">
        <f t="shared" si="57"/>
        <v/>
      </c>
      <c r="CX14" s="75" t="str">
        <f t="shared" si="58"/>
        <v/>
      </c>
      <c r="CY14" s="75" t="str">
        <f t="shared" si="59"/>
        <v/>
      </c>
      <c r="CZ14" s="69"/>
      <c r="DA14" s="68" t="str">
        <f t="shared" si="60"/>
        <v/>
      </c>
      <c r="DB14" s="68" t="str">
        <f t="shared" si="61"/>
        <v/>
      </c>
      <c r="DC14" s="68" t="str">
        <f t="shared" si="62"/>
        <v/>
      </c>
      <c r="DD14" s="75" t="str">
        <f t="shared" si="63"/>
        <v/>
      </c>
      <c r="DE14" s="75" t="str">
        <f t="shared" si="64"/>
        <v/>
      </c>
      <c r="DF14" s="75" t="str">
        <f t="shared" si="65"/>
        <v/>
      </c>
      <c r="DG14" s="75" t="str">
        <f t="shared" si="66"/>
        <v/>
      </c>
      <c r="DH14" s="77" t="str">
        <f t="shared" si="67"/>
        <v/>
      </c>
      <c r="DI14" s="72" t="str">
        <f t="shared" si="68"/>
        <v/>
      </c>
      <c r="DJ14" s="72" t="str">
        <f t="shared" si="69"/>
        <v/>
      </c>
      <c r="DK14" s="72" t="str">
        <f t="shared" si="70"/>
        <v/>
      </c>
      <c r="DL14" s="77" t="str">
        <f t="shared" si="71"/>
        <v/>
      </c>
      <c r="DM14" s="77" t="str">
        <f t="shared" si="72"/>
        <v/>
      </c>
      <c r="DN14" s="77" t="str">
        <f t="shared" si="73"/>
        <v/>
      </c>
      <c r="DO14" s="68"/>
      <c r="DP14" s="68"/>
      <c r="DQ14" s="68"/>
      <c r="DR14" s="68"/>
      <c r="DS14" s="68"/>
      <c r="DT14" s="68"/>
      <c r="DU14" s="68"/>
      <c r="DV14" s="68"/>
      <c r="DW14" s="68"/>
      <c r="DX14" s="68"/>
      <c r="DY14" s="68"/>
      <c r="DZ14" s="68"/>
      <c r="EA14" s="68"/>
      <c r="EB14" s="68"/>
      <c r="EC14" s="68"/>
      <c r="ED14" s="68"/>
      <c r="EE14" s="68" t="str">
        <f>Tonghop!V14</f>
        <v>Yes</v>
      </c>
      <c r="EF14" s="68" t="str">
        <f>Tonghop!W14</f>
        <v>No</v>
      </c>
      <c r="EG14" s="68" t="str">
        <f>Tonghop!X14</f>
        <v/>
      </c>
      <c r="EH14" s="68" t="str">
        <f>Tonghop!Y14</f>
        <v>Yes</v>
      </c>
      <c r="EI14" s="68">
        <f>Tonghop!Z14</f>
        <v>26</v>
      </c>
      <c r="EJ14" s="139"/>
    </row>
    <row r="15" spans="1:144" s="112" customFormat="1">
      <c r="A15" s="67">
        <f>Tonghop!A15</f>
        <v>14</v>
      </c>
      <c r="B15" s="68" t="str">
        <f>Tonghop!D15</f>
        <v>Số 201, đường Nguyễn Thị Minh Khai, khóm 3, phường 3, thành phố Sóc Trăng, tỉnh Sóc Trăng.</v>
      </c>
      <c r="C15" s="71" t="str">
        <f>Tonghop!E15</f>
        <v>Sóc Trăng</v>
      </c>
      <c r="D15" s="71" t="str">
        <f>Tonghop!I15</f>
        <v>1802434/2019/PTN-KĐ</v>
      </c>
      <c r="E15" s="67">
        <f>Tonghop!H15</f>
        <v>3</v>
      </c>
      <c r="F15" s="69"/>
      <c r="G15" s="69"/>
      <c r="H15" s="69"/>
      <c r="I15" s="69"/>
      <c r="J15" s="72" t="str">
        <f>IF(E15&gt;1,LEFT(Tonghop!L15,FIND("/",Tonghop!L15,1)-1),Tonghop!L15)</f>
        <v>TẬP ĐOÀN CÔNG NGHIỆP - VIỄN THÔNG QUÂN ĐỘI</v>
      </c>
      <c r="K15" s="72" t="str">
        <f>IF(E15&gt;1,LEFT(Tonghop!M15,FIND(";",Tonghop!M15,1)-1),Tonghop!M15)</f>
        <v>STG0388</v>
      </c>
      <c r="L15" s="72" t="str">
        <f>IF(E15&gt;1,LEFT(Tonghop!N15,FIND(";",Tonghop!N15,1)-1),Tonghop!N15)</f>
        <v>NOKIA Flexi EDGE BTS</v>
      </c>
      <c r="M15" s="72">
        <f t="shared" si="0"/>
        <v>3</v>
      </c>
      <c r="N15" s="72" t="str">
        <f t="shared" si="1"/>
        <v>4</v>
      </c>
      <c r="O15" s="72" t="str">
        <f t="shared" si="2"/>
        <v>4</v>
      </c>
      <c r="P15" s="72" t="str">
        <f t="shared" si="3"/>
        <v>4</v>
      </c>
      <c r="Q15" s="72" t="str">
        <f>IF(E15&gt;1,LEFT(Tonghop!P15,FIND(";",Tonghop!P15,1)-1),Tonghop!P15)</f>
        <v>4/4/4</v>
      </c>
      <c r="R15" s="72" t="str">
        <f t="shared" si="4"/>
        <v>37.24</v>
      </c>
      <c r="S15" s="72" t="str">
        <f t="shared" si="5"/>
        <v>37.24</v>
      </c>
      <c r="T15" s="72" t="str">
        <f t="shared" si="6"/>
        <v>37.24</v>
      </c>
      <c r="U15" s="72" t="str">
        <f>IF(E15&gt;1,LEFT(Tonghop!Q15,FIND(";",Tonghop!Q15,1)-1),Tonghop!Q15)</f>
        <v>37.24W/37.24W/37.24W</v>
      </c>
      <c r="V15" s="72" t="str">
        <f>IF(E15&gt;1,LEFT(Tonghop!R15,FIND("/",Tonghop!R15,1)-1),Tonghop!R15)</f>
        <v>G1800</v>
      </c>
      <c r="W15" s="72" t="str">
        <f>IF(E15&gt;1,LEFT(Tonghop!S15,FIND(";",Tonghop!S15,1)-1),Tonghop!S15)</f>
        <v>25.5m/ 25.5m/ 25.5m</v>
      </c>
      <c r="X15" s="73"/>
      <c r="Y15" s="74" t="str">
        <f>IF(E15&gt;2,MID(Tonghop!L15,LEN(Temp!J15)+2,FIND("/",Tonghop!L15,LEN(Temp!J15)+2)-LEN(Temp!J15)-2),IF(E15=2,RIGHT(Tonghop!L15,LEN(Tonghop!L15)-LEN(Temp!J15)-1),""))</f>
        <v>TẬP ĐOÀN CÔNG NGHIỆP - VIỄN THÔNG QUÂN ĐỘI</v>
      </c>
      <c r="Z15" s="74" t="str">
        <f>IF(E15&gt;2,MID(Tonghop!M15,LEN(Temp!K15)+2,FIND(";",Tonghop!M15,LEN(Temp!K15)+2)-LEN(Temp!K15)-2),IF(E15=2,RIGHT(Tonghop!M15,LEN(Tonghop!M15)-LEN(Temp!K15)-1),""))</f>
        <v>STG0388</v>
      </c>
      <c r="AA15" s="74" t="str">
        <f>IF(E15&gt;2,MID(Tonghop!N15,LEN(Temp!L15)+2,FIND(";",Tonghop!N15,LEN(Temp!L15)+2)-LEN(Temp!L15)-2),IF(E15=2,RIGHT(Tonghop!N15,LEN(Tonghop!N15)-LEN(Temp!L15)-1),""))</f>
        <v>NOKIA Flexi WCDMA BTS</v>
      </c>
      <c r="AB15" s="75">
        <f t="shared" si="7"/>
        <v>3</v>
      </c>
      <c r="AC15" s="75" t="str">
        <f t="shared" si="8"/>
        <v>2</v>
      </c>
      <c r="AD15" s="75" t="str">
        <f t="shared" si="9"/>
        <v>2</v>
      </c>
      <c r="AE15" s="75" t="str">
        <f t="shared" si="10"/>
        <v>2</v>
      </c>
      <c r="AF15" s="74" t="str">
        <f>IF(E15&gt;2,MID(Tonghop!P15,LEN(Temp!Q15)+2,FIND(";",Tonghop!P15,LEN(Temp!Q15)+2)-LEN(Temp!Q15)-2),IF(E15=2,RIGHT(Tonghop!P15,LEN(Tonghop!P15)-LEN(Temp!Q15)-1),""))</f>
        <v>2/2/2</v>
      </c>
      <c r="AG15" s="72" t="str">
        <f t="shared" si="11"/>
        <v>40</v>
      </c>
      <c r="AH15" s="72" t="str">
        <f t="shared" si="12"/>
        <v>40</v>
      </c>
      <c r="AI15" s="72" t="str">
        <f t="shared" si="13"/>
        <v>40</v>
      </c>
      <c r="AJ15" s="74" t="str">
        <f>IF(E15&gt;2,MID(Tonghop!Q15,LEN(Temp!U15)+2,FIND(";",Tonghop!Q15,LEN(Temp!U15)+2)-LEN(Temp!U15)-2),IF(E15=2,RIGHT(Tonghop!Q15,LEN(Tonghop!Q15)-LEN(Temp!U15)-1),""))</f>
        <v>40W/40W/40W</v>
      </c>
      <c r="AK15" s="74" t="str">
        <f>IF(E15&gt;2,MID(Tonghop!R15,LEN(Temp!V15)+2,FIND("/",Tonghop!R15,LEN(Temp!V15)+2)-LEN(Temp!V15)-2),IF(E15=2,RIGHT(Tonghop!R15,LEN(Tonghop!R15)-LEN(Temp!V15)-1),""))</f>
        <v>U2100</v>
      </c>
      <c r="AL15" s="74" t="str">
        <f>IF(E15&gt;2,MID(Tonghop!S15,LEN(Temp!W15)+2,FIND(";",Tonghop!S15,LEN(Temp!W15)+2)-LEN(Temp!W15)-2),IF(E15=2,RIGHT(Tonghop!S15,LEN(Tonghop!S15)-LEN(Temp!W15)-1),""))</f>
        <v>25.5m/ 25.5m/ 25.5m</v>
      </c>
      <c r="AM15" s="73"/>
      <c r="AN15" s="75" t="str">
        <f>IF(E15&gt;2,RIGHT(Tonghop!L15,LEN(Tonghop!L15)-LEN(Temp!J15)-LEN(Temp!Y15)-2),"")</f>
        <v>TẬP ĐOÀN CÔNG NGHIỆP - VIỄN THÔNG QUÂN ĐỘI</v>
      </c>
      <c r="AO15" s="75" t="str">
        <f>IF(E15&gt;2,RIGHT(Tonghop!M15,LEN(Tonghop!M15)-LEN(Temp!K15)-LEN(Temp!Z15)-2),"")</f>
        <v>STG0388</v>
      </c>
      <c r="AP15" s="75" t="str">
        <f>IF(E15&gt;2,RIGHT(Tonghop!N15,LEN(Tonghop!N15)-LEN(Temp!L15)-LEN(Temp!AA15)-2),"")</f>
        <v>NSN FLEXI MULTIRADIO AIRSCALE</v>
      </c>
      <c r="AQ15" s="75" t="str">
        <f>IF(E15&gt;2,RIGHT(Tonghop!P15,LEN(Tonghop!P15)-LEN(Temp!Q15)-LEN(Temp!AF15)-2),"")</f>
        <v>1/1/1</v>
      </c>
      <c r="AR15" s="75" t="str">
        <f>IF(E15&gt;2,RIGHT(Tonghop!Q15,LEN(Tonghop!Q15)-LEN(U15)-LEN(Temp!AJ15)-2),"")</f>
        <v>40W/40W/40W</v>
      </c>
      <c r="AS15" s="75" t="str">
        <f>IF(E15&gt;2,RIGHT(Tonghop!R15,LEN(Tonghop!R15)-LEN(V15)-LEN(Temp!AK15)-2),"")</f>
        <v>L1800</v>
      </c>
      <c r="AT15" s="75" t="str">
        <f>IF(E15&gt;2,RIGHT(Tonghop!S15,LEN(Tonghop!S15)-LEN(W15)-LEN(Temp!AL15)-2),"")</f>
        <v>25.5m/ 25.5m/ 25.5m</v>
      </c>
      <c r="AU15" s="75"/>
      <c r="AV15" s="75"/>
      <c r="AW15" s="75"/>
      <c r="AX15" s="75" t="str">
        <f t="shared" si="14"/>
        <v>TẬP ĐOÀN CÔNG NGHIỆP - VIỄN THÔNG QUÂN ĐỘI</v>
      </c>
      <c r="AY15" s="75" t="str">
        <f t="shared" si="15"/>
        <v>STG0388</v>
      </c>
      <c r="AZ15" s="75" t="str">
        <f t="shared" si="16"/>
        <v>NSN FLEXI MULTIRADIO AIRSCALE</v>
      </c>
      <c r="BA15" s="75">
        <f t="shared" si="17"/>
        <v>3</v>
      </c>
      <c r="BB15" s="75" t="str">
        <f t="shared" si="18"/>
        <v>1</v>
      </c>
      <c r="BC15" s="75" t="str">
        <f t="shared" si="19"/>
        <v>1</v>
      </c>
      <c r="BD15" s="75" t="str">
        <f t="shared" si="20"/>
        <v>1</v>
      </c>
      <c r="BE15" s="75" t="str">
        <f t="shared" si="21"/>
        <v>1/1/1</v>
      </c>
      <c r="BF15" s="72" t="str">
        <f t="shared" si="22"/>
        <v>40</v>
      </c>
      <c r="BG15" s="72" t="str">
        <f t="shared" si="23"/>
        <v>40</v>
      </c>
      <c r="BH15" s="72" t="str">
        <f t="shared" si="24"/>
        <v>40</v>
      </c>
      <c r="BI15" s="75" t="str">
        <f t="shared" si="25"/>
        <v>40W/40W/40W</v>
      </c>
      <c r="BJ15" s="75" t="str">
        <f t="shared" si="26"/>
        <v>L1800</v>
      </c>
      <c r="BK15" s="75" t="str">
        <f t="shared" si="27"/>
        <v>25.5m/ 25.5m/ 25.5m</v>
      </c>
      <c r="BL15" s="69"/>
      <c r="BM15" s="68" t="str">
        <f t="shared" si="28"/>
        <v/>
      </c>
      <c r="BN15" s="68" t="str">
        <f t="shared" si="29"/>
        <v/>
      </c>
      <c r="BO15" s="68" t="str">
        <f t="shared" si="30"/>
        <v/>
      </c>
      <c r="BP15" s="75" t="str">
        <f t="shared" si="31"/>
        <v/>
      </c>
      <c r="BQ15" s="75" t="str">
        <f t="shared" si="32"/>
        <v/>
      </c>
      <c r="BR15" s="75" t="str">
        <f t="shared" si="33"/>
        <v/>
      </c>
      <c r="BS15" s="75" t="str">
        <f t="shared" si="34"/>
        <v/>
      </c>
      <c r="BT15" s="77" t="str">
        <f t="shared" si="35"/>
        <v/>
      </c>
      <c r="BU15" s="72" t="str">
        <f t="shared" si="36"/>
        <v/>
      </c>
      <c r="BV15" s="72" t="str">
        <f t="shared" si="37"/>
        <v/>
      </c>
      <c r="BW15" s="72" t="str">
        <f t="shared" si="38"/>
        <v/>
      </c>
      <c r="BX15" s="77" t="str">
        <f t="shared" si="39"/>
        <v/>
      </c>
      <c r="BY15" s="77" t="str">
        <f t="shared" si="40"/>
        <v/>
      </c>
      <c r="BZ15" s="77" t="str">
        <f t="shared" si="41"/>
        <v/>
      </c>
      <c r="CA15" s="69"/>
      <c r="CB15" s="75" t="str">
        <f>IF(E15&gt;4,RIGHT(AN15,LEN(AN15)-LEN(AX15)-LEN(Temp!BM15)-2),"")</f>
        <v/>
      </c>
      <c r="CC15" s="75" t="str">
        <f>IF(E15&gt;4,RIGHT(AO15,LEN(AO15)-LEN(AY15)-LEN(Temp!BN15)-2),"")</f>
        <v/>
      </c>
      <c r="CD15" s="75" t="str">
        <f>IF(E15&gt;4,RIGHT(AP15,LEN(AP15)-LEN(AZ15)-LEN(Temp!BO15)-2),"")</f>
        <v/>
      </c>
      <c r="CE15" s="75" t="str">
        <f t="shared" si="42"/>
        <v/>
      </c>
      <c r="CF15" s="75" t="str">
        <f t="shared" si="43"/>
        <v/>
      </c>
      <c r="CG15" s="75" t="str">
        <f t="shared" si="44"/>
        <v/>
      </c>
      <c r="CH15" s="75" t="str">
        <f t="shared" si="45"/>
        <v/>
      </c>
      <c r="CI15" s="75"/>
      <c r="CJ15" s="79"/>
      <c r="CK15" s="79"/>
      <c r="CL15" s="75" t="str">
        <f t="shared" si="46"/>
        <v/>
      </c>
      <c r="CM15" s="75" t="str">
        <f t="shared" si="47"/>
        <v/>
      </c>
      <c r="CN15" s="75" t="str">
        <f t="shared" si="48"/>
        <v/>
      </c>
      <c r="CO15" s="75" t="str">
        <f t="shared" si="49"/>
        <v/>
      </c>
      <c r="CP15" s="75" t="str">
        <f t="shared" si="50"/>
        <v/>
      </c>
      <c r="CQ15" s="75" t="str">
        <f t="shared" si="51"/>
        <v/>
      </c>
      <c r="CR15" s="75" t="str">
        <f t="shared" si="52"/>
        <v/>
      </c>
      <c r="CS15" s="75" t="str">
        <f t="shared" si="53"/>
        <v/>
      </c>
      <c r="CT15" s="72" t="str">
        <f t="shared" si="54"/>
        <v/>
      </c>
      <c r="CU15" s="72" t="str">
        <f t="shared" si="55"/>
        <v/>
      </c>
      <c r="CV15" s="72" t="str">
        <f t="shared" si="56"/>
        <v/>
      </c>
      <c r="CW15" s="75" t="str">
        <f t="shared" si="57"/>
        <v/>
      </c>
      <c r="CX15" s="75" t="str">
        <f t="shared" si="58"/>
        <v/>
      </c>
      <c r="CY15" s="75" t="str">
        <f t="shared" si="59"/>
        <v/>
      </c>
      <c r="CZ15" s="69"/>
      <c r="DA15" s="68" t="str">
        <f t="shared" si="60"/>
        <v/>
      </c>
      <c r="DB15" s="68" t="str">
        <f t="shared" si="61"/>
        <v/>
      </c>
      <c r="DC15" s="68" t="str">
        <f t="shared" si="62"/>
        <v/>
      </c>
      <c r="DD15" s="75" t="str">
        <f t="shared" si="63"/>
        <v/>
      </c>
      <c r="DE15" s="75" t="str">
        <f t="shared" si="64"/>
        <v/>
      </c>
      <c r="DF15" s="75" t="str">
        <f t="shared" si="65"/>
        <v/>
      </c>
      <c r="DG15" s="75" t="str">
        <f t="shared" si="66"/>
        <v/>
      </c>
      <c r="DH15" s="77" t="str">
        <f t="shared" si="67"/>
        <v/>
      </c>
      <c r="DI15" s="72" t="str">
        <f t="shared" si="68"/>
        <v/>
      </c>
      <c r="DJ15" s="72" t="str">
        <f t="shared" si="69"/>
        <v/>
      </c>
      <c r="DK15" s="72" t="str">
        <f t="shared" si="70"/>
        <v/>
      </c>
      <c r="DL15" s="77" t="str">
        <f t="shared" si="71"/>
        <v/>
      </c>
      <c r="DM15" s="77" t="str">
        <f t="shared" si="72"/>
        <v/>
      </c>
      <c r="DN15" s="77" t="str">
        <f t="shared" si="73"/>
        <v/>
      </c>
      <c r="DO15" s="68"/>
      <c r="DP15" s="68"/>
      <c r="DQ15" s="68"/>
      <c r="DR15" s="68"/>
      <c r="DS15" s="68"/>
      <c r="DT15" s="68"/>
      <c r="DU15" s="68"/>
      <c r="DV15" s="68"/>
      <c r="DW15" s="68"/>
      <c r="DX15" s="68"/>
      <c r="DY15" s="68"/>
      <c r="DZ15" s="68"/>
      <c r="EA15" s="68"/>
      <c r="EB15" s="68"/>
      <c r="EC15" s="68"/>
      <c r="ED15" s="68"/>
      <c r="EE15" s="68" t="str">
        <f>Tonghop!V15</f>
        <v>Yes</v>
      </c>
      <c r="EF15" s="68" t="str">
        <f>Tonghop!W15</f>
        <v>No</v>
      </c>
      <c r="EG15" s="68" t="str">
        <f>Tonghop!X15</f>
        <v/>
      </c>
      <c r="EH15" s="68" t="str">
        <f>Tonghop!Y15</f>
        <v>Yes</v>
      </c>
      <c r="EI15" s="68">
        <f>Tonghop!Z15</f>
        <v>-2.5</v>
      </c>
      <c r="EJ15" s="139"/>
    </row>
    <row r="16" spans="1:144" s="112" customFormat="1">
      <c r="A16" s="67">
        <f>Tonghop!A16</f>
        <v>15</v>
      </c>
      <c r="B16" s="68" t="str">
        <f>Tonghop!D16</f>
        <v>Số 33/31, đường Calmette, phường 6, thành phố Sóc Trăng, tỉnh Sóc Trăng.</v>
      </c>
      <c r="C16" s="71" t="str">
        <f>Tonghop!E16</f>
        <v>Sóc Trăng</v>
      </c>
      <c r="D16" s="71" t="str">
        <f>Tonghop!I16</f>
        <v>1802435/2019/PTN-KĐ</v>
      </c>
      <c r="E16" s="67">
        <f>Tonghop!H16</f>
        <v>3</v>
      </c>
      <c r="F16" s="69"/>
      <c r="G16" s="69"/>
      <c r="H16" s="69"/>
      <c r="I16" s="69"/>
      <c r="J16" s="72" t="str">
        <f>IF(E16&gt;1,LEFT(Tonghop!L16,FIND("/",Tonghop!L16,1)-1),Tonghop!L16)</f>
        <v>TẬP ĐOÀN CÔNG NGHIỆP - VIỄN THÔNG QUÂN ĐỘI</v>
      </c>
      <c r="K16" s="72" t="str">
        <f>IF(E16&gt;1,LEFT(Tonghop!M16,FIND(";",Tonghop!M16,1)-1),Tonghop!M16)</f>
        <v>STG0393</v>
      </c>
      <c r="L16" s="72" t="str">
        <f>IF(E16&gt;1,LEFT(Tonghop!N16,FIND(";",Tonghop!N16,1)-1),Tonghop!N16)</f>
        <v>NOKIA Flexi EDGE BTS</v>
      </c>
      <c r="M16" s="72">
        <f t="shared" si="0"/>
        <v>3</v>
      </c>
      <c r="N16" s="72" t="str">
        <f t="shared" si="1"/>
        <v>4</v>
      </c>
      <c r="O16" s="72" t="str">
        <f t="shared" si="2"/>
        <v>4</v>
      </c>
      <c r="P16" s="72" t="str">
        <f t="shared" si="3"/>
        <v>4</v>
      </c>
      <c r="Q16" s="72" t="str">
        <f>IF(E16&gt;1,LEFT(Tonghop!P16,FIND(";",Tonghop!P16,1)-1),Tonghop!P16)</f>
        <v>4/4/4</v>
      </c>
      <c r="R16" s="72" t="str">
        <f t="shared" si="4"/>
        <v>37.24</v>
      </c>
      <c r="S16" s="72" t="str">
        <f t="shared" si="5"/>
        <v>37.24</v>
      </c>
      <c r="T16" s="72" t="str">
        <f t="shared" si="6"/>
        <v>37.24</v>
      </c>
      <c r="U16" s="72" t="str">
        <f>IF(E16&gt;1,LEFT(Tonghop!Q16,FIND(";",Tonghop!Q16,1)-1),Tonghop!Q16)</f>
        <v>37.24W/37.24W/37.24W</v>
      </c>
      <c r="V16" s="72" t="str">
        <f>IF(E16&gt;1,LEFT(Tonghop!R16,FIND("/",Tonghop!R16,1)-1),Tonghop!R16)</f>
        <v>G1800</v>
      </c>
      <c r="W16" s="72" t="str">
        <f>IF(E16&gt;1,LEFT(Tonghop!S16,FIND(";",Tonghop!S16,1)-1),Tonghop!S16)</f>
        <v>30m/ 30m/ 30m</v>
      </c>
      <c r="X16" s="73"/>
      <c r="Y16" s="74" t="str">
        <f>IF(E16&gt;2,MID(Tonghop!L16,LEN(Temp!J16)+2,FIND("/",Tonghop!L16,LEN(Temp!J16)+2)-LEN(Temp!J16)-2),IF(E16=2,RIGHT(Tonghop!L16,LEN(Tonghop!L16)-LEN(Temp!J16)-1),""))</f>
        <v>TẬP ĐOÀN CÔNG NGHIỆP - VIỄN THÔNG QUÂN ĐỘI</v>
      </c>
      <c r="Z16" s="74" t="str">
        <f>IF(E16&gt;2,MID(Tonghop!M16,LEN(Temp!K16)+2,FIND(";",Tonghop!M16,LEN(Temp!K16)+2)-LEN(Temp!K16)-2),IF(E16=2,RIGHT(Tonghop!M16,LEN(Tonghop!M16)-LEN(Temp!K16)-1),""))</f>
        <v>STG0393</v>
      </c>
      <c r="AA16" s="74" t="str">
        <f>IF(E16&gt;2,MID(Tonghop!N16,LEN(Temp!L16)+2,FIND(";",Tonghop!N16,LEN(Temp!L16)+2)-LEN(Temp!L16)-2),IF(E16=2,RIGHT(Tonghop!N16,LEN(Tonghop!N16)-LEN(Temp!L16)-1),""))</f>
        <v>NOKIA Flexi WCDMA BTS</v>
      </c>
      <c r="AB16" s="75">
        <f t="shared" si="7"/>
        <v>3</v>
      </c>
      <c r="AC16" s="75" t="str">
        <f t="shared" si="8"/>
        <v>2</v>
      </c>
      <c r="AD16" s="75" t="str">
        <f t="shared" si="9"/>
        <v>2</v>
      </c>
      <c r="AE16" s="75" t="str">
        <f t="shared" si="10"/>
        <v>2</v>
      </c>
      <c r="AF16" s="74" t="str">
        <f>IF(E16&gt;2,MID(Tonghop!P16,LEN(Temp!Q16)+2,FIND(";",Tonghop!P16,LEN(Temp!Q16)+2)-LEN(Temp!Q16)-2),IF(E16=2,RIGHT(Tonghop!P16,LEN(Tonghop!P16)-LEN(Temp!Q16)-1),""))</f>
        <v>2/2/2</v>
      </c>
      <c r="AG16" s="72" t="str">
        <f t="shared" si="11"/>
        <v>40</v>
      </c>
      <c r="AH16" s="72" t="str">
        <f t="shared" si="12"/>
        <v>40</v>
      </c>
      <c r="AI16" s="72" t="str">
        <f t="shared" si="13"/>
        <v>40</v>
      </c>
      <c r="AJ16" s="74" t="str">
        <f>IF(E16&gt;2,MID(Tonghop!Q16,LEN(Temp!U16)+2,FIND(";",Tonghop!Q16,LEN(Temp!U16)+2)-LEN(Temp!U16)-2),IF(E16=2,RIGHT(Tonghop!Q16,LEN(Tonghop!Q16)-LEN(Temp!U16)-1),""))</f>
        <v>40W/40W/40W</v>
      </c>
      <c r="AK16" s="74" t="str">
        <f>IF(E16&gt;2,MID(Tonghop!R16,LEN(Temp!V16)+2,FIND("/",Tonghop!R16,LEN(Temp!V16)+2)-LEN(Temp!V16)-2),IF(E16=2,RIGHT(Tonghop!R16,LEN(Tonghop!R16)-LEN(Temp!V16)-1),""))</f>
        <v>U2100</v>
      </c>
      <c r="AL16" s="74" t="str">
        <f>IF(E16&gt;2,MID(Tonghop!S16,LEN(Temp!W16)+2,FIND(";",Tonghop!S16,LEN(Temp!W16)+2)-LEN(Temp!W16)-2),IF(E16=2,RIGHT(Tonghop!S16,LEN(Tonghop!S16)-LEN(Temp!W16)-1),""))</f>
        <v>36m/ 36m/ 36m</v>
      </c>
      <c r="AM16" s="73"/>
      <c r="AN16" s="75" t="str">
        <f>IF(E16&gt;2,RIGHT(Tonghop!L16,LEN(Tonghop!L16)-LEN(Temp!J16)-LEN(Temp!Y16)-2),"")</f>
        <v>TẬP ĐOÀN CÔNG NGHIỆP - VIỄN THÔNG QUÂN ĐỘI</v>
      </c>
      <c r="AO16" s="75" t="str">
        <f>IF(E16&gt;2,RIGHT(Tonghop!M16,LEN(Tonghop!M16)-LEN(Temp!K16)-LEN(Temp!Z16)-2),"")</f>
        <v>STG0393</v>
      </c>
      <c r="AP16" s="75" t="str">
        <f>IF(E16&gt;2,RIGHT(Tonghop!N16,LEN(Tonghop!N16)-LEN(Temp!L16)-LEN(Temp!AA16)-2),"")</f>
        <v>NSN FLEXI MULTIRADIO AIRSCALE</v>
      </c>
      <c r="AQ16" s="75" t="str">
        <f>IF(E16&gt;2,RIGHT(Tonghop!P16,LEN(Tonghop!P16)-LEN(Temp!Q16)-LEN(Temp!AF16)-2),"")</f>
        <v>1/1/1</v>
      </c>
      <c r="AR16" s="75" t="str">
        <f>IF(E16&gt;2,RIGHT(Tonghop!Q16,LEN(Tonghop!Q16)-LEN(U16)-LEN(Temp!AJ16)-2),"")</f>
        <v>40W/40W/40W</v>
      </c>
      <c r="AS16" s="75" t="str">
        <f>IF(E16&gt;2,RIGHT(Tonghop!R16,LEN(Tonghop!R16)-LEN(V16)-LEN(Temp!AK16)-2),"")</f>
        <v>L1800</v>
      </c>
      <c r="AT16" s="75" t="str">
        <f>IF(E16&gt;2,RIGHT(Tonghop!S16,LEN(Tonghop!S16)-LEN(W16)-LEN(Temp!AL16)-2),"")</f>
        <v>36m/ 36m/ 36m</v>
      </c>
      <c r="AU16" s="75"/>
      <c r="AV16" s="75"/>
      <c r="AW16" s="75"/>
      <c r="AX16" s="75" t="str">
        <f t="shared" si="14"/>
        <v>TẬP ĐOÀN CÔNG NGHIỆP - VIỄN THÔNG QUÂN ĐỘI</v>
      </c>
      <c r="AY16" s="75" t="str">
        <f t="shared" si="15"/>
        <v>STG0393</v>
      </c>
      <c r="AZ16" s="75" t="str">
        <f t="shared" si="16"/>
        <v>NSN FLEXI MULTIRADIO AIRSCALE</v>
      </c>
      <c r="BA16" s="75">
        <f t="shared" si="17"/>
        <v>3</v>
      </c>
      <c r="BB16" s="75" t="str">
        <f t="shared" si="18"/>
        <v>1</v>
      </c>
      <c r="BC16" s="75" t="str">
        <f t="shared" si="19"/>
        <v>1</v>
      </c>
      <c r="BD16" s="75" t="str">
        <f t="shared" si="20"/>
        <v>1</v>
      </c>
      <c r="BE16" s="75" t="str">
        <f t="shared" si="21"/>
        <v>1/1/1</v>
      </c>
      <c r="BF16" s="72" t="str">
        <f t="shared" si="22"/>
        <v>40</v>
      </c>
      <c r="BG16" s="72" t="str">
        <f t="shared" si="23"/>
        <v>40</v>
      </c>
      <c r="BH16" s="72" t="str">
        <f t="shared" si="24"/>
        <v>40</v>
      </c>
      <c r="BI16" s="75" t="str">
        <f t="shared" si="25"/>
        <v>40W/40W/40W</v>
      </c>
      <c r="BJ16" s="75" t="str">
        <f t="shared" si="26"/>
        <v>L1800</v>
      </c>
      <c r="BK16" s="75" t="str">
        <f t="shared" si="27"/>
        <v>36m/ 36m/ 36m</v>
      </c>
      <c r="BL16" s="69"/>
      <c r="BM16" s="68" t="str">
        <f t="shared" si="28"/>
        <v/>
      </c>
      <c r="BN16" s="68" t="str">
        <f t="shared" si="29"/>
        <v/>
      </c>
      <c r="BO16" s="68" t="str">
        <f t="shared" si="30"/>
        <v/>
      </c>
      <c r="BP16" s="75" t="str">
        <f t="shared" si="31"/>
        <v/>
      </c>
      <c r="BQ16" s="75" t="str">
        <f t="shared" si="32"/>
        <v/>
      </c>
      <c r="BR16" s="75" t="str">
        <f t="shared" si="33"/>
        <v/>
      </c>
      <c r="BS16" s="75" t="str">
        <f t="shared" si="34"/>
        <v/>
      </c>
      <c r="BT16" s="77" t="str">
        <f t="shared" si="35"/>
        <v/>
      </c>
      <c r="BU16" s="72" t="str">
        <f t="shared" si="36"/>
        <v/>
      </c>
      <c r="BV16" s="72" t="str">
        <f t="shared" si="37"/>
        <v/>
      </c>
      <c r="BW16" s="72" t="str">
        <f t="shared" si="38"/>
        <v/>
      </c>
      <c r="BX16" s="77" t="str">
        <f t="shared" si="39"/>
        <v/>
      </c>
      <c r="BY16" s="77" t="str">
        <f t="shared" si="40"/>
        <v/>
      </c>
      <c r="BZ16" s="77" t="str">
        <f t="shared" si="41"/>
        <v/>
      </c>
      <c r="CA16" s="69"/>
      <c r="CB16" s="75" t="str">
        <f>IF(E16&gt;4,RIGHT(AN16,LEN(AN16)-LEN(AX16)-LEN(Temp!BM16)-2),"")</f>
        <v/>
      </c>
      <c r="CC16" s="75" t="str">
        <f>IF(E16&gt;4,RIGHT(AO16,LEN(AO16)-LEN(AY16)-LEN(Temp!BN16)-2),"")</f>
        <v/>
      </c>
      <c r="CD16" s="75" t="str">
        <f>IF(E16&gt;4,RIGHT(AP16,LEN(AP16)-LEN(AZ16)-LEN(Temp!BO16)-2),"")</f>
        <v/>
      </c>
      <c r="CE16" s="75" t="str">
        <f t="shared" si="42"/>
        <v/>
      </c>
      <c r="CF16" s="75" t="str">
        <f t="shared" si="43"/>
        <v/>
      </c>
      <c r="CG16" s="75" t="str">
        <f t="shared" si="44"/>
        <v/>
      </c>
      <c r="CH16" s="75" t="str">
        <f t="shared" si="45"/>
        <v/>
      </c>
      <c r="CI16" s="75"/>
      <c r="CJ16" s="79"/>
      <c r="CK16" s="79"/>
      <c r="CL16" s="75" t="str">
        <f t="shared" si="46"/>
        <v/>
      </c>
      <c r="CM16" s="75" t="str">
        <f t="shared" si="47"/>
        <v/>
      </c>
      <c r="CN16" s="75" t="str">
        <f t="shared" si="48"/>
        <v/>
      </c>
      <c r="CO16" s="75" t="str">
        <f t="shared" si="49"/>
        <v/>
      </c>
      <c r="CP16" s="75" t="str">
        <f t="shared" si="50"/>
        <v/>
      </c>
      <c r="CQ16" s="75" t="str">
        <f t="shared" si="51"/>
        <v/>
      </c>
      <c r="CR16" s="75" t="str">
        <f t="shared" si="52"/>
        <v/>
      </c>
      <c r="CS16" s="75" t="str">
        <f t="shared" si="53"/>
        <v/>
      </c>
      <c r="CT16" s="72" t="str">
        <f t="shared" si="54"/>
        <v/>
      </c>
      <c r="CU16" s="72" t="str">
        <f t="shared" si="55"/>
        <v/>
      </c>
      <c r="CV16" s="72" t="str">
        <f t="shared" si="56"/>
        <v/>
      </c>
      <c r="CW16" s="75" t="str">
        <f t="shared" si="57"/>
        <v/>
      </c>
      <c r="CX16" s="75" t="str">
        <f t="shared" si="58"/>
        <v/>
      </c>
      <c r="CY16" s="75" t="str">
        <f t="shared" si="59"/>
        <v/>
      </c>
      <c r="CZ16" s="69"/>
      <c r="DA16" s="68" t="str">
        <f t="shared" si="60"/>
        <v/>
      </c>
      <c r="DB16" s="68" t="str">
        <f t="shared" si="61"/>
        <v/>
      </c>
      <c r="DC16" s="68" t="str">
        <f t="shared" si="62"/>
        <v/>
      </c>
      <c r="DD16" s="75" t="str">
        <f t="shared" si="63"/>
        <v/>
      </c>
      <c r="DE16" s="75" t="str">
        <f t="shared" si="64"/>
        <v/>
      </c>
      <c r="DF16" s="75" t="str">
        <f t="shared" si="65"/>
        <v/>
      </c>
      <c r="DG16" s="75" t="str">
        <f t="shared" si="66"/>
        <v/>
      </c>
      <c r="DH16" s="77" t="str">
        <f t="shared" si="67"/>
        <v/>
      </c>
      <c r="DI16" s="72" t="str">
        <f t="shared" si="68"/>
        <v/>
      </c>
      <c r="DJ16" s="72" t="str">
        <f t="shared" si="69"/>
        <v/>
      </c>
      <c r="DK16" s="72" t="str">
        <f t="shared" si="70"/>
        <v/>
      </c>
      <c r="DL16" s="77" t="str">
        <f t="shared" si="71"/>
        <v/>
      </c>
      <c r="DM16" s="77" t="str">
        <f t="shared" si="72"/>
        <v/>
      </c>
      <c r="DN16" s="77" t="str">
        <f t="shared" si="73"/>
        <v/>
      </c>
      <c r="DO16" s="68"/>
      <c r="DP16" s="68"/>
      <c r="DQ16" s="68"/>
      <c r="DR16" s="68"/>
      <c r="DS16" s="68"/>
      <c r="DT16" s="68"/>
      <c r="DU16" s="68"/>
      <c r="DV16" s="68"/>
      <c r="DW16" s="68"/>
      <c r="DX16" s="68"/>
      <c r="DY16" s="68"/>
      <c r="DZ16" s="68"/>
      <c r="EA16" s="68"/>
      <c r="EB16" s="68"/>
      <c r="EC16" s="68"/>
      <c r="ED16" s="68"/>
      <c r="EE16" s="68" t="str">
        <f>Tonghop!V16</f>
        <v>Yes</v>
      </c>
      <c r="EF16" s="68" t="str">
        <f>Tonghop!W16</f>
        <v>No</v>
      </c>
      <c r="EG16" s="68" t="str">
        <f>Tonghop!X16</f>
        <v/>
      </c>
      <c r="EH16" s="68" t="str">
        <f>Tonghop!Y16</f>
        <v>Yes</v>
      </c>
      <c r="EI16" s="68">
        <f>Tonghop!Z16</f>
        <v>19.5</v>
      </c>
      <c r="EJ16" s="139"/>
    </row>
    <row r="17" spans="1:140" s="112" customFormat="1">
      <c r="A17" s="67">
        <f>Tonghop!A17</f>
        <v>16</v>
      </c>
      <c r="B17" s="68" t="str">
        <f>Tonghop!D17</f>
        <v>Số 106, đường Mạc Đỉnh Chi, khóm 3, phường 9, thành phố Sóc Trăng, tỉnh Sóc Trăng.</v>
      </c>
      <c r="C17" s="71" t="str">
        <f>Tonghop!E17</f>
        <v>Sóc Trăng</v>
      </c>
      <c r="D17" s="71" t="str">
        <f>Tonghop!I17</f>
        <v>1802436/2019/PTN-KĐ</v>
      </c>
      <c r="E17" s="67">
        <f>Tonghop!H17</f>
        <v>3</v>
      </c>
      <c r="F17" s="69"/>
      <c r="G17" s="69"/>
      <c r="H17" s="69"/>
      <c r="I17" s="69"/>
      <c r="J17" s="72" t="str">
        <f>IF(E17&gt;1,LEFT(Tonghop!L17,FIND("/",Tonghop!L17,1)-1),Tonghop!L17)</f>
        <v>TẬP ĐOÀN CÔNG NGHIỆP - VIỄN THÔNG QUÂN ĐỘI</v>
      </c>
      <c r="K17" s="72" t="str">
        <f>IF(E17&gt;1,LEFT(Tonghop!M17,FIND(";",Tonghop!M17,1)-1),Tonghop!M17)</f>
        <v>STG0394</v>
      </c>
      <c r="L17" s="72" t="str">
        <f>IF(E17&gt;1,LEFT(Tonghop!N17,FIND(";",Tonghop!N17,1)-1),Tonghop!N17)</f>
        <v>NOKIA Flexi EDGE BTS</v>
      </c>
      <c r="M17" s="72">
        <f t="shared" si="0"/>
        <v>3</v>
      </c>
      <c r="N17" s="72" t="str">
        <f t="shared" si="1"/>
        <v>4</v>
      </c>
      <c r="O17" s="72" t="str">
        <f t="shared" si="2"/>
        <v>4</v>
      </c>
      <c r="P17" s="72" t="str">
        <f t="shared" si="3"/>
        <v>4</v>
      </c>
      <c r="Q17" s="72" t="str">
        <f>IF(E17&gt;1,LEFT(Tonghop!P17,FIND(";",Tonghop!P17,1)-1),Tonghop!P17)</f>
        <v>4/4/4</v>
      </c>
      <c r="R17" s="72" t="str">
        <f t="shared" si="4"/>
        <v>37.24</v>
      </c>
      <c r="S17" s="72" t="str">
        <f t="shared" si="5"/>
        <v>37.24</v>
      </c>
      <c r="T17" s="72" t="str">
        <f t="shared" si="6"/>
        <v>37.24</v>
      </c>
      <c r="U17" s="72" t="str">
        <f>IF(E17&gt;1,LEFT(Tonghop!Q17,FIND(";",Tonghop!Q17,1)-1),Tonghop!Q17)</f>
        <v>37.24W/37.24W/37.24W</v>
      </c>
      <c r="V17" s="72" t="str">
        <f>IF(E17&gt;1,LEFT(Tonghop!R17,FIND("/",Tonghop!R17,1)-1),Tonghop!R17)</f>
        <v>G1800</v>
      </c>
      <c r="W17" s="72" t="str">
        <f>IF(E17&gt;1,LEFT(Tonghop!S17,FIND(";",Tonghop!S17,1)-1),Tonghop!S17)</f>
        <v>22.5m/ 22.5m/ 22.5m</v>
      </c>
      <c r="X17" s="73"/>
      <c r="Y17" s="74" t="str">
        <f>IF(E17&gt;2,MID(Tonghop!L17,LEN(Temp!J17)+2,FIND("/",Tonghop!L17,LEN(Temp!J17)+2)-LEN(Temp!J17)-2),IF(E17=2,RIGHT(Tonghop!L17,LEN(Tonghop!L17)-LEN(Temp!J17)-1),""))</f>
        <v>TẬP ĐOÀN CÔNG NGHIỆP - VIỄN THÔNG QUÂN ĐỘI</v>
      </c>
      <c r="Z17" s="74" t="str">
        <f>IF(E17&gt;2,MID(Tonghop!M17,LEN(Temp!K17)+2,FIND(";",Tonghop!M17,LEN(Temp!K17)+2)-LEN(Temp!K17)-2),IF(E17=2,RIGHT(Tonghop!M17,LEN(Tonghop!M17)-LEN(Temp!K17)-1),""))</f>
        <v>STG0394</v>
      </c>
      <c r="AA17" s="74" t="str">
        <f>IF(E17&gt;2,MID(Tonghop!N17,LEN(Temp!L17)+2,FIND(";",Tonghop!N17,LEN(Temp!L17)+2)-LEN(Temp!L17)-2),IF(E17=2,RIGHT(Tonghop!N17,LEN(Tonghop!N17)-LEN(Temp!L17)-1),""))</f>
        <v>NOKIA Flexi WCDMA BTS</v>
      </c>
      <c r="AB17" s="75">
        <f t="shared" si="7"/>
        <v>3</v>
      </c>
      <c r="AC17" s="75" t="str">
        <f t="shared" si="8"/>
        <v>2</v>
      </c>
      <c r="AD17" s="75" t="str">
        <f t="shared" si="9"/>
        <v>2</v>
      </c>
      <c r="AE17" s="75" t="str">
        <f t="shared" si="10"/>
        <v>2</v>
      </c>
      <c r="AF17" s="74" t="str">
        <f>IF(E17&gt;2,MID(Tonghop!P17,LEN(Temp!Q17)+2,FIND(";",Tonghop!P17,LEN(Temp!Q17)+2)-LEN(Temp!Q17)-2),IF(E17=2,RIGHT(Tonghop!P17,LEN(Tonghop!P17)-LEN(Temp!Q17)-1),""))</f>
        <v>2/2/2</v>
      </c>
      <c r="AG17" s="72" t="str">
        <f t="shared" si="11"/>
        <v>40</v>
      </c>
      <c r="AH17" s="72" t="str">
        <f t="shared" si="12"/>
        <v>40</v>
      </c>
      <c r="AI17" s="72" t="str">
        <f t="shared" si="13"/>
        <v>40</v>
      </c>
      <c r="AJ17" s="74" t="str">
        <f>IF(E17&gt;2,MID(Tonghop!Q17,LEN(Temp!U17)+2,FIND(";",Tonghop!Q17,LEN(Temp!U17)+2)-LEN(Temp!U17)-2),IF(E17=2,RIGHT(Tonghop!Q17,LEN(Tonghop!Q17)-LEN(Temp!U17)-1),""))</f>
        <v>40W/40W/40W</v>
      </c>
      <c r="AK17" s="74" t="str">
        <f>IF(E17&gt;2,MID(Tonghop!R17,LEN(Temp!V17)+2,FIND("/",Tonghop!R17,LEN(Temp!V17)+2)-LEN(Temp!V17)-2),IF(E17=2,RIGHT(Tonghop!R17,LEN(Tonghop!R17)-LEN(Temp!V17)-1),""))</f>
        <v>U2100</v>
      </c>
      <c r="AL17" s="74" t="str">
        <f>IF(E17&gt;2,MID(Tonghop!S17,LEN(Temp!W17)+2,FIND(";",Tonghop!S17,LEN(Temp!W17)+2)-LEN(Temp!W17)-2),IF(E17=2,RIGHT(Tonghop!S17,LEN(Tonghop!S17)-LEN(Temp!W17)-1),""))</f>
        <v>25.5m/ 25.5m/ 25.5m</v>
      </c>
      <c r="AM17" s="73"/>
      <c r="AN17" s="75" t="str">
        <f>IF(E17&gt;2,RIGHT(Tonghop!L17,LEN(Tonghop!L17)-LEN(Temp!J17)-LEN(Temp!Y17)-2),"")</f>
        <v>TẬP ĐOÀN CÔNG NGHIỆP - VIỄN THÔNG QUÂN ĐỘI</v>
      </c>
      <c r="AO17" s="75" t="str">
        <f>IF(E17&gt;2,RIGHT(Tonghop!M17,LEN(Tonghop!M17)-LEN(Temp!K17)-LEN(Temp!Z17)-2),"")</f>
        <v>STG0394</v>
      </c>
      <c r="AP17" s="75" t="str">
        <f>IF(E17&gt;2,RIGHT(Tonghop!N17,LEN(Tonghop!N17)-LEN(Temp!L17)-LEN(Temp!AA17)-2),"")</f>
        <v>NSN FLEXI MULTIRADIO AIRSCALE</v>
      </c>
      <c r="AQ17" s="75" t="str">
        <f>IF(E17&gt;2,RIGHT(Tonghop!P17,LEN(Tonghop!P17)-LEN(Temp!Q17)-LEN(Temp!AF17)-2),"")</f>
        <v>1/1/1</v>
      </c>
      <c r="AR17" s="75" t="str">
        <f>IF(E17&gt;2,RIGHT(Tonghop!Q17,LEN(Tonghop!Q17)-LEN(U17)-LEN(Temp!AJ17)-2),"")</f>
        <v>40W/40W/40W</v>
      </c>
      <c r="AS17" s="75" t="str">
        <f>IF(E17&gt;2,RIGHT(Tonghop!R17,LEN(Tonghop!R17)-LEN(V17)-LEN(Temp!AK17)-2),"")</f>
        <v>L1800</v>
      </c>
      <c r="AT17" s="75" t="str">
        <f>IF(E17&gt;2,RIGHT(Tonghop!S17,LEN(Tonghop!S17)-LEN(W17)-LEN(Temp!AL17)-2),"")</f>
        <v>25.5m/ 25.5m/ 25.5m</v>
      </c>
      <c r="AU17" s="75"/>
      <c r="AV17" s="75"/>
      <c r="AW17" s="75"/>
      <c r="AX17" s="75" t="str">
        <f t="shared" si="14"/>
        <v>TẬP ĐOÀN CÔNG NGHIỆP - VIỄN THÔNG QUÂN ĐỘI</v>
      </c>
      <c r="AY17" s="75" t="str">
        <f t="shared" si="15"/>
        <v>STG0394</v>
      </c>
      <c r="AZ17" s="75" t="str">
        <f t="shared" si="16"/>
        <v>NSN FLEXI MULTIRADIO AIRSCALE</v>
      </c>
      <c r="BA17" s="75">
        <f t="shared" si="17"/>
        <v>3</v>
      </c>
      <c r="BB17" s="75" t="str">
        <f t="shared" si="18"/>
        <v>1</v>
      </c>
      <c r="BC17" s="75" t="str">
        <f t="shared" si="19"/>
        <v>1</v>
      </c>
      <c r="BD17" s="75" t="str">
        <f t="shared" si="20"/>
        <v>1</v>
      </c>
      <c r="BE17" s="75" t="str">
        <f t="shared" si="21"/>
        <v>1/1/1</v>
      </c>
      <c r="BF17" s="72" t="str">
        <f t="shared" si="22"/>
        <v>40</v>
      </c>
      <c r="BG17" s="72" t="str">
        <f t="shared" si="23"/>
        <v>40</v>
      </c>
      <c r="BH17" s="72" t="str">
        <f t="shared" si="24"/>
        <v>40</v>
      </c>
      <c r="BI17" s="75" t="str">
        <f t="shared" si="25"/>
        <v>40W/40W/40W</v>
      </c>
      <c r="BJ17" s="75" t="str">
        <f t="shared" si="26"/>
        <v>L1800</v>
      </c>
      <c r="BK17" s="75" t="str">
        <f t="shared" si="27"/>
        <v>25.5m/ 25.5m/ 25.5m</v>
      </c>
      <c r="BL17" s="69"/>
      <c r="BM17" s="68" t="str">
        <f t="shared" si="28"/>
        <v/>
      </c>
      <c r="BN17" s="68" t="str">
        <f t="shared" si="29"/>
        <v/>
      </c>
      <c r="BO17" s="68" t="str">
        <f t="shared" si="30"/>
        <v/>
      </c>
      <c r="BP17" s="75" t="str">
        <f t="shared" si="31"/>
        <v/>
      </c>
      <c r="BQ17" s="75" t="str">
        <f t="shared" si="32"/>
        <v/>
      </c>
      <c r="BR17" s="75" t="str">
        <f t="shared" si="33"/>
        <v/>
      </c>
      <c r="BS17" s="75" t="str">
        <f t="shared" si="34"/>
        <v/>
      </c>
      <c r="BT17" s="77" t="str">
        <f t="shared" si="35"/>
        <v/>
      </c>
      <c r="BU17" s="72" t="str">
        <f t="shared" si="36"/>
        <v/>
      </c>
      <c r="BV17" s="72" t="str">
        <f t="shared" si="37"/>
        <v/>
      </c>
      <c r="BW17" s="72" t="str">
        <f t="shared" si="38"/>
        <v/>
      </c>
      <c r="BX17" s="77" t="str">
        <f t="shared" si="39"/>
        <v/>
      </c>
      <c r="BY17" s="77" t="str">
        <f t="shared" si="40"/>
        <v/>
      </c>
      <c r="BZ17" s="77" t="str">
        <f t="shared" si="41"/>
        <v/>
      </c>
      <c r="CA17" s="69"/>
      <c r="CB17" s="75" t="str">
        <f>IF(E17&gt;4,RIGHT(AN17,LEN(AN17)-LEN(AX17)-LEN(Temp!BM17)-2),"")</f>
        <v/>
      </c>
      <c r="CC17" s="75" t="str">
        <f>IF(E17&gt;4,RIGHT(AO17,LEN(AO17)-LEN(AY17)-LEN(Temp!BN17)-2),"")</f>
        <v/>
      </c>
      <c r="CD17" s="75" t="str">
        <f>IF(E17&gt;4,RIGHT(AP17,LEN(AP17)-LEN(AZ17)-LEN(Temp!BO17)-2),"")</f>
        <v/>
      </c>
      <c r="CE17" s="75" t="str">
        <f t="shared" si="42"/>
        <v/>
      </c>
      <c r="CF17" s="75" t="str">
        <f t="shared" si="43"/>
        <v/>
      </c>
      <c r="CG17" s="75" t="str">
        <f t="shared" si="44"/>
        <v/>
      </c>
      <c r="CH17" s="75" t="str">
        <f t="shared" si="45"/>
        <v/>
      </c>
      <c r="CI17" s="75"/>
      <c r="CJ17" s="79"/>
      <c r="CK17" s="79"/>
      <c r="CL17" s="75" t="str">
        <f t="shared" si="46"/>
        <v/>
      </c>
      <c r="CM17" s="75" t="str">
        <f t="shared" si="47"/>
        <v/>
      </c>
      <c r="CN17" s="75" t="str">
        <f t="shared" si="48"/>
        <v/>
      </c>
      <c r="CO17" s="75" t="str">
        <f t="shared" si="49"/>
        <v/>
      </c>
      <c r="CP17" s="75" t="str">
        <f t="shared" si="50"/>
        <v/>
      </c>
      <c r="CQ17" s="75" t="str">
        <f t="shared" si="51"/>
        <v/>
      </c>
      <c r="CR17" s="75" t="str">
        <f t="shared" si="52"/>
        <v/>
      </c>
      <c r="CS17" s="75" t="str">
        <f t="shared" si="53"/>
        <v/>
      </c>
      <c r="CT17" s="72" t="str">
        <f t="shared" si="54"/>
        <v/>
      </c>
      <c r="CU17" s="72" t="str">
        <f t="shared" si="55"/>
        <v/>
      </c>
      <c r="CV17" s="72" t="str">
        <f t="shared" si="56"/>
        <v/>
      </c>
      <c r="CW17" s="75" t="str">
        <f t="shared" si="57"/>
        <v/>
      </c>
      <c r="CX17" s="75" t="str">
        <f t="shared" si="58"/>
        <v/>
      </c>
      <c r="CY17" s="75" t="str">
        <f t="shared" si="59"/>
        <v/>
      </c>
      <c r="CZ17" s="69"/>
      <c r="DA17" s="68" t="str">
        <f t="shared" si="60"/>
        <v/>
      </c>
      <c r="DB17" s="68" t="str">
        <f t="shared" si="61"/>
        <v/>
      </c>
      <c r="DC17" s="68" t="str">
        <f t="shared" si="62"/>
        <v/>
      </c>
      <c r="DD17" s="75" t="str">
        <f t="shared" si="63"/>
        <v/>
      </c>
      <c r="DE17" s="75" t="str">
        <f t="shared" si="64"/>
        <v/>
      </c>
      <c r="DF17" s="75" t="str">
        <f t="shared" si="65"/>
        <v/>
      </c>
      <c r="DG17" s="75" t="str">
        <f t="shared" si="66"/>
        <v/>
      </c>
      <c r="DH17" s="77" t="str">
        <f t="shared" si="67"/>
        <v/>
      </c>
      <c r="DI17" s="72" t="str">
        <f t="shared" si="68"/>
        <v/>
      </c>
      <c r="DJ17" s="72" t="str">
        <f t="shared" si="69"/>
        <v/>
      </c>
      <c r="DK17" s="72" t="str">
        <f t="shared" si="70"/>
        <v/>
      </c>
      <c r="DL17" s="77" t="str">
        <f t="shared" si="71"/>
        <v/>
      </c>
      <c r="DM17" s="77" t="str">
        <f t="shared" si="72"/>
        <v/>
      </c>
      <c r="DN17" s="77" t="str">
        <f t="shared" si="73"/>
        <v/>
      </c>
      <c r="DO17" s="68"/>
      <c r="DP17" s="68"/>
      <c r="DQ17" s="68"/>
      <c r="DR17" s="68"/>
      <c r="DS17" s="68"/>
      <c r="DT17" s="68"/>
      <c r="DU17" s="68"/>
      <c r="DV17" s="68"/>
      <c r="DW17" s="68"/>
      <c r="DX17" s="68"/>
      <c r="DY17" s="68"/>
      <c r="DZ17" s="68"/>
      <c r="EA17" s="68"/>
      <c r="EB17" s="68"/>
      <c r="EC17" s="68"/>
      <c r="ED17" s="68"/>
      <c r="EE17" s="68" t="str">
        <f>Tonghop!V17</f>
        <v>Yes</v>
      </c>
      <c r="EF17" s="68" t="str">
        <f>Tonghop!W17</f>
        <v>No</v>
      </c>
      <c r="EG17" s="68" t="str">
        <f>Tonghop!X17</f>
        <v/>
      </c>
      <c r="EH17" s="68" t="str">
        <f>Tonghop!Y17</f>
        <v>Yes</v>
      </c>
      <c r="EI17" s="68">
        <f>Tonghop!Z17</f>
        <v>8.5</v>
      </c>
      <c r="EJ17" s="139"/>
    </row>
    <row r="18" spans="1:140" s="112" customFormat="1">
      <c r="A18" s="67">
        <f>Tonghop!A18</f>
        <v>17</v>
      </c>
      <c r="B18" s="68" t="str">
        <f>Tonghop!D18</f>
        <v>Số 33, đường Hàm Nghi, khóm 1, phường 1, thành phố Sóc Trăng, tỉnh Sóc Trăng.</v>
      </c>
      <c r="C18" s="71" t="str">
        <f>Tonghop!E18</f>
        <v>Sóc Trăng</v>
      </c>
      <c r="D18" s="71" t="str">
        <f>Tonghop!I18</f>
        <v>1802437/2019/PTN-KĐ</v>
      </c>
      <c r="E18" s="67">
        <f>Tonghop!H18</f>
        <v>3</v>
      </c>
      <c r="F18" s="69"/>
      <c r="G18" s="69"/>
      <c r="H18" s="69"/>
      <c r="I18" s="69"/>
      <c r="J18" s="72" t="str">
        <f>IF(E18&gt;1,LEFT(Tonghop!L18,FIND("/",Tonghop!L18,1)-1),Tonghop!L18)</f>
        <v>TẬP ĐOÀN CÔNG NGHIỆP - VIỄN THÔNG QUÂN ĐỘI</v>
      </c>
      <c r="K18" s="72" t="str">
        <f>IF(E18&gt;1,LEFT(Tonghop!M18,FIND(";",Tonghop!M18,1)-1),Tonghop!M18)</f>
        <v>STG0396</v>
      </c>
      <c r="L18" s="72" t="str">
        <f>IF(E18&gt;1,LEFT(Tonghop!N18,FIND(";",Tonghop!N18,1)-1),Tonghop!N18)</f>
        <v>NOKIA Flexi EDGE BTS</v>
      </c>
      <c r="M18" s="72">
        <f t="shared" si="0"/>
        <v>3</v>
      </c>
      <c r="N18" s="72" t="str">
        <f t="shared" si="1"/>
        <v>4</v>
      </c>
      <c r="O18" s="72" t="str">
        <f t="shared" si="2"/>
        <v>4</v>
      </c>
      <c r="P18" s="72" t="str">
        <f t="shared" si="3"/>
        <v>4</v>
      </c>
      <c r="Q18" s="72" t="str">
        <f>IF(E18&gt;1,LEFT(Tonghop!P18,FIND(";",Tonghop!P18,1)-1),Tonghop!P18)</f>
        <v>4/4/4</v>
      </c>
      <c r="R18" s="72" t="str">
        <f t="shared" si="4"/>
        <v>37.24</v>
      </c>
      <c r="S18" s="72" t="str">
        <f t="shared" si="5"/>
        <v>37.24</v>
      </c>
      <c r="T18" s="72" t="str">
        <f t="shared" si="6"/>
        <v>37.24</v>
      </c>
      <c r="U18" s="72" t="str">
        <f>IF(E18&gt;1,LEFT(Tonghop!Q18,FIND(";",Tonghop!Q18,1)-1),Tonghop!Q18)</f>
        <v>37.24W/37.24W/37.24W</v>
      </c>
      <c r="V18" s="72" t="str">
        <f>IF(E18&gt;1,LEFT(Tonghop!R18,FIND("/",Tonghop!R18,1)-1),Tonghop!R18)</f>
        <v>G1800</v>
      </c>
      <c r="W18" s="72" t="str">
        <f>IF(E18&gt;1,LEFT(Tonghop!S18,FIND(";",Tonghop!S18,1)-1),Tonghop!S18)</f>
        <v>23.5m/ 23.5m/ 23.5m</v>
      </c>
      <c r="X18" s="73"/>
      <c r="Y18" s="74" t="str">
        <f>IF(E18&gt;2,MID(Tonghop!L18,LEN(Temp!J18)+2,FIND("/",Tonghop!L18,LEN(Temp!J18)+2)-LEN(Temp!J18)-2),IF(E18=2,RIGHT(Tonghop!L18,LEN(Tonghop!L18)-LEN(Temp!J18)-1),""))</f>
        <v>TẬP ĐOÀN CÔNG NGHIỆP - VIỄN THÔNG QUÂN ĐỘI</v>
      </c>
      <c r="Z18" s="74" t="str">
        <f>IF(E18&gt;2,MID(Tonghop!M18,LEN(Temp!K18)+2,FIND(";",Tonghop!M18,LEN(Temp!K18)+2)-LEN(Temp!K18)-2),IF(E18=2,RIGHT(Tonghop!M18,LEN(Tonghop!M18)-LEN(Temp!K18)-1),""))</f>
        <v>STG0396</v>
      </c>
      <c r="AA18" s="74" t="str">
        <f>IF(E18&gt;2,MID(Tonghop!N18,LEN(Temp!L18)+2,FIND(";",Tonghop!N18,LEN(Temp!L18)+2)-LEN(Temp!L18)-2),IF(E18=2,RIGHT(Tonghop!N18,LEN(Tonghop!N18)-LEN(Temp!L18)-1),""))</f>
        <v>NOKIA Flexi WCDMA BTS</v>
      </c>
      <c r="AB18" s="75">
        <f t="shared" si="7"/>
        <v>3</v>
      </c>
      <c r="AC18" s="75" t="str">
        <f t="shared" si="8"/>
        <v>2</v>
      </c>
      <c r="AD18" s="75" t="str">
        <f t="shared" si="9"/>
        <v>2</v>
      </c>
      <c r="AE18" s="75" t="str">
        <f t="shared" si="10"/>
        <v>2</v>
      </c>
      <c r="AF18" s="74" t="str">
        <f>IF(E18&gt;2,MID(Tonghop!P18,LEN(Temp!Q18)+2,FIND(";",Tonghop!P18,LEN(Temp!Q18)+2)-LEN(Temp!Q18)-2),IF(E18=2,RIGHT(Tonghop!P18,LEN(Tonghop!P18)-LEN(Temp!Q18)-1),""))</f>
        <v>2/2/2</v>
      </c>
      <c r="AG18" s="72" t="str">
        <f t="shared" si="11"/>
        <v>40</v>
      </c>
      <c r="AH18" s="72" t="str">
        <f t="shared" si="12"/>
        <v>40</v>
      </c>
      <c r="AI18" s="72" t="str">
        <f t="shared" si="13"/>
        <v>40</v>
      </c>
      <c r="AJ18" s="74" t="str">
        <f>IF(E18&gt;2,MID(Tonghop!Q18,LEN(Temp!U18)+2,FIND(";",Tonghop!Q18,LEN(Temp!U18)+2)-LEN(Temp!U18)-2),IF(E18=2,RIGHT(Tonghop!Q18,LEN(Tonghop!Q18)-LEN(Temp!U18)-1),""))</f>
        <v>40W/40W/40W</v>
      </c>
      <c r="AK18" s="74" t="str">
        <f>IF(E18&gt;2,MID(Tonghop!R18,LEN(Temp!V18)+2,FIND("/",Tonghop!R18,LEN(Temp!V18)+2)-LEN(Temp!V18)-2),IF(E18=2,RIGHT(Tonghop!R18,LEN(Tonghop!R18)-LEN(Temp!V18)-1),""))</f>
        <v>U2100</v>
      </c>
      <c r="AL18" s="74" t="str">
        <f>IF(E18&gt;2,MID(Tonghop!S18,LEN(Temp!W18)+2,FIND(";",Tonghop!S18,LEN(Temp!W18)+2)-LEN(Temp!W18)-2),IF(E18=2,RIGHT(Tonghop!S18,LEN(Tonghop!S18)-LEN(Temp!W18)-1),""))</f>
        <v>27.5m/ 27.5m/ 27.5m</v>
      </c>
      <c r="AM18" s="73"/>
      <c r="AN18" s="75" t="str">
        <f>IF(E18&gt;2,RIGHT(Tonghop!L18,LEN(Tonghop!L18)-LEN(Temp!J18)-LEN(Temp!Y18)-2),"")</f>
        <v>TẬP ĐOÀN CÔNG NGHIỆP - VIỄN THÔNG QUÂN ĐỘI</v>
      </c>
      <c r="AO18" s="75" t="str">
        <f>IF(E18&gt;2,RIGHT(Tonghop!M18,LEN(Tonghop!M18)-LEN(Temp!K18)-LEN(Temp!Z18)-2),"")</f>
        <v>STG0396</v>
      </c>
      <c r="AP18" s="75" t="str">
        <f>IF(E18&gt;2,RIGHT(Tonghop!N18,LEN(Tonghop!N18)-LEN(Temp!L18)-LEN(Temp!AA18)-2),"")</f>
        <v>NSN FLEXI MULTIRADIO AIRSCALE</v>
      </c>
      <c r="AQ18" s="75" t="str">
        <f>IF(E18&gt;2,RIGHT(Tonghop!P18,LEN(Tonghop!P18)-LEN(Temp!Q18)-LEN(Temp!AF18)-2),"")</f>
        <v>1/1/1</v>
      </c>
      <c r="AR18" s="75" t="str">
        <f>IF(E18&gt;2,RIGHT(Tonghop!Q18,LEN(Tonghop!Q18)-LEN(U18)-LEN(Temp!AJ18)-2),"")</f>
        <v>40W/40W/40W</v>
      </c>
      <c r="AS18" s="75" t="str">
        <f>IF(E18&gt;2,RIGHT(Tonghop!R18,LEN(Tonghop!R18)-LEN(V18)-LEN(Temp!AK18)-2),"")</f>
        <v>L1800</v>
      </c>
      <c r="AT18" s="75" t="str">
        <f>IF(E18&gt;2,RIGHT(Tonghop!S18,LEN(Tonghop!S18)-LEN(W18)-LEN(Temp!AL18)-2),"")</f>
        <v>27.5m/ 27.5m/ 27.5m</v>
      </c>
      <c r="AU18" s="75"/>
      <c r="AV18" s="75"/>
      <c r="AW18" s="75"/>
      <c r="AX18" s="75" t="str">
        <f t="shared" si="14"/>
        <v>TẬP ĐOÀN CÔNG NGHIỆP - VIỄN THÔNG QUÂN ĐỘI</v>
      </c>
      <c r="AY18" s="75" t="str">
        <f t="shared" si="15"/>
        <v>STG0396</v>
      </c>
      <c r="AZ18" s="75" t="str">
        <f t="shared" si="16"/>
        <v>NSN FLEXI MULTIRADIO AIRSCALE</v>
      </c>
      <c r="BA18" s="75">
        <f t="shared" si="17"/>
        <v>3</v>
      </c>
      <c r="BB18" s="75" t="str">
        <f t="shared" si="18"/>
        <v>1</v>
      </c>
      <c r="BC18" s="75" t="str">
        <f t="shared" si="19"/>
        <v>1</v>
      </c>
      <c r="BD18" s="75" t="str">
        <f t="shared" si="20"/>
        <v>1</v>
      </c>
      <c r="BE18" s="75" t="str">
        <f t="shared" si="21"/>
        <v>1/1/1</v>
      </c>
      <c r="BF18" s="72" t="str">
        <f t="shared" si="22"/>
        <v>40</v>
      </c>
      <c r="BG18" s="72" t="str">
        <f t="shared" si="23"/>
        <v>40</v>
      </c>
      <c r="BH18" s="72" t="str">
        <f t="shared" si="24"/>
        <v>40</v>
      </c>
      <c r="BI18" s="75" t="str">
        <f t="shared" si="25"/>
        <v>40W/40W/40W</v>
      </c>
      <c r="BJ18" s="75" t="str">
        <f t="shared" si="26"/>
        <v>L1800</v>
      </c>
      <c r="BK18" s="75" t="str">
        <f t="shared" si="27"/>
        <v>27.5m/ 27.5m/ 27.5m</v>
      </c>
      <c r="BL18" s="69"/>
      <c r="BM18" s="68" t="str">
        <f t="shared" si="28"/>
        <v/>
      </c>
      <c r="BN18" s="68" t="str">
        <f t="shared" si="29"/>
        <v/>
      </c>
      <c r="BO18" s="68" t="str">
        <f t="shared" si="30"/>
        <v/>
      </c>
      <c r="BP18" s="75" t="str">
        <f t="shared" si="31"/>
        <v/>
      </c>
      <c r="BQ18" s="75" t="str">
        <f t="shared" si="32"/>
        <v/>
      </c>
      <c r="BR18" s="75" t="str">
        <f t="shared" si="33"/>
        <v/>
      </c>
      <c r="BS18" s="75" t="str">
        <f t="shared" si="34"/>
        <v/>
      </c>
      <c r="BT18" s="77" t="str">
        <f t="shared" si="35"/>
        <v/>
      </c>
      <c r="BU18" s="72" t="str">
        <f t="shared" si="36"/>
        <v/>
      </c>
      <c r="BV18" s="72" t="str">
        <f t="shared" si="37"/>
        <v/>
      </c>
      <c r="BW18" s="72" t="str">
        <f t="shared" si="38"/>
        <v/>
      </c>
      <c r="BX18" s="77" t="str">
        <f t="shared" si="39"/>
        <v/>
      </c>
      <c r="BY18" s="77" t="str">
        <f t="shared" si="40"/>
        <v/>
      </c>
      <c r="BZ18" s="77" t="str">
        <f t="shared" si="41"/>
        <v/>
      </c>
      <c r="CA18" s="69"/>
      <c r="CB18" s="75" t="str">
        <f>IF(E18&gt;4,RIGHT(AN18,LEN(AN18)-LEN(AX18)-LEN(Temp!BM18)-2),"")</f>
        <v/>
      </c>
      <c r="CC18" s="75" t="str">
        <f>IF(E18&gt;4,RIGHT(AO18,LEN(AO18)-LEN(AY18)-LEN(Temp!BN18)-2),"")</f>
        <v/>
      </c>
      <c r="CD18" s="75" t="str">
        <f>IF(E18&gt;4,RIGHT(AP18,LEN(AP18)-LEN(AZ18)-LEN(Temp!BO18)-2),"")</f>
        <v/>
      </c>
      <c r="CE18" s="75" t="str">
        <f t="shared" si="42"/>
        <v/>
      </c>
      <c r="CF18" s="75" t="str">
        <f t="shared" si="43"/>
        <v/>
      </c>
      <c r="CG18" s="75" t="str">
        <f t="shared" si="44"/>
        <v/>
      </c>
      <c r="CH18" s="75" t="str">
        <f t="shared" si="45"/>
        <v/>
      </c>
      <c r="CI18" s="75"/>
      <c r="CJ18" s="79"/>
      <c r="CK18" s="79"/>
      <c r="CL18" s="75" t="str">
        <f t="shared" si="46"/>
        <v/>
      </c>
      <c r="CM18" s="75" t="str">
        <f t="shared" si="47"/>
        <v/>
      </c>
      <c r="CN18" s="75" t="str">
        <f t="shared" si="48"/>
        <v/>
      </c>
      <c r="CO18" s="75" t="str">
        <f t="shared" si="49"/>
        <v/>
      </c>
      <c r="CP18" s="75" t="str">
        <f t="shared" si="50"/>
        <v/>
      </c>
      <c r="CQ18" s="75" t="str">
        <f t="shared" si="51"/>
        <v/>
      </c>
      <c r="CR18" s="75" t="str">
        <f t="shared" si="52"/>
        <v/>
      </c>
      <c r="CS18" s="75" t="str">
        <f t="shared" si="53"/>
        <v/>
      </c>
      <c r="CT18" s="72" t="str">
        <f t="shared" si="54"/>
        <v/>
      </c>
      <c r="CU18" s="72" t="str">
        <f t="shared" si="55"/>
        <v/>
      </c>
      <c r="CV18" s="72" t="str">
        <f t="shared" si="56"/>
        <v/>
      </c>
      <c r="CW18" s="75" t="str">
        <f t="shared" si="57"/>
        <v/>
      </c>
      <c r="CX18" s="75" t="str">
        <f t="shared" si="58"/>
        <v/>
      </c>
      <c r="CY18" s="75" t="str">
        <f t="shared" si="59"/>
        <v/>
      </c>
      <c r="CZ18" s="69"/>
      <c r="DA18" s="68" t="str">
        <f t="shared" si="60"/>
        <v/>
      </c>
      <c r="DB18" s="68" t="str">
        <f t="shared" si="61"/>
        <v/>
      </c>
      <c r="DC18" s="68" t="str">
        <f t="shared" si="62"/>
        <v/>
      </c>
      <c r="DD18" s="75" t="str">
        <f t="shared" si="63"/>
        <v/>
      </c>
      <c r="DE18" s="75" t="str">
        <f t="shared" si="64"/>
        <v/>
      </c>
      <c r="DF18" s="75" t="str">
        <f t="shared" si="65"/>
        <v/>
      </c>
      <c r="DG18" s="75" t="str">
        <f t="shared" si="66"/>
        <v/>
      </c>
      <c r="DH18" s="77" t="str">
        <f t="shared" si="67"/>
        <v/>
      </c>
      <c r="DI18" s="72" t="str">
        <f t="shared" si="68"/>
        <v/>
      </c>
      <c r="DJ18" s="72" t="str">
        <f t="shared" si="69"/>
        <v/>
      </c>
      <c r="DK18" s="72" t="str">
        <f t="shared" si="70"/>
        <v/>
      </c>
      <c r="DL18" s="77" t="str">
        <f t="shared" si="71"/>
        <v/>
      </c>
      <c r="DM18" s="77" t="str">
        <f t="shared" si="72"/>
        <v/>
      </c>
      <c r="DN18" s="77" t="str">
        <f t="shared" si="73"/>
        <v/>
      </c>
      <c r="DO18" s="68"/>
      <c r="DP18" s="68"/>
      <c r="DQ18" s="68"/>
      <c r="DR18" s="68"/>
      <c r="DS18" s="68"/>
      <c r="DT18" s="68"/>
      <c r="DU18" s="68"/>
      <c r="DV18" s="68"/>
      <c r="DW18" s="68"/>
      <c r="DX18" s="68"/>
      <c r="DY18" s="68"/>
      <c r="DZ18" s="68"/>
      <c r="EA18" s="68"/>
      <c r="EB18" s="68"/>
      <c r="EC18" s="68"/>
      <c r="ED18" s="68"/>
      <c r="EE18" s="68" t="str">
        <f>Tonghop!V18</f>
        <v>Yes</v>
      </c>
      <c r="EF18" s="68" t="str">
        <f>Tonghop!W18</f>
        <v>No</v>
      </c>
      <c r="EG18" s="68" t="str">
        <f>Tonghop!X18</f>
        <v/>
      </c>
      <c r="EH18" s="68" t="str">
        <f>Tonghop!Y18</f>
        <v>Yes</v>
      </c>
      <c r="EI18" s="68">
        <f>Tonghop!Z18</f>
        <v>-4.5</v>
      </c>
      <c r="EJ18" s="139"/>
    </row>
    <row r="19" spans="1:140" s="112" customFormat="1">
      <c r="A19" s="67">
        <f>Tonghop!A19</f>
        <v>18</v>
      </c>
      <c r="B19" s="68" t="str">
        <f>Tonghop!D19</f>
        <v>Số 186, đường Lý Thường Kiệt, khóm 5, phường 1, thành phố Sóc Trăng, tỉnh Sóc Trăng.</v>
      </c>
      <c r="C19" s="71" t="str">
        <f>Tonghop!E19</f>
        <v>Sóc Trăng</v>
      </c>
      <c r="D19" s="71" t="str">
        <f>Tonghop!I19</f>
        <v>1802438/2019/PTN-KĐ</v>
      </c>
      <c r="E19" s="67">
        <f>Tonghop!H19</f>
        <v>4</v>
      </c>
      <c r="F19" s="69"/>
      <c r="G19" s="69"/>
      <c r="H19" s="69"/>
      <c r="I19" s="69"/>
      <c r="J19" s="72" t="str">
        <f>IF(E19&gt;1,LEFT(Tonghop!L19,FIND("/",Tonghop!L19,1)-1),Tonghop!L19)</f>
        <v>TẬP ĐOÀN CÔNG NGHIỆP - VIỄN THÔNG QUÂN ĐỘI</v>
      </c>
      <c r="K19" s="72" t="str">
        <f>IF(E19&gt;1,LEFT(Tonghop!M19,FIND(";",Tonghop!M19,1)-1),Tonghop!M19)</f>
        <v>STG0369</v>
      </c>
      <c r="L19" s="72" t="str">
        <f>IF(E19&gt;1,LEFT(Tonghop!N19,FIND(";",Tonghop!N19,1)-1),Tonghop!N19)</f>
        <v>NOKIA Flexi EDGE BTS</v>
      </c>
      <c r="M19" s="72">
        <f t="shared" si="0"/>
        <v>3</v>
      </c>
      <c r="N19" s="72" t="str">
        <f t="shared" si="1"/>
        <v>4</v>
      </c>
      <c r="O19" s="72" t="str">
        <f t="shared" si="2"/>
        <v>4</v>
      </c>
      <c r="P19" s="72" t="str">
        <f t="shared" si="3"/>
        <v>4</v>
      </c>
      <c r="Q19" s="72" t="str">
        <f>IF(E19&gt;1,LEFT(Tonghop!P19,FIND(";",Tonghop!P19,1)-1),Tonghop!P19)</f>
        <v>4/4/4</v>
      </c>
      <c r="R19" s="72" t="str">
        <f t="shared" si="4"/>
        <v>37.24</v>
      </c>
      <c r="S19" s="72" t="str">
        <f t="shared" si="5"/>
        <v>37.24</v>
      </c>
      <c r="T19" s="72" t="str">
        <f t="shared" si="6"/>
        <v>37.24</v>
      </c>
      <c r="U19" s="72" t="str">
        <f>IF(E19&gt;1,LEFT(Tonghop!Q19,FIND(";",Tonghop!Q19,1)-1),Tonghop!Q19)</f>
        <v>37.24W/37.24W/37.24W</v>
      </c>
      <c r="V19" s="72" t="str">
        <f>IF(E19&gt;1,LEFT(Tonghop!R19,FIND("/",Tonghop!R19,1)-1),Tonghop!R19)</f>
        <v>G900</v>
      </c>
      <c r="W19" s="72" t="str">
        <f>IF(E19&gt;1,LEFT(Tonghop!S19,FIND(";",Tonghop!S19,1)-1),Tonghop!S19)</f>
        <v>26.5m/ 26.5m/ 26.5m</v>
      </c>
      <c r="X19" s="73"/>
      <c r="Y19" s="74" t="str">
        <f>IF(E19&gt;2,MID(Tonghop!L19,LEN(Temp!J19)+2,FIND("/",Tonghop!L19,LEN(Temp!J19)+2)-LEN(Temp!J19)-2),IF(E19=2,RIGHT(Tonghop!L19,LEN(Tonghop!L19)-LEN(Temp!J19)-1),""))</f>
        <v>TẬP ĐOÀN CÔNG NGHIỆP - VIỄN THÔNG QUÂN ĐỘI</v>
      </c>
      <c r="Z19" s="74" t="str">
        <f>IF(E19&gt;2,MID(Tonghop!M19,LEN(Temp!K19)+2,FIND(";",Tonghop!M19,LEN(Temp!K19)+2)-LEN(Temp!K19)-2),IF(E19=2,RIGHT(Tonghop!M19,LEN(Tonghop!M19)-LEN(Temp!K19)-1),""))</f>
        <v>STG0369</v>
      </c>
      <c r="AA19" s="74" t="str">
        <f>IF(E19&gt;2,MID(Tonghop!N19,LEN(Temp!L19)+2,FIND(";",Tonghop!N19,LEN(Temp!L19)+2)-LEN(Temp!L19)-2),IF(E19=2,RIGHT(Tonghop!N19,LEN(Tonghop!N19)-LEN(Temp!L19)-1),""))</f>
        <v>NOKIA Flexi EDGE BTS</v>
      </c>
      <c r="AB19" s="75">
        <f t="shared" si="7"/>
        <v>3</v>
      </c>
      <c r="AC19" s="75" t="str">
        <f t="shared" si="8"/>
        <v>4</v>
      </c>
      <c r="AD19" s="75" t="str">
        <f t="shared" si="9"/>
        <v>4</v>
      </c>
      <c r="AE19" s="75" t="str">
        <f t="shared" si="10"/>
        <v>4</v>
      </c>
      <c r="AF19" s="74" t="str">
        <f>IF(E19&gt;2,MID(Tonghop!P19,LEN(Temp!Q19)+2,FIND(";",Tonghop!P19,LEN(Temp!Q19)+2)-LEN(Temp!Q19)-2),IF(E19=2,RIGHT(Tonghop!P19,LEN(Tonghop!P19)-LEN(Temp!Q19)-1),""))</f>
        <v>4/4/4</v>
      </c>
      <c r="AG19" s="72" t="str">
        <f t="shared" si="11"/>
        <v>37.24</v>
      </c>
      <c r="AH19" s="72" t="str">
        <f t="shared" si="12"/>
        <v>37.24</v>
      </c>
      <c r="AI19" s="72" t="str">
        <f t="shared" si="13"/>
        <v>37.24</v>
      </c>
      <c r="AJ19" s="74" t="str">
        <f>IF(E19&gt;2,MID(Tonghop!Q19,LEN(Temp!U19)+2,FIND(";",Tonghop!Q19,LEN(Temp!U19)+2)-LEN(Temp!U19)-2),IF(E19=2,RIGHT(Tonghop!Q19,LEN(Tonghop!Q19)-LEN(Temp!U19)-1),""))</f>
        <v>37.24W/37.24W/37.24W</v>
      </c>
      <c r="AK19" s="74" t="str">
        <f>IF(E19&gt;2,MID(Tonghop!R19,LEN(Temp!V19)+2,FIND("/",Tonghop!R19,LEN(Temp!V19)+2)-LEN(Temp!V19)-2),IF(E19=2,RIGHT(Tonghop!R19,LEN(Tonghop!R19)-LEN(Temp!V19)-1),""))</f>
        <v>G1800</v>
      </c>
      <c r="AL19" s="74" t="str">
        <f>IF(E19&gt;2,MID(Tonghop!S19,LEN(Temp!W19)+2,FIND(";",Tonghop!S19,LEN(Temp!W19)+2)-LEN(Temp!W19)-2),IF(E19=2,RIGHT(Tonghop!S19,LEN(Tonghop!S19)-LEN(Temp!W19)-1),""))</f>
        <v>25.5m/ 25.5m/ 25.5m</v>
      </c>
      <c r="AM19" s="73"/>
      <c r="AN19" s="75" t="str">
        <f>IF(E19&gt;2,RIGHT(Tonghop!L19,LEN(Tonghop!L19)-LEN(Temp!J19)-LEN(Temp!Y19)-2),"")</f>
        <v>TẬP ĐOÀN CÔNG NGHIỆP - VIỄN THÔNG QUÂN ĐỘI/TẬP ĐOÀN CÔNG NGHIỆP - VIỄN THÔNG QUÂN ĐỘI</v>
      </c>
      <c r="AO19" s="75" t="str">
        <f>IF(E19&gt;2,RIGHT(Tonghop!M19,LEN(Tonghop!M19)-LEN(Temp!K19)-LEN(Temp!Z19)-2),"")</f>
        <v>STG0369;STG0369</v>
      </c>
      <c r="AP19" s="75" t="str">
        <f>IF(E19&gt;2,RIGHT(Tonghop!N19,LEN(Tonghop!N19)-LEN(Temp!L19)-LEN(Temp!AA19)-2),"")</f>
        <v>NOKIA Flexi WCDMA BTS;NSN FLEXI MULTIRADIO AIRSCALE</v>
      </c>
      <c r="AQ19" s="75" t="str">
        <f>IF(E19&gt;2,RIGHT(Tonghop!P19,LEN(Tonghop!P19)-LEN(Temp!Q19)-LEN(Temp!AF19)-2),"")</f>
        <v>2/2/2;1/1/1</v>
      </c>
      <c r="AR19" s="75" t="str">
        <f>IF(E19&gt;2,RIGHT(Tonghop!Q19,LEN(Tonghop!Q19)-LEN(U19)-LEN(Temp!AJ19)-2),"")</f>
        <v>40W/40W/40W;40W/40W/40W</v>
      </c>
      <c r="AS19" s="75" t="str">
        <f>IF(E19&gt;2,RIGHT(Tonghop!R19,LEN(Tonghop!R19)-LEN(V19)-LEN(Temp!AK19)-2),"")</f>
        <v>U2100/L1800</v>
      </c>
      <c r="AT19" s="75" t="str">
        <f>IF(E19&gt;2,RIGHT(Tonghop!S19,LEN(Tonghop!S19)-LEN(W19)-LEN(Temp!AL19)-2),"")</f>
        <v>27.5m/ 27.5m/ 27.5m;27.5m/ 27.5m/ 27.5m</v>
      </c>
      <c r="AU19" s="75"/>
      <c r="AV19" s="75"/>
      <c r="AW19" s="75"/>
      <c r="AX19" s="75" t="str">
        <f t="shared" si="14"/>
        <v>TẬP ĐOÀN CÔNG NGHIỆP - VIỄN THÔNG QUÂN ĐỘI</v>
      </c>
      <c r="AY19" s="75" t="str">
        <f t="shared" si="15"/>
        <v>STG0369</v>
      </c>
      <c r="AZ19" s="75" t="str">
        <f t="shared" si="16"/>
        <v>NOKIA Flexi WCDMA BTS</v>
      </c>
      <c r="BA19" s="75">
        <f t="shared" si="17"/>
        <v>3</v>
      </c>
      <c r="BB19" s="75" t="str">
        <f t="shared" si="18"/>
        <v>2</v>
      </c>
      <c r="BC19" s="75" t="str">
        <f t="shared" si="19"/>
        <v>2</v>
      </c>
      <c r="BD19" s="75" t="str">
        <f t="shared" si="20"/>
        <v>2</v>
      </c>
      <c r="BE19" s="75" t="str">
        <f t="shared" si="21"/>
        <v>2/2/2</v>
      </c>
      <c r="BF19" s="72" t="str">
        <f t="shared" si="22"/>
        <v>40</v>
      </c>
      <c r="BG19" s="72" t="str">
        <f t="shared" si="23"/>
        <v>40</v>
      </c>
      <c r="BH19" s="72" t="str">
        <f t="shared" si="24"/>
        <v>40</v>
      </c>
      <c r="BI19" s="75" t="str">
        <f t="shared" si="25"/>
        <v>40W/40W/40W</v>
      </c>
      <c r="BJ19" s="75" t="str">
        <f t="shared" si="26"/>
        <v>U2100</v>
      </c>
      <c r="BK19" s="75" t="str">
        <f t="shared" si="27"/>
        <v>27.5m/ 27.5m/ 27.5m</v>
      </c>
      <c r="BL19" s="69"/>
      <c r="BM19" s="68" t="str">
        <f t="shared" si="28"/>
        <v>TẬP ĐOÀN CÔNG NGHIỆP - VIỄN THÔNG QUÂN ĐỘI</v>
      </c>
      <c r="BN19" s="68" t="str">
        <f t="shared" si="29"/>
        <v>STG0369</v>
      </c>
      <c r="BO19" s="68" t="str">
        <f t="shared" si="30"/>
        <v>NSN FLEXI MULTIRADIO AIRSCALE</v>
      </c>
      <c r="BP19" s="75">
        <f t="shared" si="31"/>
        <v>3</v>
      </c>
      <c r="BQ19" s="75" t="str">
        <f t="shared" si="32"/>
        <v>1</v>
      </c>
      <c r="BR19" s="75" t="str">
        <f t="shared" si="33"/>
        <v>1</v>
      </c>
      <c r="BS19" s="75" t="str">
        <f t="shared" si="34"/>
        <v>1</v>
      </c>
      <c r="BT19" s="77" t="str">
        <f t="shared" si="35"/>
        <v>1/1/1</v>
      </c>
      <c r="BU19" s="72" t="str">
        <f t="shared" si="36"/>
        <v>40</v>
      </c>
      <c r="BV19" s="72" t="str">
        <f t="shared" si="37"/>
        <v>40</v>
      </c>
      <c r="BW19" s="72" t="str">
        <f t="shared" si="38"/>
        <v>40</v>
      </c>
      <c r="BX19" s="77" t="str">
        <f t="shared" si="39"/>
        <v>40W/40W/40W</v>
      </c>
      <c r="BY19" s="77" t="str">
        <f t="shared" si="40"/>
        <v>L1800</v>
      </c>
      <c r="BZ19" s="77" t="str">
        <f t="shared" si="41"/>
        <v>27.5m/ 27.5m/ 27.5m</v>
      </c>
      <c r="CA19" s="69"/>
      <c r="CB19" s="75" t="str">
        <f>IF(E19&gt;4,RIGHT(AN19,LEN(AN19)-LEN(AX19)-LEN(Temp!BM19)-2),"")</f>
        <v/>
      </c>
      <c r="CC19" s="75" t="str">
        <f>IF(E19&gt;4,RIGHT(AO19,LEN(AO19)-LEN(AY19)-LEN(Temp!BN19)-2),"")</f>
        <v/>
      </c>
      <c r="CD19" s="75" t="str">
        <f>IF(E19&gt;4,RIGHT(AP19,LEN(AP19)-LEN(AZ19)-LEN(Temp!BO19)-2),"")</f>
        <v/>
      </c>
      <c r="CE19" s="75" t="str">
        <f t="shared" si="42"/>
        <v/>
      </c>
      <c r="CF19" s="75" t="str">
        <f t="shared" si="43"/>
        <v/>
      </c>
      <c r="CG19" s="75" t="str">
        <f t="shared" si="44"/>
        <v/>
      </c>
      <c r="CH19" s="75" t="str">
        <f t="shared" si="45"/>
        <v/>
      </c>
      <c r="CI19" s="75"/>
      <c r="CJ19" s="79"/>
      <c r="CK19" s="79"/>
      <c r="CL19" s="75" t="str">
        <f t="shared" si="46"/>
        <v/>
      </c>
      <c r="CM19" s="75" t="str">
        <f t="shared" si="47"/>
        <v/>
      </c>
      <c r="CN19" s="75" t="str">
        <f t="shared" si="48"/>
        <v/>
      </c>
      <c r="CO19" s="75" t="str">
        <f t="shared" si="49"/>
        <v/>
      </c>
      <c r="CP19" s="75" t="str">
        <f t="shared" si="50"/>
        <v/>
      </c>
      <c r="CQ19" s="75" t="str">
        <f t="shared" si="51"/>
        <v/>
      </c>
      <c r="CR19" s="75" t="str">
        <f t="shared" si="52"/>
        <v/>
      </c>
      <c r="CS19" s="75" t="str">
        <f t="shared" si="53"/>
        <v/>
      </c>
      <c r="CT19" s="72" t="str">
        <f t="shared" si="54"/>
        <v/>
      </c>
      <c r="CU19" s="72" t="str">
        <f t="shared" si="55"/>
        <v/>
      </c>
      <c r="CV19" s="72" t="str">
        <f t="shared" si="56"/>
        <v/>
      </c>
      <c r="CW19" s="75" t="str">
        <f t="shared" si="57"/>
        <v/>
      </c>
      <c r="CX19" s="75" t="str">
        <f t="shared" si="58"/>
        <v/>
      </c>
      <c r="CY19" s="75" t="str">
        <f t="shared" si="59"/>
        <v/>
      </c>
      <c r="CZ19" s="69"/>
      <c r="DA19" s="68" t="str">
        <f t="shared" si="60"/>
        <v/>
      </c>
      <c r="DB19" s="68" t="str">
        <f t="shared" si="61"/>
        <v/>
      </c>
      <c r="DC19" s="68" t="str">
        <f t="shared" si="62"/>
        <v/>
      </c>
      <c r="DD19" s="75" t="str">
        <f t="shared" si="63"/>
        <v/>
      </c>
      <c r="DE19" s="75" t="str">
        <f t="shared" si="64"/>
        <v/>
      </c>
      <c r="DF19" s="75" t="str">
        <f t="shared" si="65"/>
        <v/>
      </c>
      <c r="DG19" s="75" t="str">
        <f t="shared" si="66"/>
        <v/>
      </c>
      <c r="DH19" s="77" t="str">
        <f t="shared" si="67"/>
        <v/>
      </c>
      <c r="DI19" s="72" t="str">
        <f t="shared" si="68"/>
        <v/>
      </c>
      <c r="DJ19" s="72" t="str">
        <f t="shared" si="69"/>
        <v/>
      </c>
      <c r="DK19" s="72" t="str">
        <f t="shared" si="70"/>
        <v/>
      </c>
      <c r="DL19" s="77" t="str">
        <f t="shared" si="71"/>
        <v/>
      </c>
      <c r="DM19" s="77" t="str">
        <f t="shared" si="72"/>
        <v/>
      </c>
      <c r="DN19" s="77" t="str">
        <f t="shared" si="73"/>
        <v/>
      </c>
      <c r="DO19" s="68"/>
      <c r="DP19" s="68"/>
      <c r="DQ19" s="68"/>
      <c r="DR19" s="68"/>
      <c r="DS19" s="68"/>
      <c r="DT19" s="68"/>
      <c r="DU19" s="68"/>
      <c r="DV19" s="68"/>
      <c r="DW19" s="68"/>
      <c r="DX19" s="68"/>
      <c r="DY19" s="68"/>
      <c r="DZ19" s="68"/>
      <c r="EA19" s="68"/>
      <c r="EB19" s="68"/>
      <c r="EC19" s="68"/>
      <c r="ED19" s="68"/>
      <c r="EE19" s="68" t="str">
        <f>Tonghop!V19</f>
        <v>Yes</v>
      </c>
      <c r="EF19" s="68" t="str">
        <f>Tonghop!W19</f>
        <v>No</v>
      </c>
      <c r="EG19" s="68" t="str">
        <f>Tonghop!X19</f>
        <v/>
      </c>
      <c r="EH19" s="68" t="str">
        <f>Tonghop!Y19</f>
        <v>Yes</v>
      </c>
      <c r="EI19" s="68">
        <f>Tonghop!Z19</f>
        <v>4.5</v>
      </c>
      <c r="EJ19" s="139"/>
    </row>
    <row r="20" spans="1:140" s="112" customFormat="1">
      <c r="A20" s="67">
        <f>Tonghop!A20</f>
        <v>19</v>
      </c>
      <c r="B20" s="68" t="str">
        <f>Tonghop!D20</f>
        <v>Ấp Ngãi Hội 2, thị trấn Đại Ngãi, huyện Long Phú, tỉnh Sóc Trăng.</v>
      </c>
      <c r="C20" s="71" t="str">
        <f>Tonghop!E20</f>
        <v>Sóc Trăng</v>
      </c>
      <c r="D20" s="71" t="str">
        <f>Tonghop!I20</f>
        <v>1802439/2019/PTN-KĐ</v>
      </c>
      <c r="E20" s="67">
        <f>Tonghop!H20</f>
        <v>3</v>
      </c>
      <c r="F20" s="69"/>
      <c r="G20" s="69"/>
      <c r="H20" s="69"/>
      <c r="I20" s="69"/>
      <c r="J20" s="72" t="str">
        <f>IF(E20&gt;1,LEFT(Tonghop!L20,FIND("/",Tonghop!L20,1)-1),Tonghop!L20)</f>
        <v>TẬP ĐOÀN CÔNG NGHIỆP - VIỄN THÔNG QUÂN ĐỘI</v>
      </c>
      <c r="K20" s="72" t="str">
        <f>IF(E20&gt;1,LEFT(Tonghop!M20,FIND(";",Tonghop!M20,1)-1),Tonghop!M20)</f>
        <v>STG0521</v>
      </c>
      <c r="L20" s="72" t="str">
        <f>IF(E20&gt;1,LEFT(Tonghop!N20,FIND(";",Tonghop!N20,1)-1),Tonghop!N20)</f>
        <v>NOKIA Flexi EDGE BTS</v>
      </c>
      <c r="M20" s="72">
        <f t="shared" si="0"/>
        <v>3</v>
      </c>
      <c r="N20" s="72" t="str">
        <f t="shared" si="1"/>
        <v>4</v>
      </c>
      <c r="O20" s="72" t="str">
        <f t="shared" si="2"/>
        <v>4</v>
      </c>
      <c r="P20" s="72" t="str">
        <f t="shared" si="3"/>
        <v>4</v>
      </c>
      <c r="Q20" s="72" t="str">
        <f>IF(E20&gt;1,LEFT(Tonghop!P20,FIND(";",Tonghop!P20,1)-1),Tonghop!P20)</f>
        <v>4/4/4</v>
      </c>
      <c r="R20" s="72" t="str">
        <f t="shared" si="4"/>
        <v>37.24</v>
      </c>
      <c r="S20" s="72" t="str">
        <f t="shared" si="5"/>
        <v>37.24</v>
      </c>
      <c r="T20" s="72" t="str">
        <f t="shared" si="6"/>
        <v>37.24</v>
      </c>
      <c r="U20" s="72" t="str">
        <f>IF(E20&gt;1,LEFT(Tonghop!Q20,FIND(";",Tonghop!Q20,1)-1),Tonghop!Q20)</f>
        <v>37.24W/37.24W/37.24W</v>
      </c>
      <c r="V20" s="72" t="str">
        <f>IF(E20&gt;1,LEFT(Tonghop!R20,FIND("/",Tonghop!R20,1)-1),Tonghop!R20)</f>
        <v>G900</v>
      </c>
      <c r="W20" s="72" t="str">
        <f>IF(E20&gt;1,LEFT(Tonghop!S20,FIND(";",Tonghop!S20,1)-1),Tonghop!S20)</f>
        <v>22.5m/ 22.5m/ 22.5m</v>
      </c>
      <c r="X20" s="73"/>
      <c r="Y20" s="74" t="str">
        <f>IF(E20&gt;2,MID(Tonghop!L20,LEN(Temp!J20)+2,FIND("/",Tonghop!L20,LEN(Temp!J20)+2)-LEN(Temp!J20)-2),IF(E20=2,RIGHT(Tonghop!L20,LEN(Tonghop!L20)-LEN(Temp!J20)-1),""))</f>
        <v>TẬP ĐOÀN CÔNG NGHIỆP - VIỄN THÔNG QUÂN ĐỘI</v>
      </c>
      <c r="Z20" s="74" t="str">
        <f>IF(E20&gt;2,MID(Tonghop!M20,LEN(Temp!K20)+2,FIND(";",Tonghop!M20,LEN(Temp!K20)+2)-LEN(Temp!K20)-2),IF(E20=2,RIGHT(Tonghop!M20,LEN(Tonghop!M20)-LEN(Temp!K20)-1),""))</f>
        <v>STG0521</v>
      </c>
      <c r="AA20" s="74" t="str">
        <f>IF(E20&gt;2,MID(Tonghop!N20,LEN(Temp!L20)+2,FIND(";",Tonghop!N20,LEN(Temp!L20)+2)-LEN(Temp!L20)-2),IF(E20=2,RIGHT(Tonghop!N20,LEN(Tonghop!N20)-LEN(Temp!L20)-1),""))</f>
        <v>NOKIA Flexi WCDMA BTS</v>
      </c>
      <c r="AB20" s="75">
        <f t="shared" si="7"/>
        <v>3</v>
      </c>
      <c r="AC20" s="75" t="str">
        <f t="shared" si="8"/>
        <v>2</v>
      </c>
      <c r="AD20" s="75" t="str">
        <f t="shared" si="9"/>
        <v>2</v>
      </c>
      <c r="AE20" s="75" t="str">
        <f t="shared" si="10"/>
        <v>2</v>
      </c>
      <c r="AF20" s="74" t="str">
        <f>IF(E20&gt;2,MID(Tonghop!P20,LEN(Temp!Q20)+2,FIND(";",Tonghop!P20,LEN(Temp!Q20)+2)-LEN(Temp!Q20)-2),IF(E20=2,RIGHT(Tonghop!P20,LEN(Tonghop!P20)-LEN(Temp!Q20)-1),""))</f>
        <v>2/2/2</v>
      </c>
      <c r="AG20" s="72" t="str">
        <f t="shared" si="11"/>
        <v>40</v>
      </c>
      <c r="AH20" s="72" t="str">
        <f t="shared" si="12"/>
        <v>40</v>
      </c>
      <c r="AI20" s="72" t="str">
        <f t="shared" si="13"/>
        <v>40</v>
      </c>
      <c r="AJ20" s="74" t="str">
        <f>IF(E20&gt;2,MID(Tonghop!Q20,LEN(Temp!U20)+2,FIND(";",Tonghop!Q20,LEN(Temp!U20)+2)-LEN(Temp!U20)-2),IF(E20=2,RIGHT(Tonghop!Q20,LEN(Tonghop!Q20)-LEN(Temp!U20)-1),""))</f>
        <v>40W/40W/40W</v>
      </c>
      <c r="AK20" s="74" t="str">
        <f>IF(E20&gt;2,MID(Tonghop!R20,LEN(Temp!V20)+2,FIND("/",Tonghop!R20,LEN(Temp!V20)+2)-LEN(Temp!V20)-2),IF(E20=2,RIGHT(Tonghop!R20,LEN(Tonghop!R20)-LEN(Temp!V20)-1),""))</f>
        <v>U2100</v>
      </c>
      <c r="AL20" s="74" t="str">
        <f>IF(E20&gt;2,MID(Tonghop!S20,LEN(Temp!W20)+2,FIND(";",Tonghop!S20,LEN(Temp!W20)+2)-LEN(Temp!W20)-2),IF(E20=2,RIGHT(Tonghop!S20,LEN(Tonghop!S20)-LEN(Temp!W20)-1),""))</f>
        <v>27.5m/ 27.5m/ 27.5m</v>
      </c>
      <c r="AM20" s="73"/>
      <c r="AN20" s="75" t="str">
        <f>IF(E20&gt;2,RIGHT(Tonghop!L20,LEN(Tonghop!L20)-LEN(Temp!J20)-LEN(Temp!Y20)-2),"")</f>
        <v>TẬP ĐOÀN CÔNG NGHIỆP - VIỄN THÔNG QUÂN ĐỘI</v>
      </c>
      <c r="AO20" s="75" t="str">
        <f>IF(E20&gt;2,RIGHT(Tonghop!M20,LEN(Tonghop!M20)-LEN(Temp!K20)-LEN(Temp!Z20)-2),"")</f>
        <v>STG0521</v>
      </c>
      <c r="AP20" s="75" t="str">
        <f>IF(E20&gt;2,RIGHT(Tonghop!N20,LEN(Tonghop!N20)-LEN(Temp!L20)-LEN(Temp!AA20)-2),"")</f>
        <v>NSN FLEXI MULTIRADIO AIRSCALE</v>
      </c>
      <c r="AQ20" s="75" t="str">
        <f>IF(E20&gt;2,RIGHT(Tonghop!P20,LEN(Tonghop!P20)-LEN(Temp!Q20)-LEN(Temp!AF20)-2),"")</f>
        <v>1/1/1</v>
      </c>
      <c r="AR20" s="75" t="str">
        <f>IF(E20&gt;2,RIGHT(Tonghop!Q20,LEN(Tonghop!Q20)-LEN(U20)-LEN(Temp!AJ20)-2),"")</f>
        <v>40W/40W/40W</v>
      </c>
      <c r="AS20" s="75" t="str">
        <f>IF(E20&gt;2,RIGHT(Tonghop!R20,LEN(Tonghop!R20)-LEN(V20)-LEN(Temp!AK20)-2),"")</f>
        <v>L1800</v>
      </c>
      <c r="AT20" s="75" t="str">
        <f>IF(E20&gt;2,RIGHT(Tonghop!S20,LEN(Tonghop!S20)-LEN(W20)-LEN(Temp!AL20)-2),"")</f>
        <v>27.5m/ 27.5m/ 27.5m</v>
      </c>
      <c r="AU20" s="75"/>
      <c r="AV20" s="75"/>
      <c r="AW20" s="75"/>
      <c r="AX20" s="75" t="str">
        <f t="shared" si="14"/>
        <v>TẬP ĐOÀN CÔNG NGHIỆP - VIỄN THÔNG QUÂN ĐỘI</v>
      </c>
      <c r="AY20" s="75" t="str">
        <f t="shared" si="15"/>
        <v>STG0521</v>
      </c>
      <c r="AZ20" s="75" t="str">
        <f t="shared" si="16"/>
        <v>NSN FLEXI MULTIRADIO AIRSCALE</v>
      </c>
      <c r="BA20" s="75">
        <f t="shared" si="17"/>
        <v>3</v>
      </c>
      <c r="BB20" s="75" t="str">
        <f t="shared" si="18"/>
        <v>1</v>
      </c>
      <c r="BC20" s="75" t="str">
        <f t="shared" si="19"/>
        <v>1</v>
      </c>
      <c r="BD20" s="75" t="str">
        <f t="shared" si="20"/>
        <v>1</v>
      </c>
      <c r="BE20" s="75" t="str">
        <f t="shared" si="21"/>
        <v>1/1/1</v>
      </c>
      <c r="BF20" s="72" t="str">
        <f t="shared" si="22"/>
        <v>40</v>
      </c>
      <c r="BG20" s="72" t="str">
        <f t="shared" si="23"/>
        <v>40</v>
      </c>
      <c r="BH20" s="72" t="str">
        <f t="shared" si="24"/>
        <v>40</v>
      </c>
      <c r="BI20" s="75" t="str">
        <f t="shared" si="25"/>
        <v>40W/40W/40W</v>
      </c>
      <c r="BJ20" s="75" t="str">
        <f t="shared" si="26"/>
        <v>L1800</v>
      </c>
      <c r="BK20" s="75" t="str">
        <f t="shared" si="27"/>
        <v>27.5m/ 27.5m/ 27.5m</v>
      </c>
      <c r="BL20" s="69"/>
      <c r="BM20" s="68" t="str">
        <f t="shared" si="28"/>
        <v/>
      </c>
      <c r="BN20" s="68" t="str">
        <f t="shared" si="29"/>
        <v/>
      </c>
      <c r="BO20" s="68" t="str">
        <f t="shared" si="30"/>
        <v/>
      </c>
      <c r="BP20" s="75" t="str">
        <f t="shared" si="31"/>
        <v/>
      </c>
      <c r="BQ20" s="75" t="str">
        <f t="shared" si="32"/>
        <v/>
      </c>
      <c r="BR20" s="75" t="str">
        <f t="shared" si="33"/>
        <v/>
      </c>
      <c r="BS20" s="75" t="str">
        <f t="shared" si="34"/>
        <v/>
      </c>
      <c r="BT20" s="77" t="str">
        <f t="shared" si="35"/>
        <v/>
      </c>
      <c r="BU20" s="72" t="str">
        <f t="shared" si="36"/>
        <v/>
      </c>
      <c r="BV20" s="72" t="str">
        <f t="shared" si="37"/>
        <v/>
      </c>
      <c r="BW20" s="72" t="str">
        <f t="shared" si="38"/>
        <v/>
      </c>
      <c r="BX20" s="77" t="str">
        <f t="shared" si="39"/>
        <v/>
      </c>
      <c r="BY20" s="77" t="str">
        <f t="shared" si="40"/>
        <v/>
      </c>
      <c r="BZ20" s="77" t="str">
        <f t="shared" si="41"/>
        <v/>
      </c>
      <c r="CA20" s="69"/>
      <c r="CB20" s="75" t="str">
        <f>IF(E20&gt;4,RIGHT(AN20,LEN(AN20)-LEN(AX20)-LEN(Temp!BM20)-2),"")</f>
        <v/>
      </c>
      <c r="CC20" s="75" t="str">
        <f>IF(E20&gt;4,RIGHT(AO20,LEN(AO20)-LEN(AY20)-LEN(Temp!BN20)-2),"")</f>
        <v/>
      </c>
      <c r="CD20" s="75" t="str">
        <f>IF(E20&gt;4,RIGHT(AP20,LEN(AP20)-LEN(AZ20)-LEN(Temp!BO20)-2),"")</f>
        <v/>
      </c>
      <c r="CE20" s="75" t="str">
        <f t="shared" si="42"/>
        <v/>
      </c>
      <c r="CF20" s="75" t="str">
        <f t="shared" si="43"/>
        <v/>
      </c>
      <c r="CG20" s="75" t="str">
        <f t="shared" si="44"/>
        <v/>
      </c>
      <c r="CH20" s="75" t="str">
        <f t="shared" si="45"/>
        <v/>
      </c>
      <c r="CI20" s="75"/>
      <c r="CJ20" s="79"/>
      <c r="CK20" s="79"/>
      <c r="CL20" s="75" t="str">
        <f t="shared" si="46"/>
        <v/>
      </c>
      <c r="CM20" s="75" t="str">
        <f t="shared" si="47"/>
        <v/>
      </c>
      <c r="CN20" s="75" t="str">
        <f t="shared" si="48"/>
        <v/>
      </c>
      <c r="CO20" s="75" t="str">
        <f t="shared" si="49"/>
        <v/>
      </c>
      <c r="CP20" s="75" t="str">
        <f t="shared" si="50"/>
        <v/>
      </c>
      <c r="CQ20" s="75" t="str">
        <f t="shared" si="51"/>
        <v/>
      </c>
      <c r="CR20" s="75" t="str">
        <f t="shared" si="52"/>
        <v/>
      </c>
      <c r="CS20" s="75" t="str">
        <f t="shared" si="53"/>
        <v/>
      </c>
      <c r="CT20" s="72" t="str">
        <f t="shared" si="54"/>
        <v/>
      </c>
      <c r="CU20" s="72" t="str">
        <f t="shared" si="55"/>
        <v/>
      </c>
      <c r="CV20" s="72" t="str">
        <f t="shared" si="56"/>
        <v/>
      </c>
      <c r="CW20" s="75" t="str">
        <f t="shared" si="57"/>
        <v/>
      </c>
      <c r="CX20" s="75" t="str">
        <f t="shared" si="58"/>
        <v/>
      </c>
      <c r="CY20" s="75" t="str">
        <f t="shared" si="59"/>
        <v/>
      </c>
      <c r="CZ20" s="69"/>
      <c r="DA20" s="68" t="str">
        <f t="shared" si="60"/>
        <v/>
      </c>
      <c r="DB20" s="68" t="str">
        <f t="shared" si="61"/>
        <v/>
      </c>
      <c r="DC20" s="68" t="str">
        <f t="shared" si="62"/>
        <v/>
      </c>
      <c r="DD20" s="75" t="str">
        <f t="shared" si="63"/>
        <v/>
      </c>
      <c r="DE20" s="75" t="str">
        <f t="shared" si="64"/>
        <v/>
      </c>
      <c r="DF20" s="75" t="str">
        <f t="shared" si="65"/>
        <v/>
      </c>
      <c r="DG20" s="75" t="str">
        <f t="shared" si="66"/>
        <v/>
      </c>
      <c r="DH20" s="77" t="str">
        <f t="shared" si="67"/>
        <v/>
      </c>
      <c r="DI20" s="72" t="str">
        <f t="shared" si="68"/>
        <v/>
      </c>
      <c r="DJ20" s="72" t="str">
        <f t="shared" si="69"/>
        <v/>
      </c>
      <c r="DK20" s="72" t="str">
        <f t="shared" si="70"/>
        <v/>
      </c>
      <c r="DL20" s="77" t="str">
        <f t="shared" si="71"/>
        <v/>
      </c>
      <c r="DM20" s="77" t="str">
        <f t="shared" si="72"/>
        <v/>
      </c>
      <c r="DN20" s="77" t="str">
        <f t="shared" si="73"/>
        <v/>
      </c>
      <c r="DO20" s="68"/>
      <c r="DP20" s="68"/>
      <c r="DQ20" s="68"/>
      <c r="DR20" s="68"/>
      <c r="DS20" s="68"/>
      <c r="DT20" s="68"/>
      <c r="DU20" s="68"/>
      <c r="DV20" s="68"/>
      <c r="DW20" s="68"/>
      <c r="DX20" s="68"/>
      <c r="DY20" s="68"/>
      <c r="DZ20" s="68"/>
      <c r="EA20" s="68"/>
      <c r="EB20" s="68"/>
      <c r="EC20" s="68"/>
      <c r="ED20" s="68"/>
      <c r="EE20" s="68" t="str">
        <f>Tonghop!V20</f>
        <v>Yes</v>
      </c>
      <c r="EF20" s="68" t="str">
        <f>Tonghop!W20</f>
        <v>No</v>
      </c>
      <c r="EG20" s="68" t="str">
        <f>Tonghop!X20</f>
        <v/>
      </c>
      <c r="EH20" s="68" t="str">
        <f>Tonghop!Y20</f>
        <v>Yes</v>
      </c>
      <c r="EI20" s="68">
        <f>Tonghop!Z20</f>
        <v>8.5</v>
      </c>
      <c r="EJ20" s="139"/>
    </row>
    <row r="21" spans="1:140" s="112" customFormat="1">
      <c r="A21" s="67">
        <f>Tonghop!A21</f>
        <v>20</v>
      </c>
      <c r="B21" s="68" t="str">
        <f>Tonghop!D21</f>
        <v>Đường Đoàn Thế Trung, ấp Chợ, thị trấn Cù Lao Dung, huyện Cù Lao Dung, tỉnh Sóc Trăng.</v>
      </c>
      <c r="C21" s="71" t="str">
        <f>Tonghop!E21</f>
        <v>Sóc Trăng</v>
      </c>
      <c r="D21" s="71" t="str">
        <f>Tonghop!I21</f>
        <v>1802440/2019/PTN-KĐ</v>
      </c>
      <c r="E21" s="67">
        <f>Tonghop!H21</f>
        <v>3</v>
      </c>
      <c r="F21" s="69"/>
      <c r="G21" s="69"/>
      <c r="H21" s="69"/>
      <c r="I21" s="69"/>
      <c r="J21" s="72" t="str">
        <f>IF(E21&gt;1,LEFT(Tonghop!L21,FIND("/",Tonghop!L21,1)-1),Tonghop!L21)</f>
        <v>TẬP ĐOÀN CÔNG NGHIỆP - VIỄN THÔNG QUÂN ĐỘI</v>
      </c>
      <c r="K21" s="72" t="str">
        <f>IF(E21&gt;1,LEFT(Tonghop!M21,FIND(";",Tonghop!M21,1)-1),Tonghop!M21)</f>
        <v>STG0530</v>
      </c>
      <c r="L21" s="72" t="str">
        <f>IF(E21&gt;1,LEFT(Tonghop!N21,FIND(";",Tonghop!N21,1)-1),Tonghop!N21)</f>
        <v>NOKIA Flexi EDGE BTS</v>
      </c>
      <c r="M21" s="72">
        <f t="shared" si="0"/>
        <v>4</v>
      </c>
      <c r="N21" s="72" t="str">
        <f t="shared" si="1"/>
        <v>4</v>
      </c>
      <c r="O21" s="72" t="str">
        <f t="shared" si="2"/>
        <v>4</v>
      </c>
      <c r="P21" s="72" t="str">
        <f t="shared" si="3"/>
        <v>4</v>
      </c>
      <c r="Q21" s="72" t="str">
        <f>IF(E21&gt;1,LEFT(Tonghop!P21,FIND(";",Tonghop!P21,1)-1),Tonghop!P21)</f>
        <v>4/4/4/4</v>
      </c>
      <c r="R21" s="72" t="str">
        <f t="shared" si="4"/>
        <v>37.24</v>
      </c>
      <c r="S21" s="72" t="str">
        <f t="shared" si="5"/>
        <v>37.24</v>
      </c>
      <c r="T21" s="72" t="str">
        <f t="shared" si="6"/>
        <v>37.24W/37.24</v>
      </c>
      <c r="U21" s="72" t="str">
        <f>IF(E21&gt;1,LEFT(Tonghop!Q21,FIND(";",Tonghop!Q21,1)-1),Tonghop!Q21)</f>
        <v>37.24W/37.24W/37.24W/37.24W</v>
      </c>
      <c r="V21" s="72" t="str">
        <f>IF(E21&gt;1,LEFT(Tonghop!R21,FIND("/",Tonghop!R21,1)-1),Tonghop!R21)</f>
        <v>G900</v>
      </c>
      <c r="W21" s="72" t="str">
        <f>IF(E21&gt;1,LEFT(Tonghop!S21,FIND(";",Tonghop!S21,1)-1),Tonghop!S21)</f>
        <v>36m/ 36m/ 36m/ 36m</v>
      </c>
      <c r="X21" s="73"/>
      <c r="Y21" s="74" t="str">
        <f>IF(E21&gt;2,MID(Tonghop!L21,LEN(Temp!J21)+2,FIND("/",Tonghop!L21,LEN(Temp!J21)+2)-LEN(Temp!J21)-2),IF(E21=2,RIGHT(Tonghop!L21,LEN(Tonghop!L21)-LEN(Temp!J21)-1),""))</f>
        <v>TẬP ĐOÀN CÔNG NGHIỆP - VIỄN THÔNG QUÂN ĐỘI</v>
      </c>
      <c r="Z21" s="74" t="str">
        <f>IF(E21&gt;2,MID(Tonghop!M21,LEN(Temp!K21)+2,FIND(";",Tonghop!M21,LEN(Temp!K21)+2)-LEN(Temp!K21)-2),IF(E21=2,RIGHT(Tonghop!M21,LEN(Tonghop!M21)-LEN(Temp!K21)-1),""))</f>
        <v>STG0530</v>
      </c>
      <c r="AA21" s="74" t="str">
        <f>IF(E21&gt;2,MID(Tonghop!N21,LEN(Temp!L21)+2,FIND(";",Tonghop!N21,LEN(Temp!L21)+2)-LEN(Temp!L21)-2),IF(E21=2,RIGHT(Tonghop!N21,LEN(Tonghop!N21)-LEN(Temp!L21)-1),""))</f>
        <v>NOKIA Flexi WCDMA BTS</v>
      </c>
      <c r="AB21" s="75">
        <f t="shared" si="7"/>
        <v>3</v>
      </c>
      <c r="AC21" s="75" t="str">
        <f t="shared" si="8"/>
        <v>2</v>
      </c>
      <c r="AD21" s="75" t="str">
        <f t="shared" si="9"/>
        <v>2</v>
      </c>
      <c r="AE21" s="75" t="str">
        <f t="shared" si="10"/>
        <v>2</v>
      </c>
      <c r="AF21" s="74" t="str">
        <f>IF(E21&gt;2,MID(Tonghop!P21,LEN(Temp!Q21)+2,FIND(";",Tonghop!P21,LEN(Temp!Q21)+2)-LEN(Temp!Q21)-2),IF(E21=2,RIGHT(Tonghop!P21,LEN(Tonghop!P21)-LEN(Temp!Q21)-1),""))</f>
        <v>2/2/2</v>
      </c>
      <c r="AG21" s="72" t="str">
        <f t="shared" si="11"/>
        <v>40</v>
      </c>
      <c r="AH21" s="72" t="str">
        <f t="shared" si="12"/>
        <v>40</v>
      </c>
      <c r="AI21" s="72" t="str">
        <f t="shared" si="13"/>
        <v>40</v>
      </c>
      <c r="AJ21" s="74" t="str">
        <f>IF(E21&gt;2,MID(Tonghop!Q21,LEN(Temp!U21)+2,FIND(";",Tonghop!Q21,LEN(Temp!U21)+2)-LEN(Temp!U21)-2),IF(E21=2,RIGHT(Tonghop!Q21,LEN(Tonghop!Q21)-LEN(Temp!U21)-1),""))</f>
        <v>40W/40W/40W</v>
      </c>
      <c r="AK21" s="74" t="str">
        <f>IF(E21&gt;2,MID(Tonghop!R21,LEN(Temp!V21)+2,FIND("/",Tonghop!R21,LEN(Temp!V21)+2)-LEN(Temp!V21)-2),IF(E21=2,RIGHT(Tonghop!R21,LEN(Tonghop!R21)-LEN(Temp!V21)-1),""))</f>
        <v>U2100</v>
      </c>
      <c r="AL21" s="74" t="str">
        <f>IF(E21&gt;2,MID(Tonghop!S21,LEN(Temp!W21)+2,FIND(";",Tonghop!S21,LEN(Temp!W21)+2)-LEN(Temp!W21)-2),IF(E21=2,RIGHT(Tonghop!S21,LEN(Tonghop!S21)-LEN(Temp!W21)-1),""))</f>
        <v>40m/ 40m/ 40m</v>
      </c>
      <c r="AM21" s="73"/>
      <c r="AN21" s="75" t="str">
        <f>IF(E21&gt;2,RIGHT(Tonghop!L21,LEN(Tonghop!L21)-LEN(Temp!J21)-LEN(Temp!Y21)-2),"")</f>
        <v>TẬP ĐOÀN CÔNG NGHIỆP - VIỄN THÔNG QUÂN ĐỘI</v>
      </c>
      <c r="AO21" s="75" t="str">
        <f>IF(E21&gt;2,RIGHT(Tonghop!M21,LEN(Tonghop!M21)-LEN(Temp!K21)-LEN(Temp!Z21)-2),"")</f>
        <v>STG0530</v>
      </c>
      <c r="AP21" s="75" t="str">
        <f>IF(E21&gt;2,RIGHT(Tonghop!N21,LEN(Tonghop!N21)-LEN(Temp!L21)-LEN(Temp!AA21)-2),"")</f>
        <v>NSN FLEXI MULTIRADIO AIRSCALE</v>
      </c>
      <c r="AQ21" s="75" t="str">
        <f>IF(E21&gt;2,RIGHT(Tonghop!P21,LEN(Tonghop!P21)-LEN(Temp!Q21)-LEN(Temp!AF21)-2),"")</f>
        <v>1/1/1</v>
      </c>
      <c r="AR21" s="75" t="str">
        <f>IF(E21&gt;2,RIGHT(Tonghop!Q21,LEN(Tonghop!Q21)-LEN(U21)-LEN(Temp!AJ21)-2),"")</f>
        <v>40W/40W/40W</v>
      </c>
      <c r="AS21" s="75" t="str">
        <f>IF(E21&gt;2,RIGHT(Tonghop!R21,LEN(Tonghop!R21)-LEN(V21)-LEN(Temp!AK21)-2),"")</f>
        <v>L1800</v>
      </c>
      <c r="AT21" s="75" t="str">
        <f>IF(E21&gt;2,RIGHT(Tonghop!S21,LEN(Tonghop!S21)-LEN(W21)-LEN(Temp!AL21)-2),"")</f>
        <v>40m/ 40m/ 40m</v>
      </c>
      <c r="AU21" s="75"/>
      <c r="AV21" s="75"/>
      <c r="AW21" s="75"/>
      <c r="AX21" s="75" t="str">
        <f t="shared" si="14"/>
        <v>TẬP ĐOÀN CÔNG NGHIỆP - VIỄN THÔNG QUÂN ĐỘI</v>
      </c>
      <c r="AY21" s="75" t="str">
        <f t="shared" si="15"/>
        <v>STG0530</v>
      </c>
      <c r="AZ21" s="75" t="str">
        <f t="shared" si="16"/>
        <v>NSN FLEXI MULTIRADIO AIRSCALE</v>
      </c>
      <c r="BA21" s="75">
        <f t="shared" si="17"/>
        <v>3</v>
      </c>
      <c r="BB21" s="75" t="str">
        <f t="shared" si="18"/>
        <v>1</v>
      </c>
      <c r="BC21" s="75" t="str">
        <f t="shared" si="19"/>
        <v>1</v>
      </c>
      <c r="BD21" s="75" t="str">
        <f t="shared" si="20"/>
        <v>1</v>
      </c>
      <c r="BE21" s="75" t="str">
        <f t="shared" si="21"/>
        <v>1/1/1</v>
      </c>
      <c r="BF21" s="72" t="str">
        <f t="shared" si="22"/>
        <v>40</v>
      </c>
      <c r="BG21" s="72" t="str">
        <f t="shared" si="23"/>
        <v>40</v>
      </c>
      <c r="BH21" s="72" t="str">
        <f t="shared" si="24"/>
        <v>40</v>
      </c>
      <c r="BI21" s="75" t="str">
        <f t="shared" si="25"/>
        <v>40W/40W/40W</v>
      </c>
      <c r="BJ21" s="75" t="str">
        <f t="shared" si="26"/>
        <v>L1800</v>
      </c>
      <c r="BK21" s="75" t="str">
        <f t="shared" si="27"/>
        <v>40m/ 40m/ 40m</v>
      </c>
      <c r="BL21" s="69"/>
      <c r="BM21" s="68" t="str">
        <f t="shared" si="28"/>
        <v/>
      </c>
      <c r="BN21" s="68" t="str">
        <f t="shared" si="29"/>
        <v/>
      </c>
      <c r="BO21" s="68" t="str">
        <f t="shared" si="30"/>
        <v/>
      </c>
      <c r="BP21" s="75" t="str">
        <f t="shared" si="31"/>
        <v/>
      </c>
      <c r="BQ21" s="75" t="str">
        <f t="shared" si="32"/>
        <v/>
      </c>
      <c r="BR21" s="75" t="str">
        <f t="shared" si="33"/>
        <v/>
      </c>
      <c r="BS21" s="75" t="str">
        <f t="shared" si="34"/>
        <v/>
      </c>
      <c r="BT21" s="77" t="str">
        <f t="shared" si="35"/>
        <v/>
      </c>
      <c r="BU21" s="72" t="str">
        <f t="shared" si="36"/>
        <v/>
      </c>
      <c r="BV21" s="72" t="str">
        <f t="shared" si="37"/>
        <v/>
      </c>
      <c r="BW21" s="72" t="str">
        <f t="shared" si="38"/>
        <v/>
      </c>
      <c r="BX21" s="77" t="str">
        <f t="shared" si="39"/>
        <v/>
      </c>
      <c r="BY21" s="77" t="str">
        <f t="shared" si="40"/>
        <v/>
      </c>
      <c r="BZ21" s="77" t="str">
        <f t="shared" si="41"/>
        <v/>
      </c>
      <c r="CA21" s="69"/>
      <c r="CB21" s="75" t="str">
        <f>IF(E21&gt;4,RIGHT(AN21,LEN(AN21)-LEN(AX21)-LEN(Temp!BM21)-2),"")</f>
        <v/>
      </c>
      <c r="CC21" s="75" t="str">
        <f>IF(E21&gt;4,RIGHT(AO21,LEN(AO21)-LEN(AY21)-LEN(Temp!BN21)-2),"")</f>
        <v/>
      </c>
      <c r="CD21" s="75" t="str">
        <f>IF(E21&gt;4,RIGHT(AP21,LEN(AP21)-LEN(AZ21)-LEN(Temp!BO21)-2),"")</f>
        <v/>
      </c>
      <c r="CE21" s="75" t="str">
        <f t="shared" si="42"/>
        <v/>
      </c>
      <c r="CF21" s="75" t="str">
        <f t="shared" si="43"/>
        <v/>
      </c>
      <c r="CG21" s="75" t="str">
        <f t="shared" si="44"/>
        <v/>
      </c>
      <c r="CH21" s="75" t="str">
        <f t="shared" si="45"/>
        <v/>
      </c>
      <c r="CI21" s="75"/>
      <c r="CJ21" s="79"/>
      <c r="CK21" s="79"/>
      <c r="CL21" s="75" t="str">
        <f t="shared" si="46"/>
        <v/>
      </c>
      <c r="CM21" s="75" t="str">
        <f t="shared" si="47"/>
        <v/>
      </c>
      <c r="CN21" s="75" t="str">
        <f t="shared" si="48"/>
        <v/>
      </c>
      <c r="CO21" s="75" t="str">
        <f t="shared" si="49"/>
        <v/>
      </c>
      <c r="CP21" s="75" t="str">
        <f t="shared" si="50"/>
        <v/>
      </c>
      <c r="CQ21" s="75" t="str">
        <f t="shared" si="51"/>
        <v/>
      </c>
      <c r="CR21" s="75" t="str">
        <f t="shared" si="52"/>
        <v/>
      </c>
      <c r="CS21" s="75" t="str">
        <f t="shared" si="53"/>
        <v/>
      </c>
      <c r="CT21" s="72" t="str">
        <f t="shared" si="54"/>
        <v/>
      </c>
      <c r="CU21" s="72" t="str">
        <f t="shared" si="55"/>
        <v/>
      </c>
      <c r="CV21" s="72" t="str">
        <f t="shared" si="56"/>
        <v/>
      </c>
      <c r="CW21" s="75" t="str">
        <f t="shared" si="57"/>
        <v/>
      </c>
      <c r="CX21" s="75" t="str">
        <f t="shared" si="58"/>
        <v/>
      </c>
      <c r="CY21" s="75" t="str">
        <f t="shared" si="59"/>
        <v/>
      </c>
      <c r="CZ21" s="69"/>
      <c r="DA21" s="68" t="str">
        <f t="shared" si="60"/>
        <v/>
      </c>
      <c r="DB21" s="68" t="str">
        <f t="shared" si="61"/>
        <v/>
      </c>
      <c r="DC21" s="68" t="str">
        <f t="shared" si="62"/>
        <v/>
      </c>
      <c r="DD21" s="75" t="str">
        <f t="shared" si="63"/>
        <v/>
      </c>
      <c r="DE21" s="75" t="str">
        <f t="shared" si="64"/>
        <v/>
      </c>
      <c r="DF21" s="75" t="str">
        <f t="shared" si="65"/>
        <v/>
      </c>
      <c r="DG21" s="75" t="str">
        <f t="shared" si="66"/>
        <v/>
      </c>
      <c r="DH21" s="77" t="str">
        <f t="shared" si="67"/>
        <v/>
      </c>
      <c r="DI21" s="72" t="str">
        <f t="shared" si="68"/>
        <v/>
      </c>
      <c r="DJ21" s="72" t="str">
        <f t="shared" si="69"/>
        <v/>
      </c>
      <c r="DK21" s="72" t="str">
        <f t="shared" si="70"/>
        <v/>
      </c>
      <c r="DL21" s="77" t="str">
        <f t="shared" si="71"/>
        <v/>
      </c>
      <c r="DM21" s="77" t="str">
        <f t="shared" si="72"/>
        <v/>
      </c>
      <c r="DN21" s="77" t="str">
        <f t="shared" si="73"/>
        <v/>
      </c>
      <c r="DO21" s="68"/>
      <c r="DP21" s="68"/>
      <c r="DQ21" s="68"/>
      <c r="DR21" s="68"/>
      <c r="DS21" s="68"/>
      <c r="DT21" s="68"/>
      <c r="DU21" s="68"/>
      <c r="DV21" s="68"/>
      <c r="DW21" s="68"/>
      <c r="DX21" s="68"/>
      <c r="DY21" s="68"/>
      <c r="DZ21" s="68"/>
      <c r="EA21" s="68"/>
      <c r="EB21" s="68"/>
      <c r="EC21" s="68"/>
      <c r="ED21" s="68"/>
      <c r="EE21" s="68" t="str">
        <f>Tonghop!V21</f>
        <v>Yes</v>
      </c>
      <c r="EF21" s="68" t="str">
        <f>Tonghop!W21</f>
        <v>Yes</v>
      </c>
      <c r="EG21" s="68">
        <f>Tonghop!X21</f>
        <v>36</v>
      </c>
      <c r="EH21" s="68" t="str">
        <f>Tonghop!Y21</f>
        <v>Yes</v>
      </c>
      <c r="EI21" s="68">
        <f>Tonghop!Z21</f>
        <v>25.5</v>
      </c>
      <c r="EJ21" s="139"/>
    </row>
    <row r="22" spans="1:140" s="112" customFormat="1">
      <c r="A22" s="67">
        <f>Tonghop!A22</f>
        <v>21</v>
      </c>
      <c r="B22" s="68" t="str">
        <f>Tonghop!D22</f>
        <v>Ấp An Nghiệp, xã An Thạnh 3, huyện Cù Lao Dung, tỉnh Sóc Trăng.</v>
      </c>
      <c r="C22" s="71" t="str">
        <f>Tonghop!E22</f>
        <v>Sóc Trăng</v>
      </c>
      <c r="D22" s="71" t="str">
        <f>Tonghop!I22</f>
        <v>1802441/2019/PTN-KĐ</v>
      </c>
      <c r="E22" s="67">
        <f>Tonghop!H22</f>
        <v>4</v>
      </c>
      <c r="F22" s="69"/>
      <c r="G22" s="69"/>
      <c r="H22" s="69"/>
      <c r="I22" s="69"/>
      <c r="J22" s="72" t="str">
        <f>IF(E22&gt;1,LEFT(Tonghop!L22,FIND("/",Tonghop!L22,1)-1),Tonghop!L22)</f>
        <v>TẬP ĐOÀN CÔNG NGHIỆP - VIỄN THÔNG QUÂN ĐỘI</v>
      </c>
      <c r="K22" s="72" t="str">
        <f>IF(E22&gt;1,LEFT(Tonghop!M22,FIND(";",Tonghop!M22,1)-1),Tonghop!M22)</f>
        <v>STG0023</v>
      </c>
      <c r="L22" s="72" t="str">
        <f>IF(E22&gt;1,LEFT(Tonghop!N22,FIND(";",Tonghop!N22,1)-1),Tonghop!N22)</f>
        <v>NOKIA Flexi EDGE BTS</v>
      </c>
      <c r="M22" s="72">
        <f t="shared" si="0"/>
        <v>3</v>
      </c>
      <c r="N22" s="72" t="str">
        <f t="shared" si="1"/>
        <v>4</v>
      </c>
      <c r="O22" s="72" t="str">
        <f t="shared" si="2"/>
        <v>4</v>
      </c>
      <c r="P22" s="72" t="str">
        <f t="shared" si="3"/>
        <v>4</v>
      </c>
      <c r="Q22" s="72" t="str">
        <f>IF(E22&gt;1,LEFT(Tonghop!P22,FIND(";",Tonghop!P22,1)-1),Tonghop!P22)</f>
        <v>4/4/4</v>
      </c>
      <c r="R22" s="72" t="str">
        <f t="shared" si="4"/>
        <v>37.24</v>
      </c>
      <c r="S22" s="72" t="str">
        <f t="shared" si="5"/>
        <v>37.24</v>
      </c>
      <c r="T22" s="72" t="str">
        <f t="shared" si="6"/>
        <v>37.24</v>
      </c>
      <c r="U22" s="72" t="str">
        <f>IF(E22&gt;1,LEFT(Tonghop!Q22,FIND(";",Tonghop!Q22,1)-1),Tonghop!Q22)</f>
        <v>37.24W/37.24W/37.24W</v>
      </c>
      <c r="V22" s="72" t="str">
        <f>IF(E22&gt;1,LEFT(Tonghop!R22,FIND("/",Tonghop!R22,1)-1),Tonghop!R22)</f>
        <v>G900</v>
      </c>
      <c r="W22" s="72" t="str">
        <f>IF(E22&gt;1,LEFT(Tonghop!S22,FIND(";",Tonghop!S22,1)-1),Tonghop!S22)</f>
        <v>36m/ 36m/ 36m</v>
      </c>
      <c r="X22" s="73"/>
      <c r="Y22" s="74" t="str">
        <f>IF(E22&gt;2,MID(Tonghop!L22,LEN(Temp!J22)+2,FIND("/",Tonghop!L22,LEN(Temp!J22)+2)-LEN(Temp!J22)-2),IF(E22=2,RIGHT(Tonghop!L22,LEN(Tonghop!L22)-LEN(Temp!J22)-1),""))</f>
        <v>TẬP ĐOÀN CÔNG NGHIỆP - VIỄN THÔNG QUÂN ĐỘI</v>
      </c>
      <c r="Z22" s="74" t="str">
        <f>IF(E22&gt;2,MID(Tonghop!M22,LEN(Temp!K22)+2,FIND(";",Tonghop!M22,LEN(Temp!K22)+2)-LEN(Temp!K22)-2),IF(E22=2,RIGHT(Tonghop!M22,LEN(Tonghop!M22)-LEN(Temp!K22)-1),""))</f>
        <v>STG0023</v>
      </c>
      <c r="AA22" s="74" t="str">
        <f>IF(E22&gt;2,MID(Tonghop!N22,LEN(Temp!L22)+2,FIND(";",Tonghop!N22,LEN(Temp!L22)+2)-LEN(Temp!L22)-2),IF(E22=2,RIGHT(Tonghop!N22,LEN(Tonghop!N22)-LEN(Temp!L22)-1),""))</f>
        <v>NOKIA Flexi EDGE BTS</v>
      </c>
      <c r="AB22" s="75">
        <f t="shared" si="7"/>
        <v>3</v>
      </c>
      <c r="AC22" s="75" t="str">
        <f t="shared" si="8"/>
        <v>2</v>
      </c>
      <c r="AD22" s="75" t="str">
        <f t="shared" si="9"/>
        <v>2</v>
      </c>
      <c r="AE22" s="75" t="str">
        <f t="shared" si="10"/>
        <v>2</v>
      </c>
      <c r="AF22" s="74" t="str">
        <f>IF(E22&gt;2,MID(Tonghop!P22,LEN(Temp!Q22)+2,FIND(";",Tonghop!P22,LEN(Temp!Q22)+2)-LEN(Temp!Q22)-2),IF(E22=2,RIGHT(Tonghop!P22,LEN(Tonghop!P22)-LEN(Temp!Q22)-1),""))</f>
        <v>2/2/2</v>
      </c>
      <c r="AG22" s="72" t="str">
        <f t="shared" si="11"/>
        <v>41.7</v>
      </c>
      <c r="AH22" s="72" t="str">
        <f t="shared" si="12"/>
        <v>41.7</v>
      </c>
      <c r="AI22" s="72" t="str">
        <f t="shared" si="13"/>
        <v>41.7</v>
      </c>
      <c r="AJ22" s="74" t="str">
        <f>IF(E22&gt;2,MID(Tonghop!Q22,LEN(Temp!U22)+2,FIND(";",Tonghop!Q22,LEN(Temp!U22)+2)-LEN(Temp!U22)-2),IF(E22=2,RIGHT(Tonghop!Q22,LEN(Tonghop!Q22)-LEN(Temp!U22)-1),""))</f>
        <v>41.7W/41.7W/41.7W</v>
      </c>
      <c r="AK22" s="74" t="str">
        <f>IF(E22&gt;2,MID(Tonghop!R22,LEN(Temp!V22)+2,FIND("/",Tonghop!R22,LEN(Temp!V22)+2)-LEN(Temp!V22)-2),IF(E22=2,RIGHT(Tonghop!R22,LEN(Tonghop!R22)-LEN(Temp!V22)-1),""))</f>
        <v>G1800</v>
      </c>
      <c r="AL22" s="74" t="str">
        <f>IF(E22&gt;2,MID(Tonghop!S22,LEN(Temp!W22)+2,FIND(";",Tonghop!S22,LEN(Temp!W22)+2)-LEN(Temp!W22)-2),IF(E22=2,RIGHT(Tonghop!S22,LEN(Tonghop!S22)-LEN(Temp!W22)-1),""))</f>
        <v>29m/ 29m/ 29m</v>
      </c>
      <c r="AM22" s="73"/>
      <c r="AN22" s="75" t="str">
        <f>IF(E22&gt;2,RIGHT(Tonghop!L22,LEN(Tonghop!L22)-LEN(Temp!J22)-LEN(Temp!Y22)-2),"")</f>
        <v>TẬP ĐOÀN CÔNG NGHIỆP - VIỄN THÔNG QUÂN ĐỘI/TẬP ĐOÀN CÔNG NGHIỆP - VIỄN THÔNG QUÂN ĐỘI</v>
      </c>
      <c r="AO22" s="75" t="str">
        <f>IF(E22&gt;2,RIGHT(Tonghop!M22,LEN(Tonghop!M22)-LEN(Temp!K22)-LEN(Temp!Z22)-2),"")</f>
        <v>STG0023;STG0023</v>
      </c>
      <c r="AP22" s="75" t="str">
        <f>IF(E22&gt;2,RIGHT(Tonghop!N22,LEN(Tonghop!N22)-LEN(Temp!L22)-LEN(Temp!AA22)-2),"")</f>
        <v>NOKIA Flexi WCDMA BTS;NSN FLEXI MULTIRADIO AIRSCALE</v>
      </c>
      <c r="AQ22" s="75" t="str">
        <f>IF(E22&gt;2,RIGHT(Tonghop!P22,LEN(Tonghop!P22)-LEN(Temp!Q22)-LEN(Temp!AF22)-2),"")</f>
        <v>2/2/2;1/1/1</v>
      </c>
      <c r="AR22" s="75" t="str">
        <f>IF(E22&gt;2,RIGHT(Tonghop!Q22,LEN(Tonghop!Q22)-LEN(U22)-LEN(Temp!AJ22)-2),"")</f>
        <v>40W/40W/40W;40W/40W/40W</v>
      </c>
      <c r="AS22" s="75" t="str">
        <f>IF(E22&gt;2,RIGHT(Tonghop!R22,LEN(Tonghop!R22)-LEN(V22)-LEN(Temp!AK22)-2),"")</f>
        <v>U2100/L1800</v>
      </c>
      <c r="AT22" s="75" t="str">
        <f>IF(E22&gt;2,RIGHT(Tonghop!S22,LEN(Tonghop!S22)-LEN(W22)-LEN(Temp!AL22)-2),"")</f>
        <v>34m/ 34m/ 34m;37m/ 37m/ 37m</v>
      </c>
      <c r="AU22" s="75"/>
      <c r="AV22" s="75"/>
      <c r="AW22" s="75"/>
      <c r="AX22" s="75" t="str">
        <f t="shared" si="14"/>
        <v>TẬP ĐOÀN CÔNG NGHIỆP - VIỄN THÔNG QUÂN ĐỘI</v>
      </c>
      <c r="AY22" s="75" t="str">
        <f t="shared" si="15"/>
        <v>STG0023</v>
      </c>
      <c r="AZ22" s="75" t="str">
        <f t="shared" si="16"/>
        <v>NOKIA Flexi WCDMA BTS</v>
      </c>
      <c r="BA22" s="75">
        <f t="shared" si="17"/>
        <v>3</v>
      </c>
      <c r="BB22" s="75" t="str">
        <f t="shared" si="18"/>
        <v>2</v>
      </c>
      <c r="BC22" s="75" t="str">
        <f t="shared" si="19"/>
        <v>2</v>
      </c>
      <c r="BD22" s="75" t="str">
        <f t="shared" si="20"/>
        <v>2</v>
      </c>
      <c r="BE22" s="75" t="str">
        <f t="shared" si="21"/>
        <v>2/2/2</v>
      </c>
      <c r="BF22" s="72" t="str">
        <f t="shared" si="22"/>
        <v>40</v>
      </c>
      <c r="BG22" s="72" t="str">
        <f t="shared" si="23"/>
        <v>40</v>
      </c>
      <c r="BH22" s="72" t="str">
        <f t="shared" si="24"/>
        <v>40</v>
      </c>
      <c r="BI22" s="75" t="str">
        <f t="shared" si="25"/>
        <v>40W/40W/40W</v>
      </c>
      <c r="BJ22" s="75" t="str">
        <f t="shared" si="26"/>
        <v>U2100</v>
      </c>
      <c r="BK22" s="75" t="str">
        <f t="shared" si="27"/>
        <v>34m/ 34m/ 34m</v>
      </c>
      <c r="BL22" s="69"/>
      <c r="BM22" s="68" t="str">
        <f t="shared" si="28"/>
        <v>TẬP ĐOÀN CÔNG NGHIỆP - VIỄN THÔNG QUÂN ĐỘI</v>
      </c>
      <c r="BN22" s="68" t="str">
        <f t="shared" si="29"/>
        <v>STG0023</v>
      </c>
      <c r="BO22" s="68" t="str">
        <f t="shared" si="30"/>
        <v>NSN FLEXI MULTIRADIO AIRSCALE</v>
      </c>
      <c r="BP22" s="75">
        <f t="shared" si="31"/>
        <v>3</v>
      </c>
      <c r="BQ22" s="75" t="str">
        <f t="shared" si="32"/>
        <v>1</v>
      </c>
      <c r="BR22" s="75" t="str">
        <f t="shared" si="33"/>
        <v>1</v>
      </c>
      <c r="BS22" s="75" t="str">
        <f t="shared" si="34"/>
        <v>1</v>
      </c>
      <c r="BT22" s="77" t="str">
        <f t="shared" si="35"/>
        <v>1/1/1</v>
      </c>
      <c r="BU22" s="72" t="str">
        <f t="shared" si="36"/>
        <v>40</v>
      </c>
      <c r="BV22" s="72" t="str">
        <f t="shared" si="37"/>
        <v>40</v>
      </c>
      <c r="BW22" s="72" t="str">
        <f t="shared" si="38"/>
        <v>40</v>
      </c>
      <c r="BX22" s="77" t="str">
        <f t="shared" si="39"/>
        <v>40W/40W/40W</v>
      </c>
      <c r="BY22" s="77" t="str">
        <f t="shared" si="40"/>
        <v>L1800</v>
      </c>
      <c r="BZ22" s="77" t="str">
        <f t="shared" si="41"/>
        <v>37m/ 37m/ 37m</v>
      </c>
      <c r="CA22" s="69"/>
      <c r="CB22" s="75" t="str">
        <f>IF(E22&gt;4,RIGHT(AN22,LEN(AN22)-LEN(AX22)-LEN(Temp!BM22)-2),"")</f>
        <v/>
      </c>
      <c r="CC22" s="75" t="str">
        <f>IF(E22&gt;4,RIGHT(AO22,LEN(AO22)-LEN(AY22)-LEN(Temp!BN22)-2),"")</f>
        <v/>
      </c>
      <c r="CD22" s="75" t="str">
        <f>IF(E22&gt;4,RIGHT(AP22,LEN(AP22)-LEN(AZ22)-LEN(Temp!BO22)-2),"")</f>
        <v/>
      </c>
      <c r="CE22" s="75" t="str">
        <f t="shared" si="42"/>
        <v/>
      </c>
      <c r="CF22" s="75" t="str">
        <f t="shared" si="43"/>
        <v/>
      </c>
      <c r="CG22" s="75" t="str">
        <f t="shared" si="44"/>
        <v/>
      </c>
      <c r="CH22" s="75" t="str">
        <f t="shared" si="45"/>
        <v/>
      </c>
      <c r="CI22" s="75"/>
      <c r="CJ22" s="79"/>
      <c r="CK22" s="79"/>
      <c r="CL22" s="75" t="str">
        <f t="shared" si="46"/>
        <v/>
      </c>
      <c r="CM22" s="75" t="str">
        <f t="shared" si="47"/>
        <v/>
      </c>
      <c r="CN22" s="75" t="str">
        <f t="shared" si="48"/>
        <v/>
      </c>
      <c r="CO22" s="75" t="str">
        <f t="shared" si="49"/>
        <v/>
      </c>
      <c r="CP22" s="75" t="str">
        <f t="shared" si="50"/>
        <v/>
      </c>
      <c r="CQ22" s="75" t="str">
        <f t="shared" si="51"/>
        <v/>
      </c>
      <c r="CR22" s="75" t="str">
        <f t="shared" si="52"/>
        <v/>
      </c>
      <c r="CS22" s="75" t="str">
        <f t="shared" si="53"/>
        <v/>
      </c>
      <c r="CT22" s="72" t="str">
        <f t="shared" si="54"/>
        <v/>
      </c>
      <c r="CU22" s="72" t="str">
        <f t="shared" si="55"/>
        <v/>
      </c>
      <c r="CV22" s="72" t="str">
        <f t="shared" si="56"/>
        <v/>
      </c>
      <c r="CW22" s="75" t="str">
        <f t="shared" si="57"/>
        <v/>
      </c>
      <c r="CX22" s="75" t="str">
        <f t="shared" si="58"/>
        <v/>
      </c>
      <c r="CY22" s="75" t="str">
        <f t="shared" si="59"/>
        <v/>
      </c>
      <c r="CZ22" s="69"/>
      <c r="DA22" s="68" t="str">
        <f t="shared" si="60"/>
        <v/>
      </c>
      <c r="DB22" s="68" t="str">
        <f t="shared" si="61"/>
        <v/>
      </c>
      <c r="DC22" s="68" t="str">
        <f t="shared" si="62"/>
        <v/>
      </c>
      <c r="DD22" s="75" t="str">
        <f t="shared" si="63"/>
        <v/>
      </c>
      <c r="DE22" s="75" t="str">
        <f t="shared" si="64"/>
        <v/>
      </c>
      <c r="DF22" s="75" t="str">
        <f t="shared" si="65"/>
        <v/>
      </c>
      <c r="DG22" s="75" t="str">
        <f t="shared" si="66"/>
        <v/>
      </c>
      <c r="DH22" s="77" t="str">
        <f t="shared" si="67"/>
        <v/>
      </c>
      <c r="DI22" s="72" t="str">
        <f t="shared" si="68"/>
        <v/>
      </c>
      <c r="DJ22" s="72" t="str">
        <f t="shared" si="69"/>
        <v/>
      </c>
      <c r="DK22" s="72" t="str">
        <f t="shared" si="70"/>
        <v/>
      </c>
      <c r="DL22" s="77" t="str">
        <f t="shared" si="71"/>
        <v/>
      </c>
      <c r="DM22" s="77" t="str">
        <f t="shared" si="72"/>
        <v/>
      </c>
      <c r="DN22" s="77" t="str">
        <f t="shared" si="73"/>
        <v/>
      </c>
      <c r="DO22" s="68"/>
      <c r="DP22" s="68"/>
      <c r="DQ22" s="68"/>
      <c r="DR22" s="68"/>
      <c r="DS22" s="68"/>
      <c r="DT22" s="68"/>
      <c r="DU22" s="68"/>
      <c r="DV22" s="68"/>
      <c r="DW22" s="68"/>
      <c r="DX22" s="68"/>
      <c r="DY22" s="68"/>
      <c r="DZ22" s="68"/>
      <c r="EA22" s="68"/>
      <c r="EB22" s="68"/>
      <c r="EC22" s="68"/>
      <c r="ED22" s="68"/>
      <c r="EE22" s="68" t="str">
        <f>Tonghop!V22</f>
        <v>Yes</v>
      </c>
      <c r="EF22" s="68" t="str">
        <f>Tonghop!W22</f>
        <v>No</v>
      </c>
      <c r="EG22" s="68" t="str">
        <f>Tonghop!X22</f>
        <v/>
      </c>
      <c r="EH22" s="68" t="str">
        <f>Tonghop!Y22</f>
        <v>Yes</v>
      </c>
      <c r="EI22" s="68">
        <f>Tonghop!Z22</f>
        <v>25</v>
      </c>
      <c r="EJ22" s="139"/>
    </row>
    <row r="23" spans="1:140" s="112" customFormat="1">
      <c r="A23" s="67">
        <f>Tonghop!A23</f>
        <v>22</v>
      </c>
      <c r="B23" s="68" t="str">
        <f>Tonghop!D23</f>
        <v>Ấp An Thường, xã An Thạnh 1, huyện Cù Lao Dung, tỉnh Sóc Trăng.</v>
      </c>
      <c r="C23" s="71" t="str">
        <f>Tonghop!E23</f>
        <v>Sóc Trăng</v>
      </c>
      <c r="D23" s="71" t="str">
        <f>Tonghop!I23</f>
        <v>1802442/2019/PTN-KĐ</v>
      </c>
      <c r="E23" s="67">
        <f>Tonghop!H23</f>
        <v>3</v>
      </c>
      <c r="F23" s="69"/>
      <c r="G23" s="69"/>
      <c r="H23" s="69"/>
      <c r="I23" s="69"/>
      <c r="J23" s="72" t="str">
        <f>IF(E23&gt;1,LEFT(Tonghop!L23,FIND("/",Tonghop!L23,1)-1),Tonghop!L23)</f>
        <v>TẬP ĐOÀN CÔNG NGHIỆP - VIỄN THÔNG QUÂN ĐỘI</v>
      </c>
      <c r="K23" s="72" t="str">
        <f>IF(E23&gt;1,LEFT(Tonghop!M23,FIND(";",Tonghop!M23,1)-1),Tonghop!M23)</f>
        <v>STG0133</v>
      </c>
      <c r="L23" s="72" t="str">
        <f>IF(E23&gt;1,LEFT(Tonghop!N23,FIND(";",Tonghop!N23,1)-1),Tonghop!N23)</f>
        <v>NOKIA Flexi EDGE BTS</v>
      </c>
      <c r="M23" s="72">
        <f t="shared" si="0"/>
        <v>4</v>
      </c>
      <c r="N23" s="72" t="str">
        <f t="shared" si="1"/>
        <v>4</v>
      </c>
      <c r="O23" s="72" t="str">
        <f t="shared" si="2"/>
        <v>4</v>
      </c>
      <c r="P23" s="72" t="str">
        <f t="shared" si="3"/>
        <v>2</v>
      </c>
      <c r="Q23" s="72" t="str">
        <f>IF(E23&gt;1,LEFT(Tonghop!P23,FIND(";",Tonghop!P23,1)-1),Tonghop!P23)</f>
        <v>4/4/2/4</v>
      </c>
      <c r="R23" s="72" t="str">
        <f t="shared" si="4"/>
        <v>37.24</v>
      </c>
      <c r="S23" s="72" t="str">
        <f t="shared" si="5"/>
        <v>37.24</v>
      </c>
      <c r="T23" s="72" t="str">
        <f t="shared" si="6"/>
        <v>41.7W/37.24</v>
      </c>
      <c r="U23" s="72" t="str">
        <f>IF(E23&gt;1,LEFT(Tonghop!Q23,FIND(";",Tonghop!Q23,1)-1),Tonghop!Q23)</f>
        <v>37.24W/37.24W/41.7W/37.24W</v>
      </c>
      <c r="V23" s="72" t="str">
        <f>IF(E23&gt;1,LEFT(Tonghop!R23,FIND("/",Tonghop!R23,1)-1),Tonghop!R23)</f>
        <v>G900</v>
      </c>
      <c r="W23" s="72" t="str">
        <f>IF(E23&gt;1,LEFT(Tonghop!S23,FIND(";",Tonghop!S23,1)-1),Tonghop!S23)</f>
        <v>40m/ 40m/ 40m/ 40m</v>
      </c>
      <c r="X23" s="73"/>
      <c r="Y23" s="74" t="str">
        <f>IF(E23&gt;2,MID(Tonghop!L23,LEN(Temp!J23)+2,FIND("/",Tonghop!L23,LEN(Temp!J23)+2)-LEN(Temp!J23)-2),IF(E23=2,RIGHT(Tonghop!L23,LEN(Tonghop!L23)-LEN(Temp!J23)-1),""))</f>
        <v>TẬP ĐOÀN CÔNG NGHIỆP - VIỄN THÔNG QUÂN ĐỘI</v>
      </c>
      <c r="Z23" s="74" t="str">
        <f>IF(E23&gt;2,MID(Tonghop!M23,LEN(Temp!K23)+2,FIND(";",Tonghop!M23,LEN(Temp!K23)+2)-LEN(Temp!K23)-2),IF(E23=2,RIGHT(Tonghop!M23,LEN(Tonghop!M23)-LEN(Temp!K23)-1),""))</f>
        <v>STG0133</v>
      </c>
      <c r="AA23" s="74" t="str">
        <f>IF(E23&gt;2,MID(Tonghop!N23,LEN(Temp!L23)+2,FIND(";",Tonghop!N23,LEN(Temp!L23)+2)-LEN(Temp!L23)-2),IF(E23=2,RIGHT(Tonghop!N23,LEN(Tonghop!N23)-LEN(Temp!L23)-1),""))</f>
        <v>NOKIA Flexi WCDMA BTS</v>
      </c>
      <c r="AB23" s="75">
        <f t="shared" si="7"/>
        <v>3</v>
      </c>
      <c r="AC23" s="75" t="str">
        <f t="shared" si="8"/>
        <v>2</v>
      </c>
      <c r="AD23" s="75" t="str">
        <f t="shared" si="9"/>
        <v>2</v>
      </c>
      <c r="AE23" s="75" t="str">
        <f t="shared" si="10"/>
        <v>2</v>
      </c>
      <c r="AF23" s="74" t="str">
        <f>IF(E23&gt;2,MID(Tonghop!P23,LEN(Temp!Q23)+2,FIND(";",Tonghop!P23,LEN(Temp!Q23)+2)-LEN(Temp!Q23)-2),IF(E23=2,RIGHT(Tonghop!P23,LEN(Tonghop!P23)-LEN(Temp!Q23)-1),""))</f>
        <v>2/2/2</v>
      </c>
      <c r="AG23" s="72" t="str">
        <f t="shared" si="11"/>
        <v>40</v>
      </c>
      <c r="AH23" s="72" t="str">
        <f t="shared" si="12"/>
        <v>40</v>
      </c>
      <c r="AI23" s="72" t="str">
        <f t="shared" si="13"/>
        <v>40</v>
      </c>
      <c r="AJ23" s="74" t="str">
        <f>IF(E23&gt;2,MID(Tonghop!Q23,LEN(Temp!U23)+2,FIND(";",Tonghop!Q23,LEN(Temp!U23)+2)-LEN(Temp!U23)-2),IF(E23=2,RIGHT(Tonghop!Q23,LEN(Tonghop!Q23)-LEN(Temp!U23)-1),""))</f>
        <v>40W/40W/40W</v>
      </c>
      <c r="AK23" s="74" t="str">
        <f>IF(E23&gt;2,MID(Tonghop!R23,LEN(Temp!V23)+2,FIND("/",Tonghop!R23,LEN(Temp!V23)+2)-LEN(Temp!V23)-2),IF(E23=2,RIGHT(Tonghop!R23,LEN(Tonghop!R23)-LEN(Temp!V23)-1),""))</f>
        <v>U2100</v>
      </c>
      <c r="AL23" s="74" t="str">
        <f>IF(E23&gt;2,MID(Tonghop!S23,LEN(Temp!W23)+2,FIND(";",Tonghop!S23,LEN(Temp!W23)+2)-LEN(Temp!W23)-2),IF(E23=2,RIGHT(Tonghop!S23,LEN(Tonghop!S23)-LEN(Temp!W23)-1),""))</f>
        <v>37m/ 37m/ 37m</v>
      </c>
      <c r="AM23" s="73"/>
      <c r="AN23" s="75" t="str">
        <f>IF(E23&gt;2,RIGHT(Tonghop!L23,LEN(Tonghop!L23)-LEN(Temp!J23)-LEN(Temp!Y23)-2),"")</f>
        <v>TẬP ĐOÀN CÔNG NGHIỆP - VIỄN THÔNG QUÂN ĐỘI</v>
      </c>
      <c r="AO23" s="75" t="str">
        <f>IF(E23&gt;2,RIGHT(Tonghop!M23,LEN(Tonghop!M23)-LEN(Temp!K23)-LEN(Temp!Z23)-2),"")</f>
        <v>STG0133</v>
      </c>
      <c r="AP23" s="75" t="str">
        <f>IF(E23&gt;2,RIGHT(Tonghop!N23,LEN(Tonghop!N23)-LEN(Temp!L23)-LEN(Temp!AA23)-2),"")</f>
        <v>NSN FLEXI MULTIRADIO AIRSCALE</v>
      </c>
      <c r="AQ23" s="75" t="str">
        <f>IF(E23&gt;2,RIGHT(Tonghop!P23,LEN(Tonghop!P23)-LEN(Temp!Q23)-LEN(Temp!AF23)-2),"")</f>
        <v>1/1/1</v>
      </c>
      <c r="AR23" s="75" t="str">
        <f>IF(E23&gt;2,RIGHT(Tonghop!Q23,LEN(Tonghop!Q23)-LEN(U23)-LEN(Temp!AJ23)-2),"")</f>
        <v>40W/40W/40W</v>
      </c>
      <c r="AS23" s="75" t="str">
        <f>IF(E23&gt;2,RIGHT(Tonghop!R23,LEN(Tonghop!R23)-LEN(V23)-LEN(Temp!AK23)-2),"")</f>
        <v>L1800</v>
      </c>
      <c r="AT23" s="75" t="str">
        <f>IF(E23&gt;2,RIGHT(Tonghop!S23,LEN(Tonghop!S23)-LEN(W23)-LEN(Temp!AL23)-2),"")</f>
        <v>40m/ 40m/ 40m</v>
      </c>
      <c r="AU23" s="75"/>
      <c r="AV23" s="75"/>
      <c r="AW23" s="75"/>
      <c r="AX23" s="75" t="str">
        <f t="shared" si="14"/>
        <v>TẬP ĐOÀN CÔNG NGHIỆP - VIỄN THÔNG QUÂN ĐỘI</v>
      </c>
      <c r="AY23" s="75" t="str">
        <f t="shared" si="15"/>
        <v>STG0133</v>
      </c>
      <c r="AZ23" s="75" t="str">
        <f t="shared" si="16"/>
        <v>NSN FLEXI MULTIRADIO AIRSCALE</v>
      </c>
      <c r="BA23" s="75">
        <f t="shared" si="17"/>
        <v>3</v>
      </c>
      <c r="BB23" s="75" t="str">
        <f t="shared" si="18"/>
        <v>1</v>
      </c>
      <c r="BC23" s="75" t="str">
        <f t="shared" si="19"/>
        <v>1</v>
      </c>
      <c r="BD23" s="75" t="str">
        <f t="shared" si="20"/>
        <v>1</v>
      </c>
      <c r="BE23" s="75" t="str">
        <f t="shared" si="21"/>
        <v>1/1/1</v>
      </c>
      <c r="BF23" s="72" t="str">
        <f t="shared" si="22"/>
        <v>40</v>
      </c>
      <c r="BG23" s="72" t="str">
        <f t="shared" si="23"/>
        <v>40</v>
      </c>
      <c r="BH23" s="72" t="str">
        <f t="shared" si="24"/>
        <v>40</v>
      </c>
      <c r="BI23" s="75" t="str">
        <f t="shared" si="25"/>
        <v>40W/40W/40W</v>
      </c>
      <c r="BJ23" s="75" t="str">
        <f t="shared" si="26"/>
        <v>L1800</v>
      </c>
      <c r="BK23" s="75" t="str">
        <f t="shared" si="27"/>
        <v>40m/ 40m/ 40m</v>
      </c>
      <c r="BL23" s="69"/>
      <c r="BM23" s="68" t="str">
        <f t="shared" si="28"/>
        <v/>
      </c>
      <c r="BN23" s="68" t="str">
        <f t="shared" si="29"/>
        <v/>
      </c>
      <c r="BO23" s="68" t="str">
        <f t="shared" si="30"/>
        <v/>
      </c>
      <c r="BP23" s="75" t="str">
        <f t="shared" si="31"/>
        <v/>
      </c>
      <c r="BQ23" s="75" t="str">
        <f t="shared" si="32"/>
        <v/>
      </c>
      <c r="BR23" s="75" t="str">
        <f t="shared" si="33"/>
        <v/>
      </c>
      <c r="BS23" s="75" t="str">
        <f t="shared" si="34"/>
        <v/>
      </c>
      <c r="BT23" s="77" t="str">
        <f t="shared" si="35"/>
        <v/>
      </c>
      <c r="BU23" s="72" t="str">
        <f t="shared" si="36"/>
        <v/>
      </c>
      <c r="BV23" s="72" t="str">
        <f t="shared" si="37"/>
        <v/>
      </c>
      <c r="BW23" s="72" t="str">
        <f t="shared" si="38"/>
        <v/>
      </c>
      <c r="BX23" s="77" t="str">
        <f t="shared" si="39"/>
        <v/>
      </c>
      <c r="BY23" s="77" t="str">
        <f t="shared" si="40"/>
        <v/>
      </c>
      <c r="BZ23" s="77" t="str">
        <f t="shared" si="41"/>
        <v/>
      </c>
      <c r="CA23" s="69"/>
      <c r="CB23" s="75" t="str">
        <f>IF(E23&gt;4,RIGHT(AN23,LEN(AN23)-LEN(AX23)-LEN(Temp!BM23)-2),"")</f>
        <v/>
      </c>
      <c r="CC23" s="75" t="str">
        <f>IF(E23&gt;4,RIGHT(AO23,LEN(AO23)-LEN(AY23)-LEN(Temp!BN23)-2),"")</f>
        <v/>
      </c>
      <c r="CD23" s="75" t="str">
        <f>IF(E23&gt;4,RIGHT(AP23,LEN(AP23)-LEN(AZ23)-LEN(Temp!BO23)-2),"")</f>
        <v/>
      </c>
      <c r="CE23" s="75" t="str">
        <f t="shared" si="42"/>
        <v/>
      </c>
      <c r="CF23" s="75" t="str">
        <f t="shared" si="43"/>
        <v/>
      </c>
      <c r="CG23" s="75" t="str">
        <f t="shared" si="44"/>
        <v/>
      </c>
      <c r="CH23" s="75" t="str">
        <f t="shared" si="45"/>
        <v/>
      </c>
      <c r="CI23" s="75"/>
      <c r="CJ23" s="79"/>
      <c r="CK23" s="79"/>
      <c r="CL23" s="75" t="str">
        <f t="shared" si="46"/>
        <v/>
      </c>
      <c r="CM23" s="75" t="str">
        <f t="shared" si="47"/>
        <v/>
      </c>
      <c r="CN23" s="75" t="str">
        <f t="shared" si="48"/>
        <v/>
      </c>
      <c r="CO23" s="75" t="str">
        <f t="shared" si="49"/>
        <v/>
      </c>
      <c r="CP23" s="75" t="str">
        <f t="shared" si="50"/>
        <v/>
      </c>
      <c r="CQ23" s="75" t="str">
        <f t="shared" si="51"/>
        <v/>
      </c>
      <c r="CR23" s="75" t="str">
        <f t="shared" si="52"/>
        <v/>
      </c>
      <c r="CS23" s="75" t="str">
        <f t="shared" si="53"/>
        <v/>
      </c>
      <c r="CT23" s="72" t="str">
        <f t="shared" si="54"/>
        <v/>
      </c>
      <c r="CU23" s="72" t="str">
        <f t="shared" si="55"/>
        <v/>
      </c>
      <c r="CV23" s="72" t="str">
        <f t="shared" si="56"/>
        <v/>
      </c>
      <c r="CW23" s="75" t="str">
        <f t="shared" si="57"/>
        <v/>
      </c>
      <c r="CX23" s="75" t="str">
        <f t="shared" si="58"/>
        <v/>
      </c>
      <c r="CY23" s="75" t="str">
        <f t="shared" si="59"/>
        <v/>
      </c>
      <c r="CZ23" s="69"/>
      <c r="DA23" s="68" t="str">
        <f t="shared" si="60"/>
        <v/>
      </c>
      <c r="DB23" s="68" t="str">
        <f t="shared" si="61"/>
        <v/>
      </c>
      <c r="DC23" s="68" t="str">
        <f t="shared" si="62"/>
        <v/>
      </c>
      <c r="DD23" s="75" t="str">
        <f t="shared" si="63"/>
        <v/>
      </c>
      <c r="DE23" s="75" t="str">
        <f t="shared" si="64"/>
        <v/>
      </c>
      <c r="DF23" s="75" t="str">
        <f t="shared" si="65"/>
        <v/>
      </c>
      <c r="DG23" s="75" t="str">
        <f t="shared" si="66"/>
        <v/>
      </c>
      <c r="DH23" s="77" t="str">
        <f t="shared" si="67"/>
        <v/>
      </c>
      <c r="DI23" s="72" t="str">
        <f t="shared" si="68"/>
        <v/>
      </c>
      <c r="DJ23" s="72" t="str">
        <f t="shared" si="69"/>
        <v/>
      </c>
      <c r="DK23" s="72" t="str">
        <f t="shared" si="70"/>
        <v/>
      </c>
      <c r="DL23" s="77" t="str">
        <f t="shared" si="71"/>
        <v/>
      </c>
      <c r="DM23" s="77" t="str">
        <f t="shared" si="72"/>
        <v/>
      </c>
      <c r="DN23" s="77" t="str">
        <f t="shared" si="73"/>
        <v/>
      </c>
      <c r="DO23" s="68"/>
      <c r="DP23" s="68"/>
      <c r="DQ23" s="68"/>
      <c r="DR23" s="68"/>
      <c r="DS23" s="68"/>
      <c r="DT23" s="68"/>
      <c r="DU23" s="68"/>
      <c r="DV23" s="68"/>
      <c r="DW23" s="68"/>
      <c r="DX23" s="68"/>
      <c r="DY23" s="68"/>
      <c r="DZ23" s="68"/>
      <c r="EA23" s="68"/>
      <c r="EB23" s="68"/>
      <c r="EC23" s="68"/>
      <c r="ED23" s="68"/>
      <c r="EE23" s="68" t="str">
        <f>Tonghop!V23</f>
        <v>Yes</v>
      </c>
      <c r="EF23" s="68" t="str">
        <f>Tonghop!W23</f>
        <v>Yes</v>
      </c>
      <c r="EG23" s="68">
        <f>Tonghop!X23</f>
        <v>37</v>
      </c>
      <c r="EH23" s="68" t="str">
        <f>Tonghop!Y23</f>
        <v>Yes</v>
      </c>
      <c r="EI23" s="68">
        <f>Tonghop!Z23</f>
        <v>33</v>
      </c>
      <c r="EJ23" s="139"/>
    </row>
    <row r="24" spans="1:140" s="112" customFormat="1">
      <c r="A24" s="67">
        <f>Tonghop!A24</f>
        <v>23</v>
      </c>
      <c r="B24" s="68" t="str">
        <f>Tonghop!D24</f>
        <v>Đồn Biên phòng 638, ấp Đầu Giồng, xã Trung Bình, huyện Trần Đề, tỉnh Sóc Trăng.</v>
      </c>
      <c r="C24" s="71" t="str">
        <f>Tonghop!E24</f>
        <v>Sóc Trăng</v>
      </c>
      <c r="D24" s="71" t="str">
        <f>Tonghop!I24</f>
        <v>1802443/2019/PTN-KĐ</v>
      </c>
      <c r="E24" s="67">
        <f>Tonghop!H24</f>
        <v>4</v>
      </c>
      <c r="F24" s="69"/>
      <c r="G24" s="69"/>
      <c r="H24" s="69"/>
      <c r="I24" s="69"/>
      <c r="J24" s="72" t="str">
        <f>IF(E24&gt;1,LEFT(Tonghop!L24,FIND("/",Tonghop!L24,1)-1),Tonghop!L24)</f>
        <v>TẬP ĐOÀN CÔNG NGHIỆP - VIỄN THÔNG QUÂN ĐỘI</v>
      </c>
      <c r="K24" s="72" t="str">
        <f>IF(E24&gt;1,LEFT(Tonghop!M24,FIND(";",Tonghop!M24,1)-1),Tonghop!M24)</f>
        <v>STG0141</v>
      </c>
      <c r="L24" s="72" t="str">
        <f>IF(E24&gt;1,LEFT(Tonghop!N24,FIND(";",Tonghop!N24,1)-1),Tonghop!N24)</f>
        <v>NOKIA Flexi EDGE BTS</v>
      </c>
      <c r="M24" s="72">
        <f t="shared" si="0"/>
        <v>3</v>
      </c>
      <c r="N24" s="72" t="str">
        <f t="shared" si="1"/>
        <v>4</v>
      </c>
      <c r="O24" s="72" t="str">
        <f t="shared" si="2"/>
        <v>4</v>
      </c>
      <c r="P24" s="72" t="str">
        <f t="shared" si="3"/>
        <v>4</v>
      </c>
      <c r="Q24" s="72" t="str">
        <f>IF(E24&gt;1,LEFT(Tonghop!P24,FIND(";",Tonghop!P24,1)-1),Tonghop!P24)</f>
        <v>4/4/4</v>
      </c>
      <c r="R24" s="72" t="str">
        <f t="shared" si="4"/>
        <v>37.24</v>
      </c>
      <c r="S24" s="72" t="str">
        <f t="shared" si="5"/>
        <v>37.24</v>
      </c>
      <c r="T24" s="72" t="str">
        <f t="shared" si="6"/>
        <v>37.24</v>
      </c>
      <c r="U24" s="72" t="str">
        <f>IF(E24&gt;1,LEFT(Tonghop!Q24,FIND(";",Tonghop!Q24,1)-1),Tonghop!Q24)</f>
        <v>37.24W/37.24W/37.24W</v>
      </c>
      <c r="V24" s="72" t="str">
        <f>IF(E24&gt;1,LEFT(Tonghop!R24,FIND("/",Tonghop!R24,1)-1),Tonghop!R24)</f>
        <v>G900</v>
      </c>
      <c r="W24" s="72" t="str">
        <f>IF(E24&gt;1,LEFT(Tonghop!S24,FIND(";",Tonghop!S24,1)-1),Tonghop!S24)</f>
        <v>40m/ 40m/ 40m</v>
      </c>
      <c r="X24" s="73"/>
      <c r="Y24" s="74" t="str">
        <f>IF(E24&gt;2,MID(Tonghop!L24,LEN(Temp!J24)+2,FIND("/",Tonghop!L24,LEN(Temp!J24)+2)-LEN(Temp!J24)-2),IF(E24=2,RIGHT(Tonghop!L24,LEN(Tonghop!L24)-LEN(Temp!J24)-1),""))</f>
        <v>TẬP ĐOÀN CÔNG NGHIỆP - VIỄN THÔNG QUÂN ĐỘI</v>
      </c>
      <c r="Z24" s="74" t="str">
        <f>IF(E24&gt;2,MID(Tonghop!M24,LEN(Temp!K24)+2,FIND(";",Tonghop!M24,LEN(Temp!K24)+2)-LEN(Temp!K24)-2),IF(E24=2,RIGHT(Tonghop!M24,LEN(Tonghop!M24)-LEN(Temp!K24)-1),""))</f>
        <v>STG0141</v>
      </c>
      <c r="AA24" s="74" t="str">
        <f>IF(E24&gt;2,MID(Tonghop!N24,LEN(Temp!L24)+2,FIND(";",Tonghop!N24,LEN(Temp!L24)+2)-LEN(Temp!L24)-2),IF(E24=2,RIGHT(Tonghop!N24,LEN(Tonghop!N24)-LEN(Temp!L24)-1),""))</f>
        <v>NOKIA Flexi EDGE BTS</v>
      </c>
      <c r="AB24" s="75">
        <f t="shared" si="7"/>
        <v>3</v>
      </c>
      <c r="AC24" s="75" t="str">
        <f t="shared" si="8"/>
        <v>2</v>
      </c>
      <c r="AD24" s="75" t="str">
        <f t="shared" si="9"/>
        <v>2</v>
      </c>
      <c r="AE24" s="75" t="str">
        <f t="shared" si="10"/>
        <v>2</v>
      </c>
      <c r="AF24" s="74" t="str">
        <f>IF(E24&gt;2,MID(Tonghop!P24,LEN(Temp!Q24)+2,FIND(";",Tonghop!P24,LEN(Temp!Q24)+2)-LEN(Temp!Q24)-2),IF(E24=2,RIGHT(Tonghop!P24,LEN(Tonghop!P24)-LEN(Temp!Q24)-1),""))</f>
        <v>2/2/2</v>
      </c>
      <c r="AG24" s="72" t="str">
        <f t="shared" si="11"/>
        <v>41.7</v>
      </c>
      <c r="AH24" s="72" t="str">
        <f t="shared" si="12"/>
        <v>41.7</v>
      </c>
      <c r="AI24" s="72" t="str">
        <f t="shared" si="13"/>
        <v>41.7</v>
      </c>
      <c r="AJ24" s="74" t="str">
        <f>IF(E24&gt;2,MID(Tonghop!Q24,LEN(Temp!U24)+2,FIND(";",Tonghop!Q24,LEN(Temp!U24)+2)-LEN(Temp!U24)-2),IF(E24=2,RIGHT(Tonghop!Q24,LEN(Tonghop!Q24)-LEN(Temp!U24)-1),""))</f>
        <v>41.7W/41.7W/41.7W</v>
      </c>
      <c r="AK24" s="74" t="str">
        <f>IF(E24&gt;2,MID(Tonghop!R24,LEN(Temp!V24)+2,FIND("/",Tonghop!R24,LEN(Temp!V24)+2)-LEN(Temp!V24)-2),IF(E24=2,RIGHT(Tonghop!R24,LEN(Tonghop!R24)-LEN(Temp!V24)-1),""))</f>
        <v>G1800</v>
      </c>
      <c r="AL24" s="74" t="str">
        <f>IF(E24&gt;2,MID(Tonghop!S24,LEN(Temp!W24)+2,FIND(";",Tonghop!S24,LEN(Temp!W24)+2)-LEN(Temp!W24)-2),IF(E24=2,RIGHT(Tonghop!S24,LEN(Tonghop!S24)-LEN(Temp!W24)-1),""))</f>
        <v>36m/ 36m/ 36m</v>
      </c>
      <c r="AM24" s="73"/>
      <c r="AN24" s="75" t="str">
        <f>IF(E24&gt;2,RIGHT(Tonghop!L24,LEN(Tonghop!L24)-LEN(Temp!J24)-LEN(Temp!Y24)-2),"")</f>
        <v>TẬP ĐOÀN CÔNG NGHIỆP - VIỄN THÔNG QUÂN ĐỘI/TẬP ĐOÀN CÔNG NGHIỆP - VIỄN THÔNG QUÂN ĐỘI</v>
      </c>
      <c r="AO24" s="75" t="str">
        <f>IF(E24&gt;2,RIGHT(Tonghop!M24,LEN(Tonghop!M24)-LEN(Temp!K24)-LEN(Temp!Z24)-2),"")</f>
        <v>STG0141;STG0141</v>
      </c>
      <c r="AP24" s="75" t="str">
        <f>IF(E24&gt;2,RIGHT(Tonghop!N24,LEN(Tonghop!N24)-LEN(Temp!L24)-LEN(Temp!AA24)-2),"")</f>
        <v>NOKIA Flexi WCDMA BTS;NSN FLEXI MULTIRADIO AIRSCALE</v>
      </c>
      <c r="AQ24" s="75" t="str">
        <f>IF(E24&gt;2,RIGHT(Tonghop!P24,LEN(Tonghop!P24)-LEN(Temp!Q24)-LEN(Temp!AF24)-2),"")</f>
        <v>2/2/2;1/1/1</v>
      </c>
      <c r="AR24" s="75" t="str">
        <f>IF(E24&gt;2,RIGHT(Tonghop!Q24,LEN(Tonghop!Q24)-LEN(U24)-LEN(Temp!AJ24)-2),"")</f>
        <v>40W/40W/40W;40W/40W/40W</v>
      </c>
      <c r="AS24" s="75" t="str">
        <f>IF(E24&gt;2,RIGHT(Tonghop!R24,LEN(Tonghop!R24)-LEN(V24)-LEN(Temp!AK24)-2),"")</f>
        <v>U2100/L1800</v>
      </c>
      <c r="AT24" s="75" t="str">
        <f>IF(E24&gt;2,RIGHT(Tonghop!S24,LEN(Tonghop!S24)-LEN(W24)-LEN(Temp!AL24)-2),"")</f>
        <v>42m/ 42m/ 42m;40m/ 40m/ 40m</v>
      </c>
      <c r="AU24" s="75"/>
      <c r="AV24" s="75"/>
      <c r="AW24" s="75"/>
      <c r="AX24" s="75" t="str">
        <f t="shared" si="14"/>
        <v>TẬP ĐOÀN CÔNG NGHIỆP - VIỄN THÔNG QUÂN ĐỘI</v>
      </c>
      <c r="AY24" s="75" t="str">
        <f t="shared" si="15"/>
        <v>STG0141</v>
      </c>
      <c r="AZ24" s="75" t="str">
        <f t="shared" si="16"/>
        <v>NOKIA Flexi WCDMA BTS</v>
      </c>
      <c r="BA24" s="75">
        <f t="shared" si="17"/>
        <v>3</v>
      </c>
      <c r="BB24" s="75" t="str">
        <f t="shared" si="18"/>
        <v>2</v>
      </c>
      <c r="BC24" s="75" t="str">
        <f t="shared" si="19"/>
        <v>2</v>
      </c>
      <c r="BD24" s="75" t="str">
        <f t="shared" si="20"/>
        <v>2</v>
      </c>
      <c r="BE24" s="75" t="str">
        <f t="shared" si="21"/>
        <v>2/2/2</v>
      </c>
      <c r="BF24" s="72" t="str">
        <f t="shared" si="22"/>
        <v>40</v>
      </c>
      <c r="BG24" s="72" t="str">
        <f t="shared" si="23"/>
        <v>40</v>
      </c>
      <c r="BH24" s="72" t="str">
        <f t="shared" si="24"/>
        <v>40</v>
      </c>
      <c r="BI24" s="75" t="str">
        <f t="shared" si="25"/>
        <v>40W/40W/40W</v>
      </c>
      <c r="BJ24" s="75" t="str">
        <f t="shared" si="26"/>
        <v>U2100</v>
      </c>
      <c r="BK24" s="75" t="str">
        <f t="shared" si="27"/>
        <v>42m/ 42m/ 42m</v>
      </c>
      <c r="BL24" s="69"/>
      <c r="BM24" s="68" t="str">
        <f t="shared" si="28"/>
        <v>TẬP ĐOÀN CÔNG NGHIỆP - VIỄN THÔNG QUÂN ĐỘI</v>
      </c>
      <c r="BN24" s="68" t="str">
        <f t="shared" si="29"/>
        <v>STG0141</v>
      </c>
      <c r="BO24" s="68" t="str">
        <f t="shared" si="30"/>
        <v>NSN FLEXI MULTIRADIO AIRSCALE</v>
      </c>
      <c r="BP24" s="75">
        <f t="shared" si="31"/>
        <v>3</v>
      </c>
      <c r="BQ24" s="75" t="str">
        <f t="shared" si="32"/>
        <v>1</v>
      </c>
      <c r="BR24" s="75" t="str">
        <f t="shared" si="33"/>
        <v>1</v>
      </c>
      <c r="BS24" s="75" t="str">
        <f t="shared" si="34"/>
        <v>1</v>
      </c>
      <c r="BT24" s="77" t="str">
        <f t="shared" si="35"/>
        <v>1/1/1</v>
      </c>
      <c r="BU24" s="72" t="str">
        <f t="shared" si="36"/>
        <v>40</v>
      </c>
      <c r="BV24" s="72" t="str">
        <f t="shared" si="37"/>
        <v>40</v>
      </c>
      <c r="BW24" s="72" t="str">
        <f t="shared" si="38"/>
        <v>40</v>
      </c>
      <c r="BX24" s="77" t="str">
        <f t="shared" si="39"/>
        <v>40W/40W/40W</v>
      </c>
      <c r="BY24" s="77" t="str">
        <f t="shared" si="40"/>
        <v>L1800</v>
      </c>
      <c r="BZ24" s="77" t="str">
        <f t="shared" si="41"/>
        <v>40m/ 40m/ 40m</v>
      </c>
      <c r="CA24" s="69"/>
      <c r="CB24" s="75" t="str">
        <f>IF(E24&gt;4,RIGHT(AN24,LEN(AN24)-LEN(AX24)-LEN(Temp!BM24)-2),"")</f>
        <v/>
      </c>
      <c r="CC24" s="75" t="str">
        <f>IF(E24&gt;4,RIGHT(AO24,LEN(AO24)-LEN(AY24)-LEN(Temp!BN24)-2),"")</f>
        <v/>
      </c>
      <c r="CD24" s="75" t="str">
        <f>IF(E24&gt;4,RIGHT(AP24,LEN(AP24)-LEN(AZ24)-LEN(Temp!BO24)-2),"")</f>
        <v/>
      </c>
      <c r="CE24" s="75" t="str">
        <f t="shared" si="42"/>
        <v/>
      </c>
      <c r="CF24" s="75" t="str">
        <f t="shared" si="43"/>
        <v/>
      </c>
      <c r="CG24" s="75" t="str">
        <f t="shared" si="44"/>
        <v/>
      </c>
      <c r="CH24" s="75" t="str">
        <f t="shared" si="45"/>
        <v/>
      </c>
      <c r="CI24" s="75"/>
      <c r="CJ24" s="79"/>
      <c r="CK24" s="79"/>
      <c r="CL24" s="75" t="str">
        <f t="shared" si="46"/>
        <v/>
      </c>
      <c r="CM24" s="75" t="str">
        <f t="shared" si="47"/>
        <v/>
      </c>
      <c r="CN24" s="75" t="str">
        <f t="shared" si="48"/>
        <v/>
      </c>
      <c r="CO24" s="75" t="str">
        <f t="shared" si="49"/>
        <v/>
      </c>
      <c r="CP24" s="75" t="str">
        <f t="shared" si="50"/>
        <v/>
      </c>
      <c r="CQ24" s="75" t="str">
        <f t="shared" si="51"/>
        <v/>
      </c>
      <c r="CR24" s="75" t="str">
        <f t="shared" si="52"/>
        <v/>
      </c>
      <c r="CS24" s="75" t="str">
        <f t="shared" si="53"/>
        <v/>
      </c>
      <c r="CT24" s="72" t="str">
        <f t="shared" si="54"/>
        <v/>
      </c>
      <c r="CU24" s="72" t="str">
        <f t="shared" si="55"/>
        <v/>
      </c>
      <c r="CV24" s="72" t="str">
        <f t="shared" si="56"/>
        <v/>
      </c>
      <c r="CW24" s="75" t="str">
        <f t="shared" si="57"/>
        <v/>
      </c>
      <c r="CX24" s="75" t="str">
        <f t="shared" si="58"/>
        <v/>
      </c>
      <c r="CY24" s="75" t="str">
        <f t="shared" si="59"/>
        <v/>
      </c>
      <c r="CZ24" s="69"/>
      <c r="DA24" s="68" t="str">
        <f t="shared" si="60"/>
        <v/>
      </c>
      <c r="DB24" s="68" t="str">
        <f t="shared" si="61"/>
        <v/>
      </c>
      <c r="DC24" s="68" t="str">
        <f t="shared" si="62"/>
        <v/>
      </c>
      <c r="DD24" s="75" t="str">
        <f t="shared" si="63"/>
        <v/>
      </c>
      <c r="DE24" s="75" t="str">
        <f t="shared" si="64"/>
        <v/>
      </c>
      <c r="DF24" s="75" t="str">
        <f t="shared" si="65"/>
        <v/>
      </c>
      <c r="DG24" s="75" t="str">
        <f t="shared" si="66"/>
        <v/>
      </c>
      <c r="DH24" s="77" t="str">
        <f t="shared" si="67"/>
        <v/>
      </c>
      <c r="DI24" s="72" t="str">
        <f t="shared" si="68"/>
        <v/>
      </c>
      <c r="DJ24" s="72" t="str">
        <f t="shared" si="69"/>
        <v/>
      </c>
      <c r="DK24" s="72" t="str">
        <f t="shared" si="70"/>
        <v/>
      </c>
      <c r="DL24" s="77" t="str">
        <f t="shared" si="71"/>
        <v/>
      </c>
      <c r="DM24" s="77" t="str">
        <f t="shared" si="72"/>
        <v/>
      </c>
      <c r="DN24" s="77" t="str">
        <f t="shared" si="73"/>
        <v/>
      </c>
      <c r="DO24" s="68"/>
      <c r="DP24" s="68"/>
      <c r="DQ24" s="68"/>
      <c r="DR24" s="68"/>
      <c r="DS24" s="68"/>
      <c r="DT24" s="68"/>
      <c r="DU24" s="68"/>
      <c r="DV24" s="68"/>
      <c r="DW24" s="68"/>
      <c r="DX24" s="68"/>
      <c r="DY24" s="68"/>
      <c r="DZ24" s="68"/>
      <c r="EA24" s="68"/>
      <c r="EB24" s="68"/>
      <c r="EC24" s="68"/>
      <c r="ED24" s="68"/>
      <c r="EE24" s="68" t="str">
        <f>Tonghop!V24</f>
        <v>Yes</v>
      </c>
      <c r="EF24" s="68" t="str">
        <f>Tonghop!W24</f>
        <v>Yes</v>
      </c>
      <c r="EG24" s="68">
        <f>Tonghop!X24</f>
        <v>36</v>
      </c>
      <c r="EH24" s="68" t="str">
        <f>Tonghop!Y24</f>
        <v>Yes</v>
      </c>
      <c r="EI24" s="68">
        <f>Tonghop!Z24</f>
        <v>32</v>
      </c>
      <c r="EJ24" s="139"/>
    </row>
    <row r="25" spans="1:140" s="112" customFormat="1">
      <c r="A25" s="67">
        <f>Tonghop!A25</f>
        <v>24</v>
      </c>
      <c r="B25" s="68" t="str">
        <f>Tonghop!D25</f>
        <v>Số 1055/5, ấp Cảng, thị trấn Trần Đề, huyện Trần Đề, tỉnh Sóc Trăng.</v>
      </c>
      <c r="C25" s="71" t="str">
        <f>Tonghop!E25</f>
        <v>Sóc Trăng</v>
      </c>
      <c r="D25" s="71" t="str">
        <f>Tonghop!I25</f>
        <v>1802444/2019/PTN-KĐ</v>
      </c>
      <c r="E25" s="67">
        <f>Tonghop!H25</f>
        <v>4</v>
      </c>
      <c r="F25" s="69"/>
      <c r="G25" s="69"/>
      <c r="H25" s="69"/>
      <c r="I25" s="69"/>
      <c r="J25" s="72" t="str">
        <f>IF(E25&gt;1,LEFT(Tonghop!L25,FIND("/",Tonghop!L25,1)-1),Tonghop!L25)</f>
        <v>TẬP ĐOÀN CÔNG NGHIỆP - VIỄN THÔNG QUÂN ĐỘI</v>
      </c>
      <c r="K25" s="72" t="str">
        <f>IF(E25&gt;1,LEFT(Tonghop!M25,FIND(";",Tonghop!M25,1)-1),Tonghop!M25)</f>
        <v>STG0211</v>
      </c>
      <c r="L25" s="72" t="str">
        <f>IF(E25&gt;1,LEFT(Tonghop!N25,FIND(";",Tonghop!N25,1)-1),Tonghop!N25)</f>
        <v>NOKIA Flexi EDGE BTS</v>
      </c>
      <c r="M25" s="72">
        <f t="shared" si="0"/>
        <v>3</v>
      </c>
      <c r="N25" s="72" t="str">
        <f t="shared" si="1"/>
        <v>4</v>
      </c>
      <c r="O25" s="72" t="str">
        <f t="shared" si="2"/>
        <v>4</v>
      </c>
      <c r="P25" s="72" t="str">
        <f t="shared" si="3"/>
        <v>4</v>
      </c>
      <c r="Q25" s="72" t="str">
        <f>IF(E25&gt;1,LEFT(Tonghop!P25,FIND(";",Tonghop!P25,1)-1),Tonghop!P25)</f>
        <v>4/4/4</v>
      </c>
      <c r="R25" s="72" t="str">
        <f t="shared" si="4"/>
        <v>37.24</v>
      </c>
      <c r="S25" s="72" t="str">
        <f t="shared" si="5"/>
        <v>37.24</v>
      </c>
      <c r="T25" s="72" t="str">
        <f t="shared" si="6"/>
        <v>37.24</v>
      </c>
      <c r="U25" s="72" t="str">
        <f>IF(E25&gt;1,LEFT(Tonghop!Q25,FIND(";",Tonghop!Q25,1)-1),Tonghop!Q25)</f>
        <v>37.24W/37.24W/37.24W</v>
      </c>
      <c r="V25" s="72" t="str">
        <f>IF(E25&gt;1,LEFT(Tonghop!R25,FIND("/",Tonghop!R25,1)-1),Tonghop!R25)</f>
        <v>G900</v>
      </c>
      <c r="W25" s="72" t="str">
        <f>IF(E25&gt;1,LEFT(Tonghop!S25,FIND(";",Tonghop!S25,1)-1),Tonghop!S25)</f>
        <v>40m/ 40m/ 40m</v>
      </c>
      <c r="X25" s="73"/>
      <c r="Y25" s="74" t="str">
        <f>IF(E25&gt;2,MID(Tonghop!L25,LEN(Temp!J25)+2,FIND("/",Tonghop!L25,LEN(Temp!J25)+2)-LEN(Temp!J25)-2),IF(E25=2,RIGHT(Tonghop!L25,LEN(Tonghop!L25)-LEN(Temp!J25)-1),""))</f>
        <v>TẬP ĐOÀN CÔNG NGHIỆP - VIỄN THÔNG QUÂN ĐỘI</v>
      </c>
      <c r="Z25" s="74" t="str">
        <f>IF(E25&gt;2,MID(Tonghop!M25,LEN(Temp!K25)+2,FIND(";",Tonghop!M25,LEN(Temp!K25)+2)-LEN(Temp!K25)-2),IF(E25=2,RIGHT(Tonghop!M25,LEN(Tonghop!M25)-LEN(Temp!K25)-1),""))</f>
        <v>STG0211</v>
      </c>
      <c r="AA25" s="74" t="str">
        <f>IF(E25&gt;2,MID(Tonghop!N25,LEN(Temp!L25)+2,FIND(";",Tonghop!N25,LEN(Temp!L25)+2)-LEN(Temp!L25)-2),IF(E25=2,RIGHT(Tonghop!N25,LEN(Tonghop!N25)-LEN(Temp!L25)-1),""))</f>
        <v>NOKIA Flexi EDGE BTS</v>
      </c>
      <c r="AB25" s="75">
        <f t="shared" si="7"/>
        <v>3</v>
      </c>
      <c r="AC25" s="75" t="str">
        <f t="shared" si="8"/>
        <v>4</v>
      </c>
      <c r="AD25" s="75" t="str">
        <f t="shared" si="9"/>
        <v>4</v>
      </c>
      <c r="AE25" s="75" t="str">
        <f t="shared" si="10"/>
        <v>4</v>
      </c>
      <c r="AF25" s="74" t="str">
        <f>IF(E25&gt;2,MID(Tonghop!P25,LEN(Temp!Q25)+2,FIND(";",Tonghop!P25,LEN(Temp!Q25)+2)-LEN(Temp!Q25)-2),IF(E25=2,RIGHT(Tonghop!P25,LEN(Tonghop!P25)-LEN(Temp!Q25)-1),""))</f>
        <v>4/4/4</v>
      </c>
      <c r="AG25" s="72" t="str">
        <f t="shared" si="11"/>
        <v>37.24</v>
      </c>
      <c r="AH25" s="72" t="str">
        <f t="shared" si="12"/>
        <v>37.24</v>
      </c>
      <c r="AI25" s="72" t="str">
        <f t="shared" si="13"/>
        <v>37.24</v>
      </c>
      <c r="AJ25" s="74" t="str">
        <f>IF(E25&gt;2,MID(Tonghop!Q25,LEN(Temp!U25)+2,FIND(";",Tonghop!Q25,LEN(Temp!U25)+2)-LEN(Temp!U25)-2),IF(E25=2,RIGHT(Tonghop!Q25,LEN(Tonghop!Q25)-LEN(Temp!U25)-1),""))</f>
        <v>37.24W/37.24W/37.24W</v>
      </c>
      <c r="AK25" s="74" t="str">
        <f>IF(E25&gt;2,MID(Tonghop!R25,LEN(Temp!V25)+2,FIND("/",Tonghop!R25,LEN(Temp!V25)+2)-LEN(Temp!V25)-2),IF(E25=2,RIGHT(Tonghop!R25,LEN(Tonghop!R25)-LEN(Temp!V25)-1),""))</f>
        <v>G1800</v>
      </c>
      <c r="AL25" s="74" t="str">
        <f>IF(E25&gt;2,MID(Tonghop!S25,LEN(Temp!W25)+2,FIND(";",Tonghop!S25,LEN(Temp!W25)+2)-LEN(Temp!W25)-2),IF(E25=2,RIGHT(Tonghop!S25,LEN(Tonghop!S25)-LEN(Temp!W25)-1),""))</f>
        <v>40m/ 40m/ 40m</v>
      </c>
      <c r="AM25" s="73"/>
      <c r="AN25" s="75" t="str">
        <f>IF(E25&gt;2,RIGHT(Tonghop!L25,LEN(Tonghop!L25)-LEN(Temp!J25)-LEN(Temp!Y25)-2),"")</f>
        <v>TẬP ĐOÀN CÔNG NGHIỆP - VIỄN THÔNG QUÂN ĐỘI/TẬP ĐOÀN CÔNG NGHIỆP - VIỄN THÔNG QUÂN ĐỘI</v>
      </c>
      <c r="AO25" s="75" t="str">
        <f>IF(E25&gt;2,RIGHT(Tonghop!M25,LEN(Tonghop!M25)-LEN(Temp!K25)-LEN(Temp!Z25)-2),"")</f>
        <v>STG0211;STG0211</v>
      </c>
      <c r="AP25" s="75" t="str">
        <f>IF(E25&gt;2,RIGHT(Tonghop!N25,LEN(Tonghop!N25)-LEN(Temp!L25)-LEN(Temp!AA25)-2),"")</f>
        <v>NOKIA Flexi WCDMA BTS;NSN FLEXI MULTIRADIO AIRSCALE</v>
      </c>
      <c r="AQ25" s="75" t="str">
        <f>IF(E25&gt;2,RIGHT(Tonghop!P25,LEN(Tonghop!P25)-LEN(Temp!Q25)-LEN(Temp!AF25)-2),"")</f>
        <v>2/2/2;1/1/1</v>
      </c>
      <c r="AR25" s="75" t="str">
        <f>IF(E25&gt;2,RIGHT(Tonghop!Q25,LEN(Tonghop!Q25)-LEN(U25)-LEN(Temp!AJ25)-2),"")</f>
        <v>40W/40W/40W;40W/40W/40W</v>
      </c>
      <c r="AS25" s="75" t="str">
        <f>IF(E25&gt;2,RIGHT(Tonghop!R25,LEN(Tonghop!R25)-LEN(V25)-LEN(Temp!AK25)-2),"")</f>
        <v>U2100/L1800</v>
      </c>
      <c r="AT25" s="75" t="str">
        <f>IF(E25&gt;2,RIGHT(Tonghop!S25,LEN(Tonghop!S25)-LEN(W25)-LEN(Temp!AL25)-2),"")</f>
        <v>36m/ 36m/ 36m;41m/ 41m/ 41m</v>
      </c>
      <c r="AU25" s="75"/>
      <c r="AV25" s="75"/>
      <c r="AW25" s="75"/>
      <c r="AX25" s="75" t="str">
        <f t="shared" si="14"/>
        <v>TẬP ĐOÀN CÔNG NGHIỆP - VIỄN THÔNG QUÂN ĐỘI</v>
      </c>
      <c r="AY25" s="75" t="str">
        <f t="shared" si="15"/>
        <v>STG0211</v>
      </c>
      <c r="AZ25" s="75" t="str">
        <f t="shared" si="16"/>
        <v>NOKIA Flexi WCDMA BTS</v>
      </c>
      <c r="BA25" s="75">
        <f t="shared" si="17"/>
        <v>3</v>
      </c>
      <c r="BB25" s="75" t="str">
        <f t="shared" si="18"/>
        <v>2</v>
      </c>
      <c r="BC25" s="75" t="str">
        <f t="shared" si="19"/>
        <v>2</v>
      </c>
      <c r="BD25" s="75" t="str">
        <f t="shared" si="20"/>
        <v>2</v>
      </c>
      <c r="BE25" s="75" t="str">
        <f t="shared" si="21"/>
        <v>2/2/2</v>
      </c>
      <c r="BF25" s="72" t="str">
        <f t="shared" si="22"/>
        <v>40</v>
      </c>
      <c r="BG25" s="72" t="str">
        <f t="shared" si="23"/>
        <v>40</v>
      </c>
      <c r="BH25" s="72" t="str">
        <f t="shared" si="24"/>
        <v>40</v>
      </c>
      <c r="BI25" s="75" t="str">
        <f t="shared" si="25"/>
        <v>40W/40W/40W</v>
      </c>
      <c r="BJ25" s="75" t="str">
        <f t="shared" si="26"/>
        <v>U2100</v>
      </c>
      <c r="BK25" s="75" t="str">
        <f t="shared" si="27"/>
        <v>36m/ 36m/ 36m</v>
      </c>
      <c r="BL25" s="69"/>
      <c r="BM25" s="68" t="str">
        <f t="shared" si="28"/>
        <v>TẬP ĐOÀN CÔNG NGHIỆP - VIỄN THÔNG QUÂN ĐỘI</v>
      </c>
      <c r="BN25" s="68" t="str">
        <f t="shared" si="29"/>
        <v>STG0211</v>
      </c>
      <c r="BO25" s="68" t="str">
        <f t="shared" si="30"/>
        <v>NSN FLEXI MULTIRADIO AIRSCALE</v>
      </c>
      <c r="BP25" s="75">
        <f t="shared" si="31"/>
        <v>3</v>
      </c>
      <c r="BQ25" s="75" t="str">
        <f t="shared" si="32"/>
        <v>1</v>
      </c>
      <c r="BR25" s="75" t="str">
        <f t="shared" si="33"/>
        <v>1</v>
      </c>
      <c r="BS25" s="75" t="str">
        <f t="shared" si="34"/>
        <v>1</v>
      </c>
      <c r="BT25" s="77" t="str">
        <f t="shared" si="35"/>
        <v>1/1/1</v>
      </c>
      <c r="BU25" s="72" t="str">
        <f t="shared" si="36"/>
        <v>40</v>
      </c>
      <c r="BV25" s="72" t="str">
        <f t="shared" si="37"/>
        <v>40</v>
      </c>
      <c r="BW25" s="72" t="str">
        <f t="shared" si="38"/>
        <v>40</v>
      </c>
      <c r="BX25" s="77" t="str">
        <f t="shared" si="39"/>
        <v>40W/40W/40W</v>
      </c>
      <c r="BY25" s="77" t="str">
        <f t="shared" si="40"/>
        <v>L1800</v>
      </c>
      <c r="BZ25" s="77" t="str">
        <f t="shared" si="41"/>
        <v>41m/ 41m/ 41m</v>
      </c>
      <c r="CA25" s="69"/>
      <c r="CB25" s="75" t="str">
        <f>IF(E25&gt;4,RIGHT(AN25,LEN(AN25)-LEN(AX25)-LEN(Temp!BM25)-2),"")</f>
        <v/>
      </c>
      <c r="CC25" s="75" t="str">
        <f>IF(E25&gt;4,RIGHT(AO25,LEN(AO25)-LEN(AY25)-LEN(Temp!BN25)-2),"")</f>
        <v/>
      </c>
      <c r="CD25" s="75" t="str">
        <f>IF(E25&gt;4,RIGHT(AP25,LEN(AP25)-LEN(AZ25)-LEN(Temp!BO25)-2),"")</f>
        <v/>
      </c>
      <c r="CE25" s="75" t="str">
        <f t="shared" si="42"/>
        <v/>
      </c>
      <c r="CF25" s="75" t="str">
        <f t="shared" si="43"/>
        <v/>
      </c>
      <c r="CG25" s="75" t="str">
        <f t="shared" si="44"/>
        <v/>
      </c>
      <c r="CH25" s="75" t="str">
        <f t="shared" si="45"/>
        <v/>
      </c>
      <c r="CI25" s="75"/>
      <c r="CJ25" s="79"/>
      <c r="CK25" s="79"/>
      <c r="CL25" s="75" t="str">
        <f t="shared" si="46"/>
        <v/>
      </c>
      <c r="CM25" s="75" t="str">
        <f t="shared" si="47"/>
        <v/>
      </c>
      <c r="CN25" s="75" t="str">
        <f t="shared" si="48"/>
        <v/>
      </c>
      <c r="CO25" s="75" t="str">
        <f t="shared" si="49"/>
        <v/>
      </c>
      <c r="CP25" s="75" t="str">
        <f t="shared" si="50"/>
        <v/>
      </c>
      <c r="CQ25" s="75" t="str">
        <f t="shared" si="51"/>
        <v/>
      </c>
      <c r="CR25" s="75" t="str">
        <f t="shared" si="52"/>
        <v/>
      </c>
      <c r="CS25" s="75" t="str">
        <f t="shared" si="53"/>
        <v/>
      </c>
      <c r="CT25" s="72" t="str">
        <f t="shared" si="54"/>
        <v/>
      </c>
      <c r="CU25" s="72" t="str">
        <f t="shared" si="55"/>
        <v/>
      </c>
      <c r="CV25" s="72" t="str">
        <f t="shared" si="56"/>
        <v/>
      </c>
      <c r="CW25" s="75" t="str">
        <f t="shared" si="57"/>
        <v/>
      </c>
      <c r="CX25" s="75" t="str">
        <f t="shared" si="58"/>
        <v/>
      </c>
      <c r="CY25" s="75" t="str">
        <f t="shared" si="59"/>
        <v/>
      </c>
      <c r="CZ25" s="69"/>
      <c r="DA25" s="68" t="str">
        <f t="shared" si="60"/>
        <v/>
      </c>
      <c r="DB25" s="68" t="str">
        <f t="shared" si="61"/>
        <v/>
      </c>
      <c r="DC25" s="68" t="str">
        <f t="shared" si="62"/>
        <v/>
      </c>
      <c r="DD25" s="75" t="str">
        <f t="shared" si="63"/>
        <v/>
      </c>
      <c r="DE25" s="75" t="str">
        <f t="shared" si="64"/>
        <v/>
      </c>
      <c r="DF25" s="75" t="str">
        <f t="shared" si="65"/>
        <v/>
      </c>
      <c r="DG25" s="75" t="str">
        <f t="shared" si="66"/>
        <v/>
      </c>
      <c r="DH25" s="77" t="str">
        <f t="shared" si="67"/>
        <v/>
      </c>
      <c r="DI25" s="72" t="str">
        <f t="shared" si="68"/>
        <v/>
      </c>
      <c r="DJ25" s="72" t="str">
        <f t="shared" si="69"/>
        <v/>
      </c>
      <c r="DK25" s="72" t="str">
        <f t="shared" si="70"/>
        <v/>
      </c>
      <c r="DL25" s="77" t="str">
        <f t="shared" si="71"/>
        <v/>
      </c>
      <c r="DM25" s="77" t="str">
        <f t="shared" si="72"/>
        <v/>
      </c>
      <c r="DN25" s="77" t="str">
        <f t="shared" si="73"/>
        <v/>
      </c>
      <c r="DO25" s="68"/>
      <c r="DP25" s="68"/>
      <c r="DQ25" s="68"/>
      <c r="DR25" s="68"/>
      <c r="DS25" s="68"/>
      <c r="DT25" s="68"/>
      <c r="DU25" s="68"/>
      <c r="DV25" s="68"/>
      <c r="DW25" s="68"/>
      <c r="DX25" s="68"/>
      <c r="DY25" s="68"/>
      <c r="DZ25" s="68"/>
      <c r="EA25" s="68"/>
      <c r="EB25" s="68"/>
      <c r="EC25" s="68"/>
      <c r="ED25" s="68"/>
      <c r="EE25" s="68" t="str">
        <f>Tonghop!V25</f>
        <v>Yes</v>
      </c>
      <c r="EF25" s="68" t="str">
        <f>Tonghop!W25</f>
        <v>Yes</v>
      </c>
      <c r="EG25" s="68">
        <f>Tonghop!X25</f>
        <v>36</v>
      </c>
      <c r="EH25" s="68" t="str">
        <f>Tonghop!Y25</f>
        <v>Yes</v>
      </c>
      <c r="EI25" s="68">
        <f>Tonghop!Z25</f>
        <v>22</v>
      </c>
      <c r="EJ25" s="139"/>
    </row>
    <row r="26" spans="1:140" s="112" customFormat="1">
      <c r="A26" s="67" t="e">
        <f>Tonghop!#REF!</f>
        <v>#REF!</v>
      </c>
      <c r="B26" s="68" t="e">
        <f>Tonghop!#REF!</f>
        <v>#REF!</v>
      </c>
      <c r="C26" s="71" t="e">
        <f>Tonghop!#REF!</f>
        <v>#REF!</v>
      </c>
      <c r="D26" s="71" t="e">
        <f>Tonghop!#REF!</f>
        <v>#REF!</v>
      </c>
      <c r="E26" s="67" t="e">
        <f>Tonghop!#REF!</f>
        <v>#REF!</v>
      </c>
      <c r="F26" s="69"/>
      <c r="G26" s="69"/>
      <c r="H26" s="69"/>
      <c r="I26" s="69"/>
      <c r="J26" s="72" t="e">
        <f>IF(E26&gt;1,LEFT(Tonghop!#REF!,FIND("/",Tonghop!#REF!,1)-1),Tonghop!#REF!)</f>
        <v>#REF!</v>
      </c>
      <c r="K26" s="72" t="e">
        <f>IF(E26&gt;1,LEFT(Tonghop!#REF!,FIND(";",Tonghop!#REF!,1)-1),Tonghop!#REF!)</f>
        <v>#REF!</v>
      </c>
      <c r="L26" s="72" t="e">
        <f>IF(E26&gt;1,LEFT(Tonghop!#REF!,FIND(";",Tonghop!#REF!,1)-1),Tonghop!#REF!)</f>
        <v>#REF!</v>
      </c>
      <c r="M26" s="72" t="e">
        <f t="shared" si="0"/>
        <v>#REF!</v>
      </c>
      <c r="N26" s="72" t="e">
        <f t="shared" si="1"/>
        <v>#REF!</v>
      </c>
      <c r="O26" s="72" t="e">
        <f t="shared" si="2"/>
        <v>#REF!</v>
      </c>
      <c r="P26" s="72" t="e">
        <f t="shared" si="3"/>
        <v>#REF!</v>
      </c>
      <c r="Q26" s="72" t="e">
        <f>IF(E26&gt;1,LEFT(Tonghop!#REF!,FIND(";",Tonghop!#REF!,1)-1),Tonghop!#REF!)</f>
        <v>#REF!</v>
      </c>
      <c r="R26" s="72" t="e">
        <f t="shared" si="4"/>
        <v>#REF!</v>
      </c>
      <c r="S26" s="72" t="e">
        <f t="shared" si="5"/>
        <v>#REF!</v>
      </c>
      <c r="T26" s="72" t="e">
        <f t="shared" si="6"/>
        <v>#REF!</v>
      </c>
      <c r="U26" s="72" t="e">
        <f>IF(E26&gt;1,LEFT(Tonghop!#REF!,FIND(";",Tonghop!#REF!,1)-1),Tonghop!#REF!)</f>
        <v>#REF!</v>
      </c>
      <c r="V26" s="72" t="e">
        <f>IF(E26&gt;1,LEFT(Tonghop!#REF!,FIND("/",Tonghop!#REF!,1)-1),Tonghop!#REF!)</f>
        <v>#REF!</v>
      </c>
      <c r="W26" s="72" t="e">
        <f>IF(E26&gt;1,LEFT(Tonghop!#REF!,FIND(";",Tonghop!#REF!,1)-1),Tonghop!#REF!)</f>
        <v>#REF!</v>
      </c>
      <c r="X26" s="73"/>
      <c r="Y26" s="74" t="e">
        <f>IF(E26&gt;2,MID(Tonghop!#REF!,LEN(Temp!J26)+2,FIND("/",Tonghop!#REF!,LEN(Temp!J26)+2)-LEN(Temp!J26)-2),IF(E26=2,RIGHT(Tonghop!#REF!,LEN(Tonghop!#REF!)-LEN(Temp!J26)-1),""))</f>
        <v>#REF!</v>
      </c>
      <c r="Z26" s="74" t="e">
        <f>IF(E26&gt;2,MID(Tonghop!#REF!,LEN(Temp!K26)+2,FIND(";",Tonghop!#REF!,LEN(Temp!K26)+2)-LEN(Temp!K26)-2),IF(E26=2,RIGHT(Tonghop!#REF!,LEN(Tonghop!#REF!)-LEN(Temp!K26)-1),""))</f>
        <v>#REF!</v>
      </c>
      <c r="AA26" s="74" t="e">
        <f>IF(E26&gt;2,MID(Tonghop!#REF!,LEN(Temp!L26)+2,FIND(";",Tonghop!#REF!,LEN(Temp!L26)+2)-LEN(Temp!L26)-2),IF(E26=2,RIGHT(Tonghop!#REF!,LEN(Tonghop!#REF!)-LEN(Temp!L26)-1),""))</f>
        <v>#REF!</v>
      </c>
      <c r="AB26" s="75" t="e">
        <f t="shared" si="7"/>
        <v>#REF!</v>
      </c>
      <c r="AC26" s="75" t="e">
        <f t="shared" si="8"/>
        <v>#REF!</v>
      </c>
      <c r="AD26" s="75" t="e">
        <f t="shared" si="9"/>
        <v>#REF!</v>
      </c>
      <c r="AE26" s="75" t="e">
        <f t="shared" si="10"/>
        <v>#REF!</v>
      </c>
      <c r="AF26" s="74" t="e">
        <f>IF(E26&gt;2,MID(Tonghop!#REF!,LEN(Temp!Q26)+2,FIND(";",Tonghop!#REF!,LEN(Temp!Q26)+2)-LEN(Temp!Q26)-2),IF(E26=2,RIGHT(Tonghop!#REF!,LEN(Tonghop!#REF!)-LEN(Temp!Q26)-1),""))</f>
        <v>#REF!</v>
      </c>
      <c r="AG26" s="72" t="e">
        <f t="shared" si="11"/>
        <v>#REF!</v>
      </c>
      <c r="AH26" s="72" t="e">
        <f t="shared" si="12"/>
        <v>#REF!</v>
      </c>
      <c r="AI26" s="72" t="e">
        <f t="shared" si="13"/>
        <v>#REF!</v>
      </c>
      <c r="AJ26" s="74" t="e">
        <f>IF(E26&gt;2,MID(Tonghop!#REF!,LEN(Temp!U26)+2,FIND(";",Tonghop!#REF!,LEN(Temp!U26)+2)-LEN(Temp!U26)-2),IF(E26=2,RIGHT(Tonghop!#REF!,LEN(Tonghop!#REF!)-LEN(Temp!U26)-1),""))</f>
        <v>#REF!</v>
      </c>
      <c r="AK26" s="74" t="e">
        <f>IF(E26&gt;2,MID(Tonghop!#REF!,LEN(Temp!V26)+2,FIND("/",Tonghop!#REF!,LEN(Temp!V26)+2)-LEN(Temp!V26)-2),IF(E26=2,RIGHT(Tonghop!#REF!,LEN(Tonghop!#REF!)-LEN(Temp!V26)-1),""))</f>
        <v>#REF!</v>
      </c>
      <c r="AL26" s="74" t="e">
        <f>IF(E26&gt;2,MID(Tonghop!#REF!,LEN(Temp!W26)+2,FIND(";",Tonghop!#REF!,LEN(Temp!W26)+2)-LEN(Temp!W26)-2),IF(E26=2,RIGHT(Tonghop!#REF!,LEN(Tonghop!#REF!)-LEN(Temp!W26)-1),""))</f>
        <v>#REF!</v>
      </c>
      <c r="AM26" s="73"/>
      <c r="AN26" s="75" t="e">
        <f>IF(E26&gt;2,RIGHT(Tonghop!#REF!,LEN(Tonghop!#REF!)-LEN(Temp!J26)-LEN(Temp!Y26)-2),"")</f>
        <v>#REF!</v>
      </c>
      <c r="AO26" s="75" t="e">
        <f>IF(E26&gt;2,RIGHT(Tonghop!#REF!,LEN(Tonghop!#REF!)-LEN(Temp!K26)-LEN(Temp!Z26)-2),"")</f>
        <v>#REF!</v>
      </c>
      <c r="AP26" s="75" t="e">
        <f>IF(E26&gt;2,RIGHT(Tonghop!#REF!,LEN(Tonghop!#REF!)-LEN(Temp!L26)-LEN(Temp!AA26)-2),"")</f>
        <v>#REF!</v>
      </c>
      <c r="AQ26" s="75" t="e">
        <f>IF(E26&gt;2,RIGHT(Tonghop!#REF!,LEN(Tonghop!#REF!)-LEN(Temp!Q26)-LEN(Temp!AF26)-2),"")</f>
        <v>#REF!</v>
      </c>
      <c r="AR26" s="75" t="e">
        <f>IF(E26&gt;2,RIGHT(Tonghop!#REF!,LEN(Tonghop!#REF!)-LEN(U26)-LEN(Temp!AJ26)-2),"")</f>
        <v>#REF!</v>
      </c>
      <c r="AS26" s="75" t="e">
        <f>IF(E26&gt;2,RIGHT(Tonghop!#REF!,LEN(Tonghop!#REF!)-LEN(V26)-LEN(Temp!AK26)-2),"")</f>
        <v>#REF!</v>
      </c>
      <c r="AT26" s="75" t="e">
        <f>IF(E26&gt;2,RIGHT(Tonghop!#REF!,LEN(Tonghop!#REF!)-LEN(W26)-LEN(Temp!AL26)-2),"")</f>
        <v>#REF!</v>
      </c>
      <c r="AU26" s="75"/>
      <c r="AV26" s="75"/>
      <c r="AW26" s="75"/>
      <c r="AX26" s="75" t="e">
        <f t="shared" si="14"/>
        <v>#REF!</v>
      </c>
      <c r="AY26" s="75" t="e">
        <f t="shared" si="15"/>
        <v>#REF!</v>
      </c>
      <c r="AZ26" s="75" t="e">
        <f t="shared" si="16"/>
        <v>#REF!</v>
      </c>
      <c r="BA26" s="75" t="e">
        <f t="shared" si="17"/>
        <v>#REF!</v>
      </c>
      <c r="BB26" s="75" t="e">
        <f t="shared" si="18"/>
        <v>#REF!</v>
      </c>
      <c r="BC26" s="75" t="e">
        <f t="shared" si="19"/>
        <v>#REF!</v>
      </c>
      <c r="BD26" s="75" t="e">
        <f t="shared" si="20"/>
        <v>#REF!</v>
      </c>
      <c r="BE26" s="75" t="e">
        <f t="shared" si="21"/>
        <v>#REF!</v>
      </c>
      <c r="BF26" s="72" t="e">
        <f t="shared" si="22"/>
        <v>#REF!</v>
      </c>
      <c r="BG26" s="72" t="e">
        <f t="shared" si="23"/>
        <v>#REF!</v>
      </c>
      <c r="BH26" s="72" t="e">
        <f t="shared" si="24"/>
        <v>#REF!</v>
      </c>
      <c r="BI26" s="75" t="e">
        <f t="shared" si="25"/>
        <v>#REF!</v>
      </c>
      <c r="BJ26" s="75" t="e">
        <f t="shared" si="26"/>
        <v>#REF!</v>
      </c>
      <c r="BK26" s="75" t="e">
        <f t="shared" si="27"/>
        <v>#REF!</v>
      </c>
      <c r="BL26" s="69"/>
      <c r="BM26" s="68" t="e">
        <f t="shared" si="28"/>
        <v>#REF!</v>
      </c>
      <c r="BN26" s="68" t="e">
        <f t="shared" si="29"/>
        <v>#REF!</v>
      </c>
      <c r="BO26" s="68" t="e">
        <f t="shared" si="30"/>
        <v>#REF!</v>
      </c>
      <c r="BP26" s="75" t="e">
        <f t="shared" si="31"/>
        <v>#REF!</v>
      </c>
      <c r="BQ26" s="75" t="e">
        <f t="shared" si="32"/>
        <v>#REF!</v>
      </c>
      <c r="BR26" s="75" t="e">
        <f t="shared" si="33"/>
        <v>#REF!</v>
      </c>
      <c r="BS26" s="75" t="e">
        <f t="shared" si="34"/>
        <v>#REF!</v>
      </c>
      <c r="BT26" s="77" t="e">
        <f t="shared" si="35"/>
        <v>#REF!</v>
      </c>
      <c r="BU26" s="72" t="e">
        <f t="shared" si="36"/>
        <v>#REF!</v>
      </c>
      <c r="BV26" s="72" t="e">
        <f t="shared" si="37"/>
        <v>#REF!</v>
      </c>
      <c r="BW26" s="72" t="e">
        <f t="shared" si="38"/>
        <v>#REF!</v>
      </c>
      <c r="BX26" s="77" t="e">
        <f t="shared" si="39"/>
        <v>#REF!</v>
      </c>
      <c r="BY26" s="77" t="e">
        <f t="shared" si="40"/>
        <v>#REF!</v>
      </c>
      <c r="BZ26" s="77" t="e">
        <f t="shared" si="41"/>
        <v>#REF!</v>
      </c>
      <c r="CA26" s="69"/>
      <c r="CB26" s="75" t="e">
        <f>IF(E26&gt;4,RIGHT(AN26,LEN(AN26)-LEN(AX26)-LEN(Temp!BM26)-2),"")</f>
        <v>#REF!</v>
      </c>
      <c r="CC26" s="75" t="e">
        <f>IF(E26&gt;4,RIGHT(AO26,LEN(AO26)-LEN(AY26)-LEN(Temp!BN26)-2),"")</f>
        <v>#REF!</v>
      </c>
      <c r="CD26" s="75" t="e">
        <f>IF(E26&gt;4,RIGHT(AP26,LEN(AP26)-LEN(AZ26)-LEN(Temp!BO26)-2),"")</f>
        <v>#REF!</v>
      </c>
      <c r="CE26" s="75" t="e">
        <f t="shared" si="42"/>
        <v>#REF!</v>
      </c>
      <c r="CF26" s="75" t="e">
        <f t="shared" si="43"/>
        <v>#REF!</v>
      </c>
      <c r="CG26" s="75" t="e">
        <f t="shared" si="44"/>
        <v>#REF!</v>
      </c>
      <c r="CH26" s="75" t="e">
        <f t="shared" si="45"/>
        <v>#REF!</v>
      </c>
      <c r="CI26" s="75"/>
      <c r="CJ26" s="79"/>
      <c r="CK26" s="79"/>
      <c r="CL26" s="75" t="e">
        <f t="shared" si="46"/>
        <v>#REF!</v>
      </c>
      <c r="CM26" s="75" t="e">
        <f t="shared" si="47"/>
        <v>#REF!</v>
      </c>
      <c r="CN26" s="75" t="e">
        <f t="shared" si="48"/>
        <v>#REF!</v>
      </c>
      <c r="CO26" s="75" t="e">
        <f t="shared" si="49"/>
        <v>#REF!</v>
      </c>
      <c r="CP26" s="75" t="e">
        <f t="shared" si="50"/>
        <v>#REF!</v>
      </c>
      <c r="CQ26" s="75" t="e">
        <f t="shared" si="51"/>
        <v>#REF!</v>
      </c>
      <c r="CR26" s="75" t="e">
        <f t="shared" si="52"/>
        <v>#REF!</v>
      </c>
      <c r="CS26" s="75" t="e">
        <f t="shared" si="53"/>
        <v>#REF!</v>
      </c>
      <c r="CT26" s="72" t="e">
        <f t="shared" si="54"/>
        <v>#REF!</v>
      </c>
      <c r="CU26" s="72" t="e">
        <f t="shared" si="55"/>
        <v>#REF!</v>
      </c>
      <c r="CV26" s="72" t="e">
        <f t="shared" si="56"/>
        <v>#REF!</v>
      </c>
      <c r="CW26" s="75" t="e">
        <f t="shared" si="57"/>
        <v>#REF!</v>
      </c>
      <c r="CX26" s="75" t="e">
        <f t="shared" si="58"/>
        <v>#REF!</v>
      </c>
      <c r="CY26" s="75" t="e">
        <f t="shared" si="59"/>
        <v>#REF!</v>
      </c>
      <c r="CZ26" s="69"/>
      <c r="DA26" s="68" t="e">
        <f t="shared" si="60"/>
        <v>#REF!</v>
      </c>
      <c r="DB26" s="68" t="e">
        <f t="shared" si="61"/>
        <v>#REF!</v>
      </c>
      <c r="DC26" s="68" t="e">
        <f t="shared" si="62"/>
        <v>#REF!</v>
      </c>
      <c r="DD26" s="75" t="e">
        <f t="shared" si="63"/>
        <v>#REF!</v>
      </c>
      <c r="DE26" s="75" t="e">
        <f t="shared" si="64"/>
        <v>#REF!</v>
      </c>
      <c r="DF26" s="75" t="e">
        <f t="shared" si="65"/>
        <v>#REF!</v>
      </c>
      <c r="DG26" s="75" t="e">
        <f t="shared" si="66"/>
        <v>#REF!</v>
      </c>
      <c r="DH26" s="77" t="e">
        <f t="shared" si="67"/>
        <v>#REF!</v>
      </c>
      <c r="DI26" s="72" t="e">
        <f t="shared" si="68"/>
        <v>#REF!</v>
      </c>
      <c r="DJ26" s="72" t="e">
        <f t="shared" si="69"/>
        <v>#REF!</v>
      </c>
      <c r="DK26" s="72" t="e">
        <f t="shared" si="70"/>
        <v>#REF!</v>
      </c>
      <c r="DL26" s="77" t="e">
        <f t="shared" si="71"/>
        <v>#REF!</v>
      </c>
      <c r="DM26" s="77" t="e">
        <f t="shared" si="72"/>
        <v>#REF!</v>
      </c>
      <c r="DN26" s="77" t="e">
        <f t="shared" si="73"/>
        <v>#REF!</v>
      </c>
      <c r="DO26" s="68"/>
      <c r="DP26" s="68"/>
      <c r="DQ26" s="68"/>
      <c r="DR26" s="68"/>
      <c r="DS26" s="68"/>
      <c r="DT26" s="68"/>
      <c r="DU26" s="68"/>
      <c r="DV26" s="68"/>
      <c r="DW26" s="68"/>
      <c r="DX26" s="68"/>
      <c r="DY26" s="68"/>
      <c r="DZ26" s="68"/>
      <c r="EA26" s="68"/>
      <c r="EB26" s="68"/>
      <c r="EC26" s="68"/>
      <c r="ED26" s="68"/>
      <c r="EE26" s="68" t="e">
        <f>Tonghop!#REF!</f>
        <v>#REF!</v>
      </c>
      <c r="EF26" s="68" t="e">
        <f>Tonghop!#REF!</f>
        <v>#REF!</v>
      </c>
      <c r="EG26" s="68" t="e">
        <f>Tonghop!#REF!</f>
        <v>#REF!</v>
      </c>
      <c r="EH26" s="68" t="e">
        <f>Tonghop!#REF!</f>
        <v>#REF!</v>
      </c>
      <c r="EI26" s="68" t="e">
        <f>Tonghop!#REF!</f>
        <v>#REF!</v>
      </c>
      <c r="EJ26" s="139"/>
    </row>
    <row r="27" spans="1:140" s="112" customFormat="1">
      <c r="A27" s="67">
        <f>Tonghop!A26</f>
        <v>25</v>
      </c>
      <c r="B27" s="68" t="str">
        <f>Tonghop!D26</f>
        <v>Đường Lý Thường Kiệt, khóm 1, phường 1, thị xã Vĩnh Châu, tỉnh Sóc Trăng.</v>
      </c>
      <c r="C27" s="71" t="str">
        <f>Tonghop!E26</f>
        <v>Sóc Trăng</v>
      </c>
      <c r="D27" s="71" t="str">
        <f>Tonghop!I26</f>
        <v>1802446/2019/PTN-KĐ</v>
      </c>
      <c r="E27" s="67">
        <f>Tonghop!H26</f>
        <v>2</v>
      </c>
      <c r="F27" s="69"/>
      <c r="G27" s="69"/>
      <c r="H27" s="69"/>
      <c r="I27" s="69"/>
      <c r="J27" s="72" t="str">
        <f>IF(E27&gt;1,LEFT(Tonghop!L26,FIND("/",Tonghop!L26,1)-1),Tonghop!L26)</f>
        <v>TẬP ĐOÀN CÔNG NGHIỆP - VIỄN THÔNG QUÂN ĐỘI</v>
      </c>
      <c r="K27" s="72" t="str">
        <f>IF(E27&gt;1,LEFT(Tonghop!M26,FIND(";",Tonghop!M26,1)-1),Tonghop!M26)</f>
        <v>STG0444</v>
      </c>
      <c r="L27" s="72" t="str">
        <f>IF(E27&gt;1,LEFT(Tonghop!N26,FIND(";",Tonghop!N26,1)-1),Tonghop!N26)</f>
        <v>NOKIA Flexi WCDMA BTS</v>
      </c>
      <c r="M27" s="72">
        <f t="shared" si="0"/>
        <v>3</v>
      </c>
      <c r="N27" s="72" t="str">
        <f t="shared" si="1"/>
        <v>2</v>
      </c>
      <c r="O27" s="72" t="str">
        <f t="shared" si="2"/>
        <v>2</v>
      </c>
      <c r="P27" s="72" t="str">
        <f t="shared" si="3"/>
        <v>2</v>
      </c>
      <c r="Q27" s="72" t="str">
        <f>IF(E27&gt;1,LEFT(Tonghop!P26,FIND(";",Tonghop!P26,1)-1),Tonghop!P26)</f>
        <v>2/2/2</v>
      </c>
      <c r="R27" s="72" t="str">
        <f t="shared" si="4"/>
        <v>40</v>
      </c>
      <c r="S27" s="72" t="str">
        <f t="shared" si="5"/>
        <v>40</v>
      </c>
      <c r="T27" s="72" t="str">
        <f t="shared" si="6"/>
        <v>40</v>
      </c>
      <c r="U27" s="72" t="str">
        <f>IF(E27&gt;1,LEFT(Tonghop!Q26,FIND(";",Tonghop!Q26,1)-1),Tonghop!Q26)</f>
        <v>40W/40W/40W</v>
      </c>
      <c r="V27" s="72" t="str">
        <f>IF(E27&gt;1,LEFT(Tonghop!R26,FIND("/",Tonghop!R26,1)-1),Tonghop!R26)</f>
        <v>U2100</v>
      </c>
      <c r="W27" s="72" t="str">
        <f>IF(E27&gt;1,LEFT(Tonghop!S26,FIND(";",Tonghop!S26,1)-1),Tonghop!S26)</f>
        <v>40m/ 40m/ 40m</v>
      </c>
      <c r="X27" s="73"/>
      <c r="Y27" s="74" t="str">
        <f>IF(E27&gt;2,MID(Tonghop!L26,LEN(Temp!J27)+2,FIND("/",Tonghop!L26,LEN(Temp!J27)+2)-LEN(Temp!J27)-2),IF(E27=2,RIGHT(Tonghop!L26,LEN(Tonghop!L26)-LEN(Temp!J27)-1),""))</f>
        <v>TẬP ĐOÀN CÔNG NGHIỆP - VIỄN THÔNG QUÂN ĐỘI</v>
      </c>
      <c r="Z27" s="74" t="str">
        <f>IF(E27&gt;2,MID(Tonghop!M26,LEN(Temp!K27)+2,FIND(";",Tonghop!M26,LEN(Temp!K27)+2)-LEN(Temp!K27)-2),IF(E27=2,RIGHT(Tonghop!M26,LEN(Tonghop!M26)-LEN(Temp!K27)-1),""))</f>
        <v>STG0444</v>
      </c>
      <c r="AA27" s="74" t="str">
        <f>IF(E27&gt;2,MID(Tonghop!N26,LEN(Temp!L27)+2,FIND(";",Tonghop!N26,LEN(Temp!L27)+2)-LEN(Temp!L27)-2),IF(E27=2,RIGHT(Tonghop!N26,LEN(Tonghop!N26)-LEN(Temp!L27)-1),""))</f>
        <v>NSN FLEXI MULTIRADIO AIRSCALE</v>
      </c>
      <c r="AB27" s="75">
        <f t="shared" si="7"/>
        <v>3</v>
      </c>
      <c r="AC27" s="75" t="str">
        <f t="shared" si="8"/>
        <v>1</v>
      </c>
      <c r="AD27" s="75" t="str">
        <f t="shared" si="9"/>
        <v>1</v>
      </c>
      <c r="AE27" s="75" t="str">
        <f t="shared" si="10"/>
        <v>1</v>
      </c>
      <c r="AF27" s="74" t="str">
        <f>IF(E27&gt;2,MID(Tonghop!P26,LEN(Temp!Q27)+2,FIND(";",Tonghop!P26,LEN(Temp!Q27)+2)-LEN(Temp!Q27)-2),IF(E27=2,RIGHT(Tonghop!P26,LEN(Tonghop!P26)-LEN(Temp!Q27)-1),""))</f>
        <v>1/1/1</v>
      </c>
      <c r="AG27" s="72" t="str">
        <f t="shared" si="11"/>
        <v>40</v>
      </c>
      <c r="AH27" s="72" t="str">
        <f t="shared" si="12"/>
        <v>40</v>
      </c>
      <c r="AI27" s="72" t="str">
        <f t="shared" si="13"/>
        <v>40</v>
      </c>
      <c r="AJ27" s="74" t="str">
        <f>IF(E27&gt;2,MID(Tonghop!Q26,LEN(Temp!U27)+2,FIND(";",Tonghop!Q26,LEN(Temp!U27)+2)-LEN(Temp!U27)-2),IF(E27=2,RIGHT(Tonghop!Q26,LEN(Tonghop!Q26)-LEN(Temp!U27)-1),""))</f>
        <v>40W/40W/40W</v>
      </c>
      <c r="AK27" s="74" t="str">
        <f>IF(E27&gt;2,MID(Tonghop!R26,LEN(Temp!V27)+2,FIND("/",Tonghop!R26,LEN(Temp!V27)+2)-LEN(Temp!V27)-2),IF(E27=2,RIGHT(Tonghop!R26,LEN(Tonghop!R26)-LEN(Temp!V27)-1),""))</f>
        <v>L1800</v>
      </c>
      <c r="AL27" s="74" t="str">
        <f>IF(E27&gt;2,MID(Tonghop!S26,LEN(Temp!W27)+2,FIND(";",Tonghop!S26,LEN(Temp!W27)+2)-LEN(Temp!W27)-2),IF(E27=2,RIGHT(Tonghop!S26,LEN(Tonghop!S26)-LEN(Temp!W27)-1),""))</f>
        <v>40m/ 40m/ 40m</v>
      </c>
      <c r="AM27" s="73"/>
      <c r="AN27" s="75" t="str">
        <f>IF(E27&gt;2,RIGHT(Tonghop!L26,LEN(Tonghop!L26)-LEN(Temp!J27)-LEN(Temp!Y27)-2),"")</f>
        <v/>
      </c>
      <c r="AO27" s="75" t="str">
        <f>IF(E27&gt;2,RIGHT(Tonghop!M26,LEN(Tonghop!M26)-LEN(Temp!K27)-LEN(Temp!Z27)-2),"")</f>
        <v/>
      </c>
      <c r="AP27" s="75" t="str">
        <f>IF(E27&gt;2,RIGHT(Tonghop!N26,LEN(Tonghop!N26)-LEN(Temp!L27)-LEN(Temp!AA27)-2),"")</f>
        <v/>
      </c>
      <c r="AQ27" s="75" t="str">
        <f>IF(E27&gt;2,RIGHT(Tonghop!P26,LEN(Tonghop!P26)-LEN(Temp!Q27)-LEN(Temp!AF27)-2),"")</f>
        <v/>
      </c>
      <c r="AR27" s="75" t="str">
        <f>IF(E27&gt;2,RIGHT(Tonghop!Q26,LEN(Tonghop!Q26)-LEN(U27)-LEN(Temp!AJ27)-2),"")</f>
        <v/>
      </c>
      <c r="AS27" s="75" t="str">
        <f>IF(E27&gt;2,RIGHT(Tonghop!R26,LEN(Tonghop!R26)-LEN(V27)-LEN(Temp!AK27)-2),"")</f>
        <v/>
      </c>
      <c r="AT27" s="75" t="str">
        <f>IF(E27&gt;2,RIGHT(Tonghop!S26,LEN(Tonghop!S26)-LEN(W27)-LEN(Temp!AL27)-2),"")</f>
        <v/>
      </c>
      <c r="AU27" s="75"/>
      <c r="AV27" s="75"/>
      <c r="AW27" s="75"/>
      <c r="AX27" s="75" t="str">
        <f t="shared" si="14"/>
        <v/>
      </c>
      <c r="AY27" s="75" t="str">
        <f t="shared" si="15"/>
        <v/>
      </c>
      <c r="AZ27" s="75" t="str">
        <f t="shared" si="16"/>
        <v/>
      </c>
      <c r="BA27" s="75" t="str">
        <f t="shared" si="17"/>
        <v/>
      </c>
      <c r="BB27" s="75" t="str">
        <f t="shared" si="18"/>
        <v/>
      </c>
      <c r="BC27" s="75" t="str">
        <f t="shared" si="19"/>
        <v/>
      </c>
      <c r="BD27" s="75" t="str">
        <f t="shared" si="20"/>
        <v/>
      </c>
      <c r="BE27" s="75" t="str">
        <f t="shared" si="21"/>
        <v/>
      </c>
      <c r="BF27" s="72" t="str">
        <f t="shared" si="22"/>
        <v/>
      </c>
      <c r="BG27" s="72" t="str">
        <f t="shared" si="23"/>
        <v/>
      </c>
      <c r="BH27" s="72" t="str">
        <f t="shared" si="24"/>
        <v/>
      </c>
      <c r="BI27" s="75" t="str">
        <f t="shared" si="25"/>
        <v/>
      </c>
      <c r="BJ27" s="75" t="str">
        <f t="shared" si="26"/>
        <v/>
      </c>
      <c r="BK27" s="75" t="str">
        <f t="shared" si="27"/>
        <v/>
      </c>
      <c r="BL27" s="69"/>
      <c r="BM27" s="68" t="str">
        <f t="shared" si="28"/>
        <v/>
      </c>
      <c r="BN27" s="68" t="str">
        <f t="shared" si="29"/>
        <v/>
      </c>
      <c r="BO27" s="68" t="str">
        <f t="shared" si="30"/>
        <v/>
      </c>
      <c r="BP27" s="75" t="str">
        <f t="shared" si="31"/>
        <v/>
      </c>
      <c r="BQ27" s="75" t="str">
        <f t="shared" si="32"/>
        <v/>
      </c>
      <c r="BR27" s="75" t="str">
        <f t="shared" si="33"/>
        <v/>
      </c>
      <c r="BS27" s="75" t="str">
        <f t="shared" si="34"/>
        <v/>
      </c>
      <c r="BT27" s="77" t="str">
        <f t="shared" si="35"/>
        <v/>
      </c>
      <c r="BU27" s="72" t="str">
        <f t="shared" si="36"/>
        <v/>
      </c>
      <c r="BV27" s="72" t="str">
        <f t="shared" si="37"/>
        <v/>
      </c>
      <c r="BW27" s="72" t="str">
        <f t="shared" si="38"/>
        <v/>
      </c>
      <c r="BX27" s="77" t="str">
        <f t="shared" si="39"/>
        <v/>
      </c>
      <c r="BY27" s="77" t="str">
        <f t="shared" si="40"/>
        <v/>
      </c>
      <c r="BZ27" s="77" t="str">
        <f t="shared" si="41"/>
        <v/>
      </c>
      <c r="CA27" s="69"/>
      <c r="CB27" s="75" t="str">
        <f>IF(E27&gt;4,RIGHT(AN27,LEN(AN27)-LEN(AX27)-LEN(Temp!BM27)-2),"")</f>
        <v/>
      </c>
      <c r="CC27" s="75" t="str">
        <f>IF(E27&gt;4,RIGHT(AO27,LEN(AO27)-LEN(AY27)-LEN(Temp!BN27)-2),"")</f>
        <v/>
      </c>
      <c r="CD27" s="75" t="str">
        <f>IF(E27&gt;4,RIGHT(AP27,LEN(AP27)-LEN(AZ27)-LEN(Temp!BO27)-2),"")</f>
        <v/>
      </c>
      <c r="CE27" s="75" t="str">
        <f t="shared" si="42"/>
        <v/>
      </c>
      <c r="CF27" s="75" t="str">
        <f t="shared" si="43"/>
        <v/>
      </c>
      <c r="CG27" s="75" t="str">
        <f t="shared" si="44"/>
        <v/>
      </c>
      <c r="CH27" s="75" t="str">
        <f t="shared" si="45"/>
        <v/>
      </c>
      <c r="CI27" s="75"/>
      <c r="CJ27" s="79"/>
      <c r="CK27" s="79"/>
      <c r="CL27" s="75" t="str">
        <f t="shared" si="46"/>
        <v/>
      </c>
      <c r="CM27" s="75" t="str">
        <f t="shared" si="47"/>
        <v/>
      </c>
      <c r="CN27" s="75" t="str">
        <f t="shared" si="48"/>
        <v/>
      </c>
      <c r="CO27" s="75" t="str">
        <f t="shared" si="49"/>
        <v/>
      </c>
      <c r="CP27" s="75" t="str">
        <f t="shared" si="50"/>
        <v/>
      </c>
      <c r="CQ27" s="75" t="str">
        <f t="shared" si="51"/>
        <v/>
      </c>
      <c r="CR27" s="75" t="str">
        <f t="shared" si="52"/>
        <v/>
      </c>
      <c r="CS27" s="75" t="str">
        <f t="shared" si="53"/>
        <v/>
      </c>
      <c r="CT27" s="72" t="str">
        <f t="shared" si="54"/>
        <v/>
      </c>
      <c r="CU27" s="72" t="str">
        <f t="shared" si="55"/>
        <v/>
      </c>
      <c r="CV27" s="72" t="str">
        <f t="shared" si="56"/>
        <v/>
      </c>
      <c r="CW27" s="75" t="str">
        <f t="shared" si="57"/>
        <v/>
      </c>
      <c r="CX27" s="75" t="str">
        <f t="shared" si="58"/>
        <v/>
      </c>
      <c r="CY27" s="75" t="str">
        <f t="shared" si="59"/>
        <v/>
      </c>
      <c r="CZ27" s="69"/>
      <c r="DA27" s="68" t="str">
        <f t="shared" si="60"/>
        <v/>
      </c>
      <c r="DB27" s="68" t="str">
        <f t="shared" si="61"/>
        <v/>
      </c>
      <c r="DC27" s="68" t="str">
        <f t="shared" si="62"/>
        <v/>
      </c>
      <c r="DD27" s="75" t="str">
        <f t="shared" si="63"/>
        <v/>
      </c>
      <c r="DE27" s="75" t="str">
        <f t="shared" si="64"/>
        <v/>
      </c>
      <c r="DF27" s="75" t="str">
        <f t="shared" si="65"/>
        <v/>
      </c>
      <c r="DG27" s="75" t="str">
        <f t="shared" si="66"/>
        <v/>
      </c>
      <c r="DH27" s="77" t="str">
        <f t="shared" si="67"/>
        <v/>
      </c>
      <c r="DI27" s="72" t="str">
        <f t="shared" si="68"/>
        <v/>
      </c>
      <c r="DJ27" s="72" t="str">
        <f t="shared" si="69"/>
        <v/>
      </c>
      <c r="DK27" s="72" t="str">
        <f t="shared" si="70"/>
        <v/>
      </c>
      <c r="DL27" s="77" t="str">
        <f t="shared" si="71"/>
        <v/>
      </c>
      <c r="DM27" s="77" t="str">
        <f t="shared" si="72"/>
        <v/>
      </c>
      <c r="DN27" s="77" t="str">
        <f t="shared" si="73"/>
        <v/>
      </c>
      <c r="DO27" s="68"/>
      <c r="DP27" s="68"/>
      <c r="DQ27" s="68"/>
      <c r="DR27" s="68"/>
      <c r="DS27" s="68"/>
      <c r="DT27" s="68"/>
      <c r="DU27" s="68"/>
      <c r="DV27" s="68"/>
      <c r="DW27" s="68"/>
      <c r="DX27" s="68"/>
      <c r="DY27" s="68"/>
      <c r="DZ27" s="68"/>
      <c r="EA27" s="68"/>
      <c r="EB27" s="68"/>
      <c r="EC27" s="68"/>
      <c r="ED27" s="68"/>
      <c r="EE27" s="68" t="str">
        <f>Tonghop!V26</f>
        <v>Yes</v>
      </c>
      <c r="EF27" s="68" t="str">
        <f>Tonghop!W26</f>
        <v>Yes</v>
      </c>
      <c r="EG27" s="68">
        <f>Tonghop!X26</f>
        <v>40</v>
      </c>
      <c r="EH27" s="68" t="str">
        <f>Tonghop!Y26</f>
        <v>Yes</v>
      </c>
      <c r="EI27" s="68">
        <f>Tonghop!Z26</f>
        <v>29.5</v>
      </c>
      <c r="EJ27" s="139"/>
    </row>
    <row r="28" spans="1:140" s="112" customFormat="1">
      <c r="A28" s="67">
        <f>Tonghop!A27</f>
        <v>26</v>
      </c>
      <c r="B28" s="68" t="str">
        <f>Tonghop!D27</f>
        <v>Ấp No Pol, xã Vĩnh Tân, thị xã Vĩnh Châu, tỉnh Sóc Trăng.</v>
      </c>
      <c r="C28" s="71" t="str">
        <f>Tonghop!E27</f>
        <v>Sóc Trăng</v>
      </c>
      <c r="D28" s="71" t="str">
        <f>Tonghop!I27</f>
        <v>1802447/2019/PTN-KĐ</v>
      </c>
      <c r="E28" s="67">
        <f>Tonghop!H27</f>
        <v>1</v>
      </c>
      <c r="F28" s="69"/>
      <c r="G28" s="69"/>
      <c r="H28" s="69"/>
      <c r="I28" s="69"/>
      <c r="J28" s="72" t="str">
        <f>IF(E28&gt;1,LEFT(Tonghop!L27,FIND("/",Tonghop!L27,1)-1),Tonghop!L27)</f>
        <v>TẬP ĐOÀN CÔNG NGHIỆP - VIỄN THÔNG QUÂN ĐỘI</v>
      </c>
      <c r="K28" s="72" t="str">
        <f>IF(E28&gt;1,LEFT(Tonghop!M27,FIND(";",Tonghop!M27,1)-1),Tonghop!M27)</f>
        <v>STG0073-11</v>
      </c>
      <c r="L28" s="72" t="str">
        <f>IF(E28&gt;1,LEFT(Tonghop!N27,FIND(";",Tonghop!N27,1)-1),Tonghop!N27)</f>
        <v>NOKIA Flexi WCDMA BTS</v>
      </c>
      <c r="M28" s="72">
        <f t="shared" si="0"/>
        <v>2</v>
      </c>
      <c r="N28" s="72" t="str">
        <f t="shared" si="1"/>
        <v>2</v>
      </c>
      <c r="O28" s="72" t="str">
        <f t="shared" si="2"/>
        <v>2</v>
      </c>
      <c r="P28" s="72" t="str">
        <f t="shared" si="3"/>
        <v/>
      </c>
      <c r="Q28" s="72" t="str">
        <f>IF(E28&gt;1,LEFT(Tonghop!P27,FIND(";",Tonghop!P27,1)-1),Tonghop!P27)</f>
        <v>2/2</v>
      </c>
      <c r="R28" s="72" t="str">
        <f t="shared" si="4"/>
        <v>40</v>
      </c>
      <c r="S28" s="72" t="str">
        <f t="shared" si="5"/>
        <v>40</v>
      </c>
      <c r="T28" s="72" t="e">
        <f t="shared" si="6"/>
        <v>#VALUE!</v>
      </c>
      <c r="U28" s="72" t="str">
        <f>IF(E28&gt;1,LEFT(Tonghop!Q27,FIND(";",Tonghop!Q27,1)-1),Tonghop!Q27)</f>
        <v>40W/40W</v>
      </c>
      <c r="V28" s="72" t="str">
        <f>IF(E28&gt;1,LEFT(Tonghop!R27,FIND("/",Tonghop!R27,1)-1),Tonghop!R27)</f>
        <v>U2100</v>
      </c>
      <c r="W28" s="72" t="str">
        <f>IF(E28&gt;1,LEFT(Tonghop!S27,FIND(";",Tonghop!S27,1)-1),Tonghop!S27)</f>
        <v>17m/ 17m</v>
      </c>
      <c r="X28" s="73"/>
      <c r="Y28" s="74" t="str">
        <f>IF(E28&gt;2,MID(Tonghop!L27,LEN(Temp!J28)+2,FIND("/",Tonghop!L27,LEN(Temp!J28)+2)-LEN(Temp!J28)-2),IF(E28=2,RIGHT(Tonghop!L27,LEN(Tonghop!L27)-LEN(Temp!J28)-1),""))</f>
        <v/>
      </c>
      <c r="Z28" s="74" t="str">
        <f>IF(E28&gt;2,MID(Tonghop!M27,LEN(Temp!K28)+2,FIND(";",Tonghop!M27,LEN(Temp!K28)+2)-LEN(Temp!K28)-2),IF(E28=2,RIGHT(Tonghop!M27,LEN(Tonghop!M27)-LEN(Temp!K28)-1),""))</f>
        <v/>
      </c>
      <c r="AA28" s="74" t="str">
        <f>IF(E28&gt;2,MID(Tonghop!N27,LEN(Temp!L28)+2,FIND(";",Tonghop!N27,LEN(Temp!L28)+2)-LEN(Temp!L28)-2),IF(E28=2,RIGHT(Tonghop!N27,LEN(Tonghop!N27)-LEN(Temp!L28)-1),""))</f>
        <v/>
      </c>
      <c r="AB28" s="75" t="str">
        <f t="shared" si="7"/>
        <v/>
      </c>
      <c r="AC28" s="75" t="str">
        <f t="shared" si="8"/>
        <v/>
      </c>
      <c r="AD28" s="75" t="str">
        <f t="shared" si="9"/>
        <v/>
      </c>
      <c r="AE28" s="75" t="str">
        <f t="shared" si="10"/>
        <v/>
      </c>
      <c r="AF28" s="74" t="str">
        <f>IF(E28&gt;2,MID(Tonghop!P27,LEN(Temp!Q28)+2,FIND(";",Tonghop!P27,LEN(Temp!Q28)+2)-LEN(Temp!Q28)-2),IF(E28=2,RIGHT(Tonghop!P27,LEN(Tonghop!P27)-LEN(Temp!Q28)-1),""))</f>
        <v/>
      </c>
      <c r="AG28" s="72" t="str">
        <f t="shared" si="11"/>
        <v/>
      </c>
      <c r="AH28" s="72" t="str">
        <f t="shared" si="12"/>
        <v/>
      </c>
      <c r="AI28" s="72" t="str">
        <f t="shared" si="13"/>
        <v/>
      </c>
      <c r="AJ28" s="74" t="str">
        <f>IF(E28&gt;2,MID(Tonghop!Q27,LEN(Temp!U28)+2,FIND(";",Tonghop!Q27,LEN(Temp!U28)+2)-LEN(Temp!U28)-2),IF(E28=2,RIGHT(Tonghop!Q27,LEN(Tonghop!Q27)-LEN(Temp!U28)-1),""))</f>
        <v/>
      </c>
      <c r="AK28" s="74" t="str">
        <f>IF(E28&gt;2,MID(Tonghop!R27,LEN(Temp!V28)+2,FIND("/",Tonghop!R27,LEN(Temp!V28)+2)-LEN(Temp!V28)-2),IF(E28=2,RIGHT(Tonghop!R27,LEN(Tonghop!R27)-LEN(Temp!V28)-1),""))</f>
        <v/>
      </c>
      <c r="AL28" s="74" t="str">
        <f>IF(E28&gt;2,MID(Tonghop!S27,LEN(Temp!W28)+2,FIND(";",Tonghop!S27,LEN(Temp!W28)+2)-LEN(Temp!W28)-2),IF(E28=2,RIGHT(Tonghop!S27,LEN(Tonghop!S27)-LEN(Temp!W28)-1),""))</f>
        <v/>
      </c>
      <c r="AM28" s="73"/>
      <c r="AN28" s="75" t="str">
        <f>IF(E28&gt;2,RIGHT(Tonghop!L27,LEN(Tonghop!L27)-LEN(Temp!J28)-LEN(Temp!Y28)-2),"")</f>
        <v/>
      </c>
      <c r="AO28" s="75" t="str">
        <f>IF(E28&gt;2,RIGHT(Tonghop!M27,LEN(Tonghop!M27)-LEN(Temp!K28)-LEN(Temp!Z28)-2),"")</f>
        <v/>
      </c>
      <c r="AP28" s="75" t="str">
        <f>IF(E28&gt;2,RIGHT(Tonghop!N27,LEN(Tonghop!N27)-LEN(Temp!L28)-LEN(Temp!AA28)-2),"")</f>
        <v/>
      </c>
      <c r="AQ28" s="75" t="str">
        <f>IF(E28&gt;2,RIGHT(Tonghop!P27,LEN(Tonghop!P27)-LEN(Temp!Q28)-LEN(Temp!AF28)-2),"")</f>
        <v/>
      </c>
      <c r="AR28" s="75" t="str">
        <f>IF(E28&gt;2,RIGHT(Tonghop!Q27,LEN(Tonghop!Q27)-LEN(U28)-LEN(Temp!AJ28)-2),"")</f>
        <v/>
      </c>
      <c r="AS28" s="75" t="str">
        <f>IF(E28&gt;2,RIGHT(Tonghop!R27,LEN(Tonghop!R27)-LEN(V28)-LEN(Temp!AK28)-2),"")</f>
        <v/>
      </c>
      <c r="AT28" s="75" t="str">
        <f>IF(E28&gt;2,RIGHT(Tonghop!S27,LEN(Tonghop!S27)-LEN(W28)-LEN(Temp!AL28)-2),"")</f>
        <v/>
      </c>
      <c r="AU28" s="75"/>
      <c r="AV28" s="75"/>
      <c r="AW28" s="75"/>
      <c r="AX28" s="75" t="str">
        <f t="shared" si="14"/>
        <v/>
      </c>
      <c r="AY28" s="75" t="str">
        <f t="shared" si="15"/>
        <v/>
      </c>
      <c r="AZ28" s="75" t="str">
        <f t="shared" si="16"/>
        <v/>
      </c>
      <c r="BA28" s="75" t="str">
        <f t="shared" si="17"/>
        <v/>
      </c>
      <c r="BB28" s="75" t="str">
        <f t="shared" si="18"/>
        <v/>
      </c>
      <c r="BC28" s="75" t="str">
        <f t="shared" si="19"/>
        <v/>
      </c>
      <c r="BD28" s="75" t="str">
        <f t="shared" si="20"/>
        <v/>
      </c>
      <c r="BE28" s="75" t="str">
        <f t="shared" si="21"/>
        <v/>
      </c>
      <c r="BF28" s="72" t="str">
        <f t="shared" si="22"/>
        <v/>
      </c>
      <c r="BG28" s="72" t="str">
        <f t="shared" si="23"/>
        <v/>
      </c>
      <c r="BH28" s="72" t="str">
        <f t="shared" si="24"/>
        <v/>
      </c>
      <c r="BI28" s="75" t="str">
        <f t="shared" si="25"/>
        <v/>
      </c>
      <c r="BJ28" s="75" t="str">
        <f t="shared" si="26"/>
        <v/>
      </c>
      <c r="BK28" s="75" t="str">
        <f t="shared" si="27"/>
        <v/>
      </c>
      <c r="BL28" s="69"/>
      <c r="BM28" s="68" t="str">
        <f t="shared" si="28"/>
        <v/>
      </c>
      <c r="BN28" s="68" t="str">
        <f t="shared" si="29"/>
        <v/>
      </c>
      <c r="BO28" s="68" t="str">
        <f t="shared" si="30"/>
        <v/>
      </c>
      <c r="BP28" s="75" t="str">
        <f t="shared" si="31"/>
        <v/>
      </c>
      <c r="BQ28" s="75" t="str">
        <f t="shared" si="32"/>
        <v/>
      </c>
      <c r="BR28" s="75" t="str">
        <f t="shared" si="33"/>
        <v/>
      </c>
      <c r="BS28" s="75" t="str">
        <f t="shared" si="34"/>
        <v/>
      </c>
      <c r="BT28" s="77" t="str">
        <f t="shared" si="35"/>
        <v/>
      </c>
      <c r="BU28" s="72" t="str">
        <f t="shared" si="36"/>
        <v/>
      </c>
      <c r="BV28" s="72" t="str">
        <f t="shared" si="37"/>
        <v/>
      </c>
      <c r="BW28" s="72" t="str">
        <f t="shared" si="38"/>
        <v/>
      </c>
      <c r="BX28" s="77" t="str">
        <f t="shared" si="39"/>
        <v/>
      </c>
      <c r="BY28" s="77" t="str">
        <f t="shared" si="40"/>
        <v/>
      </c>
      <c r="BZ28" s="77" t="str">
        <f t="shared" si="41"/>
        <v/>
      </c>
      <c r="CA28" s="69"/>
      <c r="CB28" s="75" t="str">
        <f>IF(E28&gt;4,RIGHT(AN28,LEN(AN28)-LEN(AX28)-LEN(Temp!BM28)-2),"")</f>
        <v/>
      </c>
      <c r="CC28" s="75" t="str">
        <f>IF(E28&gt;4,RIGHT(AO28,LEN(AO28)-LEN(AY28)-LEN(Temp!BN28)-2),"")</f>
        <v/>
      </c>
      <c r="CD28" s="75" t="str">
        <f>IF(E28&gt;4,RIGHT(AP28,LEN(AP28)-LEN(AZ28)-LEN(Temp!BO28)-2),"")</f>
        <v/>
      </c>
      <c r="CE28" s="75" t="str">
        <f t="shared" si="42"/>
        <v/>
      </c>
      <c r="CF28" s="75" t="str">
        <f t="shared" si="43"/>
        <v/>
      </c>
      <c r="CG28" s="75" t="str">
        <f t="shared" si="44"/>
        <v/>
      </c>
      <c r="CH28" s="75" t="str">
        <f t="shared" si="45"/>
        <v/>
      </c>
      <c r="CI28" s="75"/>
      <c r="CJ28" s="79"/>
      <c r="CK28" s="79"/>
      <c r="CL28" s="75" t="str">
        <f t="shared" si="46"/>
        <v/>
      </c>
      <c r="CM28" s="75" t="str">
        <f t="shared" si="47"/>
        <v/>
      </c>
      <c r="CN28" s="75" t="str">
        <f t="shared" si="48"/>
        <v/>
      </c>
      <c r="CO28" s="75" t="str">
        <f t="shared" si="49"/>
        <v/>
      </c>
      <c r="CP28" s="75" t="str">
        <f t="shared" si="50"/>
        <v/>
      </c>
      <c r="CQ28" s="75" t="str">
        <f t="shared" si="51"/>
        <v/>
      </c>
      <c r="CR28" s="75" t="str">
        <f t="shared" si="52"/>
        <v/>
      </c>
      <c r="CS28" s="75" t="str">
        <f t="shared" si="53"/>
        <v/>
      </c>
      <c r="CT28" s="72" t="str">
        <f t="shared" si="54"/>
        <v/>
      </c>
      <c r="CU28" s="72" t="str">
        <f t="shared" si="55"/>
        <v/>
      </c>
      <c r="CV28" s="72" t="str">
        <f t="shared" si="56"/>
        <v/>
      </c>
      <c r="CW28" s="75" t="str">
        <f t="shared" si="57"/>
        <v/>
      </c>
      <c r="CX28" s="75" t="str">
        <f t="shared" si="58"/>
        <v/>
      </c>
      <c r="CY28" s="75" t="str">
        <f t="shared" si="59"/>
        <v/>
      </c>
      <c r="CZ28" s="69"/>
      <c r="DA28" s="68" t="str">
        <f t="shared" si="60"/>
        <v/>
      </c>
      <c r="DB28" s="68" t="str">
        <f t="shared" si="61"/>
        <v/>
      </c>
      <c r="DC28" s="68" t="str">
        <f t="shared" si="62"/>
        <v/>
      </c>
      <c r="DD28" s="75" t="str">
        <f t="shared" si="63"/>
        <v/>
      </c>
      <c r="DE28" s="75" t="str">
        <f t="shared" si="64"/>
        <v/>
      </c>
      <c r="DF28" s="75" t="str">
        <f t="shared" si="65"/>
        <v/>
      </c>
      <c r="DG28" s="75" t="str">
        <f t="shared" si="66"/>
        <v/>
      </c>
      <c r="DH28" s="77" t="str">
        <f t="shared" si="67"/>
        <v/>
      </c>
      <c r="DI28" s="72" t="str">
        <f t="shared" si="68"/>
        <v/>
      </c>
      <c r="DJ28" s="72" t="str">
        <f t="shared" si="69"/>
        <v/>
      </c>
      <c r="DK28" s="72" t="str">
        <f t="shared" si="70"/>
        <v/>
      </c>
      <c r="DL28" s="77" t="str">
        <f t="shared" si="71"/>
        <v/>
      </c>
      <c r="DM28" s="77" t="str">
        <f t="shared" si="72"/>
        <v/>
      </c>
      <c r="DN28" s="77" t="str">
        <f t="shared" si="73"/>
        <v/>
      </c>
      <c r="DO28" s="68"/>
      <c r="DP28" s="68"/>
      <c r="DQ28" s="68"/>
      <c r="DR28" s="68"/>
      <c r="DS28" s="68"/>
      <c r="DT28" s="68"/>
      <c r="DU28" s="68"/>
      <c r="DV28" s="68"/>
      <c r="DW28" s="68"/>
      <c r="DX28" s="68"/>
      <c r="DY28" s="68"/>
      <c r="DZ28" s="68"/>
      <c r="EA28" s="68"/>
      <c r="EB28" s="68"/>
      <c r="EC28" s="68"/>
      <c r="ED28" s="68"/>
      <c r="EE28" s="68" t="str">
        <f>Tonghop!V27</f>
        <v>Yes</v>
      </c>
      <c r="EF28" s="68" t="str">
        <f>Tonghop!W27</f>
        <v>No</v>
      </c>
      <c r="EG28" s="68" t="str">
        <f>Tonghop!X27</f>
        <v/>
      </c>
      <c r="EH28" s="68" t="str">
        <f>Tonghop!Y27</f>
        <v>Yes</v>
      </c>
      <c r="EI28" s="68">
        <f>Tonghop!Z27</f>
        <v>13</v>
      </c>
      <c r="EJ28" s="139"/>
    </row>
    <row r="29" spans="1:140" s="112" customFormat="1">
      <c r="A29" s="67">
        <f>Tonghop!A28</f>
        <v>27</v>
      </c>
      <c r="B29" s="68" t="str">
        <f>Tonghop!D28</f>
        <v>Trường Cao đẳng Sư phạm Sóc Trăng, số 77, tỉnh lộ 934, thị trấn Mỹ Xuyên, huyện Mỹ Xuyên, tỉnh Sóc Trăng.</v>
      </c>
      <c r="C29" s="71" t="str">
        <f>Tonghop!E28</f>
        <v>Sóc Trăng</v>
      </c>
      <c r="D29" s="71" t="str">
        <f>Tonghop!I28</f>
        <v>1802448/2019/PTN-KĐ</v>
      </c>
      <c r="E29" s="67">
        <f>Tonghop!H28</f>
        <v>3</v>
      </c>
      <c r="F29" s="69"/>
      <c r="G29" s="69"/>
      <c r="H29" s="69"/>
      <c r="I29" s="69"/>
      <c r="J29" s="72" t="str">
        <f>IF(E29&gt;1,LEFT(Tonghop!L28,FIND("/",Tonghop!L28,1)-1),Tonghop!L28)</f>
        <v>TẬP ĐOÀN CÔNG NGHIỆP - VIỄN THÔNG QUÂN ĐỘI</v>
      </c>
      <c r="K29" s="72" t="str">
        <f>IF(E29&gt;1,LEFT(Tonghop!M28,FIND(";",Tonghop!M28,1)-1),Tonghop!M28)</f>
        <v>STG0182</v>
      </c>
      <c r="L29" s="72" t="str">
        <f>IF(E29&gt;1,LEFT(Tonghop!N28,FIND(";",Tonghop!N28,1)-1),Tonghop!N28)</f>
        <v>NOKIA Flexi EDGE BTS</v>
      </c>
      <c r="M29" s="72">
        <f t="shared" si="0"/>
        <v>3</v>
      </c>
      <c r="N29" s="72" t="str">
        <f t="shared" si="1"/>
        <v>2</v>
      </c>
      <c r="O29" s="72" t="str">
        <f t="shared" si="2"/>
        <v>2</v>
      </c>
      <c r="P29" s="72" t="str">
        <f t="shared" si="3"/>
        <v>4</v>
      </c>
      <c r="Q29" s="72" t="str">
        <f>IF(E29&gt;1,LEFT(Tonghop!P28,FIND(";",Tonghop!P28,1)-1),Tonghop!P28)</f>
        <v>2/2/4</v>
      </c>
      <c r="R29" s="72" t="str">
        <f t="shared" si="4"/>
        <v>41.7</v>
      </c>
      <c r="S29" s="72" t="str">
        <f t="shared" si="5"/>
        <v>41.7</v>
      </c>
      <c r="T29" s="72" t="str">
        <f t="shared" si="6"/>
        <v>37.24</v>
      </c>
      <c r="U29" s="72" t="str">
        <f>IF(E29&gt;1,LEFT(Tonghop!Q28,FIND(";",Tonghop!Q28,1)-1),Tonghop!Q28)</f>
        <v>41.7W/41.7W/37.24W</v>
      </c>
      <c r="V29" s="72" t="str">
        <f>IF(E29&gt;1,LEFT(Tonghop!R28,FIND("/",Tonghop!R28,1)-1),Tonghop!R28)</f>
        <v>G900</v>
      </c>
      <c r="W29" s="72" t="str">
        <f>IF(E29&gt;1,LEFT(Tonghop!S28,FIND(";",Tonghop!S28,1)-1),Tonghop!S28)</f>
        <v>28m/ 28m/ 28m</v>
      </c>
      <c r="X29" s="73"/>
      <c r="Y29" s="74" t="str">
        <f>IF(E29&gt;2,MID(Tonghop!L28,LEN(Temp!J29)+2,FIND("/",Tonghop!L28,LEN(Temp!J29)+2)-LEN(Temp!J29)-2),IF(E29=2,RIGHT(Tonghop!L28,LEN(Tonghop!L28)-LEN(Temp!J29)-1),""))</f>
        <v>TẬP ĐOÀN CÔNG NGHIỆP - VIỄN THÔNG QUÂN ĐỘI</v>
      </c>
      <c r="Z29" s="74" t="str">
        <f>IF(E29&gt;2,MID(Tonghop!M28,LEN(Temp!K29)+2,FIND(";",Tonghop!M28,LEN(Temp!K29)+2)-LEN(Temp!K29)-2),IF(E29=2,RIGHT(Tonghop!M28,LEN(Tonghop!M28)-LEN(Temp!K29)-1),""))</f>
        <v>STG0182</v>
      </c>
      <c r="AA29" s="74" t="str">
        <f>IF(E29&gt;2,MID(Tonghop!N28,LEN(Temp!L29)+2,FIND(";",Tonghop!N28,LEN(Temp!L29)+2)-LEN(Temp!L29)-2),IF(E29=2,RIGHT(Tonghop!N28,LEN(Tonghop!N28)-LEN(Temp!L29)-1),""))</f>
        <v>NOKIA Flexi WCDMA BTS</v>
      </c>
      <c r="AB29" s="75">
        <f t="shared" si="7"/>
        <v>3</v>
      </c>
      <c r="AC29" s="75" t="str">
        <f t="shared" si="8"/>
        <v>2</v>
      </c>
      <c r="AD29" s="75" t="str">
        <f t="shared" si="9"/>
        <v>2</v>
      </c>
      <c r="AE29" s="75" t="str">
        <f t="shared" si="10"/>
        <v>2</v>
      </c>
      <c r="AF29" s="74" t="str">
        <f>IF(E29&gt;2,MID(Tonghop!P28,LEN(Temp!Q29)+2,FIND(";",Tonghop!P28,LEN(Temp!Q29)+2)-LEN(Temp!Q29)-2),IF(E29=2,RIGHT(Tonghop!P28,LEN(Tonghop!P28)-LEN(Temp!Q29)-1),""))</f>
        <v>2/2/2</v>
      </c>
      <c r="AG29" s="72" t="str">
        <f t="shared" si="11"/>
        <v>40</v>
      </c>
      <c r="AH29" s="72" t="str">
        <f t="shared" si="12"/>
        <v>40</v>
      </c>
      <c r="AI29" s="72" t="str">
        <f t="shared" si="13"/>
        <v>40</v>
      </c>
      <c r="AJ29" s="74" t="str">
        <f>IF(E29&gt;2,MID(Tonghop!Q28,LEN(Temp!U29)+2,FIND(";",Tonghop!Q28,LEN(Temp!U29)+2)-LEN(Temp!U29)-2),IF(E29=2,RIGHT(Tonghop!Q28,LEN(Tonghop!Q28)-LEN(Temp!U29)-1),""))</f>
        <v>40W/40W/40W</v>
      </c>
      <c r="AK29" s="74" t="str">
        <f>IF(E29&gt;2,MID(Tonghop!R28,LEN(Temp!V29)+2,FIND("/",Tonghop!R28,LEN(Temp!V29)+2)-LEN(Temp!V29)-2),IF(E29=2,RIGHT(Tonghop!R28,LEN(Tonghop!R28)-LEN(Temp!V29)-1),""))</f>
        <v>U2100</v>
      </c>
      <c r="AL29" s="74" t="str">
        <f>IF(E29&gt;2,MID(Tonghop!S28,LEN(Temp!W29)+2,FIND(";",Tonghop!S28,LEN(Temp!W29)+2)-LEN(Temp!W29)-2),IF(E29=2,RIGHT(Tonghop!S28,LEN(Tonghop!S28)-LEN(Temp!W29)-1),""))</f>
        <v>34m/ 34m/ 34m</v>
      </c>
      <c r="AM29" s="73"/>
      <c r="AN29" s="75" t="str">
        <f>IF(E29&gt;2,RIGHT(Tonghop!L28,LEN(Tonghop!L28)-LEN(Temp!J29)-LEN(Temp!Y29)-2),"")</f>
        <v>TẬP ĐOÀN CÔNG NGHIỆP - VIỄN THÔNG QUÂN ĐỘI</v>
      </c>
      <c r="AO29" s="75" t="str">
        <f>IF(E29&gt;2,RIGHT(Tonghop!M28,LEN(Tonghop!M28)-LEN(Temp!K29)-LEN(Temp!Z29)-2),"")</f>
        <v>STG0182</v>
      </c>
      <c r="AP29" s="75" t="str">
        <f>IF(E29&gt;2,RIGHT(Tonghop!N28,LEN(Tonghop!N28)-LEN(Temp!L29)-LEN(Temp!AA29)-2),"")</f>
        <v>NSN FLEXI MULTIRADIO AIRSCALE</v>
      </c>
      <c r="AQ29" s="75" t="str">
        <f>IF(E29&gt;2,RIGHT(Tonghop!P28,LEN(Tonghop!P28)-LEN(Temp!Q29)-LEN(Temp!AF29)-2),"")</f>
        <v>1/1/1</v>
      </c>
      <c r="AR29" s="75" t="str">
        <f>IF(E29&gt;2,RIGHT(Tonghop!Q28,LEN(Tonghop!Q28)-LEN(U29)-LEN(Temp!AJ29)-2),"")</f>
        <v>40W/40W/40W</v>
      </c>
      <c r="AS29" s="75" t="str">
        <f>IF(E29&gt;2,RIGHT(Tonghop!R28,LEN(Tonghop!R28)-LEN(V29)-LEN(Temp!AK29)-2),"")</f>
        <v>L1800</v>
      </c>
      <c r="AT29" s="75" t="str">
        <f>IF(E29&gt;2,RIGHT(Tonghop!S28,LEN(Tonghop!S28)-LEN(W29)-LEN(Temp!AL29)-2),"")</f>
        <v>34m/ 34m/ 34m</v>
      </c>
      <c r="AU29" s="75"/>
      <c r="AV29" s="75"/>
      <c r="AW29" s="75"/>
      <c r="AX29" s="75" t="str">
        <f t="shared" si="14"/>
        <v>TẬP ĐOÀN CÔNG NGHIỆP - VIỄN THÔNG QUÂN ĐỘI</v>
      </c>
      <c r="AY29" s="75" t="str">
        <f t="shared" si="15"/>
        <v>STG0182</v>
      </c>
      <c r="AZ29" s="75" t="str">
        <f t="shared" si="16"/>
        <v>NSN FLEXI MULTIRADIO AIRSCALE</v>
      </c>
      <c r="BA29" s="75">
        <f t="shared" si="17"/>
        <v>3</v>
      </c>
      <c r="BB29" s="75" t="str">
        <f t="shared" si="18"/>
        <v>1</v>
      </c>
      <c r="BC29" s="75" t="str">
        <f t="shared" si="19"/>
        <v>1</v>
      </c>
      <c r="BD29" s="75" t="str">
        <f t="shared" si="20"/>
        <v>1</v>
      </c>
      <c r="BE29" s="75" t="str">
        <f t="shared" si="21"/>
        <v>1/1/1</v>
      </c>
      <c r="BF29" s="72" t="str">
        <f t="shared" si="22"/>
        <v>40</v>
      </c>
      <c r="BG29" s="72" t="str">
        <f t="shared" si="23"/>
        <v>40</v>
      </c>
      <c r="BH29" s="72" t="str">
        <f t="shared" si="24"/>
        <v>40</v>
      </c>
      <c r="BI29" s="75" t="str">
        <f t="shared" si="25"/>
        <v>40W/40W/40W</v>
      </c>
      <c r="BJ29" s="75" t="str">
        <f t="shared" si="26"/>
        <v>L1800</v>
      </c>
      <c r="BK29" s="75" t="str">
        <f t="shared" si="27"/>
        <v>34m/ 34m/ 34m</v>
      </c>
      <c r="BL29" s="69"/>
      <c r="BM29" s="68" t="str">
        <f t="shared" si="28"/>
        <v/>
      </c>
      <c r="BN29" s="68" t="str">
        <f t="shared" si="29"/>
        <v/>
      </c>
      <c r="BO29" s="68" t="str">
        <f t="shared" si="30"/>
        <v/>
      </c>
      <c r="BP29" s="75" t="str">
        <f t="shared" si="31"/>
        <v/>
      </c>
      <c r="BQ29" s="75" t="str">
        <f t="shared" si="32"/>
        <v/>
      </c>
      <c r="BR29" s="75" t="str">
        <f t="shared" si="33"/>
        <v/>
      </c>
      <c r="BS29" s="75" t="str">
        <f t="shared" si="34"/>
        <v/>
      </c>
      <c r="BT29" s="77" t="str">
        <f t="shared" si="35"/>
        <v/>
      </c>
      <c r="BU29" s="72" t="str">
        <f t="shared" si="36"/>
        <v/>
      </c>
      <c r="BV29" s="72" t="str">
        <f t="shared" si="37"/>
        <v/>
      </c>
      <c r="BW29" s="72" t="str">
        <f t="shared" si="38"/>
        <v/>
      </c>
      <c r="BX29" s="77" t="str">
        <f t="shared" si="39"/>
        <v/>
      </c>
      <c r="BY29" s="77" t="str">
        <f t="shared" si="40"/>
        <v/>
      </c>
      <c r="BZ29" s="77" t="str">
        <f t="shared" si="41"/>
        <v/>
      </c>
      <c r="CA29" s="69"/>
      <c r="CB29" s="75" t="str">
        <f>IF(E29&gt;4,RIGHT(AN29,LEN(AN29)-LEN(AX29)-LEN(Temp!BM29)-2),"")</f>
        <v/>
      </c>
      <c r="CC29" s="75" t="str">
        <f>IF(E29&gt;4,RIGHT(AO29,LEN(AO29)-LEN(AY29)-LEN(Temp!BN29)-2),"")</f>
        <v/>
      </c>
      <c r="CD29" s="75" t="str">
        <f>IF(E29&gt;4,RIGHT(AP29,LEN(AP29)-LEN(AZ29)-LEN(Temp!BO29)-2),"")</f>
        <v/>
      </c>
      <c r="CE29" s="75" t="str">
        <f t="shared" si="42"/>
        <v/>
      </c>
      <c r="CF29" s="75" t="str">
        <f t="shared" si="43"/>
        <v/>
      </c>
      <c r="CG29" s="75" t="str">
        <f t="shared" si="44"/>
        <v/>
      </c>
      <c r="CH29" s="75" t="str">
        <f t="shared" si="45"/>
        <v/>
      </c>
      <c r="CI29" s="75"/>
      <c r="CJ29" s="79"/>
      <c r="CK29" s="79"/>
      <c r="CL29" s="75" t="str">
        <f t="shared" si="46"/>
        <v/>
      </c>
      <c r="CM29" s="75" t="str">
        <f t="shared" si="47"/>
        <v/>
      </c>
      <c r="CN29" s="75" t="str">
        <f t="shared" si="48"/>
        <v/>
      </c>
      <c r="CO29" s="75" t="str">
        <f t="shared" si="49"/>
        <v/>
      </c>
      <c r="CP29" s="75" t="str">
        <f t="shared" si="50"/>
        <v/>
      </c>
      <c r="CQ29" s="75" t="str">
        <f t="shared" si="51"/>
        <v/>
      </c>
      <c r="CR29" s="75" t="str">
        <f t="shared" si="52"/>
        <v/>
      </c>
      <c r="CS29" s="75" t="str">
        <f t="shared" si="53"/>
        <v/>
      </c>
      <c r="CT29" s="72" t="str">
        <f t="shared" si="54"/>
        <v/>
      </c>
      <c r="CU29" s="72" t="str">
        <f t="shared" si="55"/>
        <v/>
      </c>
      <c r="CV29" s="72" t="str">
        <f t="shared" si="56"/>
        <v/>
      </c>
      <c r="CW29" s="75" t="str">
        <f t="shared" si="57"/>
        <v/>
      </c>
      <c r="CX29" s="75" t="str">
        <f t="shared" si="58"/>
        <v/>
      </c>
      <c r="CY29" s="75" t="str">
        <f t="shared" si="59"/>
        <v/>
      </c>
      <c r="CZ29" s="69"/>
      <c r="DA29" s="68" t="str">
        <f t="shared" si="60"/>
        <v/>
      </c>
      <c r="DB29" s="68" t="str">
        <f t="shared" si="61"/>
        <v/>
      </c>
      <c r="DC29" s="68" t="str">
        <f t="shared" si="62"/>
        <v/>
      </c>
      <c r="DD29" s="75" t="str">
        <f t="shared" si="63"/>
        <v/>
      </c>
      <c r="DE29" s="75" t="str">
        <f t="shared" si="64"/>
        <v/>
      </c>
      <c r="DF29" s="75" t="str">
        <f t="shared" si="65"/>
        <v/>
      </c>
      <c r="DG29" s="75" t="str">
        <f t="shared" si="66"/>
        <v/>
      </c>
      <c r="DH29" s="77" t="str">
        <f t="shared" si="67"/>
        <v/>
      </c>
      <c r="DI29" s="72" t="str">
        <f t="shared" si="68"/>
        <v/>
      </c>
      <c r="DJ29" s="72" t="str">
        <f t="shared" si="69"/>
        <v/>
      </c>
      <c r="DK29" s="72" t="str">
        <f t="shared" si="70"/>
        <v/>
      </c>
      <c r="DL29" s="77" t="str">
        <f t="shared" si="71"/>
        <v/>
      </c>
      <c r="DM29" s="77" t="str">
        <f t="shared" si="72"/>
        <v/>
      </c>
      <c r="DN29" s="77" t="str">
        <f t="shared" si="73"/>
        <v/>
      </c>
      <c r="DO29" s="68"/>
      <c r="DP29" s="68"/>
      <c r="DQ29" s="68"/>
      <c r="DR29" s="68"/>
      <c r="DS29" s="68"/>
      <c r="DT29" s="68"/>
      <c r="DU29" s="68"/>
      <c r="DV29" s="68"/>
      <c r="DW29" s="68"/>
      <c r="DX29" s="68"/>
      <c r="DY29" s="68"/>
      <c r="DZ29" s="68"/>
      <c r="EA29" s="68"/>
      <c r="EB29" s="68"/>
      <c r="EC29" s="68"/>
      <c r="ED29" s="68"/>
      <c r="EE29" s="68" t="str">
        <f>Tonghop!V28</f>
        <v>Yes</v>
      </c>
      <c r="EF29" s="68" t="str">
        <f>Tonghop!W28</f>
        <v>No</v>
      </c>
      <c r="EG29" s="68" t="str">
        <f>Tonghop!X28</f>
        <v/>
      </c>
      <c r="EH29" s="68" t="str">
        <f>Tonghop!Y28</f>
        <v>Yes</v>
      </c>
      <c r="EI29" s="68">
        <f>Tonghop!Z28</f>
        <v>14</v>
      </c>
      <c r="EJ29" s="139"/>
    </row>
    <row r="30" spans="1:140" s="112" customFormat="1">
      <c r="A30" s="67">
        <f>Tonghop!A29</f>
        <v>28</v>
      </c>
      <c r="B30" s="68" t="str">
        <f>Tonghop!D29</f>
        <v>Ấp Hòa Khanh, xã Thạnh Quới, huyện Mỹ Xuyên, tỉnh Sóc Trăng.</v>
      </c>
      <c r="C30" s="71" t="str">
        <f>Tonghop!E29</f>
        <v>Sóc Trăng</v>
      </c>
      <c r="D30" s="71" t="str">
        <f>Tonghop!I29</f>
        <v>1802449/2019/PTN-KĐ</v>
      </c>
      <c r="E30" s="67">
        <f>Tonghop!H29</f>
        <v>1</v>
      </c>
      <c r="F30" s="69"/>
      <c r="G30" s="69"/>
      <c r="H30" s="69"/>
      <c r="I30" s="69"/>
      <c r="J30" s="72" t="str">
        <f>IF(E30&gt;1,LEFT(Tonghop!L29,FIND("/",Tonghop!L29,1)-1),Tonghop!L29)</f>
        <v>TẬP ĐOÀN CÔNG NGHIỆP - VIỄN THÔNG QUÂN ĐỘI</v>
      </c>
      <c r="K30" s="72" t="str">
        <f>IF(E30&gt;1,LEFT(Tonghop!M29,FIND(";",Tonghop!M29,1)-1),Tonghop!M29)</f>
        <v>STG0465-11</v>
      </c>
      <c r="L30" s="72" t="str">
        <f>IF(E30&gt;1,LEFT(Tonghop!N29,FIND(";",Tonghop!N29,1)-1),Tonghop!N29)</f>
        <v>NOKIA Flexi WCDMA BTS</v>
      </c>
      <c r="M30" s="72">
        <f t="shared" si="0"/>
        <v>2</v>
      </c>
      <c r="N30" s="72" t="str">
        <f t="shared" si="1"/>
        <v>2</v>
      </c>
      <c r="O30" s="72" t="str">
        <f t="shared" si="2"/>
        <v>2</v>
      </c>
      <c r="P30" s="72" t="str">
        <f t="shared" si="3"/>
        <v/>
      </c>
      <c r="Q30" s="72" t="str">
        <f>IF(E30&gt;1,LEFT(Tonghop!P29,FIND(";",Tonghop!P29,1)-1),Tonghop!P29)</f>
        <v>2/2</v>
      </c>
      <c r="R30" s="72" t="str">
        <f t="shared" si="4"/>
        <v>40</v>
      </c>
      <c r="S30" s="72" t="str">
        <f t="shared" si="5"/>
        <v>40</v>
      </c>
      <c r="T30" s="72" t="e">
        <f t="shared" si="6"/>
        <v>#VALUE!</v>
      </c>
      <c r="U30" s="72" t="str">
        <f>IF(E30&gt;1,LEFT(Tonghop!Q29,FIND(";",Tonghop!Q29,1)-1),Tonghop!Q29)</f>
        <v>40W/40W</v>
      </c>
      <c r="V30" s="72" t="str">
        <f>IF(E30&gt;1,LEFT(Tonghop!R29,FIND("/",Tonghop!R29,1)-1),Tonghop!R29)</f>
        <v>U2100</v>
      </c>
      <c r="W30" s="72" t="str">
        <f>IF(E30&gt;1,LEFT(Tonghop!S29,FIND(";",Tonghop!S29,1)-1),Tonghop!S29)</f>
        <v>16m/ 16m</v>
      </c>
      <c r="X30" s="73"/>
      <c r="Y30" s="74" t="str">
        <f>IF(E30&gt;2,MID(Tonghop!L29,LEN(Temp!J30)+2,FIND("/",Tonghop!L29,LEN(Temp!J30)+2)-LEN(Temp!J30)-2),IF(E30=2,RIGHT(Tonghop!L29,LEN(Tonghop!L29)-LEN(Temp!J30)-1),""))</f>
        <v/>
      </c>
      <c r="Z30" s="74" t="str">
        <f>IF(E30&gt;2,MID(Tonghop!M29,LEN(Temp!K30)+2,FIND(";",Tonghop!M29,LEN(Temp!K30)+2)-LEN(Temp!K30)-2),IF(E30=2,RIGHT(Tonghop!M29,LEN(Tonghop!M29)-LEN(Temp!K30)-1),""))</f>
        <v/>
      </c>
      <c r="AA30" s="74" t="str">
        <f>IF(E30&gt;2,MID(Tonghop!N29,LEN(Temp!L30)+2,FIND(";",Tonghop!N29,LEN(Temp!L30)+2)-LEN(Temp!L30)-2),IF(E30=2,RIGHT(Tonghop!N29,LEN(Tonghop!N29)-LEN(Temp!L30)-1),""))</f>
        <v/>
      </c>
      <c r="AB30" s="75" t="str">
        <f t="shared" si="7"/>
        <v/>
      </c>
      <c r="AC30" s="75" t="str">
        <f t="shared" si="8"/>
        <v/>
      </c>
      <c r="AD30" s="75" t="str">
        <f t="shared" si="9"/>
        <v/>
      </c>
      <c r="AE30" s="75" t="str">
        <f t="shared" si="10"/>
        <v/>
      </c>
      <c r="AF30" s="74" t="str">
        <f>IF(E30&gt;2,MID(Tonghop!P29,LEN(Temp!Q30)+2,FIND(";",Tonghop!P29,LEN(Temp!Q30)+2)-LEN(Temp!Q30)-2),IF(E30=2,RIGHT(Tonghop!P29,LEN(Tonghop!P29)-LEN(Temp!Q30)-1),""))</f>
        <v/>
      </c>
      <c r="AG30" s="72" t="str">
        <f t="shared" si="11"/>
        <v/>
      </c>
      <c r="AH30" s="72" t="str">
        <f t="shared" si="12"/>
        <v/>
      </c>
      <c r="AI30" s="72" t="str">
        <f t="shared" si="13"/>
        <v/>
      </c>
      <c r="AJ30" s="74" t="str">
        <f>IF(E30&gt;2,MID(Tonghop!Q29,LEN(Temp!U30)+2,FIND(";",Tonghop!Q29,LEN(Temp!U30)+2)-LEN(Temp!U30)-2),IF(E30=2,RIGHT(Tonghop!Q29,LEN(Tonghop!Q29)-LEN(Temp!U30)-1),""))</f>
        <v/>
      </c>
      <c r="AK30" s="74" t="str">
        <f>IF(E30&gt;2,MID(Tonghop!R29,LEN(Temp!V30)+2,FIND("/",Tonghop!R29,LEN(Temp!V30)+2)-LEN(Temp!V30)-2),IF(E30=2,RIGHT(Tonghop!R29,LEN(Tonghop!R29)-LEN(Temp!V30)-1),""))</f>
        <v/>
      </c>
      <c r="AL30" s="74" t="str">
        <f>IF(E30&gt;2,MID(Tonghop!S29,LEN(Temp!W30)+2,FIND(";",Tonghop!S29,LEN(Temp!W30)+2)-LEN(Temp!W30)-2),IF(E30=2,RIGHT(Tonghop!S29,LEN(Tonghop!S29)-LEN(Temp!W30)-1),""))</f>
        <v/>
      </c>
      <c r="AM30" s="73"/>
      <c r="AN30" s="75" t="str">
        <f>IF(E30&gt;2,RIGHT(Tonghop!L29,LEN(Tonghop!L29)-LEN(Temp!J30)-LEN(Temp!Y30)-2),"")</f>
        <v/>
      </c>
      <c r="AO30" s="75" t="str">
        <f>IF(E30&gt;2,RIGHT(Tonghop!M29,LEN(Tonghop!M29)-LEN(Temp!K30)-LEN(Temp!Z30)-2),"")</f>
        <v/>
      </c>
      <c r="AP30" s="75" t="str">
        <f>IF(E30&gt;2,RIGHT(Tonghop!N29,LEN(Tonghop!N29)-LEN(Temp!L30)-LEN(Temp!AA30)-2),"")</f>
        <v/>
      </c>
      <c r="AQ30" s="75" t="str">
        <f>IF(E30&gt;2,RIGHT(Tonghop!P29,LEN(Tonghop!P29)-LEN(Temp!Q30)-LEN(Temp!AF30)-2),"")</f>
        <v/>
      </c>
      <c r="AR30" s="75" t="str">
        <f>IF(E30&gt;2,RIGHT(Tonghop!Q29,LEN(Tonghop!Q29)-LEN(U30)-LEN(Temp!AJ30)-2),"")</f>
        <v/>
      </c>
      <c r="AS30" s="75" t="str">
        <f>IF(E30&gt;2,RIGHT(Tonghop!R29,LEN(Tonghop!R29)-LEN(V30)-LEN(Temp!AK30)-2),"")</f>
        <v/>
      </c>
      <c r="AT30" s="75" t="str">
        <f>IF(E30&gt;2,RIGHT(Tonghop!S29,LEN(Tonghop!S29)-LEN(W30)-LEN(Temp!AL30)-2),"")</f>
        <v/>
      </c>
      <c r="AU30" s="75"/>
      <c r="AV30" s="75"/>
      <c r="AW30" s="75"/>
      <c r="AX30" s="75" t="str">
        <f t="shared" si="14"/>
        <v/>
      </c>
      <c r="AY30" s="75" t="str">
        <f t="shared" si="15"/>
        <v/>
      </c>
      <c r="AZ30" s="75" t="str">
        <f t="shared" si="16"/>
        <v/>
      </c>
      <c r="BA30" s="75" t="str">
        <f t="shared" si="17"/>
        <v/>
      </c>
      <c r="BB30" s="75" t="str">
        <f t="shared" si="18"/>
        <v/>
      </c>
      <c r="BC30" s="75" t="str">
        <f t="shared" si="19"/>
        <v/>
      </c>
      <c r="BD30" s="75" t="str">
        <f t="shared" si="20"/>
        <v/>
      </c>
      <c r="BE30" s="75" t="str">
        <f t="shared" si="21"/>
        <v/>
      </c>
      <c r="BF30" s="72" t="str">
        <f t="shared" si="22"/>
        <v/>
      </c>
      <c r="BG30" s="72" t="str">
        <f t="shared" si="23"/>
        <v/>
      </c>
      <c r="BH30" s="72" t="str">
        <f t="shared" si="24"/>
        <v/>
      </c>
      <c r="BI30" s="75" t="str">
        <f t="shared" si="25"/>
        <v/>
      </c>
      <c r="BJ30" s="75" t="str">
        <f t="shared" si="26"/>
        <v/>
      </c>
      <c r="BK30" s="75" t="str">
        <f t="shared" si="27"/>
        <v/>
      </c>
      <c r="BL30" s="69"/>
      <c r="BM30" s="68" t="str">
        <f t="shared" si="28"/>
        <v/>
      </c>
      <c r="BN30" s="68" t="str">
        <f t="shared" si="29"/>
        <v/>
      </c>
      <c r="BO30" s="68" t="str">
        <f t="shared" si="30"/>
        <v/>
      </c>
      <c r="BP30" s="75" t="str">
        <f t="shared" si="31"/>
        <v/>
      </c>
      <c r="BQ30" s="75" t="str">
        <f t="shared" si="32"/>
        <v/>
      </c>
      <c r="BR30" s="75" t="str">
        <f t="shared" si="33"/>
        <v/>
      </c>
      <c r="BS30" s="75" t="str">
        <f t="shared" si="34"/>
        <v/>
      </c>
      <c r="BT30" s="77" t="str">
        <f t="shared" si="35"/>
        <v/>
      </c>
      <c r="BU30" s="72" t="str">
        <f t="shared" si="36"/>
        <v/>
      </c>
      <c r="BV30" s="72" t="str">
        <f t="shared" si="37"/>
        <v/>
      </c>
      <c r="BW30" s="72" t="str">
        <f t="shared" si="38"/>
        <v/>
      </c>
      <c r="BX30" s="77" t="str">
        <f t="shared" si="39"/>
        <v/>
      </c>
      <c r="BY30" s="77" t="str">
        <f t="shared" si="40"/>
        <v/>
      </c>
      <c r="BZ30" s="77" t="str">
        <f t="shared" si="41"/>
        <v/>
      </c>
      <c r="CA30" s="69"/>
      <c r="CB30" s="75" t="str">
        <f>IF(E30&gt;4,RIGHT(AN30,LEN(AN30)-LEN(AX30)-LEN(Temp!BM30)-2),"")</f>
        <v/>
      </c>
      <c r="CC30" s="75" t="str">
        <f>IF(E30&gt;4,RIGHT(AO30,LEN(AO30)-LEN(AY30)-LEN(Temp!BN30)-2),"")</f>
        <v/>
      </c>
      <c r="CD30" s="75" t="str">
        <f>IF(E30&gt;4,RIGHT(AP30,LEN(AP30)-LEN(AZ30)-LEN(Temp!BO30)-2),"")</f>
        <v/>
      </c>
      <c r="CE30" s="75" t="str">
        <f t="shared" si="42"/>
        <v/>
      </c>
      <c r="CF30" s="75" t="str">
        <f t="shared" si="43"/>
        <v/>
      </c>
      <c r="CG30" s="75" t="str">
        <f t="shared" si="44"/>
        <v/>
      </c>
      <c r="CH30" s="75" t="str">
        <f t="shared" si="45"/>
        <v/>
      </c>
      <c r="CI30" s="75"/>
      <c r="CJ30" s="79"/>
      <c r="CK30" s="79"/>
      <c r="CL30" s="75" t="str">
        <f t="shared" si="46"/>
        <v/>
      </c>
      <c r="CM30" s="75" t="str">
        <f t="shared" si="47"/>
        <v/>
      </c>
      <c r="CN30" s="75" t="str">
        <f t="shared" si="48"/>
        <v/>
      </c>
      <c r="CO30" s="75" t="str">
        <f t="shared" si="49"/>
        <v/>
      </c>
      <c r="CP30" s="75" t="str">
        <f t="shared" si="50"/>
        <v/>
      </c>
      <c r="CQ30" s="75" t="str">
        <f t="shared" si="51"/>
        <v/>
      </c>
      <c r="CR30" s="75" t="str">
        <f t="shared" si="52"/>
        <v/>
      </c>
      <c r="CS30" s="75" t="str">
        <f t="shared" si="53"/>
        <v/>
      </c>
      <c r="CT30" s="72" t="str">
        <f t="shared" si="54"/>
        <v/>
      </c>
      <c r="CU30" s="72" t="str">
        <f t="shared" si="55"/>
        <v/>
      </c>
      <c r="CV30" s="72" t="str">
        <f t="shared" si="56"/>
        <v/>
      </c>
      <c r="CW30" s="75" t="str">
        <f t="shared" si="57"/>
        <v/>
      </c>
      <c r="CX30" s="75" t="str">
        <f t="shared" si="58"/>
        <v/>
      </c>
      <c r="CY30" s="75" t="str">
        <f t="shared" si="59"/>
        <v/>
      </c>
      <c r="CZ30" s="69"/>
      <c r="DA30" s="68" t="str">
        <f t="shared" si="60"/>
        <v/>
      </c>
      <c r="DB30" s="68" t="str">
        <f t="shared" si="61"/>
        <v/>
      </c>
      <c r="DC30" s="68" t="str">
        <f t="shared" si="62"/>
        <v/>
      </c>
      <c r="DD30" s="75" t="str">
        <f t="shared" si="63"/>
        <v/>
      </c>
      <c r="DE30" s="75" t="str">
        <f t="shared" si="64"/>
        <v/>
      </c>
      <c r="DF30" s="75" t="str">
        <f t="shared" si="65"/>
        <v/>
      </c>
      <c r="DG30" s="75" t="str">
        <f t="shared" si="66"/>
        <v/>
      </c>
      <c r="DH30" s="77" t="str">
        <f t="shared" si="67"/>
        <v/>
      </c>
      <c r="DI30" s="72" t="str">
        <f t="shared" si="68"/>
        <v/>
      </c>
      <c r="DJ30" s="72" t="str">
        <f t="shared" si="69"/>
        <v/>
      </c>
      <c r="DK30" s="72" t="str">
        <f t="shared" si="70"/>
        <v/>
      </c>
      <c r="DL30" s="77" t="str">
        <f t="shared" si="71"/>
        <v/>
      </c>
      <c r="DM30" s="77" t="str">
        <f t="shared" si="72"/>
        <v/>
      </c>
      <c r="DN30" s="77" t="str">
        <f t="shared" si="73"/>
        <v/>
      </c>
      <c r="DO30" s="68"/>
      <c r="DP30" s="68"/>
      <c r="DQ30" s="68"/>
      <c r="DR30" s="68"/>
      <c r="DS30" s="68"/>
      <c r="DT30" s="68"/>
      <c r="DU30" s="68"/>
      <c r="DV30" s="68"/>
      <c r="DW30" s="68"/>
      <c r="DX30" s="68"/>
      <c r="DY30" s="68"/>
      <c r="DZ30" s="68"/>
      <c r="EA30" s="68"/>
      <c r="EB30" s="68"/>
      <c r="EC30" s="68"/>
      <c r="ED30" s="68"/>
      <c r="EE30" s="68" t="str">
        <f>Tonghop!V29</f>
        <v>Yes</v>
      </c>
      <c r="EF30" s="68" t="str">
        <f>Tonghop!W29</f>
        <v>No</v>
      </c>
      <c r="EG30" s="68" t="str">
        <f>Tonghop!X29</f>
        <v/>
      </c>
      <c r="EH30" s="68" t="str">
        <f>Tonghop!Y29</f>
        <v>Yes</v>
      </c>
      <c r="EI30" s="68">
        <f>Tonghop!Z29</f>
        <v>12</v>
      </c>
      <c r="EJ30" s="139"/>
    </row>
    <row r="31" spans="1:140" s="112" customFormat="1">
      <c r="A31" s="67">
        <f>Tonghop!A30</f>
        <v>29</v>
      </c>
      <c r="B31" s="68" t="str">
        <f>Tonghop!D30</f>
        <v>Ấp Phú Thành B, xã Phú Tâm, huyện Châu Thành, tỉnh Sóc Trăng.</v>
      </c>
      <c r="C31" s="71" t="str">
        <f>Tonghop!E30</f>
        <v>Sóc Trăng</v>
      </c>
      <c r="D31" s="71" t="str">
        <f>Tonghop!I30</f>
        <v>1802450/2019/PTN-KĐ</v>
      </c>
      <c r="E31" s="67">
        <f>Tonghop!H30</f>
        <v>4</v>
      </c>
      <c r="F31" s="69"/>
      <c r="G31" s="69"/>
      <c r="H31" s="69"/>
      <c r="I31" s="69"/>
      <c r="J31" s="72" t="str">
        <f>IF(E31&gt;1,LEFT(Tonghop!L30,FIND("/",Tonghop!L30,1)-1),Tonghop!L30)</f>
        <v>TẬP ĐOÀN CÔNG NGHIỆP - VIỄN THÔNG QUÂN ĐỘI</v>
      </c>
      <c r="K31" s="72" t="str">
        <f>IF(E31&gt;1,LEFT(Tonghop!M30,FIND(";",Tonghop!M30,1)-1),Tonghop!M30)</f>
        <v>STG0026</v>
      </c>
      <c r="L31" s="72" t="str">
        <f>IF(E31&gt;1,LEFT(Tonghop!N30,FIND(";",Tonghop!N30,1)-1),Tonghop!N30)</f>
        <v>NOKIA Flexi EDGE BTS</v>
      </c>
      <c r="M31" s="72">
        <f t="shared" si="0"/>
        <v>3</v>
      </c>
      <c r="N31" s="72" t="str">
        <f t="shared" si="1"/>
        <v>4</v>
      </c>
      <c r="O31" s="72" t="str">
        <f t="shared" si="2"/>
        <v>4</v>
      </c>
      <c r="P31" s="72" t="str">
        <f t="shared" si="3"/>
        <v>4</v>
      </c>
      <c r="Q31" s="72" t="str">
        <f>IF(E31&gt;1,LEFT(Tonghop!P30,FIND(";",Tonghop!P30,1)-1),Tonghop!P30)</f>
        <v>4/4/4</v>
      </c>
      <c r="R31" s="72" t="str">
        <f t="shared" si="4"/>
        <v>37.24</v>
      </c>
      <c r="S31" s="72" t="str">
        <f t="shared" si="5"/>
        <v>37.24</v>
      </c>
      <c r="T31" s="72" t="str">
        <f t="shared" si="6"/>
        <v>37.24</v>
      </c>
      <c r="U31" s="72" t="str">
        <f>IF(E31&gt;1,LEFT(Tonghop!Q30,FIND(";",Tonghop!Q30,1)-1),Tonghop!Q30)</f>
        <v>37.24W/37.24W/37.24W</v>
      </c>
      <c r="V31" s="72" t="str">
        <f>IF(E31&gt;1,LEFT(Tonghop!R30,FIND("/",Tonghop!R30,1)-1),Tonghop!R30)</f>
        <v>G900</v>
      </c>
      <c r="W31" s="72" t="str">
        <f>IF(E31&gt;1,LEFT(Tonghop!S30,FIND(";",Tonghop!S30,1)-1),Tonghop!S30)</f>
        <v>21.5m/ 21.5m/ 21.5m</v>
      </c>
      <c r="X31" s="73"/>
      <c r="Y31" s="74" t="str">
        <f>IF(E31&gt;2,MID(Tonghop!L30,LEN(Temp!J31)+2,FIND("/",Tonghop!L30,LEN(Temp!J31)+2)-LEN(Temp!J31)-2),IF(E31=2,RIGHT(Tonghop!L30,LEN(Tonghop!L30)-LEN(Temp!J31)-1),""))</f>
        <v>TẬP ĐOÀN CÔNG NGHIỆP - VIỄN THÔNG QUÂN ĐỘI</v>
      </c>
      <c r="Z31" s="74" t="str">
        <f>IF(E31&gt;2,MID(Tonghop!M30,LEN(Temp!K31)+2,FIND(";",Tonghop!M30,LEN(Temp!K31)+2)-LEN(Temp!K31)-2),IF(E31=2,RIGHT(Tonghop!M30,LEN(Tonghop!M30)-LEN(Temp!K31)-1),""))</f>
        <v>STG0026</v>
      </c>
      <c r="AA31" s="74" t="str">
        <f>IF(E31&gt;2,MID(Tonghop!N30,LEN(Temp!L31)+2,FIND(";",Tonghop!N30,LEN(Temp!L31)+2)-LEN(Temp!L31)-2),IF(E31=2,RIGHT(Tonghop!N30,LEN(Tonghop!N30)-LEN(Temp!L31)-1),""))</f>
        <v>NOKIA Flexi EDGE BTS</v>
      </c>
      <c r="AB31" s="75">
        <f t="shared" si="7"/>
        <v>3</v>
      </c>
      <c r="AC31" s="75" t="str">
        <f t="shared" si="8"/>
        <v>2</v>
      </c>
      <c r="AD31" s="75" t="str">
        <f t="shared" si="9"/>
        <v>2</v>
      </c>
      <c r="AE31" s="75" t="str">
        <f t="shared" si="10"/>
        <v>2</v>
      </c>
      <c r="AF31" s="74" t="str">
        <f>IF(E31&gt;2,MID(Tonghop!P30,LEN(Temp!Q31)+2,FIND(";",Tonghop!P30,LEN(Temp!Q31)+2)-LEN(Temp!Q31)-2),IF(E31=2,RIGHT(Tonghop!P30,LEN(Tonghop!P30)-LEN(Temp!Q31)-1),""))</f>
        <v>2/2/2</v>
      </c>
      <c r="AG31" s="72" t="str">
        <f t="shared" si="11"/>
        <v>41.7</v>
      </c>
      <c r="AH31" s="72" t="str">
        <f t="shared" si="12"/>
        <v>41.7</v>
      </c>
      <c r="AI31" s="72" t="str">
        <f t="shared" si="13"/>
        <v>41.7</v>
      </c>
      <c r="AJ31" s="74" t="str">
        <f>IF(E31&gt;2,MID(Tonghop!Q30,LEN(Temp!U31)+2,FIND(";",Tonghop!Q30,LEN(Temp!U31)+2)-LEN(Temp!U31)-2),IF(E31=2,RIGHT(Tonghop!Q30,LEN(Tonghop!Q30)-LEN(Temp!U31)-1),""))</f>
        <v>41.7W/41.7W/41.7W</v>
      </c>
      <c r="AK31" s="74" t="str">
        <f>IF(E31&gt;2,MID(Tonghop!R30,LEN(Temp!V31)+2,FIND("/",Tonghop!R30,LEN(Temp!V31)+2)-LEN(Temp!V31)-2),IF(E31=2,RIGHT(Tonghop!R30,LEN(Tonghop!R30)-LEN(Temp!V31)-1),""))</f>
        <v>G1800</v>
      </c>
      <c r="AL31" s="74" t="str">
        <f>IF(E31&gt;2,MID(Tonghop!S30,LEN(Temp!W31)+2,FIND(";",Tonghop!S30,LEN(Temp!W31)+2)-LEN(Temp!W31)-2),IF(E31=2,RIGHT(Tonghop!S30,LEN(Tonghop!S30)-LEN(Temp!W31)-1),""))</f>
        <v>27.5m/ 27.5m/ 27.5m</v>
      </c>
      <c r="AM31" s="73"/>
      <c r="AN31" s="75" t="str">
        <f>IF(E31&gt;2,RIGHT(Tonghop!L30,LEN(Tonghop!L30)-LEN(Temp!J31)-LEN(Temp!Y31)-2),"")</f>
        <v>TẬP ĐOÀN CÔNG NGHIỆP - VIỄN THÔNG QUÂN ĐỘI/TẬP ĐOÀN CÔNG NGHIỆP - VIỄN THÔNG QUÂN ĐỘI</v>
      </c>
      <c r="AO31" s="75" t="str">
        <f>IF(E31&gt;2,RIGHT(Tonghop!M30,LEN(Tonghop!M30)-LEN(Temp!K31)-LEN(Temp!Z31)-2),"")</f>
        <v>STG0026;STG0026</v>
      </c>
      <c r="AP31" s="75" t="str">
        <f>IF(E31&gt;2,RIGHT(Tonghop!N30,LEN(Tonghop!N30)-LEN(Temp!L31)-LEN(Temp!AA31)-2),"")</f>
        <v>NOKIA Flexi WCDMA BTS;NSN FLEXI MULTIRADIO AIRSCALE</v>
      </c>
      <c r="AQ31" s="75" t="str">
        <f>IF(E31&gt;2,RIGHT(Tonghop!P30,LEN(Tonghop!P30)-LEN(Temp!Q31)-LEN(Temp!AF31)-2),"")</f>
        <v>2/2/2;1/1/1</v>
      </c>
      <c r="AR31" s="75" t="str">
        <f>IF(E31&gt;2,RIGHT(Tonghop!Q30,LEN(Tonghop!Q30)-LEN(U31)-LEN(Temp!AJ31)-2),"")</f>
        <v>40W/40W/40W;40W/40W/40W</v>
      </c>
      <c r="AS31" s="75" t="str">
        <f>IF(E31&gt;2,RIGHT(Tonghop!R30,LEN(Tonghop!R30)-LEN(V31)-LEN(Temp!AK31)-2),"")</f>
        <v>U2100/L1800</v>
      </c>
      <c r="AT31" s="75" t="str">
        <f>IF(E31&gt;2,RIGHT(Tonghop!S30,LEN(Tonghop!S30)-LEN(W31)-LEN(Temp!AL31)-2),"")</f>
        <v>29.5m/ 29.5m/ 29.5m;29.5m/ 29.5m/ 29.5m</v>
      </c>
      <c r="AU31" s="75"/>
      <c r="AV31" s="75"/>
      <c r="AW31" s="75"/>
      <c r="AX31" s="75" t="str">
        <f t="shared" si="14"/>
        <v>TẬP ĐOÀN CÔNG NGHIỆP - VIỄN THÔNG QUÂN ĐỘI</v>
      </c>
      <c r="AY31" s="75" t="str">
        <f t="shared" si="15"/>
        <v>STG0026</v>
      </c>
      <c r="AZ31" s="75" t="str">
        <f t="shared" si="16"/>
        <v>NOKIA Flexi WCDMA BTS</v>
      </c>
      <c r="BA31" s="75">
        <f t="shared" si="17"/>
        <v>3</v>
      </c>
      <c r="BB31" s="75" t="str">
        <f t="shared" si="18"/>
        <v>2</v>
      </c>
      <c r="BC31" s="75" t="str">
        <f t="shared" si="19"/>
        <v>2</v>
      </c>
      <c r="BD31" s="75" t="str">
        <f t="shared" si="20"/>
        <v>2</v>
      </c>
      <c r="BE31" s="75" t="str">
        <f t="shared" si="21"/>
        <v>2/2/2</v>
      </c>
      <c r="BF31" s="72" t="str">
        <f t="shared" si="22"/>
        <v>40</v>
      </c>
      <c r="BG31" s="72" t="str">
        <f t="shared" si="23"/>
        <v>40</v>
      </c>
      <c r="BH31" s="72" t="str">
        <f t="shared" si="24"/>
        <v>40</v>
      </c>
      <c r="BI31" s="75" t="str">
        <f t="shared" si="25"/>
        <v>40W/40W/40W</v>
      </c>
      <c r="BJ31" s="75" t="str">
        <f t="shared" si="26"/>
        <v>U2100</v>
      </c>
      <c r="BK31" s="75" t="str">
        <f t="shared" si="27"/>
        <v>29.5m/ 29.5m/ 29.5m</v>
      </c>
      <c r="BL31" s="69"/>
      <c r="BM31" s="68" t="str">
        <f t="shared" si="28"/>
        <v>TẬP ĐOÀN CÔNG NGHIỆP - VIỄN THÔNG QUÂN ĐỘI</v>
      </c>
      <c r="BN31" s="68" t="str">
        <f t="shared" si="29"/>
        <v>STG0026</v>
      </c>
      <c r="BO31" s="68" t="str">
        <f t="shared" si="30"/>
        <v>NSN FLEXI MULTIRADIO AIRSCALE</v>
      </c>
      <c r="BP31" s="75">
        <f t="shared" si="31"/>
        <v>3</v>
      </c>
      <c r="BQ31" s="75" t="str">
        <f t="shared" si="32"/>
        <v>1</v>
      </c>
      <c r="BR31" s="75" t="str">
        <f t="shared" si="33"/>
        <v>1</v>
      </c>
      <c r="BS31" s="75" t="str">
        <f t="shared" si="34"/>
        <v>1</v>
      </c>
      <c r="BT31" s="77" t="str">
        <f t="shared" si="35"/>
        <v>1/1/1</v>
      </c>
      <c r="BU31" s="72" t="str">
        <f t="shared" si="36"/>
        <v>40</v>
      </c>
      <c r="BV31" s="72" t="str">
        <f t="shared" si="37"/>
        <v>40</v>
      </c>
      <c r="BW31" s="72" t="str">
        <f t="shared" si="38"/>
        <v>40</v>
      </c>
      <c r="BX31" s="77" t="str">
        <f t="shared" si="39"/>
        <v>40W/40W/40W</v>
      </c>
      <c r="BY31" s="77" t="str">
        <f t="shared" si="40"/>
        <v>L1800</v>
      </c>
      <c r="BZ31" s="77" t="str">
        <f t="shared" si="41"/>
        <v>29.5m/ 29.5m/ 29.5m</v>
      </c>
      <c r="CA31" s="69"/>
      <c r="CB31" s="75" t="str">
        <f>IF(E31&gt;4,RIGHT(AN31,LEN(AN31)-LEN(AX31)-LEN(Temp!BM31)-2),"")</f>
        <v/>
      </c>
      <c r="CC31" s="75" t="str">
        <f>IF(E31&gt;4,RIGHT(AO31,LEN(AO31)-LEN(AY31)-LEN(Temp!BN31)-2),"")</f>
        <v/>
      </c>
      <c r="CD31" s="75" t="str">
        <f>IF(E31&gt;4,RIGHT(AP31,LEN(AP31)-LEN(AZ31)-LEN(Temp!BO31)-2),"")</f>
        <v/>
      </c>
      <c r="CE31" s="75" t="str">
        <f t="shared" si="42"/>
        <v/>
      </c>
      <c r="CF31" s="75" t="str">
        <f t="shared" si="43"/>
        <v/>
      </c>
      <c r="CG31" s="75" t="str">
        <f t="shared" si="44"/>
        <v/>
      </c>
      <c r="CH31" s="75" t="str">
        <f t="shared" si="45"/>
        <v/>
      </c>
      <c r="CI31" s="75"/>
      <c r="CJ31" s="79"/>
      <c r="CK31" s="79"/>
      <c r="CL31" s="75" t="str">
        <f t="shared" si="46"/>
        <v/>
      </c>
      <c r="CM31" s="75" t="str">
        <f t="shared" si="47"/>
        <v/>
      </c>
      <c r="CN31" s="75" t="str">
        <f t="shared" si="48"/>
        <v/>
      </c>
      <c r="CO31" s="75" t="str">
        <f t="shared" si="49"/>
        <v/>
      </c>
      <c r="CP31" s="75" t="str">
        <f t="shared" si="50"/>
        <v/>
      </c>
      <c r="CQ31" s="75" t="str">
        <f t="shared" si="51"/>
        <v/>
      </c>
      <c r="CR31" s="75" t="str">
        <f t="shared" si="52"/>
        <v/>
      </c>
      <c r="CS31" s="75" t="str">
        <f t="shared" si="53"/>
        <v/>
      </c>
      <c r="CT31" s="72" t="str">
        <f t="shared" si="54"/>
        <v/>
      </c>
      <c r="CU31" s="72" t="str">
        <f t="shared" si="55"/>
        <v/>
      </c>
      <c r="CV31" s="72" t="str">
        <f t="shared" si="56"/>
        <v/>
      </c>
      <c r="CW31" s="75" t="str">
        <f t="shared" si="57"/>
        <v/>
      </c>
      <c r="CX31" s="75" t="str">
        <f t="shared" si="58"/>
        <v/>
      </c>
      <c r="CY31" s="75" t="str">
        <f t="shared" si="59"/>
        <v/>
      </c>
      <c r="CZ31" s="69"/>
      <c r="DA31" s="68" t="str">
        <f t="shared" si="60"/>
        <v/>
      </c>
      <c r="DB31" s="68" t="str">
        <f t="shared" si="61"/>
        <v/>
      </c>
      <c r="DC31" s="68" t="str">
        <f t="shared" si="62"/>
        <v/>
      </c>
      <c r="DD31" s="75" t="str">
        <f t="shared" si="63"/>
        <v/>
      </c>
      <c r="DE31" s="75" t="str">
        <f t="shared" si="64"/>
        <v/>
      </c>
      <c r="DF31" s="75" t="str">
        <f t="shared" si="65"/>
        <v/>
      </c>
      <c r="DG31" s="75" t="str">
        <f t="shared" si="66"/>
        <v/>
      </c>
      <c r="DH31" s="77" t="str">
        <f t="shared" si="67"/>
        <v/>
      </c>
      <c r="DI31" s="72" t="str">
        <f t="shared" si="68"/>
        <v/>
      </c>
      <c r="DJ31" s="72" t="str">
        <f t="shared" si="69"/>
        <v/>
      </c>
      <c r="DK31" s="72" t="str">
        <f t="shared" si="70"/>
        <v/>
      </c>
      <c r="DL31" s="77" t="str">
        <f t="shared" si="71"/>
        <v/>
      </c>
      <c r="DM31" s="77" t="str">
        <f t="shared" si="72"/>
        <v/>
      </c>
      <c r="DN31" s="77" t="str">
        <f t="shared" si="73"/>
        <v/>
      </c>
      <c r="DO31" s="68"/>
      <c r="DP31" s="68"/>
      <c r="DQ31" s="68"/>
      <c r="DR31" s="68"/>
      <c r="DS31" s="68"/>
      <c r="DT31" s="68"/>
      <c r="DU31" s="68"/>
      <c r="DV31" s="68"/>
      <c r="DW31" s="68"/>
      <c r="DX31" s="68"/>
      <c r="DY31" s="68"/>
      <c r="DZ31" s="68"/>
      <c r="EA31" s="68"/>
      <c r="EB31" s="68"/>
      <c r="EC31" s="68"/>
      <c r="ED31" s="68"/>
      <c r="EE31" s="68" t="str">
        <f>Tonghop!V30</f>
        <v>Yes</v>
      </c>
      <c r="EF31" s="68" t="str">
        <f>Tonghop!W30</f>
        <v>No</v>
      </c>
      <c r="EG31" s="68" t="str">
        <f>Tonghop!X30</f>
        <v/>
      </c>
      <c r="EH31" s="68" t="str">
        <f>Tonghop!Y30</f>
        <v>Yes</v>
      </c>
      <c r="EI31" s="68">
        <f>Tonghop!Z30</f>
        <v>7.5</v>
      </c>
      <c r="EJ31" s="139"/>
    </row>
    <row r="32" spans="1:140" s="112" customFormat="1">
      <c r="A32" s="67">
        <f>Tonghop!A31</f>
        <v>30</v>
      </c>
      <c r="B32" s="68" t="str">
        <f>Tonghop!D31</f>
        <v>Ấp Tập Rèn, xã Thới An Hội, huyện Kế Sách, tỉnh Sóc Trăng.</v>
      </c>
      <c r="C32" s="71" t="str">
        <f>Tonghop!E31</f>
        <v>Sóc Trăng</v>
      </c>
      <c r="D32" s="71" t="str">
        <f>Tonghop!I31</f>
        <v>1802451/2019/PTN-KĐ</v>
      </c>
      <c r="E32" s="67">
        <f>Tonghop!H31</f>
        <v>3</v>
      </c>
      <c r="F32" s="69"/>
      <c r="G32" s="69"/>
      <c r="H32" s="69"/>
      <c r="I32" s="69"/>
      <c r="J32" s="72" t="str">
        <f>IF(E32&gt;1,LEFT(Tonghop!L31,FIND("/",Tonghop!L31,1)-1),Tonghop!L31)</f>
        <v>TẬP ĐOÀN CÔNG NGHIỆP - VIỄN THÔNG QUÂN ĐỘI</v>
      </c>
      <c r="K32" s="72" t="str">
        <f>IF(E32&gt;1,LEFT(Tonghop!M31,FIND(";",Tonghop!M31,1)-1),Tonghop!M31)</f>
        <v>STG0093</v>
      </c>
      <c r="L32" s="72" t="str">
        <f>IF(E32&gt;1,LEFT(Tonghop!N31,FIND(";",Tonghop!N31,1)-1),Tonghop!N31)</f>
        <v>NOKIA Flexi EDGE BTS</v>
      </c>
      <c r="M32" s="72">
        <f t="shared" si="0"/>
        <v>4</v>
      </c>
      <c r="N32" s="72" t="str">
        <f t="shared" si="1"/>
        <v>2</v>
      </c>
      <c r="O32" s="72" t="str">
        <f t="shared" si="2"/>
        <v>2</v>
      </c>
      <c r="P32" s="72" t="str">
        <f t="shared" si="3"/>
        <v>2</v>
      </c>
      <c r="Q32" s="72" t="str">
        <f>IF(E32&gt;1,LEFT(Tonghop!P31,FIND(";",Tonghop!P31,1)-1),Tonghop!P31)</f>
        <v>2/2/2/2</v>
      </c>
      <c r="R32" s="72" t="str">
        <f t="shared" si="4"/>
        <v>41.7</v>
      </c>
      <c r="S32" s="72" t="str">
        <f t="shared" si="5"/>
        <v>41.7</v>
      </c>
      <c r="T32" s="72" t="str">
        <f t="shared" si="6"/>
        <v>41.7W/41.7</v>
      </c>
      <c r="U32" s="72" t="str">
        <f>IF(E32&gt;1,LEFT(Tonghop!Q31,FIND(";",Tonghop!Q31,1)-1),Tonghop!Q31)</f>
        <v>41.7W/41.7W/41.7W/41.7W</v>
      </c>
      <c r="V32" s="72" t="str">
        <f>IF(E32&gt;1,LEFT(Tonghop!R31,FIND("/",Tonghop!R31,1)-1),Tonghop!R31)</f>
        <v>G900</v>
      </c>
      <c r="W32" s="72" t="str">
        <f>IF(E32&gt;1,LEFT(Tonghop!S31,FIND(";",Tonghop!S31,1)-1),Tonghop!S31)</f>
        <v>34m/ 34m/ 34m/ 34m</v>
      </c>
      <c r="X32" s="73"/>
      <c r="Y32" s="74" t="str">
        <f>IF(E32&gt;2,MID(Tonghop!L31,LEN(Temp!J32)+2,FIND("/",Tonghop!L31,LEN(Temp!J32)+2)-LEN(Temp!J32)-2),IF(E32=2,RIGHT(Tonghop!L31,LEN(Tonghop!L31)-LEN(Temp!J32)-1),""))</f>
        <v>TẬP ĐOÀN CÔNG NGHIỆP - VIỄN THÔNG QUÂN ĐỘI</v>
      </c>
      <c r="Z32" s="74" t="str">
        <f>IF(E32&gt;2,MID(Tonghop!M31,LEN(Temp!K32)+2,FIND(";",Tonghop!M31,LEN(Temp!K32)+2)-LEN(Temp!K32)-2),IF(E32=2,RIGHT(Tonghop!M31,LEN(Tonghop!M31)-LEN(Temp!K32)-1),""))</f>
        <v>STG0093</v>
      </c>
      <c r="AA32" s="74" t="str">
        <f>IF(E32&gt;2,MID(Tonghop!N31,LEN(Temp!L32)+2,FIND(";",Tonghop!N31,LEN(Temp!L32)+2)-LEN(Temp!L32)-2),IF(E32=2,RIGHT(Tonghop!N31,LEN(Tonghop!N31)-LEN(Temp!L32)-1),""))</f>
        <v>NOKIA Flexi WCDMA BTS</v>
      </c>
      <c r="AB32" s="75">
        <f t="shared" si="7"/>
        <v>3</v>
      </c>
      <c r="AC32" s="75" t="str">
        <f t="shared" si="8"/>
        <v>2</v>
      </c>
      <c r="AD32" s="75" t="str">
        <f t="shared" si="9"/>
        <v>2</v>
      </c>
      <c r="AE32" s="75" t="str">
        <f t="shared" si="10"/>
        <v>2</v>
      </c>
      <c r="AF32" s="74" t="str">
        <f>IF(E32&gt;2,MID(Tonghop!P31,LEN(Temp!Q32)+2,FIND(";",Tonghop!P31,LEN(Temp!Q32)+2)-LEN(Temp!Q32)-2),IF(E32=2,RIGHT(Tonghop!P31,LEN(Tonghop!P31)-LEN(Temp!Q32)-1),""))</f>
        <v>2/2/2</v>
      </c>
      <c r="AG32" s="72" t="str">
        <f t="shared" si="11"/>
        <v>40</v>
      </c>
      <c r="AH32" s="72" t="str">
        <f t="shared" si="12"/>
        <v>40</v>
      </c>
      <c r="AI32" s="72" t="str">
        <f t="shared" si="13"/>
        <v>40</v>
      </c>
      <c r="AJ32" s="74" t="str">
        <f>IF(E32&gt;2,MID(Tonghop!Q31,LEN(Temp!U32)+2,FIND(";",Tonghop!Q31,LEN(Temp!U32)+2)-LEN(Temp!U32)-2),IF(E32=2,RIGHT(Tonghop!Q31,LEN(Tonghop!Q31)-LEN(Temp!U32)-1),""))</f>
        <v>40W/40W/40W</v>
      </c>
      <c r="AK32" s="74" t="str">
        <f>IF(E32&gt;2,MID(Tonghop!R31,LEN(Temp!V32)+2,FIND("/",Tonghop!R31,LEN(Temp!V32)+2)-LEN(Temp!V32)-2),IF(E32=2,RIGHT(Tonghop!R31,LEN(Tonghop!R31)-LEN(Temp!V32)-1),""))</f>
        <v>U2100</v>
      </c>
      <c r="AL32" s="74" t="str">
        <f>IF(E32&gt;2,MID(Tonghop!S31,LEN(Temp!W32)+2,FIND(";",Tonghop!S31,LEN(Temp!W32)+2)-LEN(Temp!W32)-2),IF(E32=2,RIGHT(Tonghop!S31,LEN(Tonghop!S31)-LEN(Temp!W32)-1),""))</f>
        <v>40m/ 40m/ 40m</v>
      </c>
      <c r="AM32" s="73"/>
      <c r="AN32" s="75" t="str">
        <f>IF(E32&gt;2,RIGHT(Tonghop!L31,LEN(Tonghop!L31)-LEN(Temp!J32)-LEN(Temp!Y32)-2),"")</f>
        <v>TẬP ĐOÀN CÔNG NGHIỆP - VIỄN THÔNG QUÂN ĐỘI</v>
      </c>
      <c r="AO32" s="75" t="str">
        <f>IF(E32&gt;2,RIGHT(Tonghop!M31,LEN(Tonghop!M31)-LEN(Temp!K32)-LEN(Temp!Z32)-2),"")</f>
        <v>STG0093</v>
      </c>
      <c r="AP32" s="75" t="str">
        <f>IF(E32&gt;2,RIGHT(Tonghop!N31,LEN(Tonghop!N31)-LEN(Temp!L32)-LEN(Temp!AA32)-2),"")</f>
        <v>NSN FLEXI MULTIRADIO AIRSCALE</v>
      </c>
      <c r="AQ32" s="75" t="str">
        <f>IF(E32&gt;2,RIGHT(Tonghop!P31,LEN(Tonghop!P31)-LEN(Temp!Q32)-LEN(Temp!AF32)-2),"")</f>
        <v>1/1/1</v>
      </c>
      <c r="AR32" s="75" t="str">
        <f>IF(E32&gt;2,RIGHT(Tonghop!Q31,LEN(Tonghop!Q31)-LEN(U32)-LEN(Temp!AJ32)-2),"")</f>
        <v>40W/40W/40W</v>
      </c>
      <c r="AS32" s="75" t="str">
        <f>IF(E32&gt;2,RIGHT(Tonghop!R31,LEN(Tonghop!R31)-LEN(V32)-LEN(Temp!AK32)-2),"")</f>
        <v>L1800</v>
      </c>
      <c r="AT32" s="75" t="str">
        <f>IF(E32&gt;2,RIGHT(Tonghop!S31,LEN(Tonghop!S31)-LEN(W32)-LEN(Temp!AL32)-2),"")</f>
        <v>40m/ 40m/ 40m</v>
      </c>
      <c r="AU32" s="75"/>
      <c r="AV32" s="75"/>
      <c r="AW32" s="75"/>
      <c r="AX32" s="75" t="str">
        <f t="shared" si="14"/>
        <v>TẬP ĐOÀN CÔNG NGHIỆP - VIỄN THÔNG QUÂN ĐỘI</v>
      </c>
      <c r="AY32" s="75" t="str">
        <f t="shared" si="15"/>
        <v>STG0093</v>
      </c>
      <c r="AZ32" s="75" t="str">
        <f t="shared" si="16"/>
        <v>NSN FLEXI MULTIRADIO AIRSCALE</v>
      </c>
      <c r="BA32" s="75">
        <f t="shared" si="17"/>
        <v>3</v>
      </c>
      <c r="BB32" s="75" t="str">
        <f t="shared" si="18"/>
        <v>1</v>
      </c>
      <c r="BC32" s="75" t="str">
        <f t="shared" si="19"/>
        <v>1</v>
      </c>
      <c r="BD32" s="75" t="str">
        <f t="shared" si="20"/>
        <v>1</v>
      </c>
      <c r="BE32" s="75" t="str">
        <f t="shared" si="21"/>
        <v>1/1/1</v>
      </c>
      <c r="BF32" s="72" t="str">
        <f t="shared" si="22"/>
        <v>40</v>
      </c>
      <c r="BG32" s="72" t="str">
        <f t="shared" si="23"/>
        <v>40</v>
      </c>
      <c r="BH32" s="72" t="str">
        <f t="shared" si="24"/>
        <v>40</v>
      </c>
      <c r="BI32" s="75" t="str">
        <f t="shared" si="25"/>
        <v>40W/40W/40W</v>
      </c>
      <c r="BJ32" s="75" t="str">
        <f t="shared" si="26"/>
        <v>L1800</v>
      </c>
      <c r="BK32" s="75" t="str">
        <f t="shared" si="27"/>
        <v>40m/ 40m/ 40m</v>
      </c>
      <c r="BL32" s="69"/>
      <c r="BM32" s="68" t="str">
        <f t="shared" si="28"/>
        <v/>
      </c>
      <c r="BN32" s="68" t="str">
        <f t="shared" si="29"/>
        <v/>
      </c>
      <c r="BO32" s="68" t="str">
        <f t="shared" si="30"/>
        <v/>
      </c>
      <c r="BP32" s="75" t="str">
        <f t="shared" si="31"/>
        <v/>
      </c>
      <c r="BQ32" s="75" t="str">
        <f t="shared" si="32"/>
        <v/>
      </c>
      <c r="BR32" s="75" t="str">
        <f t="shared" si="33"/>
        <v/>
      </c>
      <c r="BS32" s="75" t="str">
        <f t="shared" si="34"/>
        <v/>
      </c>
      <c r="BT32" s="77" t="str">
        <f t="shared" si="35"/>
        <v/>
      </c>
      <c r="BU32" s="72" t="str">
        <f t="shared" si="36"/>
        <v/>
      </c>
      <c r="BV32" s="72" t="str">
        <f t="shared" si="37"/>
        <v/>
      </c>
      <c r="BW32" s="72" t="str">
        <f t="shared" si="38"/>
        <v/>
      </c>
      <c r="BX32" s="77" t="str">
        <f t="shared" si="39"/>
        <v/>
      </c>
      <c r="BY32" s="77" t="str">
        <f t="shared" si="40"/>
        <v/>
      </c>
      <c r="BZ32" s="77" t="str">
        <f t="shared" si="41"/>
        <v/>
      </c>
      <c r="CA32" s="69"/>
      <c r="CB32" s="75" t="str">
        <f>IF(E32&gt;4,RIGHT(AN32,LEN(AN32)-LEN(AX32)-LEN(Temp!BM32)-2),"")</f>
        <v/>
      </c>
      <c r="CC32" s="75" t="str">
        <f>IF(E32&gt;4,RIGHT(AO32,LEN(AO32)-LEN(AY32)-LEN(Temp!BN32)-2),"")</f>
        <v/>
      </c>
      <c r="CD32" s="75" t="str">
        <f>IF(E32&gt;4,RIGHT(AP32,LEN(AP32)-LEN(AZ32)-LEN(Temp!BO32)-2),"")</f>
        <v/>
      </c>
      <c r="CE32" s="75" t="str">
        <f t="shared" si="42"/>
        <v/>
      </c>
      <c r="CF32" s="75" t="str">
        <f t="shared" si="43"/>
        <v/>
      </c>
      <c r="CG32" s="75" t="str">
        <f t="shared" si="44"/>
        <v/>
      </c>
      <c r="CH32" s="75" t="str">
        <f t="shared" si="45"/>
        <v/>
      </c>
      <c r="CI32" s="75"/>
      <c r="CJ32" s="79"/>
      <c r="CK32" s="79"/>
      <c r="CL32" s="75" t="str">
        <f t="shared" si="46"/>
        <v/>
      </c>
      <c r="CM32" s="75" t="str">
        <f t="shared" si="47"/>
        <v/>
      </c>
      <c r="CN32" s="75" t="str">
        <f t="shared" si="48"/>
        <v/>
      </c>
      <c r="CO32" s="75" t="str">
        <f t="shared" si="49"/>
        <v/>
      </c>
      <c r="CP32" s="75" t="str">
        <f t="shared" si="50"/>
        <v/>
      </c>
      <c r="CQ32" s="75" t="str">
        <f t="shared" si="51"/>
        <v/>
      </c>
      <c r="CR32" s="75" t="str">
        <f t="shared" si="52"/>
        <v/>
      </c>
      <c r="CS32" s="75" t="str">
        <f t="shared" si="53"/>
        <v/>
      </c>
      <c r="CT32" s="72" t="str">
        <f t="shared" si="54"/>
        <v/>
      </c>
      <c r="CU32" s="72" t="str">
        <f t="shared" si="55"/>
        <v/>
      </c>
      <c r="CV32" s="72" t="str">
        <f t="shared" si="56"/>
        <v/>
      </c>
      <c r="CW32" s="75" t="str">
        <f t="shared" si="57"/>
        <v/>
      </c>
      <c r="CX32" s="75" t="str">
        <f t="shared" si="58"/>
        <v/>
      </c>
      <c r="CY32" s="75" t="str">
        <f t="shared" si="59"/>
        <v/>
      </c>
      <c r="CZ32" s="69"/>
      <c r="DA32" s="68" t="str">
        <f t="shared" si="60"/>
        <v/>
      </c>
      <c r="DB32" s="68" t="str">
        <f t="shared" si="61"/>
        <v/>
      </c>
      <c r="DC32" s="68" t="str">
        <f t="shared" si="62"/>
        <v/>
      </c>
      <c r="DD32" s="75" t="str">
        <f t="shared" si="63"/>
        <v/>
      </c>
      <c r="DE32" s="75" t="str">
        <f t="shared" si="64"/>
        <v/>
      </c>
      <c r="DF32" s="75" t="str">
        <f t="shared" si="65"/>
        <v/>
      </c>
      <c r="DG32" s="75" t="str">
        <f t="shared" si="66"/>
        <v/>
      </c>
      <c r="DH32" s="77" t="str">
        <f t="shared" si="67"/>
        <v/>
      </c>
      <c r="DI32" s="72" t="str">
        <f t="shared" si="68"/>
        <v/>
      </c>
      <c r="DJ32" s="72" t="str">
        <f t="shared" si="69"/>
        <v/>
      </c>
      <c r="DK32" s="72" t="str">
        <f t="shared" si="70"/>
        <v/>
      </c>
      <c r="DL32" s="77" t="str">
        <f t="shared" si="71"/>
        <v/>
      </c>
      <c r="DM32" s="77" t="str">
        <f t="shared" si="72"/>
        <v/>
      </c>
      <c r="DN32" s="77" t="str">
        <f t="shared" si="73"/>
        <v/>
      </c>
      <c r="DO32" s="68"/>
      <c r="DP32" s="68"/>
      <c r="DQ32" s="68"/>
      <c r="DR32" s="68"/>
      <c r="DS32" s="68"/>
      <c r="DT32" s="68"/>
      <c r="DU32" s="68"/>
      <c r="DV32" s="68"/>
      <c r="DW32" s="68"/>
      <c r="DX32" s="68"/>
      <c r="DY32" s="68"/>
      <c r="DZ32" s="68"/>
      <c r="EA32" s="68"/>
      <c r="EB32" s="68"/>
      <c r="EC32" s="68"/>
      <c r="ED32" s="68"/>
      <c r="EE32" s="68" t="str">
        <f>Tonghop!V31</f>
        <v>Yes</v>
      </c>
      <c r="EF32" s="68" t="str">
        <f>Tonghop!W31</f>
        <v>Yes</v>
      </c>
      <c r="EG32" s="68">
        <f>Tonghop!X31</f>
        <v>34</v>
      </c>
      <c r="EH32" s="68" t="str">
        <f>Tonghop!Y31</f>
        <v>Yes</v>
      </c>
      <c r="EI32" s="68">
        <f>Tonghop!Z31</f>
        <v>30</v>
      </c>
      <c r="EJ32" s="139"/>
    </row>
    <row r="33" spans="1:140" s="112" customFormat="1">
      <c r="A33" s="67">
        <f>Tonghop!A32</f>
        <v>31</v>
      </c>
      <c r="B33" s="68" t="str">
        <f>Tonghop!D32</f>
        <v>Ấp Phú Tây, xã An Mỹ, huyện Kế Sách, tỉnh Sóc Trăng.</v>
      </c>
      <c r="C33" s="71" t="str">
        <f>Tonghop!E32</f>
        <v>Sóc Trăng</v>
      </c>
      <c r="D33" s="71" t="str">
        <f>Tonghop!I32</f>
        <v>1802452/2019/PTN-KĐ</v>
      </c>
      <c r="E33" s="67">
        <f>Tonghop!H32</f>
        <v>3</v>
      </c>
      <c r="F33" s="69"/>
      <c r="G33" s="69"/>
      <c r="H33" s="69"/>
      <c r="I33" s="69"/>
      <c r="J33" s="72" t="str">
        <f>IF(E33&gt;1,LEFT(Tonghop!L32,FIND("/",Tonghop!L32,1)-1),Tonghop!L32)</f>
        <v>TẬP ĐOÀN CÔNG NGHIỆP - VIỄN THÔNG QUÂN ĐỘI</v>
      </c>
      <c r="K33" s="72" t="str">
        <f>IF(E33&gt;1,LEFT(Tonghop!M32,FIND(";",Tonghop!M32,1)-1),Tonghop!M32)</f>
        <v>STG0124</v>
      </c>
      <c r="L33" s="72" t="str">
        <f>IF(E33&gt;1,LEFT(Tonghop!N32,FIND(";",Tonghop!N32,1)-1),Tonghop!N32)</f>
        <v>NOKIA Flexi EDGE BTS</v>
      </c>
      <c r="M33" s="72">
        <f t="shared" si="0"/>
        <v>4</v>
      </c>
      <c r="N33" s="72" t="str">
        <f t="shared" si="1"/>
        <v>2</v>
      </c>
      <c r="O33" s="72" t="str">
        <f t="shared" si="2"/>
        <v>4</v>
      </c>
      <c r="P33" s="72" t="str">
        <f t="shared" si="3"/>
        <v>2</v>
      </c>
      <c r="Q33" s="72" t="str">
        <f>IF(E33&gt;1,LEFT(Tonghop!P32,FIND(";",Tonghop!P32,1)-1),Tonghop!P32)</f>
        <v>2/4/2/2</v>
      </c>
      <c r="R33" s="72" t="str">
        <f t="shared" si="4"/>
        <v>41.7</v>
      </c>
      <c r="S33" s="72" t="str">
        <f t="shared" si="5"/>
        <v>37.24</v>
      </c>
      <c r="T33" s="72" t="str">
        <f t="shared" si="6"/>
        <v>41.7W/</v>
      </c>
      <c r="U33" s="72" t="str">
        <f>IF(E33&gt;1,LEFT(Tonghop!Q32,FIND(";",Tonghop!Q32,1)-1),Tonghop!Q32)</f>
        <v>41.7W/37.24W/41.7W/W</v>
      </c>
      <c r="V33" s="72" t="str">
        <f>IF(E33&gt;1,LEFT(Tonghop!R32,FIND("/",Tonghop!R32,1)-1),Tonghop!R32)</f>
        <v>G900</v>
      </c>
      <c r="W33" s="72" t="str">
        <f>IF(E33&gt;1,LEFT(Tonghop!S32,FIND(";",Tonghop!S32,1)-1),Tonghop!S32)</f>
        <v>36m/ 38m/ 38m/ 38m</v>
      </c>
      <c r="X33" s="73"/>
      <c r="Y33" s="74" t="str">
        <f>IF(E33&gt;2,MID(Tonghop!L32,LEN(Temp!J33)+2,FIND("/",Tonghop!L32,LEN(Temp!J33)+2)-LEN(Temp!J33)-2),IF(E33=2,RIGHT(Tonghop!L32,LEN(Tonghop!L32)-LEN(Temp!J33)-1),""))</f>
        <v>TẬP ĐOÀN CÔNG NGHIỆP - VIỄN THÔNG QUÂN ĐỘI</v>
      </c>
      <c r="Z33" s="74" t="str">
        <f>IF(E33&gt;2,MID(Tonghop!M32,LEN(Temp!K33)+2,FIND(";",Tonghop!M32,LEN(Temp!K33)+2)-LEN(Temp!K33)-2),IF(E33=2,RIGHT(Tonghop!M32,LEN(Tonghop!M32)-LEN(Temp!K33)-1),""))</f>
        <v>STG0124</v>
      </c>
      <c r="AA33" s="74" t="str">
        <f>IF(E33&gt;2,MID(Tonghop!N32,LEN(Temp!L33)+2,FIND(";",Tonghop!N32,LEN(Temp!L33)+2)-LEN(Temp!L33)-2),IF(E33=2,RIGHT(Tonghop!N32,LEN(Tonghop!N32)-LEN(Temp!L33)-1),""))</f>
        <v>NOKIA Flexi WCDMA BTS</v>
      </c>
      <c r="AB33" s="75">
        <f t="shared" si="7"/>
        <v>3</v>
      </c>
      <c r="AC33" s="75" t="str">
        <f t="shared" si="8"/>
        <v>2</v>
      </c>
      <c r="AD33" s="75" t="str">
        <f t="shared" si="9"/>
        <v>2</v>
      </c>
      <c r="AE33" s="75" t="str">
        <f t="shared" si="10"/>
        <v>2</v>
      </c>
      <c r="AF33" s="74" t="str">
        <f>IF(E33&gt;2,MID(Tonghop!P32,LEN(Temp!Q33)+2,FIND(";",Tonghop!P32,LEN(Temp!Q33)+2)-LEN(Temp!Q33)-2),IF(E33=2,RIGHT(Tonghop!P32,LEN(Tonghop!P32)-LEN(Temp!Q33)-1),""))</f>
        <v>2/2/2</v>
      </c>
      <c r="AG33" s="72" t="str">
        <f t="shared" si="11"/>
        <v>40</v>
      </c>
      <c r="AH33" s="72" t="str">
        <f t="shared" si="12"/>
        <v>40</v>
      </c>
      <c r="AI33" s="72" t="str">
        <f t="shared" si="13"/>
        <v>40</v>
      </c>
      <c r="AJ33" s="74" t="str">
        <f>IF(E33&gt;2,MID(Tonghop!Q32,LEN(Temp!U33)+2,FIND(";",Tonghop!Q32,LEN(Temp!U33)+2)-LEN(Temp!U33)-2),IF(E33=2,RIGHT(Tonghop!Q32,LEN(Tonghop!Q32)-LEN(Temp!U33)-1),""))</f>
        <v>40W/40W/40W</v>
      </c>
      <c r="AK33" s="74" t="str">
        <f>IF(E33&gt;2,MID(Tonghop!R32,LEN(Temp!V33)+2,FIND("/",Tonghop!R32,LEN(Temp!V33)+2)-LEN(Temp!V33)-2),IF(E33=2,RIGHT(Tonghop!R32,LEN(Tonghop!R32)-LEN(Temp!V33)-1),""))</f>
        <v>U2100</v>
      </c>
      <c r="AL33" s="74" t="str">
        <f>IF(E33&gt;2,MID(Tonghop!S32,LEN(Temp!W33)+2,FIND(";",Tonghop!S32,LEN(Temp!W33)+2)-LEN(Temp!W33)-2),IF(E33=2,RIGHT(Tonghop!S32,LEN(Tonghop!S32)-LEN(Temp!W33)-1),""))</f>
        <v>41m/ 41m/ 41m</v>
      </c>
      <c r="AM33" s="73"/>
      <c r="AN33" s="75" t="str">
        <f>IF(E33&gt;2,RIGHT(Tonghop!L32,LEN(Tonghop!L32)-LEN(Temp!J33)-LEN(Temp!Y33)-2),"")</f>
        <v>TẬP ĐOÀN CÔNG NGHIỆP - VIỄN THÔNG QUÂN ĐỘI</v>
      </c>
      <c r="AO33" s="75" t="str">
        <f>IF(E33&gt;2,RIGHT(Tonghop!M32,LEN(Tonghop!M32)-LEN(Temp!K33)-LEN(Temp!Z33)-2),"")</f>
        <v>STG0124</v>
      </c>
      <c r="AP33" s="75" t="str">
        <f>IF(E33&gt;2,RIGHT(Tonghop!N32,LEN(Tonghop!N32)-LEN(Temp!L33)-LEN(Temp!AA33)-2),"")</f>
        <v>NSN FLEXI MULTIRADIO AIRSCALE</v>
      </c>
      <c r="AQ33" s="75" t="str">
        <f>IF(E33&gt;2,RIGHT(Tonghop!P32,LEN(Tonghop!P32)-LEN(Temp!Q33)-LEN(Temp!AF33)-2),"")</f>
        <v>1/1/1</v>
      </c>
      <c r="AR33" s="75" t="str">
        <f>IF(E33&gt;2,RIGHT(Tonghop!Q32,LEN(Tonghop!Q32)-LEN(U33)-LEN(Temp!AJ33)-2),"")</f>
        <v>40W/40W/40W</v>
      </c>
      <c r="AS33" s="75" t="str">
        <f>IF(E33&gt;2,RIGHT(Tonghop!R32,LEN(Tonghop!R32)-LEN(V33)-LEN(Temp!AK33)-2),"")</f>
        <v>L1800</v>
      </c>
      <c r="AT33" s="75" t="str">
        <f>IF(E33&gt;2,RIGHT(Tonghop!S32,LEN(Tonghop!S32)-LEN(W33)-LEN(Temp!AL33)-2),"")</f>
        <v>41m/ 41m/ 41m</v>
      </c>
      <c r="AU33" s="75"/>
      <c r="AV33" s="75"/>
      <c r="AW33" s="75"/>
      <c r="AX33" s="75" t="str">
        <f t="shared" si="14"/>
        <v>TẬP ĐOÀN CÔNG NGHIỆP - VIỄN THÔNG QUÂN ĐỘI</v>
      </c>
      <c r="AY33" s="75" t="str">
        <f t="shared" si="15"/>
        <v>STG0124</v>
      </c>
      <c r="AZ33" s="75" t="str">
        <f t="shared" si="16"/>
        <v>NSN FLEXI MULTIRADIO AIRSCALE</v>
      </c>
      <c r="BA33" s="75">
        <f t="shared" si="17"/>
        <v>3</v>
      </c>
      <c r="BB33" s="75" t="str">
        <f t="shared" si="18"/>
        <v>1</v>
      </c>
      <c r="BC33" s="75" t="str">
        <f t="shared" si="19"/>
        <v>1</v>
      </c>
      <c r="BD33" s="75" t="str">
        <f t="shared" si="20"/>
        <v>1</v>
      </c>
      <c r="BE33" s="75" t="str">
        <f t="shared" si="21"/>
        <v>1/1/1</v>
      </c>
      <c r="BF33" s="72" t="str">
        <f t="shared" si="22"/>
        <v>40</v>
      </c>
      <c r="BG33" s="72" t="str">
        <f t="shared" si="23"/>
        <v>40</v>
      </c>
      <c r="BH33" s="72" t="str">
        <f t="shared" si="24"/>
        <v>40</v>
      </c>
      <c r="BI33" s="75" t="str">
        <f t="shared" si="25"/>
        <v>40W/40W/40W</v>
      </c>
      <c r="BJ33" s="75" t="str">
        <f t="shared" si="26"/>
        <v>L1800</v>
      </c>
      <c r="BK33" s="75" t="str">
        <f t="shared" si="27"/>
        <v>41m/ 41m/ 41m</v>
      </c>
      <c r="BL33" s="69"/>
      <c r="BM33" s="68" t="str">
        <f t="shared" si="28"/>
        <v/>
      </c>
      <c r="BN33" s="68" t="str">
        <f t="shared" si="29"/>
        <v/>
      </c>
      <c r="BO33" s="68" t="str">
        <f t="shared" si="30"/>
        <v/>
      </c>
      <c r="BP33" s="75" t="str">
        <f t="shared" si="31"/>
        <v/>
      </c>
      <c r="BQ33" s="75" t="str">
        <f t="shared" si="32"/>
        <v/>
      </c>
      <c r="BR33" s="75" t="str">
        <f t="shared" si="33"/>
        <v/>
      </c>
      <c r="BS33" s="75" t="str">
        <f t="shared" si="34"/>
        <v/>
      </c>
      <c r="BT33" s="77" t="str">
        <f t="shared" si="35"/>
        <v/>
      </c>
      <c r="BU33" s="72" t="str">
        <f t="shared" si="36"/>
        <v/>
      </c>
      <c r="BV33" s="72" t="str">
        <f t="shared" si="37"/>
        <v/>
      </c>
      <c r="BW33" s="72" t="str">
        <f t="shared" si="38"/>
        <v/>
      </c>
      <c r="BX33" s="77" t="str">
        <f t="shared" si="39"/>
        <v/>
      </c>
      <c r="BY33" s="77" t="str">
        <f t="shared" si="40"/>
        <v/>
      </c>
      <c r="BZ33" s="77" t="str">
        <f t="shared" si="41"/>
        <v/>
      </c>
      <c r="CA33" s="69"/>
      <c r="CB33" s="75" t="str">
        <f>IF(E33&gt;4,RIGHT(AN33,LEN(AN33)-LEN(AX33)-LEN(Temp!BM33)-2),"")</f>
        <v/>
      </c>
      <c r="CC33" s="75" t="str">
        <f>IF(E33&gt;4,RIGHT(AO33,LEN(AO33)-LEN(AY33)-LEN(Temp!BN33)-2),"")</f>
        <v/>
      </c>
      <c r="CD33" s="75" t="str">
        <f>IF(E33&gt;4,RIGHT(AP33,LEN(AP33)-LEN(AZ33)-LEN(Temp!BO33)-2),"")</f>
        <v/>
      </c>
      <c r="CE33" s="75" t="str">
        <f t="shared" si="42"/>
        <v/>
      </c>
      <c r="CF33" s="75" t="str">
        <f t="shared" si="43"/>
        <v/>
      </c>
      <c r="CG33" s="75" t="str">
        <f t="shared" si="44"/>
        <v/>
      </c>
      <c r="CH33" s="75" t="str">
        <f t="shared" si="45"/>
        <v/>
      </c>
      <c r="CI33" s="75"/>
      <c r="CJ33" s="79"/>
      <c r="CK33" s="79"/>
      <c r="CL33" s="75" t="str">
        <f t="shared" si="46"/>
        <v/>
      </c>
      <c r="CM33" s="75" t="str">
        <f t="shared" si="47"/>
        <v/>
      </c>
      <c r="CN33" s="75" t="str">
        <f t="shared" si="48"/>
        <v/>
      </c>
      <c r="CO33" s="75" t="str">
        <f t="shared" si="49"/>
        <v/>
      </c>
      <c r="CP33" s="75" t="str">
        <f t="shared" si="50"/>
        <v/>
      </c>
      <c r="CQ33" s="75" t="str">
        <f t="shared" si="51"/>
        <v/>
      </c>
      <c r="CR33" s="75" t="str">
        <f t="shared" si="52"/>
        <v/>
      </c>
      <c r="CS33" s="75" t="str">
        <f t="shared" si="53"/>
        <v/>
      </c>
      <c r="CT33" s="72" t="str">
        <f t="shared" si="54"/>
        <v/>
      </c>
      <c r="CU33" s="72" t="str">
        <f t="shared" si="55"/>
        <v/>
      </c>
      <c r="CV33" s="72" t="str">
        <f t="shared" si="56"/>
        <v/>
      </c>
      <c r="CW33" s="75" t="str">
        <f t="shared" si="57"/>
        <v/>
      </c>
      <c r="CX33" s="75" t="str">
        <f t="shared" si="58"/>
        <v/>
      </c>
      <c r="CY33" s="75" t="str">
        <f t="shared" si="59"/>
        <v/>
      </c>
      <c r="CZ33" s="69"/>
      <c r="DA33" s="68" t="str">
        <f t="shared" si="60"/>
        <v/>
      </c>
      <c r="DB33" s="68" t="str">
        <f t="shared" si="61"/>
        <v/>
      </c>
      <c r="DC33" s="68" t="str">
        <f t="shared" si="62"/>
        <v/>
      </c>
      <c r="DD33" s="75" t="str">
        <f t="shared" si="63"/>
        <v/>
      </c>
      <c r="DE33" s="75" t="str">
        <f t="shared" si="64"/>
        <v/>
      </c>
      <c r="DF33" s="75" t="str">
        <f t="shared" si="65"/>
        <v/>
      </c>
      <c r="DG33" s="75" t="str">
        <f t="shared" si="66"/>
        <v/>
      </c>
      <c r="DH33" s="77" t="str">
        <f t="shared" si="67"/>
        <v/>
      </c>
      <c r="DI33" s="72" t="str">
        <f t="shared" si="68"/>
        <v/>
      </c>
      <c r="DJ33" s="72" t="str">
        <f t="shared" si="69"/>
        <v/>
      </c>
      <c r="DK33" s="72" t="str">
        <f t="shared" si="70"/>
        <v/>
      </c>
      <c r="DL33" s="77" t="str">
        <f t="shared" si="71"/>
        <v/>
      </c>
      <c r="DM33" s="77" t="str">
        <f t="shared" si="72"/>
        <v/>
      </c>
      <c r="DN33" s="77" t="str">
        <f t="shared" si="73"/>
        <v/>
      </c>
      <c r="DO33" s="68"/>
      <c r="DP33" s="68"/>
      <c r="DQ33" s="68"/>
      <c r="DR33" s="68"/>
      <c r="DS33" s="68"/>
      <c r="DT33" s="68"/>
      <c r="DU33" s="68"/>
      <c r="DV33" s="68"/>
      <c r="DW33" s="68"/>
      <c r="DX33" s="68"/>
      <c r="DY33" s="68"/>
      <c r="DZ33" s="68"/>
      <c r="EA33" s="68"/>
      <c r="EB33" s="68"/>
      <c r="EC33" s="68"/>
      <c r="ED33" s="68"/>
      <c r="EE33" s="68" t="str">
        <f>Tonghop!V32</f>
        <v>Yes</v>
      </c>
      <c r="EF33" s="68" t="str">
        <f>Tonghop!W32</f>
        <v>Yes</v>
      </c>
      <c r="EG33" s="68">
        <f>Tonghop!X32</f>
        <v>36</v>
      </c>
      <c r="EH33" s="68" t="str">
        <f>Tonghop!Y32</f>
        <v>Yes</v>
      </c>
      <c r="EI33" s="68">
        <f>Tonghop!Z32</f>
        <v>32</v>
      </c>
      <c r="EJ33" s="139"/>
    </row>
    <row r="34" spans="1:140" s="112" customFormat="1">
      <c r="A34" s="67">
        <f>Tonghop!A33</f>
        <v>32</v>
      </c>
      <c r="B34" s="68" t="str">
        <f>Tonghop!D33</f>
        <v>Ấp Hòa Lộc 2, xã Xuân Hòa, huyện Kế Sách, tỉnh Sóc Trăng.</v>
      </c>
      <c r="C34" s="71" t="str">
        <f>Tonghop!E33</f>
        <v>Sóc Trăng</v>
      </c>
      <c r="D34" s="71" t="str">
        <f>Tonghop!I33</f>
        <v>1802453/2019/PTN-KĐ</v>
      </c>
      <c r="E34" s="67">
        <f>Tonghop!H33</f>
        <v>1</v>
      </c>
      <c r="F34" s="69"/>
      <c r="G34" s="69"/>
      <c r="H34" s="69"/>
      <c r="I34" s="69"/>
      <c r="J34" s="72" t="str">
        <f>IF(E34&gt;1,LEFT(Tonghop!L33,FIND("/",Tonghop!L33,1)-1),Tonghop!L33)</f>
        <v>TẬP ĐOÀN CÔNG NGHIỆP - VIỄN THÔNG QUÂN ĐỘI</v>
      </c>
      <c r="K34" s="72" t="str">
        <f>IF(E34&gt;1,LEFT(Tonghop!M33,FIND(";",Tonghop!M33,1)-1),Tonghop!M33)</f>
        <v>STG0123-11</v>
      </c>
      <c r="L34" s="72" t="str">
        <f>IF(E34&gt;1,LEFT(Tonghop!N33,FIND(";",Tonghop!N33,1)-1),Tonghop!N33)</f>
        <v>NOKIA Flexi WCDMA BTS</v>
      </c>
      <c r="M34" s="72">
        <f t="shared" si="0"/>
        <v>2</v>
      </c>
      <c r="N34" s="72" t="str">
        <f t="shared" si="1"/>
        <v>2</v>
      </c>
      <c r="O34" s="72" t="str">
        <f t="shared" si="2"/>
        <v>2</v>
      </c>
      <c r="P34" s="72" t="str">
        <f t="shared" si="3"/>
        <v/>
      </c>
      <c r="Q34" s="72" t="str">
        <f>IF(E34&gt;1,LEFT(Tonghop!P33,FIND(";",Tonghop!P33,1)-1),Tonghop!P33)</f>
        <v>2/2</v>
      </c>
      <c r="R34" s="72" t="str">
        <f t="shared" si="4"/>
        <v>40</v>
      </c>
      <c r="S34" s="72" t="str">
        <f t="shared" si="5"/>
        <v>40</v>
      </c>
      <c r="T34" s="72" t="e">
        <f t="shared" si="6"/>
        <v>#VALUE!</v>
      </c>
      <c r="U34" s="72" t="str">
        <f>IF(E34&gt;1,LEFT(Tonghop!Q33,FIND(";",Tonghop!Q33,1)-1),Tonghop!Q33)</f>
        <v>40W/40W</v>
      </c>
      <c r="V34" s="72" t="str">
        <f>IF(E34&gt;1,LEFT(Tonghop!R33,FIND("/",Tonghop!R33,1)-1),Tonghop!R33)</f>
        <v>U2100</v>
      </c>
      <c r="W34" s="72" t="str">
        <f>IF(E34&gt;1,LEFT(Tonghop!S33,FIND(";",Tonghop!S33,1)-1),Tonghop!S33)</f>
        <v>22m/ 22m</v>
      </c>
      <c r="X34" s="73"/>
      <c r="Y34" s="74" t="str">
        <f>IF(E34&gt;2,MID(Tonghop!L33,LEN(Temp!J34)+2,FIND("/",Tonghop!L33,LEN(Temp!J34)+2)-LEN(Temp!J34)-2),IF(E34=2,RIGHT(Tonghop!L33,LEN(Tonghop!L33)-LEN(Temp!J34)-1),""))</f>
        <v/>
      </c>
      <c r="Z34" s="74" t="str">
        <f>IF(E34&gt;2,MID(Tonghop!M33,LEN(Temp!K34)+2,FIND(";",Tonghop!M33,LEN(Temp!K34)+2)-LEN(Temp!K34)-2),IF(E34=2,RIGHT(Tonghop!M33,LEN(Tonghop!M33)-LEN(Temp!K34)-1),""))</f>
        <v/>
      </c>
      <c r="AA34" s="74" t="str">
        <f>IF(E34&gt;2,MID(Tonghop!N33,LEN(Temp!L34)+2,FIND(";",Tonghop!N33,LEN(Temp!L34)+2)-LEN(Temp!L34)-2),IF(E34=2,RIGHT(Tonghop!N33,LEN(Tonghop!N33)-LEN(Temp!L34)-1),""))</f>
        <v/>
      </c>
      <c r="AB34" s="75" t="str">
        <f t="shared" si="7"/>
        <v/>
      </c>
      <c r="AC34" s="75" t="str">
        <f t="shared" si="8"/>
        <v/>
      </c>
      <c r="AD34" s="75" t="str">
        <f t="shared" si="9"/>
        <v/>
      </c>
      <c r="AE34" s="75" t="str">
        <f t="shared" si="10"/>
        <v/>
      </c>
      <c r="AF34" s="74" t="str">
        <f>IF(E34&gt;2,MID(Tonghop!P33,LEN(Temp!Q34)+2,FIND(";",Tonghop!P33,LEN(Temp!Q34)+2)-LEN(Temp!Q34)-2),IF(E34=2,RIGHT(Tonghop!P33,LEN(Tonghop!P33)-LEN(Temp!Q34)-1),""))</f>
        <v/>
      </c>
      <c r="AG34" s="72" t="str">
        <f t="shared" si="11"/>
        <v/>
      </c>
      <c r="AH34" s="72" t="str">
        <f t="shared" si="12"/>
        <v/>
      </c>
      <c r="AI34" s="72" t="str">
        <f t="shared" si="13"/>
        <v/>
      </c>
      <c r="AJ34" s="74" t="str">
        <f>IF(E34&gt;2,MID(Tonghop!Q33,LEN(Temp!U34)+2,FIND(";",Tonghop!Q33,LEN(Temp!U34)+2)-LEN(Temp!U34)-2),IF(E34=2,RIGHT(Tonghop!Q33,LEN(Tonghop!Q33)-LEN(Temp!U34)-1),""))</f>
        <v/>
      </c>
      <c r="AK34" s="74" t="str">
        <f>IF(E34&gt;2,MID(Tonghop!R33,LEN(Temp!V34)+2,FIND("/",Tonghop!R33,LEN(Temp!V34)+2)-LEN(Temp!V34)-2),IF(E34=2,RIGHT(Tonghop!R33,LEN(Tonghop!R33)-LEN(Temp!V34)-1),""))</f>
        <v/>
      </c>
      <c r="AL34" s="74" t="str">
        <f>IF(E34&gt;2,MID(Tonghop!S33,LEN(Temp!W34)+2,FIND(";",Tonghop!S33,LEN(Temp!W34)+2)-LEN(Temp!W34)-2),IF(E34=2,RIGHT(Tonghop!S33,LEN(Tonghop!S33)-LEN(Temp!W34)-1),""))</f>
        <v/>
      </c>
      <c r="AM34" s="73"/>
      <c r="AN34" s="75" t="str">
        <f>IF(E34&gt;2,RIGHT(Tonghop!L33,LEN(Tonghop!L33)-LEN(Temp!J34)-LEN(Temp!Y34)-2),"")</f>
        <v/>
      </c>
      <c r="AO34" s="75" t="str">
        <f>IF(E34&gt;2,RIGHT(Tonghop!M33,LEN(Tonghop!M33)-LEN(Temp!K34)-LEN(Temp!Z34)-2),"")</f>
        <v/>
      </c>
      <c r="AP34" s="75" t="str">
        <f>IF(E34&gt;2,RIGHT(Tonghop!N33,LEN(Tonghop!N33)-LEN(Temp!L34)-LEN(Temp!AA34)-2),"")</f>
        <v/>
      </c>
      <c r="AQ34" s="75" t="str">
        <f>IF(E34&gt;2,RIGHT(Tonghop!P33,LEN(Tonghop!P33)-LEN(Temp!Q34)-LEN(Temp!AF34)-2),"")</f>
        <v/>
      </c>
      <c r="AR34" s="75" t="str">
        <f>IF(E34&gt;2,RIGHT(Tonghop!Q33,LEN(Tonghop!Q33)-LEN(U34)-LEN(Temp!AJ34)-2),"")</f>
        <v/>
      </c>
      <c r="AS34" s="75" t="str">
        <f>IF(E34&gt;2,RIGHT(Tonghop!R33,LEN(Tonghop!R33)-LEN(V34)-LEN(Temp!AK34)-2),"")</f>
        <v/>
      </c>
      <c r="AT34" s="75" t="str">
        <f>IF(E34&gt;2,RIGHT(Tonghop!S33,LEN(Tonghop!S33)-LEN(W34)-LEN(Temp!AL34)-2),"")</f>
        <v/>
      </c>
      <c r="AU34" s="75"/>
      <c r="AV34" s="75"/>
      <c r="AW34" s="75"/>
      <c r="AX34" s="75" t="str">
        <f t="shared" si="14"/>
        <v/>
      </c>
      <c r="AY34" s="75" t="str">
        <f t="shared" si="15"/>
        <v/>
      </c>
      <c r="AZ34" s="75" t="str">
        <f t="shared" si="16"/>
        <v/>
      </c>
      <c r="BA34" s="75" t="str">
        <f t="shared" si="17"/>
        <v/>
      </c>
      <c r="BB34" s="75" t="str">
        <f t="shared" si="18"/>
        <v/>
      </c>
      <c r="BC34" s="75" t="str">
        <f t="shared" si="19"/>
        <v/>
      </c>
      <c r="BD34" s="75" t="str">
        <f t="shared" si="20"/>
        <v/>
      </c>
      <c r="BE34" s="75" t="str">
        <f t="shared" si="21"/>
        <v/>
      </c>
      <c r="BF34" s="72" t="str">
        <f t="shared" si="22"/>
        <v/>
      </c>
      <c r="BG34" s="72" t="str">
        <f t="shared" si="23"/>
        <v/>
      </c>
      <c r="BH34" s="72" t="str">
        <f t="shared" si="24"/>
        <v/>
      </c>
      <c r="BI34" s="75" t="str">
        <f t="shared" si="25"/>
        <v/>
      </c>
      <c r="BJ34" s="75" t="str">
        <f t="shared" si="26"/>
        <v/>
      </c>
      <c r="BK34" s="75" t="str">
        <f t="shared" si="27"/>
        <v/>
      </c>
      <c r="BL34" s="69"/>
      <c r="BM34" s="68" t="str">
        <f t="shared" si="28"/>
        <v/>
      </c>
      <c r="BN34" s="68" t="str">
        <f t="shared" si="29"/>
        <v/>
      </c>
      <c r="BO34" s="68" t="str">
        <f t="shared" si="30"/>
        <v/>
      </c>
      <c r="BP34" s="75" t="str">
        <f t="shared" si="31"/>
        <v/>
      </c>
      <c r="BQ34" s="75" t="str">
        <f t="shared" si="32"/>
        <v/>
      </c>
      <c r="BR34" s="75" t="str">
        <f t="shared" si="33"/>
        <v/>
      </c>
      <c r="BS34" s="75" t="str">
        <f t="shared" si="34"/>
        <v/>
      </c>
      <c r="BT34" s="77" t="str">
        <f t="shared" si="35"/>
        <v/>
      </c>
      <c r="BU34" s="72" t="str">
        <f t="shared" si="36"/>
        <v/>
      </c>
      <c r="BV34" s="72" t="str">
        <f t="shared" si="37"/>
        <v/>
      </c>
      <c r="BW34" s="72" t="str">
        <f t="shared" si="38"/>
        <v/>
      </c>
      <c r="BX34" s="77" t="str">
        <f t="shared" si="39"/>
        <v/>
      </c>
      <c r="BY34" s="77" t="str">
        <f t="shared" si="40"/>
        <v/>
      </c>
      <c r="BZ34" s="77" t="str">
        <f t="shared" si="41"/>
        <v/>
      </c>
      <c r="CA34" s="69"/>
      <c r="CB34" s="75" t="str">
        <f>IF(E34&gt;4,RIGHT(AN34,LEN(AN34)-LEN(AX34)-LEN(Temp!BM34)-2),"")</f>
        <v/>
      </c>
      <c r="CC34" s="75" t="str">
        <f>IF(E34&gt;4,RIGHT(AO34,LEN(AO34)-LEN(AY34)-LEN(Temp!BN34)-2),"")</f>
        <v/>
      </c>
      <c r="CD34" s="75" t="str">
        <f>IF(E34&gt;4,RIGHT(AP34,LEN(AP34)-LEN(AZ34)-LEN(Temp!BO34)-2),"")</f>
        <v/>
      </c>
      <c r="CE34" s="75" t="str">
        <f t="shared" si="42"/>
        <v/>
      </c>
      <c r="CF34" s="75" t="str">
        <f t="shared" si="43"/>
        <v/>
      </c>
      <c r="CG34" s="75" t="str">
        <f t="shared" si="44"/>
        <v/>
      </c>
      <c r="CH34" s="75" t="str">
        <f t="shared" si="45"/>
        <v/>
      </c>
      <c r="CI34" s="75"/>
      <c r="CJ34" s="79"/>
      <c r="CK34" s="79"/>
      <c r="CL34" s="75" t="str">
        <f t="shared" si="46"/>
        <v/>
      </c>
      <c r="CM34" s="75" t="str">
        <f t="shared" si="47"/>
        <v/>
      </c>
      <c r="CN34" s="75" t="str">
        <f t="shared" si="48"/>
        <v/>
      </c>
      <c r="CO34" s="75" t="str">
        <f t="shared" si="49"/>
        <v/>
      </c>
      <c r="CP34" s="75" t="str">
        <f t="shared" si="50"/>
        <v/>
      </c>
      <c r="CQ34" s="75" t="str">
        <f t="shared" si="51"/>
        <v/>
      </c>
      <c r="CR34" s="75" t="str">
        <f t="shared" si="52"/>
        <v/>
      </c>
      <c r="CS34" s="75" t="str">
        <f t="shared" si="53"/>
        <v/>
      </c>
      <c r="CT34" s="72" t="str">
        <f t="shared" si="54"/>
        <v/>
      </c>
      <c r="CU34" s="72" t="str">
        <f t="shared" si="55"/>
        <v/>
      </c>
      <c r="CV34" s="72" t="str">
        <f t="shared" si="56"/>
        <v/>
      </c>
      <c r="CW34" s="75" t="str">
        <f t="shared" si="57"/>
        <v/>
      </c>
      <c r="CX34" s="75" t="str">
        <f t="shared" si="58"/>
        <v/>
      </c>
      <c r="CY34" s="75" t="str">
        <f t="shared" si="59"/>
        <v/>
      </c>
      <c r="CZ34" s="69"/>
      <c r="DA34" s="68" t="str">
        <f t="shared" si="60"/>
        <v/>
      </c>
      <c r="DB34" s="68" t="str">
        <f t="shared" si="61"/>
        <v/>
      </c>
      <c r="DC34" s="68" t="str">
        <f t="shared" si="62"/>
        <v/>
      </c>
      <c r="DD34" s="75" t="str">
        <f t="shared" si="63"/>
        <v/>
      </c>
      <c r="DE34" s="75" t="str">
        <f t="shared" si="64"/>
        <v/>
      </c>
      <c r="DF34" s="75" t="str">
        <f t="shared" si="65"/>
        <v/>
      </c>
      <c r="DG34" s="75" t="str">
        <f t="shared" si="66"/>
        <v/>
      </c>
      <c r="DH34" s="77" t="str">
        <f t="shared" si="67"/>
        <v/>
      </c>
      <c r="DI34" s="72" t="str">
        <f t="shared" si="68"/>
        <v/>
      </c>
      <c r="DJ34" s="72" t="str">
        <f t="shared" si="69"/>
        <v/>
      </c>
      <c r="DK34" s="72" t="str">
        <f t="shared" si="70"/>
        <v/>
      </c>
      <c r="DL34" s="77" t="str">
        <f t="shared" si="71"/>
        <v/>
      </c>
      <c r="DM34" s="77" t="str">
        <f t="shared" si="72"/>
        <v/>
      </c>
      <c r="DN34" s="77" t="str">
        <f t="shared" si="73"/>
        <v/>
      </c>
      <c r="DO34" s="68"/>
      <c r="DP34" s="68"/>
      <c r="DQ34" s="68"/>
      <c r="DR34" s="68"/>
      <c r="DS34" s="68"/>
      <c r="DT34" s="68"/>
      <c r="DU34" s="68"/>
      <c r="DV34" s="68"/>
      <c r="DW34" s="68"/>
      <c r="DX34" s="68"/>
      <c r="DY34" s="68"/>
      <c r="DZ34" s="68"/>
      <c r="EA34" s="68"/>
      <c r="EB34" s="68"/>
      <c r="EC34" s="68"/>
      <c r="ED34" s="68"/>
      <c r="EE34" s="68" t="str">
        <f>Tonghop!V33</f>
        <v>Yes</v>
      </c>
      <c r="EF34" s="68" t="str">
        <f>Tonghop!W33</f>
        <v>No</v>
      </c>
      <c r="EG34" s="68" t="str">
        <f>Tonghop!X33</f>
        <v/>
      </c>
      <c r="EH34" s="68" t="str">
        <f>Tonghop!Y33</f>
        <v>Yes</v>
      </c>
      <c r="EI34" s="68">
        <f>Tonghop!Z33</f>
        <v>18</v>
      </c>
      <c r="EJ34" s="139"/>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E33"/>
  <sheetViews>
    <sheetView tabSelected="1" zoomScale="85" zoomScaleNormal="85" workbookViewId="0">
      <selection activeCell="D5" sqref="D5"/>
    </sheetView>
  </sheetViews>
  <sheetFormatPr defaultColWidth="9.140625" defaultRowHeight="12.75"/>
  <cols>
    <col min="1" max="1" width="5" style="3" bestFit="1" customWidth="1"/>
    <col min="2" max="2" width="32.5703125" style="198" customWidth="1"/>
    <col min="3" max="3" width="16.5703125" style="3" customWidth="1"/>
    <col min="4" max="4" width="54.140625" style="3" customWidth="1"/>
    <col min="5" max="5" width="16.5703125" style="3" customWidth="1"/>
    <col min="6" max="6" width="9.42578125" style="3" customWidth="1"/>
    <col min="7" max="7" width="8" style="4" customWidth="1"/>
    <col min="8" max="8" width="8.5703125" style="4"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26" width="13" style="4" customWidth="1"/>
    <col min="27" max="27" width="22.85546875" style="4" customWidth="1"/>
    <col min="28" max="16384" width="9.140625" style="4"/>
  </cols>
  <sheetData>
    <row r="1" spans="1:31" s="3" customFormat="1" ht="57">
      <c r="A1" s="1" t="s">
        <v>0</v>
      </c>
      <c r="B1" s="196" t="s">
        <v>9</v>
      </c>
      <c r="C1" s="1" t="s">
        <v>16</v>
      </c>
      <c r="D1" s="1" t="s">
        <v>10</v>
      </c>
      <c r="E1" s="1" t="s">
        <v>225</v>
      </c>
      <c r="F1" s="1" t="s">
        <v>11</v>
      </c>
      <c r="G1" s="2" t="s">
        <v>12</v>
      </c>
      <c r="H1" s="2" t="s">
        <v>13</v>
      </c>
      <c r="I1" s="2" t="s">
        <v>14</v>
      </c>
      <c r="J1" s="2" t="s">
        <v>15</v>
      </c>
      <c r="K1" s="2" t="s">
        <v>2</v>
      </c>
      <c r="L1" s="2" t="s">
        <v>19</v>
      </c>
      <c r="M1" s="2" t="s">
        <v>17</v>
      </c>
      <c r="N1" s="2" t="s">
        <v>3</v>
      </c>
      <c r="O1" s="2" t="s">
        <v>4</v>
      </c>
      <c r="P1" s="2" t="s">
        <v>5</v>
      </c>
      <c r="Q1" s="2" t="s">
        <v>6</v>
      </c>
      <c r="R1" s="2" t="s">
        <v>7</v>
      </c>
      <c r="S1" s="2" t="s">
        <v>80</v>
      </c>
      <c r="T1" s="2" t="s">
        <v>18</v>
      </c>
      <c r="U1" s="2" t="s">
        <v>8</v>
      </c>
      <c r="V1" s="5" t="s">
        <v>20</v>
      </c>
      <c r="W1" s="5" t="s">
        <v>21</v>
      </c>
      <c r="X1" s="5" t="s">
        <v>71</v>
      </c>
      <c r="Y1" s="5" t="s">
        <v>254</v>
      </c>
      <c r="Z1" s="5" t="s">
        <v>252</v>
      </c>
      <c r="AA1" s="138" t="s">
        <v>192</v>
      </c>
    </row>
    <row r="2" spans="1:31" s="70" customFormat="1" ht="38.25">
      <c r="A2" s="80">
        <v>1</v>
      </c>
      <c r="B2" s="197" t="s">
        <v>649</v>
      </c>
      <c r="C2" s="81" t="s">
        <v>650</v>
      </c>
      <c r="D2" s="168" t="s">
        <v>651</v>
      </c>
      <c r="E2" s="169" t="s">
        <v>652</v>
      </c>
      <c r="F2" s="169" t="s">
        <v>653</v>
      </c>
      <c r="G2" s="169" t="s">
        <v>654</v>
      </c>
      <c r="H2" s="169">
        <v>1</v>
      </c>
      <c r="I2" s="169" t="s">
        <v>655</v>
      </c>
      <c r="J2" s="170">
        <v>43497</v>
      </c>
      <c r="K2" s="170">
        <v>43485</v>
      </c>
      <c r="L2" s="171" t="s">
        <v>650</v>
      </c>
      <c r="M2" s="171" t="s">
        <v>656</v>
      </c>
      <c r="N2" s="172" t="s">
        <v>657</v>
      </c>
      <c r="O2" s="171">
        <v>3</v>
      </c>
      <c r="P2" s="173" t="s">
        <v>120</v>
      </c>
      <c r="Q2" s="174" t="s">
        <v>658</v>
      </c>
      <c r="R2" s="175" t="s">
        <v>659</v>
      </c>
      <c r="S2" s="175" t="s">
        <v>660</v>
      </c>
      <c r="T2" s="176">
        <v>1</v>
      </c>
      <c r="U2" s="171" t="s">
        <v>661</v>
      </c>
      <c r="V2" s="171" t="s">
        <v>70</v>
      </c>
      <c r="W2" s="171" t="s">
        <v>900</v>
      </c>
      <c r="X2" s="171" t="s">
        <v>153</v>
      </c>
      <c r="Y2" s="171" t="s">
        <v>70</v>
      </c>
      <c r="Z2" s="171">
        <v>4</v>
      </c>
      <c r="AA2" s="177" t="s">
        <v>153</v>
      </c>
      <c r="AB2" s="70" t="s">
        <v>900</v>
      </c>
      <c r="AC2" s="70">
        <v>25</v>
      </c>
      <c r="AD2" s="70" t="s">
        <v>662</v>
      </c>
      <c r="AE2" s="70" t="s">
        <v>153</v>
      </c>
    </row>
    <row r="3" spans="1:31" s="70" customFormat="1" ht="38.25">
      <c r="A3" s="80">
        <v>2</v>
      </c>
      <c r="B3" s="197" t="s">
        <v>649</v>
      </c>
      <c r="C3" s="81" t="s">
        <v>650</v>
      </c>
      <c r="D3" s="168" t="s">
        <v>663</v>
      </c>
      <c r="E3" s="169" t="s">
        <v>652</v>
      </c>
      <c r="F3" s="169" t="s">
        <v>664</v>
      </c>
      <c r="G3" s="169" t="s">
        <v>665</v>
      </c>
      <c r="H3" s="169">
        <v>2</v>
      </c>
      <c r="I3" s="169" t="s">
        <v>666</v>
      </c>
      <c r="J3" s="170">
        <v>43497</v>
      </c>
      <c r="K3" s="170">
        <v>43485</v>
      </c>
      <c r="L3" s="171" t="s">
        <v>667</v>
      </c>
      <c r="M3" s="171" t="s">
        <v>668</v>
      </c>
      <c r="N3" s="172" t="s">
        <v>669</v>
      </c>
      <c r="O3" s="171">
        <v>6</v>
      </c>
      <c r="P3" s="173" t="s">
        <v>670</v>
      </c>
      <c r="Q3" s="174" t="s">
        <v>671</v>
      </c>
      <c r="R3" s="175" t="s">
        <v>672</v>
      </c>
      <c r="S3" s="175" t="s">
        <v>673</v>
      </c>
      <c r="T3" s="176">
        <v>2</v>
      </c>
      <c r="U3" s="171" t="s">
        <v>674</v>
      </c>
      <c r="V3" s="171" t="s">
        <v>70</v>
      </c>
      <c r="W3" s="171" t="s">
        <v>900</v>
      </c>
      <c r="X3" s="171" t="s">
        <v>153</v>
      </c>
      <c r="Y3" s="171" t="s">
        <v>70</v>
      </c>
      <c r="Z3" s="171">
        <v>25</v>
      </c>
      <c r="AA3" s="177" t="s">
        <v>153</v>
      </c>
      <c r="AB3" s="70" t="s">
        <v>900</v>
      </c>
      <c r="AC3" s="70">
        <v>29</v>
      </c>
      <c r="AD3" s="70" t="s">
        <v>400</v>
      </c>
      <c r="AE3" s="70" t="s">
        <v>153</v>
      </c>
    </row>
    <row r="4" spans="1:31" s="70" customFormat="1" ht="38.25">
      <c r="A4" s="80">
        <v>3</v>
      </c>
      <c r="B4" s="197" t="s">
        <v>649</v>
      </c>
      <c r="C4" s="81" t="s">
        <v>650</v>
      </c>
      <c r="D4" s="168" t="s">
        <v>675</v>
      </c>
      <c r="E4" s="169" t="s">
        <v>652</v>
      </c>
      <c r="F4" s="169" t="s">
        <v>676</v>
      </c>
      <c r="G4" s="169" t="s">
        <v>677</v>
      </c>
      <c r="H4" s="169">
        <v>1</v>
      </c>
      <c r="I4" s="169" t="s">
        <v>678</v>
      </c>
      <c r="J4" s="170">
        <v>43497</v>
      </c>
      <c r="K4" s="170">
        <v>43485</v>
      </c>
      <c r="L4" s="171" t="s">
        <v>650</v>
      </c>
      <c r="M4" s="171" t="s">
        <v>679</v>
      </c>
      <c r="N4" s="172" t="s">
        <v>657</v>
      </c>
      <c r="O4" s="171">
        <v>3</v>
      </c>
      <c r="P4" s="173" t="s">
        <v>120</v>
      </c>
      <c r="Q4" s="174" t="s">
        <v>658</v>
      </c>
      <c r="R4" s="175" t="s">
        <v>659</v>
      </c>
      <c r="S4" s="175" t="s">
        <v>680</v>
      </c>
      <c r="T4" s="176">
        <v>2</v>
      </c>
      <c r="U4" s="171" t="s">
        <v>661</v>
      </c>
      <c r="V4" s="171" t="s">
        <v>70</v>
      </c>
      <c r="W4" s="171" t="s">
        <v>70</v>
      </c>
      <c r="X4" s="171">
        <v>35</v>
      </c>
      <c r="Y4" s="171" t="s">
        <v>70</v>
      </c>
      <c r="Z4" s="171">
        <v>31</v>
      </c>
      <c r="AA4" s="177" t="s">
        <v>153</v>
      </c>
      <c r="AB4" s="70" t="s">
        <v>900</v>
      </c>
      <c r="AC4" s="70">
        <v>35</v>
      </c>
      <c r="AD4" s="70" t="s">
        <v>400</v>
      </c>
      <c r="AE4" s="70" t="s">
        <v>153</v>
      </c>
    </row>
    <row r="5" spans="1:31" s="70" customFormat="1" ht="51">
      <c r="A5" s="80">
        <v>4</v>
      </c>
      <c r="B5" s="197" t="s">
        <v>649</v>
      </c>
      <c r="C5" s="81" t="s">
        <v>650</v>
      </c>
      <c r="D5" s="168" t="s">
        <v>681</v>
      </c>
      <c r="E5" s="169" t="s">
        <v>652</v>
      </c>
      <c r="F5" s="169" t="s">
        <v>682</v>
      </c>
      <c r="G5" s="169" t="s">
        <v>683</v>
      </c>
      <c r="H5" s="169">
        <v>3</v>
      </c>
      <c r="I5" s="169" t="s">
        <v>684</v>
      </c>
      <c r="J5" s="170">
        <v>43497</v>
      </c>
      <c r="K5" s="170">
        <v>43486</v>
      </c>
      <c r="L5" s="171" t="s">
        <v>685</v>
      </c>
      <c r="M5" s="171" t="s">
        <v>686</v>
      </c>
      <c r="N5" s="172" t="s">
        <v>687</v>
      </c>
      <c r="O5" s="171">
        <v>9</v>
      </c>
      <c r="P5" s="173" t="s">
        <v>688</v>
      </c>
      <c r="Q5" s="174" t="s">
        <v>689</v>
      </c>
      <c r="R5" s="175" t="s">
        <v>690</v>
      </c>
      <c r="S5" s="175" t="s">
        <v>691</v>
      </c>
      <c r="T5" s="176">
        <v>1</v>
      </c>
      <c r="U5" s="171" t="s">
        <v>692</v>
      </c>
      <c r="V5" s="171" t="s">
        <v>70</v>
      </c>
      <c r="W5" s="171" t="s">
        <v>900</v>
      </c>
      <c r="X5" s="171" t="s">
        <v>153</v>
      </c>
      <c r="Y5" s="171" t="s">
        <v>70</v>
      </c>
      <c r="Z5" s="171">
        <v>19.5</v>
      </c>
      <c r="AA5" s="177" t="s">
        <v>153</v>
      </c>
      <c r="AB5" s="70" t="s">
        <v>900</v>
      </c>
      <c r="AC5" s="70">
        <v>30</v>
      </c>
      <c r="AD5" s="70" t="s">
        <v>693</v>
      </c>
      <c r="AE5" s="70" t="s">
        <v>153</v>
      </c>
    </row>
    <row r="6" spans="1:31" s="70" customFormat="1" ht="51">
      <c r="A6" s="80">
        <v>5</v>
      </c>
      <c r="B6" s="197" t="s">
        <v>649</v>
      </c>
      <c r="C6" s="81" t="s">
        <v>650</v>
      </c>
      <c r="D6" s="168" t="s">
        <v>694</v>
      </c>
      <c r="E6" s="169" t="s">
        <v>652</v>
      </c>
      <c r="F6" s="169" t="s">
        <v>695</v>
      </c>
      <c r="G6" s="169" t="s">
        <v>696</v>
      </c>
      <c r="H6" s="169">
        <v>3</v>
      </c>
      <c r="I6" s="169" t="s">
        <v>697</v>
      </c>
      <c r="J6" s="170">
        <v>43497</v>
      </c>
      <c r="K6" s="170">
        <v>43486</v>
      </c>
      <c r="L6" s="171" t="s">
        <v>685</v>
      </c>
      <c r="M6" s="171" t="s">
        <v>698</v>
      </c>
      <c r="N6" s="172" t="s">
        <v>687</v>
      </c>
      <c r="O6" s="171">
        <v>9</v>
      </c>
      <c r="P6" s="173" t="s">
        <v>688</v>
      </c>
      <c r="Q6" s="174" t="s">
        <v>689</v>
      </c>
      <c r="R6" s="175" t="s">
        <v>690</v>
      </c>
      <c r="S6" s="175" t="s">
        <v>699</v>
      </c>
      <c r="T6" s="176">
        <v>2</v>
      </c>
      <c r="U6" s="171" t="s">
        <v>692</v>
      </c>
      <c r="V6" s="171" t="s">
        <v>70</v>
      </c>
      <c r="W6" s="171" t="s">
        <v>900</v>
      </c>
      <c r="X6" s="171" t="s">
        <v>153</v>
      </c>
      <c r="Y6" s="171" t="s">
        <v>70</v>
      </c>
      <c r="Z6" s="171">
        <v>18</v>
      </c>
      <c r="AA6" s="177" t="s">
        <v>153</v>
      </c>
      <c r="AB6" s="70" t="s">
        <v>900</v>
      </c>
      <c r="AC6" s="70">
        <v>22</v>
      </c>
      <c r="AD6" s="70" t="s">
        <v>400</v>
      </c>
      <c r="AE6" s="70" t="s">
        <v>153</v>
      </c>
    </row>
    <row r="7" spans="1:31" s="70" customFormat="1" ht="51">
      <c r="A7" s="80">
        <v>6</v>
      </c>
      <c r="B7" s="197" t="s">
        <v>649</v>
      </c>
      <c r="C7" s="81" t="s">
        <v>650</v>
      </c>
      <c r="D7" s="168" t="s">
        <v>700</v>
      </c>
      <c r="E7" s="169" t="s">
        <v>652</v>
      </c>
      <c r="F7" s="169" t="s">
        <v>701</v>
      </c>
      <c r="G7" s="169" t="s">
        <v>702</v>
      </c>
      <c r="H7" s="169">
        <v>3</v>
      </c>
      <c r="I7" s="169" t="s">
        <v>703</v>
      </c>
      <c r="J7" s="170">
        <v>43497</v>
      </c>
      <c r="K7" s="170">
        <v>43486</v>
      </c>
      <c r="L7" s="171" t="s">
        <v>685</v>
      </c>
      <c r="M7" s="171" t="s">
        <v>704</v>
      </c>
      <c r="N7" s="172" t="s">
        <v>687</v>
      </c>
      <c r="O7" s="171">
        <v>9</v>
      </c>
      <c r="P7" s="173" t="s">
        <v>688</v>
      </c>
      <c r="Q7" s="174" t="s">
        <v>689</v>
      </c>
      <c r="R7" s="175" t="s">
        <v>690</v>
      </c>
      <c r="S7" s="175" t="s">
        <v>705</v>
      </c>
      <c r="T7" s="176">
        <v>2</v>
      </c>
      <c r="U7" s="171" t="s">
        <v>692</v>
      </c>
      <c r="V7" s="171" t="s">
        <v>70</v>
      </c>
      <c r="W7" s="171" t="s">
        <v>70</v>
      </c>
      <c r="X7" s="171">
        <v>35</v>
      </c>
      <c r="Y7" s="171" t="s">
        <v>70</v>
      </c>
      <c r="Z7" s="171">
        <v>24.5</v>
      </c>
      <c r="AA7" s="177" t="s">
        <v>153</v>
      </c>
      <c r="AB7" s="70" t="s">
        <v>900</v>
      </c>
      <c r="AC7" s="70">
        <v>35</v>
      </c>
      <c r="AD7" s="70" t="s">
        <v>693</v>
      </c>
      <c r="AE7" s="70" t="s">
        <v>153</v>
      </c>
    </row>
    <row r="8" spans="1:31" s="70" customFormat="1" ht="51">
      <c r="A8" s="80">
        <v>7</v>
      </c>
      <c r="B8" s="197" t="s">
        <v>649</v>
      </c>
      <c r="C8" s="81" t="s">
        <v>650</v>
      </c>
      <c r="D8" s="168" t="s">
        <v>706</v>
      </c>
      <c r="E8" s="169" t="s">
        <v>652</v>
      </c>
      <c r="F8" s="169" t="s">
        <v>707</v>
      </c>
      <c r="G8" s="169" t="s">
        <v>708</v>
      </c>
      <c r="H8" s="169">
        <v>3</v>
      </c>
      <c r="I8" s="169" t="s">
        <v>709</v>
      </c>
      <c r="J8" s="170">
        <v>43497</v>
      </c>
      <c r="K8" s="170">
        <v>43486</v>
      </c>
      <c r="L8" s="171" t="s">
        <v>685</v>
      </c>
      <c r="M8" s="171" t="s">
        <v>710</v>
      </c>
      <c r="N8" s="172" t="s">
        <v>687</v>
      </c>
      <c r="O8" s="171">
        <v>9</v>
      </c>
      <c r="P8" s="173" t="s">
        <v>688</v>
      </c>
      <c r="Q8" s="174" t="s">
        <v>689</v>
      </c>
      <c r="R8" s="175" t="s">
        <v>690</v>
      </c>
      <c r="S8" s="175" t="s">
        <v>711</v>
      </c>
      <c r="T8" s="176">
        <v>2</v>
      </c>
      <c r="U8" s="171" t="s">
        <v>692</v>
      </c>
      <c r="V8" s="171" t="s">
        <v>70</v>
      </c>
      <c r="W8" s="171" t="s">
        <v>900</v>
      </c>
      <c r="X8" s="171" t="s">
        <v>153</v>
      </c>
      <c r="Y8" s="171" t="s">
        <v>70</v>
      </c>
      <c r="Z8" s="171">
        <v>7</v>
      </c>
      <c r="AA8" s="177" t="s">
        <v>153</v>
      </c>
      <c r="AB8" s="70" t="s">
        <v>900</v>
      </c>
      <c r="AC8" s="70">
        <v>28</v>
      </c>
      <c r="AD8" s="70" t="s">
        <v>662</v>
      </c>
      <c r="AE8" s="70" t="s">
        <v>153</v>
      </c>
    </row>
    <row r="9" spans="1:31" s="70" customFormat="1" ht="51">
      <c r="A9" s="80">
        <v>8</v>
      </c>
      <c r="B9" s="197" t="s">
        <v>649</v>
      </c>
      <c r="C9" s="81" t="s">
        <v>650</v>
      </c>
      <c r="D9" s="168" t="s">
        <v>712</v>
      </c>
      <c r="E9" s="169" t="s">
        <v>652</v>
      </c>
      <c r="F9" s="169" t="s">
        <v>713</v>
      </c>
      <c r="G9" s="169" t="s">
        <v>714</v>
      </c>
      <c r="H9" s="169">
        <v>3</v>
      </c>
      <c r="I9" s="169" t="s">
        <v>715</v>
      </c>
      <c r="J9" s="170">
        <v>43497</v>
      </c>
      <c r="K9" s="170">
        <v>43487</v>
      </c>
      <c r="L9" s="171" t="s">
        <v>685</v>
      </c>
      <c r="M9" s="171" t="s">
        <v>716</v>
      </c>
      <c r="N9" s="172" t="s">
        <v>687</v>
      </c>
      <c r="O9" s="171">
        <v>9</v>
      </c>
      <c r="P9" s="173" t="s">
        <v>688</v>
      </c>
      <c r="Q9" s="174" t="s">
        <v>689</v>
      </c>
      <c r="R9" s="175" t="s">
        <v>690</v>
      </c>
      <c r="S9" s="175" t="s">
        <v>717</v>
      </c>
      <c r="T9" s="176">
        <v>2</v>
      </c>
      <c r="U9" s="171" t="s">
        <v>692</v>
      </c>
      <c r="V9" s="171" t="s">
        <v>70</v>
      </c>
      <c r="W9" s="171" t="s">
        <v>900</v>
      </c>
      <c r="X9" s="171" t="s">
        <v>153</v>
      </c>
      <c r="Y9" s="171" t="s">
        <v>70</v>
      </c>
      <c r="Z9" s="171">
        <v>24</v>
      </c>
      <c r="AA9" s="177" t="s">
        <v>153</v>
      </c>
      <c r="AB9" s="70" t="s">
        <v>900</v>
      </c>
      <c r="AC9" s="70">
        <v>28</v>
      </c>
      <c r="AD9" s="70" t="s">
        <v>400</v>
      </c>
      <c r="AE9" s="70" t="s">
        <v>153</v>
      </c>
    </row>
    <row r="10" spans="1:31" s="70" customFormat="1" ht="63.75">
      <c r="A10" s="80">
        <v>9</v>
      </c>
      <c r="B10" s="197" t="s">
        <v>649</v>
      </c>
      <c r="C10" s="81" t="s">
        <v>650</v>
      </c>
      <c r="D10" s="168" t="s">
        <v>718</v>
      </c>
      <c r="E10" s="169" t="s">
        <v>652</v>
      </c>
      <c r="F10" s="169" t="s">
        <v>719</v>
      </c>
      <c r="G10" s="169" t="s">
        <v>720</v>
      </c>
      <c r="H10" s="169">
        <v>4</v>
      </c>
      <c r="I10" s="169" t="s">
        <v>721</v>
      </c>
      <c r="J10" s="170">
        <v>43497</v>
      </c>
      <c r="K10" s="170">
        <v>43487</v>
      </c>
      <c r="L10" s="171" t="s">
        <v>722</v>
      </c>
      <c r="M10" s="171" t="s">
        <v>723</v>
      </c>
      <c r="N10" s="172" t="s">
        <v>724</v>
      </c>
      <c r="O10" s="171">
        <v>12</v>
      </c>
      <c r="P10" s="173" t="s">
        <v>725</v>
      </c>
      <c r="Q10" s="174" t="s">
        <v>726</v>
      </c>
      <c r="R10" s="175" t="s">
        <v>727</v>
      </c>
      <c r="S10" s="175" t="s">
        <v>728</v>
      </c>
      <c r="T10" s="176">
        <v>2</v>
      </c>
      <c r="U10" s="171" t="s">
        <v>729</v>
      </c>
      <c r="V10" s="171" t="s">
        <v>70</v>
      </c>
      <c r="W10" s="171" t="s">
        <v>900</v>
      </c>
      <c r="X10" s="171" t="s">
        <v>153</v>
      </c>
      <c r="Y10" s="171" t="s">
        <v>70</v>
      </c>
      <c r="Z10" s="171">
        <v>25</v>
      </c>
      <c r="AA10" s="177" t="s">
        <v>153</v>
      </c>
      <c r="AB10" s="70" t="s">
        <v>900</v>
      </c>
      <c r="AC10" s="70">
        <v>29</v>
      </c>
      <c r="AD10" s="70" t="s">
        <v>400</v>
      </c>
      <c r="AE10" s="70" t="s">
        <v>153</v>
      </c>
    </row>
    <row r="11" spans="1:31" s="70" customFormat="1" ht="51">
      <c r="A11" s="80">
        <v>10</v>
      </c>
      <c r="B11" s="197" t="s">
        <v>649</v>
      </c>
      <c r="C11" s="81" t="s">
        <v>650</v>
      </c>
      <c r="D11" s="168" t="s">
        <v>730</v>
      </c>
      <c r="E11" s="169" t="s">
        <v>652</v>
      </c>
      <c r="F11" s="169" t="s">
        <v>731</v>
      </c>
      <c r="G11" s="169" t="s">
        <v>732</v>
      </c>
      <c r="H11" s="169">
        <v>3</v>
      </c>
      <c r="I11" s="169" t="s">
        <v>733</v>
      </c>
      <c r="J11" s="170">
        <v>43497</v>
      </c>
      <c r="K11" s="170">
        <v>43487</v>
      </c>
      <c r="L11" s="171" t="s">
        <v>685</v>
      </c>
      <c r="M11" s="171" t="s">
        <v>734</v>
      </c>
      <c r="N11" s="172" t="s">
        <v>687</v>
      </c>
      <c r="O11" s="171">
        <v>9</v>
      </c>
      <c r="P11" s="173" t="s">
        <v>688</v>
      </c>
      <c r="Q11" s="174" t="s">
        <v>689</v>
      </c>
      <c r="R11" s="175" t="s">
        <v>690</v>
      </c>
      <c r="S11" s="175" t="s">
        <v>735</v>
      </c>
      <c r="T11" s="176">
        <v>2</v>
      </c>
      <c r="U11" s="171" t="s">
        <v>692</v>
      </c>
      <c r="V11" s="171" t="s">
        <v>70</v>
      </c>
      <c r="W11" s="171" t="s">
        <v>900</v>
      </c>
      <c r="X11" s="171" t="s">
        <v>153</v>
      </c>
      <c r="Y11" s="171" t="s">
        <v>70</v>
      </c>
      <c r="Z11" s="171">
        <v>17.5</v>
      </c>
      <c r="AA11" s="177" t="s">
        <v>153</v>
      </c>
      <c r="AB11" s="70" t="s">
        <v>900</v>
      </c>
      <c r="AC11" s="70">
        <v>28</v>
      </c>
      <c r="AD11" s="70" t="s">
        <v>693</v>
      </c>
      <c r="AE11" s="70" t="s">
        <v>153</v>
      </c>
    </row>
    <row r="12" spans="1:31" s="70" customFormat="1" ht="51">
      <c r="A12" s="80">
        <v>11</v>
      </c>
      <c r="B12" s="197" t="s">
        <v>649</v>
      </c>
      <c r="C12" s="81" t="s">
        <v>650</v>
      </c>
      <c r="D12" s="168" t="s">
        <v>736</v>
      </c>
      <c r="E12" s="169" t="s">
        <v>652</v>
      </c>
      <c r="F12" s="169" t="s">
        <v>737</v>
      </c>
      <c r="G12" s="169" t="s">
        <v>738</v>
      </c>
      <c r="H12" s="169">
        <v>3</v>
      </c>
      <c r="I12" s="169" t="s">
        <v>739</v>
      </c>
      <c r="J12" s="170">
        <v>43497</v>
      </c>
      <c r="K12" s="170">
        <v>43487</v>
      </c>
      <c r="L12" s="171" t="s">
        <v>685</v>
      </c>
      <c r="M12" s="171" t="s">
        <v>740</v>
      </c>
      <c r="N12" s="172" t="s">
        <v>687</v>
      </c>
      <c r="O12" s="171">
        <v>9</v>
      </c>
      <c r="P12" s="173" t="s">
        <v>688</v>
      </c>
      <c r="Q12" s="174" t="s">
        <v>689</v>
      </c>
      <c r="R12" s="175" t="s">
        <v>690</v>
      </c>
      <c r="S12" s="175" t="s">
        <v>741</v>
      </c>
      <c r="T12" s="176">
        <v>2</v>
      </c>
      <c r="U12" s="171" t="s">
        <v>692</v>
      </c>
      <c r="V12" s="171" t="s">
        <v>70</v>
      </c>
      <c r="W12" s="171" t="s">
        <v>70</v>
      </c>
      <c r="X12" s="171">
        <v>36</v>
      </c>
      <c r="Y12" s="171" t="s">
        <v>70</v>
      </c>
      <c r="Z12" s="171">
        <v>28</v>
      </c>
      <c r="AA12" s="177" t="s">
        <v>153</v>
      </c>
      <c r="AB12" s="70" t="s">
        <v>900</v>
      </c>
      <c r="AC12" s="70">
        <v>36</v>
      </c>
      <c r="AD12" s="70" t="s">
        <v>742</v>
      </c>
      <c r="AE12" s="70" t="s">
        <v>153</v>
      </c>
    </row>
    <row r="13" spans="1:31" s="70" customFormat="1" ht="51">
      <c r="A13" s="80">
        <v>12</v>
      </c>
      <c r="B13" s="197" t="s">
        <v>649</v>
      </c>
      <c r="C13" s="81" t="s">
        <v>650</v>
      </c>
      <c r="D13" s="168" t="s">
        <v>743</v>
      </c>
      <c r="E13" s="169" t="s">
        <v>652</v>
      </c>
      <c r="F13" s="169" t="s">
        <v>744</v>
      </c>
      <c r="G13" s="169" t="s">
        <v>745</v>
      </c>
      <c r="H13" s="169">
        <v>3</v>
      </c>
      <c r="I13" s="169" t="s">
        <v>746</v>
      </c>
      <c r="J13" s="170">
        <v>43497</v>
      </c>
      <c r="K13" s="170">
        <v>43488</v>
      </c>
      <c r="L13" s="171" t="s">
        <v>685</v>
      </c>
      <c r="M13" s="171" t="s">
        <v>747</v>
      </c>
      <c r="N13" s="172" t="s">
        <v>687</v>
      </c>
      <c r="O13" s="171">
        <v>9</v>
      </c>
      <c r="P13" s="173" t="s">
        <v>688</v>
      </c>
      <c r="Q13" s="174" t="s">
        <v>689</v>
      </c>
      <c r="R13" s="175" t="s">
        <v>690</v>
      </c>
      <c r="S13" s="175" t="s">
        <v>748</v>
      </c>
      <c r="T13" s="176">
        <v>2</v>
      </c>
      <c r="U13" s="171" t="s">
        <v>692</v>
      </c>
      <c r="V13" s="171" t="s">
        <v>70</v>
      </c>
      <c r="W13" s="171" t="s">
        <v>900</v>
      </c>
      <c r="X13" s="171" t="s">
        <v>153</v>
      </c>
      <c r="Y13" s="171" t="s">
        <v>70</v>
      </c>
      <c r="Z13" s="171">
        <v>20</v>
      </c>
      <c r="AA13" s="177" t="s">
        <v>153</v>
      </c>
      <c r="AB13" s="70" t="s">
        <v>900</v>
      </c>
      <c r="AC13" s="70">
        <v>28</v>
      </c>
      <c r="AD13" s="70" t="s">
        <v>742</v>
      </c>
      <c r="AE13" s="70" t="s">
        <v>153</v>
      </c>
    </row>
    <row r="14" spans="1:31" s="70" customFormat="1" ht="51">
      <c r="A14" s="80">
        <v>13</v>
      </c>
      <c r="B14" s="197" t="s">
        <v>649</v>
      </c>
      <c r="C14" s="81" t="s">
        <v>650</v>
      </c>
      <c r="D14" s="168" t="s">
        <v>749</v>
      </c>
      <c r="E14" s="169" t="s">
        <v>652</v>
      </c>
      <c r="F14" s="169" t="s">
        <v>750</v>
      </c>
      <c r="G14" s="169" t="s">
        <v>751</v>
      </c>
      <c r="H14" s="169">
        <v>3</v>
      </c>
      <c r="I14" s="169" t="s">
        <v>752</v>
      </c>
      <c r="J14" s="170">
        <v>43497</v>
      </c>
      <c r="K14" s="170">
        <v>43488</v>
      </c>
      <c r="L14" s="171" t="s">
        <v>685</v>
      </c>
      <c r="M14" s="171" t="s">
        <v>753</v>
      </c>
      <c r="N14" s="172" t="s">
        <v>687</v>
      </c>
      <c r="O14" s="171">
        <v>9</v>
      </c>
      <c r="P14" s="173" t="s">
        <v>754</v>
      </c>
      <c r="Q14" s="174" t="s">
        <v>755</v>
      </c>
      <c r="R14" s="175" t="s">
        <v>690</v>
      </c>
      <c r="S14" s="175" t="s">
        <v>756</v>
      </c>
      <c r="T14" s="176">
        <v>2</v>
      </c>
      <c r="U14" s="171" t="s">
        <v>692</v>
      </c>
      <c r="V14" s="171" t="s">
        <v>70</v>
      </c>
      <c r="W14" s="171" t="s">
        <v>900</v>
      </c>
      <c r="X14" s="171" t="s">
        <v>153</v>
      </c>
      <c r="Y14" s="171" t="s">
        <v>70</v>
      </c>
      <c r="Z14" s="171">
        <v>26</v>
      </c>
      <c r="AA14" s="177" t="s">
        <v>153</v>
      </c>
      <c r="AB14" s="70" t="s">
        <v>900</v>
      </c>
      <c r="AC14" s="70">
        <v>34</v>
      </c>
      <c r="AD14" s="70" t="s">
        <v>742</v>
      </c>
      <c r="AE14" s="70" t="s">
        <v>153</v>
      </c>
    </row>
    <row r="15" spans="1:31" s="70" customFormat="1" ht="63.75">
      <c r="A15" s="80">
        <v>14</v>
      </c>
      <c r="B15" s="197" t="s">
        <v>649</v>
      </c>
      <c r="C15" s="81" t="s">
        <v>650</v>
      </c>
      <c r="D15" s="168" t="s">
        <v>757</v>
      </c>
      <c r="E15" s="169" t="s">
        <v>652</v>
      </c>
      <c r="F15" s="169" t="s">
        <v>758</v>
      </c>
      <c r="G15" s="169" t="s">
        <v>759</v>
      </c>
      <c r="H15" s="169">
        <v>3</v>
      </c>
      <c r="I15" s="169" t="s">
        <v>760</v>
      </c>
      <c r="J15" s="170">
        <v>43497</v>
      </c>
      <c r="K15" s="170">
        <v>43488</v>
      </c>
      <c r="L15" s="171" t="s">
        <v>685</v>
      </c>
      <c r="M15" s="171" t="s">
        <v>761</v>
      </c>
      <c r="N15" s="172" t="s">
        <v>687</v>
      </c>
      <c r="O15" s="171">
        <v>9</v>
      </c>
      <c r="P15" s="173" t="s">
        <v>762</v>
      </c>
      <c r="Q15" s="174" t="s">
        <v>763</v>
      </c>
      <c r="R15" s="175" t="s">
        <v>690</v>
      </c>
      <c r="S15" s="175" t="s">
        <v>764</v>
      </c>
      <c r="T15" s="176">
        <v>2</v>
      </c>
      <c r="U15" s="171" t="s">
        <v>692</v>
      </c>
      <c r="V15" s="171" t="s">
        <v>70</v>
      </c>
      <c r="W15" s="171" t="s">
        <v>900</v>
      </c>
      <c r="X15" s="171" t="s">
        <v>153</v>
      </c>
      <c r="Y15" s="171" t="s">
        <v>70</v>
      </c>
      <c r="Z15" s="171">
        <v>-2.5</v>
      </c>
      <c r="AA15" s="177" t="s">
        <v>153</v>
      </c>
      <c r="AB15" s="70" t="s">
        <v>900</v>
      </c>
      <c r="AC15" s="70">
        <v>25.5</v>
      </c>
      <c r="AD15" s="70" t="s">
        <v>765</v>
      </c>
      <c r="AE15" s="70" t="s">
        <v>153</v>
      </c>
    </row>
    <row r="16" spans="1:31" s="70" customFormat="1" ht="51">
      <c r="A16" s="80">
        <v>15</v>
      </c>
      <c r="B16" s="197" t="s">
        <v>649</v>
      </c>
      <c r="C16" s="81" t="s">
        <v>650</v>
      </c>
      <c r="D16" s="168" t="s">
        <v>766</v>
      </c>
      <c r="E16" s="169" t="s">
        <v>652</v>
      </c>
      <c r="F16" s="169" t="s">
        <v>767</v>
      </c>
      <c r="G16" s="169" t="s">
        <v>768</v>
      </c>
      <c r="H16" s="169">
        <v>3</v>
      </c>
      <c r="I16" s="169" t="s">
        <v>769</v>
      </c>
      <c r="J16" s="170">
        <v>43497</v>
      </c>
      <c r="K16" s="170">
        <v>43488</v>
      </c>
      <c r="L16" s="171" t="s">
        <v>685</v>
      </c>
      <c r="M16" s="171" t="s">
        <v>770</v>
      </c>
      <c r="N16" s="172" t="s">
        <v>687</v>
      </c>
      <c r="O16" s="171">
        <v>9</v>
      </c>
      <c r="P16" s="173" t="s">
        <v>762</v>
      </c>
      <c r="Q16" s="174" t="s">
        <v>763</v>
      </c>
      <c r="R16" s="175" t="s">
        <v>690</v>
      </c>
      <c r="S16" s="175" t="s">
        <v>771</v>
      </c>
      <c r="T16" s="176">
        <v>2</v>
      </c>
      <c r="U16" s="171" t="s">
        <v>692</v>
      </c>
      <c r="V16" s="171" t="s">
        <v>70</v>
      </c>
      <c r="W16" s="171" t="s">
        <v>900</v>
      </c>
      <c r="X16" s="171" t="s">
        <v>153</v>
      </c>
      <c r="Y16" s="171" t="s">
        <v>70</v>
      </c>
      <c r="Z16" s="171">
        <v>19.5</v>
      </c>
      <c r="AA16" s="177" t="s">
        <v>153</v>
      </c>
      <c r="AB16" s="70" t="s">
        <v>900</v>
      </c>
      <c r="AC16" s="70">
        <v>30</v>
      </c>
      <c r="AD16" s="70" t="s">
        <v>693</v>
      </c>
      <c r="AE16" s="70" t="s">
        <v>153</v>
      </c>
    </row>
    <row r="17" spans="1:31" s="70" customFormat="1" ht="63.75">
      <c r="A17" s="80">
        <v>16</v>
      </c>
      <c r="B17" s="197" t="s">
        <v>649</v>
      </c>
      <c r="C17" s="81" t="s">
        <v>650</v>
      </c>
      <c r="D17" s="168" t="s">
        <v>772</v>
      </c>
      <c r="E17" s="169" t="s">
        <v>652</v>
      </c>
      <c r="F17" s="169" t="s">
        <v>773</v>
      </c>
      <c r="G17" s="169" t="s">
        <v>774</v>
      </c>
      <c r="H17" s="169">
        <v>3</v>
      </c>
      <c r="I17" s="169" t="s">
        <v>775</v>
      </c>
      <c r="J17" s="170">
        <v>43497</v>
      </c>
      <c r="K17" s="170">
        <v>43489</v>
      </c>
      <c r="L17" s="171" t="s">
        <v>685</v>
      </c>
      <c r="M17" s="171" t="s">
        <v>776</v>
      </c>
      <c r="N17" s="172" t="s">
        <v>687</v>
      </c>
      <c r="O17" s="171">
        <v>9</v>
      </c>
      <c r="P17" s="173" t="s">
        <v>762</v>
      </c>
      <c r="Q17" s="174" t="s">
        <v>763</v>
      </c>
      <c r="R17" s="175" t="s">
        <v>690</v>
      </c>
      <c r="S17" s="175" t="s">
        <v>777</v>
      </c>
      <c r="T17" s="176">
        <v>2</v>
      </c>
      <c r="U17" s="171" t="s">
        <v>692</v>
      </c>
      <c r="V17" s="171" t="s">
        <v>70</v>
      </c>
      <c r="W17" s="171" t="s">
        <v>900</v>
      </c>
      <c r="X17" s="171" t="s">
        <v>153</v>
      </c>
      <c r="Y17" s="171" t="s">
        <v>70</v>
      </c>
      <c r="Z17" s="171">
        <v>8.5</v>
      </c>
      <c r="AA17" s="177" t="s">
        <v>153</v>
      </c>
      <c r="AB17" s="70" t="s">
        <v>900</v>
      </c>
      <c r="AC17" s="70">
        <v>22.5</v>
      </c>
      <c r="AD17" s="70" t="s">
        <v>778</v>
      </c>
      <c r="AE17" s="70" t="s">
        <v>153</v>
      </c>
    </row>
    <row r="18" spans="1:31" s="70" customFormat="1" ht="63.75">
      <c r="A18" s="80">
        <v>17</v>
      </c>
      <c r="B18" s="197" t="s">
        <v>649</v>
      </c>
      <c r="C18" s="81" t="s">
        <v>650</v>
      </c>
      <c r="D18" s="168" t="s">
        <v>779</v>
      </c>
      <c r="E18" s="169" t="s">
        <v>652</v>
      </c>
      <c r="F18" s="169" t="s">
        <v>780</v>
      </c>
      <c r="G18" s="169" t="s">
        <v>781</v>
      </c>
      <c r="H18" s="169">
        <v>3</v>
      </c>
      <c r="I18" s="169" t="s">
        <v>782</v>
      </c>
      <c r="J18" s="170">
        <v>43497</v>
      </c>
      <c r="K18" s="170">
        <v>43489</v>
      </c>
      <c r="L18" s="171" t="s">
        <v>685</v>
      </c>
      <c r="M18" s="171" t="s">
        <v>783</v>
      </c>
      <c r="N18" s="172" t="s">
        <v>687</v>
      </c>
      <c r="O18" s="171">
        <v>9</v>
      </c>
      <c r="P18" s="173" t="s">
        <v>762</v>
      </c>
      <c r="Q18" s="174" t="s">
        <v>763</v>
      </c>
      <c r="R18" s="175" t="s">
        <v>690</v>
      </c>
      <c r="S18" s="175" t="s">
        <v>784</v>
      </c>
      <c r="T18" s="176">
        <v>2</v>
      </c>
      <c r="U18" s="171" t="s">
        <v>692</v>
      </c>
      <c r="V18" s="171" t="s">
        <v>70</v>
      </c>
      <c r="W18" s="171" t="s">
        <v>900</v>
      </c>
      <c r="X18" s="171" t="s">
        <v>153</v>
      </c>
      <c r="Y18" s="171" t="s">
        <v>70</v>
      </c>
      <c r="Z18" s="171">
        <v>-4.5</v>
      </c>
      <c r="AA18" s="177" t="s">
        <v>153</v>
      </c>
      <c r="AB18" s="70" t="s">
        <v>900</v>
      </c>
      <c r="AC18" s="70">
        <v>23.5</v>
      </c>
      <c r="AD18" s="70" t="s">
        <v>765</v>
      </c>
      <c r="AE18" s="70" t="s">
        <v>153</v>
      </c>
    </row>
    <row r="19" spans="1:31" s="70" customFormat="1" ht="89.25">
      <c r="A19" s="80">
        <v>18</v>
      </c>
      <c r="B19" s="197" t="s">
        <v>649</v>
      </c>
      <c r="C19" s="81" t="s">
        <v>650</v>
      </c>
      <c r="D19" s="168" t="s">
        <v>785</v>
      </c>
      <c r="E19" s="169" t="s">
        <v>652</v>
      </c>
      <c r="F19" s="169" t="s">
        <v>786</v>
      </c>
      <c r="G19" s="169" t="s">
        <v>787</v>
      </c>
      <c r="H19" s="169">
        <v>4</v>
      </c>
      <c r="I19" s="169" t="s">
        <v>788</v>
      </c>
      <c r="J19" s="170">
        <v>43497</v>
      </c>
      <c r="K19" s="170">
        <v>43489</v>
      </c>
      <c r="L19" s="171" t="s">
        <v>722</v>
      </c>
      <c r="M19" s="171" t="s">
        <v>789</v>
      </c>
      <c r="N19" s="172" t="s">
        <v>724</v>
      </c>
      <c r="O19" s="171">
        <v>12</v>
      </c>
      <c r="P19" s="173" t="s">
        <v>790</v>
      </c>
      <c r="Q19" s="174" t="s">
        <v>791</v>
      </c>
      <c r="R19" s="175" t="s">
        <v>727</v>
      </c>
      <c r="S19" s="175" t="s">
        <v>792</v>
      </c>
      <c r="T19" s="176">
        <v>2</v>
      </c>
      <c r="U19" s="171" t="s">
        <v>729</v>
      </c>
      <c r="V19" s="171" t="s">
        <v>70</v>
      </c>
      <c r="W19" s="171" t="s">
        <v>900</v>
      </c>
      <c r="X19" s="171" t="s">
        <v>153</v>
      </c>
      <c r="Y19" s="171" t="s">
        <v>70</v>
      </c>
      <c r="Z19" s="171">
        <v>4.5</v>
      </c>
      <c r="AA19" s="177" t="s">
        <v>153</v>
      </c>
      <c r="AB19" s="70" t="s">
        <v>900</v>
      </c>
      <c r="AC19" s="70">
        <v>25.5</v>
      </c>
      <c r="AD19" s="70" t="s">
        <v>662</v>
      </c>
      <c r="AE19" s="70" t="s">
        <v>153</v>
      </c>
    </row>
    <row r="20" spans="1:31" s="70" customFormat="1" ht="63.75">
      <c r="A20" s="80">
        <v>19</v>
      </c>
      <c r="B20" s="197" t="s">
        <v>649</v>
      </c>
      <c r="C20" s="81" t="s">
        <v>650</v>
      </c>
      <c r="D20" s="168" t="s">
        <v>793</v>
      </c>
      <c r="E20" s="169" t="s">
        <v>652</v>
      </c>
      <c r="F20" s="169" t="s">
        <v>794</v>
      </c>
      <c r="G20" s="169" t="s">
        <v>795</v>
      </c>
      <c r="H20" s="169">
        <v>3</v>
      </c>
      <c r="I20" s="169" t="s">
        <v>796</v>
      </c>
      <c r="J20" s="170">
        <v>43497</v>
      </c>
      <c r="K20" s="170">
        <v>43489</v>
      </c>
      <c r="L20" s="171" t="s">
        <v>685</v>
      </c>
      <c r="M20" s="171" t="s">
        <v>797</v>
      </c>
      <c r="N20" s="172" t="s">
        <v>687</v>
      </c>
      <c r="O20" s="171">
        <v>9</v>
      </c>
      <c r="P20" s="173" t="s">
        <v>762</v>
      </c>
      <c r="Q20" s="174" t="s">
        <v>763</v>
      </c>
      <c r="R20" s="175" t="s">
        <v>798</v>
      </c>
      <c r="S20" s="175" t="s">
        <v>799</v>
      </c>
      <c r="T20" s="176">
        <v>1</v>
      </c>
      <c r="U20" s="171" t="s">
        <v>800</v>
      </c>
      <c r="V20" s="171" t="s">
        <v>70</v>
      </c>
      <c r="W20" s="171" t="s">
        <v>900</v>
      </c>
      <c r="X20" s="171" t="s">
        <v>153</v>
      </c>
      <c r="Y20" s="171" t="s">
        <v>70</v>
      </c>
      <c r="Z20" s="171">
        <v>8.5</v>
      </c>
      <c r="AA20" s="177" t="s">
        <v>153</v>
      </c>
      <c r="AB20" s="70" t="s">
        <v>900</v>
      </c>
      <c r="AC20" s="70">
        <v>22.5</v>
      </c>
      <c r="AD20" s="70" t="s">
        <v>778</v>
      </c>
      <c r="AE20" s="70" t="s">
        <v>153</v>
      </c>
    </row>
    <row r="21" spans="1:31" s="70" customFormat="1" ht="51">
      <c r="A21" s="80">
        <v>20</v>
      </c>
      <c r="B21" s="197" t="s">
        <v>649</v>
      </c>
      <c r="C21" s="81" t="s">
        <v>650</v>
      </c>
      <c r="D21" s="168" t="s">
        <v>801</v>
      </c>
      <c r="E21" s="169" t="s">
        <v>652</v>
      </c>
      <c r="F21" s="169" t="s">
        <v>802</v>
      </c>
      <c r="G21" s="169" t="s">
        <v>803</v>
      </c>
      <c r="H21" s="169">
        <v>3</v>
      </c>
      <c r="I21" s="169" t="s">
        <v>804</v>
      </c>
      <c r="J21" s="170">
        <v>43497</v>
      </c>
      <c r="K21" s="170">
        <v>43490</v>
      </c>
      <c r="L21" s="171" t="s">
        <v>685</v>
      </c>
      <c r="M21" s="171" t="s">
        <v>805</v>
      </c>
      <c r="N21" s="172" t="s">
        <v>687</v>
      </c>
      <c r="O21" s="171">
        <v>10</v>
      </c>
      <c r="P21" s="173" t="s">
        <v>806</v>
      </c>
      <c r="Q21" s="174" t="s">
        <v>807</v>
      </c>
      <c r="R21" s="175" t="s">
        <v>798</v>
      </c>
      <c r="S21" s="175" t="s">
        <v>808</v>
      </c>
      <c r="T21" s="176">
        <v>1</v>
      </c>
      <c r="U21" s="171" t="s">
        <v>800</v>
      </c>
      <c r="V21" s="171" t="s">
        <v>70</v>
      </c>
      <c r="W21" s="171" t="s">
        <v>70</v>
      </c>
      <c r="X21" s="171">
        <v>36</v>
      </c>
      <c r="Y21" s="171" t="s">
        <v>70</v>
      </c>
      <c r="Z21" s="171">
        <v>25.5</v>
      </c>
      <c r="AA21" s="177" t="s">
        <v>153</v>
      </c>
      <c r="AB21" s="70" t="s">
        <v>900</v>
      </c>
      <c r="AC21" s="70">
        <v>36</v>
      </c>
      <c r="AD21" s="70" t="s">
        <v>693</v>
      </c>
      <c r="AE21" s="70" t="s">
        <v>153</v>
      </c>
    </row>
    <row r="22" spans="1:31" s="70" customFormat="1" ht="63.75">
      <c r="A22" s="80">
        <v>21</v>
      </c>
      <c r="B22" s="197" t="s">
        <v>649</v>
      </c>
      <c r="C22" s="81" t="s">
        <v>650</v>
      </c>
      <c r="D22" s="168" t="s">
        <v>809</v>
      </c>
      <c r="E22" s="169" t="s">
        <v>652</v>
      </c>
      <c r="F22" s="169" t="s">
        <v>810</v>
      </c>
      <c r="G22" s="169" t="s">
        <v>811</v>
      </c>
      <c r="H22" s="169">
        <v>4</v>
      </c>
      <c r="I22" s="169" t="s">
        <v>812</v>
      </c>
      <c r="J22" s="170">
        <v>43497</v>
      </c>
      <c r="K22" s="170">
        <v>43490</v>
      </c>
      <c r="L22" s="171" t="s">
        <v>722</v>
      </c>
      <c r="M22" s="171" t="s">
        <v>813</v>
      </c>
      <c r="N22" s="172" t="s">
        <v>724</v>
      </c>
      <c r="O22" s="171">
        <v>12</v>
      </c>
      <c r="P22" s="173" t="s">
        <v>814</v>
      </c>
      <c r="Q22" s="174" t="s">
        <v>815</v>
      </c>
      <c r="R22" s="175" t="s">
        <v>727</v>
      </c>
      <c r="S22" s="175" t="s">
        <v>816</v>
      </c>
      <c r="T22" s="176">
        <v>2</v>
      </c>
      <c r="U22" s="171" t="s">
        <v>817</v>
      </c>
      <c r="V22" s="171" t="s">
        <v>70</v>
      </c>
      <c r="W22" s="171" t="s">
        <v>900</v>
      </c>
      <c r="X22" s="171" t="s">
        <v>153</v>
      </c>
      <c r="Y22" s="171" t="s">
        <v>70</v>
      </c>
      <c r="Z22" s="171">
        <v>25</v>
      </c>
      <c r="AA22" s="177" t="s">
        <v>153</v>
      </c>
      <c r="AB22" s="70" t="s">
        <v>900</v>
      </c>
      <c r="AC22" s="70">
        <v>29</v>
      </c>
      <c r="AD22" s="70" t="s">
        <v>400</v>
      </c>
      <c r="AE22" s="70" t="s">
        <v>153</v>
      </c>
    </row>
    <row r="23" spans="1:31" s="70" customFormat="1" ht="51">
      <c r="A23" s="80">
        <v>22</v>
      </c>
      <c r="B23" s="197" t="s">
        <v>649</v>
      </c>
      <c r="C23" s="81" t="s">
        <v>650</v>
      </c>
      <c r="D23" s="168" t="s">
        <v>818</v>
      </c>
      <c r="E23" s="169" t="s">
        <v>652</v>
      </c>
      <c r="F23" s="169" t="s">
        <v>819</v>
      </c>
      <c r="G23" s="169" t="s">
        <v>820</v>
      </c>
      <c r="H23" s="169">
        <v>3</v>
      </c>
      <c r="I23" s="169" t="s">
        <v>821</v>
      </c>
      <c r="J23" s="170">
        <v>43497</v>
      </c>
      <c r="K23" s="170">
        <v>43490</v>
      </c>
      <c r="L23" s="171" t="s">
        <v>685</v>
      </c>
      <c r="M23" s="171" t="s">
        <v>822</v>
      </c>
      <c r="N23" s="172" t="s">
        <v>687</v>
      </c>
      <c r="O23" s="171">
        <v>10</v>
      </c>
      <c r="P23" s="173" t="s">
        <v>823</v>
      </c>
      <c r="Q23" s="174" t="s">
        <v>824</v>
      </c>
      <c r="R23" s="175" t="s">
        <v>798</v>
      </c>
      <c r="S23" s="175" t="s">
        <v>825</v>
      </c>
      <c r="T23" s="176">
        <v>2</v>
      </c>
      <c r="U23" s="171" t="s">
        <v>800</v>
      </c>
      <c r="V23" s="171" t="s">
        <v>70</v>
      </c>
      <c r="W23" s="171" t="s">
        <v>70</v>
      </c>
      <c r="X23" s="171">
        <v>37</v>
      </c>
      <c r="Y23" s="171" t="s">
        <v>70</v>
      </c>
      <c r="Z23" s="171">
        <v>33</v>
      </c>
      <c r="AA23" s="177" t="s">
        <v>153</v>
      </c>
      <c r="AB23" s="70" t="s">
        <v>900</v>
      </c>
      <c r="AC23" s="70">
        <v>37</v>
      </c>
      <c r="AD23" s="70" t="s">
        <v>400</v>
      </c>
      <c r="AE23" s="70" t="s">
        <v>153</v>
      </c>
    </row>
    <row r="24" spans="1:31" s="70" customFormat="1" ht="63.75">
      <c r="A24" s="80">
        <v>23</v>
      </c>
      <c r="B24" s="197" t="s">
        <v>649</v>
      </c>
      <c r="C24" s="81" t="s">
        <v>650</v>
      </c>
      <c r="D24" s="168" t="s">
        <v>826</v>
      </c>
      <c r="E24" s="169" t="s">
        <v>652</v>
      </c>
      <c r="F24" s="169" t="s">
        <v>827</v>
      </c>
      <c r="G24" s="169" t="s">
        <v>828</v>
      </c>
      <c r="H24" s="169">
        <v>4</v>
      </c>
      <c r="I24" s="169" t="s">
        <v>829</v>
      </c>
      <c r="J24" s="170">
        <v>43497</v>
      </c>
      <c r="K24" s="170">
        <v>43490</v>
      </c>
      <c r="L24" s="171" t="s">
        <v>722</v>
      </c>
      <c r="M24" s="171" t="s">
        <v>830</v>
      </c>
      <c r="N24" s="172" t="s">
        <v>724</v>
      </c>
      <c r="O24" s="171">
        <v>12</v>
      </c>
      <c r="P24" s="173" t="s">
        <v>814</v>
      </c>
      <c r="Q24" s="174" t="s">
        <v>815</v>
      </c>
      <c r="R24" s="175" t="s">
        <v>727</v>
      </c>
      <c r="S24" s="175" t="s">
        <v>831</v>
      </c>
      <c r="T24" s="176">
        <v>2</v>
      </c>
      <c r="U24" s="171" t="s">
        <v>729</v>
      </c>
      <c r="V24" s="171" t="s">
        <v>70</v>
      </c>
      <c r="W24" s="171" t="s">
        <v>70</v>
      </c>
      <c r="X24" s="171">
        <v>36</v>
      </c>
      <c r="Y24" s="171" t="s">
        <v>70</v>
      </c>
      <c r="Z24" s="171">
        <v>32</v>
      </c>
      <c r="AA24" s="177" t="s">
        <v>153</v>
      </c>
      <c r="AB24" s="70" t="s">
        <v>900</v>
      </c>
      <c r="AC24" s="70">
        <v>36</v>
      </c>
      <c r="AD24" s="70" t="s">
        <v>400</v>
      </c>
      <c r="AE24" s="70" t="s">
        <v>153</v>
      </c>
    </row>
    <row r="25" spans="1:31" s="70" customFormat="1" ht="63.75">
      <c r="A25" s="80">
        <v>24</v>
      </c>
      <c r="B25" s="197" t="s">
        <v>649</v>
      </c>
      <c r="C25" s="81" t="s">
        <v>650</v>
      </c>
      <c r="D25" s="168" t="s">
        <v>832</v>
      </c>
      <c r="E25" s="169" t="s">
        <v>652</v>
      </c>
      <c r="F25" s="169" t="s">
        <v>833</v>
      </c>
      <c r="G25" s="169" t="s">
        <v>834</v>
      </c>
      <c r="H25" s="169">
        <v>4</v>
      </c>
      <c r="I25" s="169" t="s">
        <v>835</v>
      </c>
      <c r="J25" s="170">
        <v>43497</v>
      </c>
      <c r="K25" s="170">
        <v>43491</v>
      </c>
      <c r="L25" s="171" t="s">
        <v>722</v>
      </c>
      <c r="M25" s="171" t="s">
        <v>836</v>
      </c>
      <c r="N25" s="172" t="s">
        <v>724</v>
      </c>
      <c r="O25" s="171">
        <v>12</v>
      </c>
      <c r="P25" s="173" t="s">
        <v>790</v>
      </c>
      <c r="Q25" s="174" t="s">
        <v>791</v>
      </c>
      <c r="R25" s="175" t="s">
        <v>727</v>
      </c>
      <c r="S25" s="175" t="s">
        <v>837</v>
      </c>
      <c r="T25" s="176">
        <v>2</v>
      </c>
      <c r="U25" s="171" t="s">
        <v>729</v>
      </c>
      <c r="V25" s="171" t="s">
        <v>70</v>
      </c>
      <c r="W25" s="171" t="s">
        <v>70</v>
      </c>
      <c r="X25" s="171">
        <v>36</v>
      </c>
      <c r="Y25" s="171" t="s">
        <v>70</v>
      </c>
      <c r="Z25" s="171">
        <v>22</v>
      </c>
      <c r="AA25" s="177" t="s">
        <v>153</v>
      </c>
      <c r="AB25" s="70" t="s">
        <v>900</v>
      </c>
      <c r="AC25" s="70">
        <v>36</v>
      </c>
      <c r="AD25" s="70" t="s">
        <v>778</v>
      </c>
      <c r="AE25" s="70" t="s">
        <v>153</v>
      </c>
    </row>
    <row r="26" spans="1:31" s="70" customFormat="1" ht="38.25">
      <c r="A26" s="80">
        <v>25</v>
      </c>
      <c r="B26" s="197" t="s">
        <v>649</v>
      </c>
      <c r="C26" s="81" t="s">
        <v>650</v>
      </c>
      <c r="D26" s="168" t="s">
        <v>838</v>
      </c>
      <c r="E26" s="169" t="s">
        <v>652</v>
      </c>
      <c r="F26" s="169" t="s">
        <v>839</v>
      </c>
      <c r="G26" s="169" t="s">
        <v>840</v>
      </c>
      <c r="H26" s="169">
        <v>2</v>
      </c>
      <c r="I26" s="169" t="s">
        <v>841</v>
      </c>
      <c r="J26" s="170">
        <v>43497</v>
      </c>
      <c r="K26" s="170">
        <v>43491</v>
      </c>
      <c r="L26" s="171" t="s">
        <v>667</v>
      </c>
      <c r="M26" s="171" t="s">
        <v>842</v>
      </c>
      <c r="N26" s="172" t="s">
        <v>843</v>
      </c>
      <c r="O26" s="171">
        <v>6</v>
      </c>
      <c r="P26" s="173" t="s">
        <v>844</v>
      </c>
      <c r="Q26" s="174" t="s">
        <v>845</v>
      </c>
      <c r="R26" s="175" t="s">
        <v>846</v>
      </c>
      <c r="S26" s="175" t="s">
        <v>847</v>
      </c>
      <c r="T26" s="176">
        <v>2</v>
      </c>
      <c r="U26" s="171" t="s">
        <v>848</v>
      </c>
      <c r="V26" s="171" t="s">
        <v>70</v>
      </c>
      <c r="W26" s="171" t="s">
        <v>70</v>
      </c>
      <c r="X26" s="171">
        <v>40</v>
      </c>
      <c r="Y26" s="171" t="s">
        <v>70</v>
      </c>
      <c r="Z26" s="171">
        <v>29.5</v>
      </c>
      <c r="AA26" s="177" t="s">
        <v>153</v>
      </c>
      <c r="AB26" s="70" t="s">
        <v>900</v>
      </c>
      <c r="AC26" s="70">
        <v>40</v>
      </c>
      <c r="AD26" s="70" t="s">
        <v>693</v>
      </c>
      <c r="AE26" s="70" t="s">
        <v>153</v>
      </c>
    </row>
    <row r="27" spans="1:31" s="70" customFormat="1" ht="38.25">
      <c r="A27" s="80">
        <v>26</v>
      </c>
      <c r="B27" s="197" t="s">
        <v>649</v>
      </c>
      <c r="C27" s="81" t="s">
        <v>650</v>
      </c>
      <c r="D27" s="168" t="s">
        <v>849</v>
      </c>
      <c r="E27" s="169" t="s">
        <v>652</v>
      </c>
      <c r="F27" s="169" t="s">
        <v>850</v>
      </c>
      <c r="G27" s="169" t="s">
        <v>851</v>
      </c>
      <c r="H27" s="169">
        <v>1</v>
      </c>
      <c r="I27" s="169" t="s">
        <v>852</v>
      </c>
      <c r="J27" s="170">
        <v>43497</v>
      </c>
      <c r="K27" s="170">
        <v>43491</v>
      </c>
      <c r="L27" s="171" t="s">
        <v>650</v>
      </c>
      <c r="M27" s="171" t="s">
        <v>853</v>
      </c>
      <c r="N27" s="172" t="s">
        <v>657</v>
      </c>
      <c r="O27" s="171">
        <v>2</v>
      </c>
      <c r="P27" s="173" t="s">
        <v>854</v>
      </c>
      <c r="Q27" s="174" t="s">
        <v>855</v>
      </c>
      <c r="R27" s="175" t="s">
        <v>659</v>
      </c>
      <c r="S27" s="175" t="s">
        <v>856</v>
      </c>
      <c r="T27" s="176">
        <v>1</v>
      </c>
      <c r="U27" s="171" t="s">
        <v>661</v>
      </c>
      <c r="V27" s="171" t="s">
        <v>70</v>
      </c>
      <c r="W27" s="171" t="s">
        <v>900</v>
      </c>
      <c r="X27" s="171" t="s">
        <v>153</v>
      </c>
      <c r="Y27" s="171" t="s">
        <v>70</v>
      </c>
      <c r="Z27" s="171">
        <v>13</v>
      </c>
      <c r="AA27" s="177" t="s">
        <v>153</v>
      </c>
      <c r="AB27" s="70" t="s">
        <v>900</v>
      </c>
      <c r="AC27" s="70">
        <v>17</v>
      </c>
      <c r="AD27" s="70" t="s">
        <v>400</v>
      </c>
      <c r="AE27" s="70" t="s">
        <v>153</v>
      </c>
    </row>
    <row r="28" spans="1:31" s="70" customFormat="1" ht="51">
      <c r="A28" s="80">
        <v>27</v>
      </c>
      <c r="B28" s="197" t="s">
        <v>649</v>
      </c>
      <c r="C28" s="81" t="s">
        <v>650</v>
      </c>
      <c r="D28" s="168" t="s">
        <v>857</v>
      </c>
      <c r="E28" s="169" t="s">
        <v>652</v>
      </c>
      <c r="F28" s="169" t="s">
        <v>858</v>
      </c>
      <c r="G28" s="169" t="s">
        <v>859</v>
      </c>
      <c r="H28" s="169">
        <v>3</v>
      </c>
      <c r="I28" s="169" t="s">
        <v>860</v>
      </c>
      <c r="J28" s="170">
        <v>43497</v>
      </c>
      <c r="K28" s="170">
        <v>43492</v>
      </c>
      <c r="L28" s="171" t="s">
        <v>685</v>
      </c>
      <c r="M28" s="171" t="s">
        <v>861</v>
      </c>
      <c r="N28" s="172" t="s">
        <v>687</v>
      </c>
      <c r="O28" s="171">
        <v>9</v>
      </c>
      <c r="P28" s="173" t="s">
        <v>862</v>
      </c>
      <c r="Q28" s="174" t="s">
        <v>863</v>
      </c>
      <c r="R28" s="175" t="s">
        <v>798</v>
      </c>
      <c r="S28" s="175" t="s">
        <v>864</v>
      </c>
      <c r="T28" s="176">
        <v>2</v>
      </c>
      <c r="U28" s="171" t="s">
        <v>865</v>
      </c>
      <c r="V28" s="171" t="s">
        <v>70</v>
      </c>
      <c r="W28" s="171" t="s">
        <v>900</v>
      </c>
      <c r="X28" s="171" t="s">
        <v>153</v>
      </c>
      <c r="Y28" s="171" t="s">
        <v>70</v>
      </c>
      <c r="Z28" s="171">
        <v>14</v>
      </c>
      <c r="AA28" s="177" t="s">
        <v>153</v>
      </c>
      <c r="AB28" s="70" t="s">
        <v>900</v>
      </c>
      <c r="AC28" s="70">
        <v>28</v>
      </c>
      <c r="AD28" s="70" t="s">
        <v>778</v>
      </c>
      <c r="AE28" s="70" t="s">
        <v>153</v>
      </c>
    </row>
    <row r="29" spans="1:31" s="70" customFormat="1" ht="38.25">
      <c r="A29" s="80">
        <v>28</v>
      </c>
      <c r="B29" s="197" t="s">
        <v>649</v>
      </c>
      <c r="C29" s="81" t="s">
        <v>650</v>
      </c>
      <c r="D29" s="168" t="s">
        <v>866</v>
      </c>
      <c r="E29" s="169" t="s">
        <v>652</v>
      </c>
      <c r="F29" s="169" t="s">
        <v>867</v>
      </c>
      <c r="G29" s="169" t="s">
        <v>868</v>
      </c>
      <c r="H29" s="169">
        <v>1</v>
      </c>
      <c r="I29" s="169" t="s">
        <v>869</v>
      </c>
      <c r="J29" s="170">
        <v>43497</v>
      </c>
      <c r="K29" s="170">
        <v>43492</v>
      </c>
      <c r="L29" s="171" t="s">
        <v>650</v>
      </c>
      <c r="M29" s="171" t="s">
        <v>870</v>
      </c>
      <c r="N29" s="172" t="s">
        <v>657</v>
      </c>
      <c r="O29" s="171">
        <v>2</v>
      </c>
      <c r="P29" s="173" t="s">
        <v>854</v>
      </c>
      <c r="Q29" s="174" t="s">
        <v>855</v>
      </c>
      <c r="R29" s="175" t="s">
        <v>659</v>
      </c>
      <c r="S29" s="175" t="s">
        <v>871</v>
      </c>
      <c r="T29" s="176">
        <v>1</v>
      </c>
      <c r="U29" s="171" t="s">
        <v>661</v>
      </c>
      <c r="V29" s="171" t="s">
        <v>70</v>
      </c>
      <c r="W29" s="171" t="s">
        <v>900</v>
      </c>
      <c r="X29" s="171" t="s">
        <v>153</v>
      </c>
      <c r="Y29" s="171" t="s">
        <v>70</v>
      </c>
      <c r="Z29" s="171">
        <v>12</v>
      </c>
      <c r="AA29" s="177" t="s">
        <v>153</v>
      </c>
      <c r="AB29" s="70" t="s">
        <v>900</v>
      </c>
      <c r="AC29" s="70">
        <v>16</v>
      </c>
      <c r="AD29" s="70" t="s">
        <v>400</v>
      </c>
      <c r="AE29" s="70" t="s">
        <v>153</v>
      </c>
    </row>
    <row r="30" spans="1:31" s="70" customFormat="1" ht="89.25">
      <c r="A30" s="80">
        <v>29</v>
      </c>
      <c r="B30" s="197" t="s">
        <v>649</v>
      </c>
      <c r="C30" s="81" t="s">
        <v>650</v>
      </c>
      <c r="D30" s="168" t="s">
        <v>872</v>
      </c>
      <c r="E30" s="169" t="s">
        <v>652</v>
      </c>
      <c r="F30" s="169" t="s">
        <v>873</v>
      </c>
      <c r="G30" s="169" t="s">
        <v>874</v>
      </c>
      <c r="H30" s="169">
        <v>4</v>
      </c>
      <c r="I30" s="169" t="s">
        <v>875</v>
      </c>
      <c r="J30" s="170">
        <v>43497</v>
      </c>
      <c r="K30" s="170">
        <v>43492</v>
      </c>
      <c r="L30" s="171" t="s">
        <v>722</v>
      </c>
      <c r="M30" s="171" t="s">
        <v>876</v>
      </c>
      <c r="N30" s="172" t="s">
        <v>724</v>
      </c>
      <c r="O30" s="171">
        <v>12</v>
      </c>
      <c r="P30" s="173" t="s">
        <v>814</v>
      </c>
      <c r="Q30" s="174" t="s">
        <v>815</v>
      </c>
      <c r="R30" s="175" t="s">
        <v>727</v>
      </c>
      <c r="S30" s="175" t="s">
        <v>877</v>
      </c>
      <c r="T30" s="176">
        <v>2</v>
      </c>
      <c r="U30" s="171" t="s">
        <v>729</v>
      </c>
      <c r="V30" s="171" t="s">
        <v>70</v>
      </c>
      <c r="W30" s="171" t="s">
        <v>900</v>
      </c>
      <c r="X30" s="171" t="s">
        <v>153</v>
      </c>
      <c r="Y30" s="171" t="s">
        <v>70</v>
      </c>
      <c r="Z30" s="171">
        <v>7.5</v>
      </c>
      <c r="AA30" s="177" t="s">
        <v>153</v>
      </c>
      <c r="AB30" s="70" t="s">
        <v>900</v>
      </c>
      <c r="AC30" s="70">
        <v>21.5</v>
      </c>
      <c r="AD30" s="70" t="s">
        <v>778</v>
      </c>
      <c r="AE30" s="70" t="s">
        <v>153</v>
      </c>
    </row>
    <row r="31" spans="1:31" s="70" customFormat="1" ht="51">
      <c r="A31" s="80">
        <v>30</v>
      </c>
      <c r="B31" s="197" t="s">
        <v>649</v>
      </c>
      <c r="C31" s="81" t="s">
        <v>650</v>
      </c>
      <c r="D31" s="168" t="s">
        <v>878</v>
      </c>
      <c r="E31" s="169" t="s">
        <v>652</v>
      </c>
      <c r="F31" s="169" t="s">
        <v>879</v>
      </c>
      <c r="G31" s="169" t="s">
        <v>880</v>
      </c>
      <c r="H31" s="169">
        <v>3</v>
      </c>
      <c r="I31" s="169" t="s">
        <v>881</v>
      </c>
      <c r="J31" s="170">
        <v>43497</v>
      </c>
      <c r="K31" s="170">
        <v>43492</v>
      </c>
      <c r="L31" s="171" t="s">
        <v>685</v>
      </c>
      <c r="M31" s="171" t="s">
        <v>882</v>
      </c>
      <c r="N31" s="172" t="s">
        <v>687</v>
      </c>
      <c r="O31" s="171">
        <v>10</v>
      </c>
      <c r="P31" s="173" t="s">
        <v>883</v>
      </c>
      <c r="Q31" s="174" t="s">
        <v>884</v>
      </c>
      <c r="R31" s="175" t="s">
        <v>798</v>
      </c>
      <c r="S31" s="175" t="s">
        <v>885</v>
      </c>
      <c r="T31" s="176">
        <v>2</v>
      </c>
      <c r="U31" s="171" t="s">
        <v>800</v>
      </c>
      <c r="V31" s="171" t="s">
        <v>70</v>
      </c>
      <c r="W31" s="171" t="s">
        <v>70</v>
      </c>
      <c r="X31" s="171">
        <v>34</v>
      </c>
      <c r="Y31" s="171" t="s">
        <v>70</v>
      </c>
      <c r="Z31" s="171">
        <v>30</v>
      </c>
      <c r="AA31" s="177" t="s">
        <v>153</v>
      </c>
      <c r="AB31" s="70" t="s">
        <v>900</v>
      </c>
      <c r="AC31" s="70">
        <v>34</v>
      </c>
      <c r="AD31" s="70" t="s">
        <v>400</v>
      </c>
      <c r="AE31" s="70" t="s">
        <v>153</v>
      </c>
    </row>
    <row r="32" spans="1:31" s="70" customFormat="1" ht="51">
      <c r="A32" s="80">
        <v>31</v>
      </c>
      <c r="B32" s="197" t="s">
        <v>649</v>
      </c>
      <c r="C32" s="81" t="s">
        <v>650</v>
      </c>
      <c r="D32" s="168" t="s">
        <v>886</v>
      </c>
      <c r="E32" s="169" t="s">
        <v>652</v>
      </c>
      <c r="F32" s="169" t="s">
        <v>887</v>
      </c>
      <c r="G32" s="169" t="s">
        <v>888</v>
      </c>
      <c r="H32" s="169">
        <v>3</v>
      </c>
      <c r="I32" s="169" t="s">
        <v>889</v>
      </c>
      <c r="J32" s="170">
        <v>43497</v>
      </c>
      <c r="K32" s="170">
        <v>43493</v>
      </c>
      <c r="L32" s="171" t="s">
        <v>685</v>
      </c>
      <c r="M32" s="171" t="s">
        <v>890</v>
      </c>
      <c r="N32" s="172" t="s">
        <v>687</v>
      </c>
      <c r="O32" s="171">
        <v>10</v>
      </c>
      <c r="P32" s="173" t="s">
        <v>891</v>
      </c>
      <c r="Q32" s="174" t="s">
        <v>892</v>
      </c>
      <c r="R32" s="175" t="s">
        <v>798</v>
      </c>
      <c r="S32" s="175" t="s">
        <v>893</v>
      </c>
      <c r="T32" s="176">
        <v>2</v>
      </c>
      <c r="U32" s="171" t="s">
        <v>865</v>
      </c>
      <c r="V32" s="171" t="s">
        <v>70</v>
      </c>
      <c r="W32" s="171" t="s">
        <v>70</v>
      </c>
      <c r="X32" s="171">
        <v>36</v>
      </c>
      <c r="Y32" s="171" t="s">
        <v>70</v>
      </c>
      <c r="Z32" s="171">
        <v>32</v>
      </c>
      <c r="AA32" s="177" t="s">
        <v>153</v>
      </c>
      <c r="AB32" s="70" t="s">
        <v>900</v>
      </c>
      <c r="AC32" s="70">
        <v>36</v>
      </c>
      <c r="AD32" s="70" t="s">
        <v>400</v>
      </c>
      <c r="AE32" s="70" t="s">
        <v>153</v>
      </c>
    </row>
    <row r="33" spans="1:31" s="70" customFormat="1" ht="38.25">
      <c r="A33" s="80">
        <v>32</v>
      </c>
      <c r="B33" s="197" t="s">
        <v>649</v>
      </c>
      <c r="C33" s="81" t="s">
        <v>650</v>
      </c>
      <c r="D33" s="168" t="s">
        <v>894</v>
      </c>
      <c r="E33" s="169" t="s">
        <v>652</v>
      </c>
      <c r="F33" s="169" t="s">
        <v>895</v>
      </c>
      <c r="G33" s="169" t="s">
        <v>896</v>
      </c>
      <c r="H33" s="169">
        <v>1</v>
      </c>
      <c r="I33" s="169" t="s">
        <v>897</v>
      </c>
      <c r="J33" s="170">
        <v>43497</v>
      </c>
      <c r="K33" s="170">
        <v>43493</v>
      </c>
      <c r="L33" s="171" t="s">
        <v>650</v>
      </c>
      <c r="M33" s="171" t="s">
        <v>898</v>
      </c>
      <c r="N33" s="172" t="s">
        <v>657</v>
      </c>
      <c r="O33" s="171">
        <v>2</v>
      </c>
      <c r="P33" s="173" t="s">
        <v>854</v>
      </c>
      <c r="Q33" s="174" t="s">
        <v>855</v>
      </c>
      <c r="R33" s="175" t="s">
        <v>659</v>
      </c>
      <c r="S33" s="175" t="s">
        <v>899</v>
      </c>
      <c r="T33" s="176">
        <v>1</v>
      </c>
      <c r="U33" s="171" t="s">
        <v>661</v>
      </c>
      <c r="V33" s="171" t="s">
        <v>70</v>
      </c>
      <c r="W33" s="171" t="s">
        <v>900</v>
      </c>
      <c r="X33" s="171" t="s">
        <v>153</v>
      </c>
      <c r="Y33" s="171" t="s">
        <v>70</v>
      </c>
      <c r="Z33" s="171">
        <v>18</v>
      </c>
      <c r="AA33" s="177" t="s">
        <v>153</v>
      </c>
      <c r="AB33" s="70" t="s">
        <v>900</v>
      </c>
      <c r="AC33" s="70">
        <v>22</v>
      </c>
      <c r="AD33" s="70" t="s">
        <v>400</v>
      </c>
      <c r="AE33" s="70" t="s">
        <v>153</v>
      </c>
    </row>
  </sheetData>
  <autoFilter ref="A1:AA33"/>
  <conditionalFormatting sqref="V1:W1048576">
    <cfRule type="containsText" dxfId="10" priority="5" operator="containsText" text="no">
      <formula>NOT(ISERROR(SEARCH("no",V1)))</formula>
    </cfRule>
  </conditionalFormatting>
  <pageMargins left="0.27" right="0.28999999999999998" top="0.74803149606299213" bottom="0.74803149606299213" header="0.31496062992125984" footer="0.31496062992125984"/>
  <pageSetup paperSize="9"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I33"/>
  <sheetViews>
    <sheetView topLeftCell="AH1" zoomScaleNormal="100" workbookViewId="0">
      <selection activeCell="AW2" sqref="AW2"/>
    </sheetView>
  </sheetViews>
  <sheetFormatPr defaultColWidth="9.140625" defaultRowHeight="15.75"/>
  <cols>
    <col min="1" max="1" width="5.7109375" style="39" customWidth="1"/>
    <col min="2" max="3" width="7.85546875" style="39" customWidth="1"/>
    <col min="4" max="4" width="15.85546875" customWidth="1"/>
    <col min="5" max="5" width="23.28515625" style="201" customWidth="1"/>
    <col min="6" max="6" width="30.5703125" style="39" customWidth="1"/>
    <col min="7" max="7" width="52.5703125" style="40" customWidth="1"/>
    <col min="8" max="8" width="15.42578125" style="38" customWidth="1"/>
    <col min="9" max="9" width="11.42578125" style="38" customWidth="1"/>
    <col min="10" max="10" width="11.5703125" style="38" customWidth="1"/>
    <col min="11" max="11" width="10.85546875" style="38" customWidth="1"/>
    <col min="12" max="13" width="13.5703125" style="38" customWidth="1"/>
    <col min="14" max="14" width="22" style="38" customWidth="1"/>
    <col min="15" max="15" width="13.5703125" style="38" customWidth="1"/>
    <col min="16" max="16" width="16.42578125" style="38" customWidth="1"/>
    <col min="17" max="17" width="11" style="38" customWidth="1"/>
    <col min="18" max="21" width="13.5703125" style="38" customWidth="1"/>
    <col min="22" max="22" width="9" style="38" customWidth="1"/>
    <col min="23" max="23" width="9.7109375" style="38" customWidth="1"/>
    <col min="24" max="24" width="21.85546875" style="41" customWidth="1"/>
    <col min="25" max="25" width="13" style="41" customWidth="1"/>
    <col min="26" max="26" width="18.28515625" style="41" customWidth="1"/>
    <col min="27" max="31" width="6.5703125" style="41" customWidth="1"/>
    <col min="32" max="34" width="7.5703125" style="41" customWidth="1"/>
    <col min="35" max="35" width="7.85546875" style="41" customWidth="1"/>
    <col min="36" max="36" width="7.5703125" style="41" customWidth="1"/>
    <col min="37" max="37" width="29.140625" style="41" customWidth="1"/>
    <col min="38" max="38" width="14.285156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16.85546875" style="43" customWidth="1"/>
    <col min="54" max="54" width="16"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2" width="19.85546875" style="46" customWidth="1"/>
    <col min="73" max="73" width="17.28515625" style="46" bestFit="1"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21" width="8.5703125" style="39" customWidth="1"/>
    <col min="122" max="122" width="12.85546875" style="51" bestFit="1" customWidth="1"/>
    <col min="123" max="125" width="9.85546875" style="39" customWidth="1"/>
    <col min="126" max="126" width="9.85546875" style="38" customWidth="1"/>
    <col min="127" max="127" width="9.140625" style="52"/>
    <col min="128" max="130" width="9.140625" style="25"/>
    <col min="131" max="131" width="9.140625" style="203" customWidth="1"/>
    <col min="132" max="132" width="9.140625" style="167" customWidth="1"/>
    <col min="133" max="135" width="9.140625" style="25" hidden="1" customWidth="1"/>
    <col min="136" max="136" width="9.140625" style="25"/>
    <col min="137" max="137" width="9.140625" style="167"/>
    <col min="138" max="138" width="0" style="167" hidden="1" customWidth="1"/>
    <col min="139" max="139" width="9.85546875" style="167" bestFit="1" customWidth="1"/>
    <col min="140" max="16384" width="9.140625" style="25"/>
  </cols>
  <sheetData>
    <row r="1" spans="1:139" ht="126">
      <c r="A1" s="6" t="s">
        <v>0</v>
      </c>
      <c r="B1" s="6" t="s">
        <v>22</v>
      </c>
      <c r="C1" s="6" t="s">
        <v>67</v>
      </c>
      <c r="D1" s="6" t="s">
        <v>23</v>
      </c>
      <c r="E1" s="199" t="s">
        <v>68</v>
      </c>
      <c r="F1" s="6" t="s">
        <v>69</v>
      </c>
      <c r="G1" s="6" t="s">
        <v>24</v>
      </c>
      <c r="H1" s="6" t="s">
        <v>225</v>
      </c>
      <c r="I1" s="6" t="s">
        <v>11</v>
      </c>
      <c r="J1" s="6" t="s">
        <v>12</v>
      </c>
      <c r="K1" s="6" t="s">
        <v>25</v>
      </c>
      <c r="L1" s="7" t="s">
        <v>26</v>
      </c>
      <c r="M1" s="7" t="s">
        <v>27</v>
      </c>
      <c r="N1" s="6" t="s">
        <v>28</v>
      </c>
      <c r="O1" s="6" t="s">
        <v>29</v>
      </c>
      <c r="P1" s="8" t="s">
        <v>30</v>
      </c>
      <c r="Q1" s="6" t="s">
        <v>31</v>
      </c>
      <c r="R1" s="7" t="s">
        <v>32</v>
      </c>
      <c r="S1" s="7" t="s">
        <v>33</v>
      </c>
      <c r="T1" s="9" t="s">
        <v>34</v>
      </c>
      <c r="U1" s="9" t="s">
        <v>35</v>
      </c>
      <c r="V1" s="6" t="s">
        <v>13</v>
      </c>
      <c r="W1" s="6" t="s">
        <v>36</v>
      </c>
      <c r="X1" s="10" t="s">
        <v>37</v>
      </c>
      <c r="Y1" s="10" t="s">
        <v>17</v>
      </c>
      <c r="Z1" s="10" t="s">
        <v>38</v>
      </c>
      <c r="AA1" s="10" t="s">
        <v>39</v>
      </c>
      <c r="AB1" s="11" t="s">
        <v>40</v>
      </c>
      <c r="AC1" s="11" t="s">
        <v>41</v>
      </c>
      <c r="AD1" s="11" t="s">
        <v>42</v>
      </c>
      <c r="AE1" s="11" t="s">
        <v>182</v>
      </c>
      <c r="AF1" s="11" t="s">
        <v>43</v>
      </c>
      <c r="AG1" s="10" t="s">
        <v>44</v>
      </c>
      <c r="AH1" s="10" t="s">
        <v>45</v>
      </c>
      <c r="AI1" s="10" t="s">
        <v>46</v>
      </c>
      <c r="AJ1" s="10" t="s">
        <v>183</v>
      </c>
      <c r="AK1" s="10" t="s">
        <v>47</v>
      </c>
      <c r="AL1" s="10" t="s">
        <v>7</v>
      </c>
      <c r="AM1" s="10" t="s">
        <v>48</v>
      </c>
      <c r="AN1" s="12" t="s">
        <v>49</v>
      </c>
      <c r="AO1" s="12" t="s">
        <v>230</v>
      </c>
      <c r="AP1" s="12" t="s">
        <v>38</v>
      </c>
      <c r="AQ1" s="12" t="s">
        <v>39</v>
      </c>
      <c r="AR1" s="13" t="s">
        <v>40</v>
      </c>
      <c r="AS1" s="13" t="s">
        <v>41</v>
      </c>
      <c r="AT1" s="13" t="s">
        <v>42</v>
      </c>
      <c r="AU1" s="13" t="s">
        <v>182</v>
      </c>
      <c r="AV1" s="13" t="s">
        <v>43</v>
      </c>
      <c r="AW1" s="12" t="s">
        <v>44</v>
      </c>
      <c r="AX1" s="12" t="s">
        <v>45</v>
      </c>
      <c r="AY1" s="12" t="s">
        <v>46</v>
      </c>
      <c r="AZ1" s="12" t="s">
        <v>183</v>
      </c>
      <c r="BA1" s="12" t="s">
        <v>47</v>
      </c>
      <c r="BB1" s="12" t="s">
        <v>7</v>
      </c>
      <c r="BC1" s="12" t="s">
        <v>48</v>
      </c>
      <c r="BD1" s="14" t="s">
        <v>50</v>
      </c>
      <c r="BE1" s="14" t="s">
        <v>226</v>
      </c>
      <c r="BF1" s="14" t="s">
        <v>38</v>
      </c>
      <c r="BG1" s="14" t="s">
        <v>39</v>
      </c>
      <c r="BH1" s="15" t="s">
        <v>40</v>
      </c>
      <c r="BI1" s="15" t="s">
        <v>41</v>
      </c>
      <c r="BJ1" s="15" t="s">
        <v>42</v>
      </c>
      <c r="BK1" s="15" t="s">
        <v>182</v>
      </c>
      <c r="BL1" s="15" t="s">
        <v>43</v>
      </c>
      <c r="BM1" s="14" t="s">
        <v>44</v>
      </c>
      <c r="BN1" s="14" t="s">
        <v>45</v>
      </c>
      <c r="BO1" s="14" t="s">
        <v>46</v>
      </c>
      <c r="BP1" s="14" t="s">
        <v>183</v>
      </c>
      <c r="BQ1" s="14" t="s">
        <v>47</v>
      </c>
      <c r="BR1" s="14" t="s">
        <v>7</v>
      </c>
      <c r="BS1" s="14" t="s">
        <v>48</v>
      </c>
      <c r="BT1" s="16" t="s">
        <v>51</v>
      </c>
      <c r="BU1" s="16" t="s">
        <v>227</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228</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229</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198</v>
      </c>
      <c r="DU1" s="24" t="s">
        <v>64</v>
      </c>
      <c r="DV1" s="24" t="s">
        <v>65</v>
      </c>
      <c r="DW1" s="21" t="s">
        <v>66</v>
      </c>
      <c r="DX1" s="164" t="s">
        <v>20</v>
      </c>
      <c r="DY1" s="164" t="s">
        <v>21</v>
      </c>
      <c r="DZ1" s="164" t="s">
        <v>71</v>
      </c>
      <c r="EA1" s="195" t="s">
        <v>254</v>
      </c>
      <c r="EB1" s="195" t="s">
        <v>252</v>
      </c>
      <c r="EF1" s="163" t="s">
        <v>194</v>
      </c>
      <c r="EG1" s="163" t="s">
        <v>195</v>
      </c>
      <c r="EH1" s="163" t="s">
        <v>196</v>
      </c>
      <c r="EI1" s="163" t="s">
        <v>209</v>
      </c>
    </row>
    <row r="2" spans="1:139" ht="47.25">
      <c r="A2" s="53">
        <f>Tonghop!A2</f>
        <v>1</v>
      </c>
      <c r="B2" s="26">
        <v>3</v>
      </c>
      <c r="C2" s="37">
        <v>1</v>
      </c>
      <c r="D2" s="221">
        <v>1802421</v>
      </c>
      <c r="E2" s="200" t="s">
        <v>649</v>
      </c>
      <c r="F2" s="54" t="s">
        <v>650</v>
      </c>
      <c r="G2" s="28" t="s">
        <v>651</v>
      </c>
      <c r="H2" s="27" t="s">
        <v>652</v>
      </c>
      <c r="I2" s="27" t="s">
        <v>653</v>
      </c>
      <c r="J2" s="27" t="s">
        <v>654</v>
      </c>
      <c r="K2" s="128" t="s">
        <v>655</v>
      </c>
      <c r="L2" s="130">
        <v>43497</v>
      </c>
      <c r="M2" s="130">
        <v>43485</v>
      </c>
      <c r="N2" s="29" t="str">
        <f t="shared" ref="N2" si="0">IF(LEN(O2)=4,"B0"&amp;O2&amp;P2&amp;Q2,IF(LEN(O2)=3,"B00"&amp;O2&amp;P2&amp;Q2,IF(LEN(O2)=2,"B000"&amp;O2&amp;P2&amp;Q2,IF(LEN(O2)=1,"B0000"&amp;O2&amp;P2&amp;Q2,"B"&amp;O2&amp;P2&amp;Q2))))</f>
        <v>B00456130219TG05</v>
      </c>
      <c r="O2" s="82">
        <v>456</v>
      </c>
      <c r="P2" s="30" t="str">
        <f t="shared" ref="P2:P33" si="1">TEXT($T$2,"ddmmyy")</f>
        <v>130219</v>
      </c>
      <c r="Q2" s="29" t="s">
        <v>223</v>
      </c>
      <c r="R2" s="30" t="str">
        <f t="shared" ref="R2" si="2">TEXT(T2,"dd/mm/yyyy")</f>
        <v>13/02/2019</v>
      </c>
      <c r="S2" s="30" t="str">
        <f t="shared" ref="S2" si="3">TEXT(U2,"dd/mm/yyyy")</f>
        <v>13/02/2024</v>
      </c>
      <c r="T2" s="140" t="s">
        <v>952</v>
      </c>
      <c r="U2" s="140" t="s">
        <v>953</v>
      </c>
      <c r="V2" s="27">
        <v>1</v>
      </c>
      <c r="W2" s="27" t="s">
        <v>900</v>
      </c>
      <c r="X2" s="31" t="s">
        <v>650</v>
      </c>
      <c r="Y2" s="31" t="s">
        <v>656</v>
      </c>
      <c r="Z2" s="31" t="s">
        <v>657</v>
      </c>
      <c r="AA2" s="31">
        <v>3</v>
      </c>
      <c r="AB2" s="131" t="s">
        <v>401</v>
      </c>
      <c r="AC2" s="131" t="s">
        <v>401</v>
      </c>
      <c r="AD2" s="131" t="s">
        <v>401</v>
      </c>
      <c r="AE2" s="131"/>
      <c r="AF2" s="132" t="str">
        <f t="shared" ref="AF2" si="4">IF(AA2=1,AB2,IF(AA2=2,AB2&amp;"/"&amp;AC2,IF(AA2=3,AB2&amp;"/"&amp;AC2&amp;"/"&amp;AD2,IF(AA2=4,AB2&amp;"/"&amp;AC2&amp;"/"&amp;AD2&amp;"/"&amp;AE2,""))))</f>
        <v>2/2/2</v>
      </c>
      <c r="AG2" s="131" t="s">
        <v>901</v>
      </c>
      <c r="AH2" s="131" t="s">
        <v>901</v>
      </c>
      <c r="AI2" s="131" t="s">
        <v>901</v>
      </c>
      <c r="AJ2" s="131"/>
      <c r="AK2" s="27" t="str">
        <f t="shared" ref="AK2:AK33" si="5">IF(AA2=1,AG2&amp;"W",IF(AA2=2,AG2&amp;"W/ "&amp;AH2&amp;"W",IF(AA2=3,AG2&amp;"W/ "&amp;AH2&amp;"W/ "&amp;AI2&amp;"W",IF(AA2=4,AG2&amp;"W/ "&amp;AH2&amp;"W/ "&amp;AI2&amp;"W/ "&amp;AJ2&amp;"W",""))))</f>
        <v>40W/ 40W/ 40W</v>
      </c>
      <c r="AL2" s="31" t="s">
        <v>659</v>
      </c>
      <c r="AM2" s="31" t="s">
        <v>660</v>
      </c>
      <c r="AN2" s="32"/>
      <c r="AO2" s="32"/>
      <c r="AP2" s="32"/>
      <c r="AQ2" s="32"/>
      <c r="AR2" s="133"/>
      <c r="AS2" s="133"/>
      <c r="AT2" s="133"/>
      <c r="AU2" s="133"/>
      <c r="AV2" s="132" t="str">
        <f t="shared" ref="AV2" si="6">IF(AQ2=1,AR2,IF(AQ2=2,AR2&amp;"/"&amp;AS2,IF(AQ2=3,AR2&amp;"/"&amp;AS2&amp;"/"&amp;AT2,IF(AQ2=4,AR2&amp;"/"&amp;AS2&amp;"/"&amp;AT2&amp;"/"&amp;AU2,""))))</f>
        <v/>
      </c>
      <c r="AW2" s="133"/>
      <c r="AX2" s="133"/>
      <c r="AY2" s="133"/>
      <c r="AZ2" s="133"/>
      <c r="BA2" s="27" t="str">
        <f t="shared" ref="BA2:BA33" si="7">IF(AQ2=1,AW2&amp;"W",IF(AQ2=2,AW2&amp;"W/ "&amp;AX2&amp;"W",IF(AQ2=3,AW2&amp;"W/ "&amp;AX2&amp;"W/ "&amp;AY2&amp;"W",IF(AQ2=4,AW2&amp;"W/ "&amp;AX2&amp;"W/ "&amp;AY2&amp;"W/ "&amp;AZ2&amp;"W",""))))</f>
        <v/>
      </c>
      <c r="BB2" s="32"/>
      <c r="BC2" s="32"/>
      <c r="BD2" s="129"/>
      <c r="BE2" s="129"/>
      <c r="BF2" s="129"/>
      <c r="BG2" s="129"/>
      <c r="BH2" s="129"/>
      <c r="BI2" s="129"/>
      <c r="BJ2" s="129"/>
      <c r="BK2" s="129"/>
      <c r="BL2" s="132" t="str">
        <f t="shared" ref="BL2" si="8">IF(BG2=1,BH2,IF(BG2=2,BH2&amp;"/"&amp;BI2,IF(BG2=3,BH2&amp;"/"&amp;BI2&amp;"/"&amp;BJ2,IF(BG2=4,BH2&amp;"/"&amp;BI2&amp;"/"&amp;BJ2&amp;"/"&amp;BK2,""))))</f>
        <v/>
      </c>
      <c r="BM2" s="129"/>
      <c r="BN2" s="129"/>
      <c r="BO2" s="129"/>
      <c r="BP2" s="129"/>
      <c r="BQ2" s="27" t="str">
        <f t="shared" ref="BQ2:BQ33" si="9">IF(BG2=1,BM2&amp;"W",IF(BG2=2,BM2&amp;"W/ "&amp;BN2&amp;"W",IF(BG2=3,BM2&amp;"W/ "&amp;BN2&amp;"W/ "&amp;BO2&amp;"W",IF(BG2=4,BM2&amp;"W/ "&amp;BN2&amp;"W/ "&amp;BO2&amp;"W/ "&amp;BP2&amp;"W",""))))</f>
        <v/>
      </c>
      <c r="BR2" s="129"/>
      <c r="BS2" s="129"/>
      <c r="BT2" s="33" t="s">
        <v>153</v>
      </c>
      <c r="BU2" s="33" t="s">
        <v>153</v>
      </c>
      <c r="BV2" s="33" t="s">
        <v>153</v>
      </c>
      <c r="BW2" s="33" t="s">
        <v>153</v>
      </c>
      <c r="BX2" s="34" t="s">
        <v>153</v>
      </c>
      <c r="BY2" s="34" t="s">
        <v>153</v>
      </c>
      <c r="BZ2" s="34" t="s">
        <v>153</v>
      </c>
      <c r="CA2" s="132" t="str">
        <f t="shared" ref="CA2" si="10">IF(BW2=1,BX2,IF(BW2=2,BX2&amp;"/"&amp;BY2,IF(BW2=3,BX2&amp;"/"&amp;BY2&amp;"/"&amp;BZ2,"")))</f>
        <v/>
      </c>
      <c r="CB2" s="34" t="s">
        <v>153</v>
      </c>
      <c r="CC2" s="34" t="s">
        <v>153</v>
      </c>
      <c r="CD2" s="34" t="s">
        <v>153</v>
      </c>
      <c r="CE2" s="27" t="str">
        <f t="shared" ref="CE2:CE33" si="11">IF(BW2=1,TEXT(CB2,"#,00")&amp;"W",IF(BW2=2,TEXT(CB2,"#,00")&amp;"W/ "&amp;TEXT(CC2,"#,00")&amp;"W",IF(BW2=3,TEXT(CB2,"#,00")&amp;"W/ "&amp;TEXT(CC2,"#,00")&amp;"W/ "&amp;TEXT(CD2,"#,00")&amp;"W","")))</f>
        <v/>
      </c>
      <c r="CF2" s="33" t="s">
        <v>153</v>
      </c>
      <c r="CG2" s="33" t="s">
        <v>153</v>
      </c>
      <c r="CH2" s="35" t="s">
        <v>153</v>
      </c>
      <c r="CI2" s="35" t="s">
        <v>153</v>
      </c>
      <c r="CJ2" s="35" t="s">
        <v>153</v>
      </c>
      <c r="CK2" s="35" t="s">
        <v>153</v>
      </c>
      <c r="CL2" s="134" t="s">
        <v>153</v>
      </c>
      <c r="CM2" s="134" t="s">
        <v>153</v>
      </c>
      <c r="CN2" s="134" t="s">
        <v>153</v>
      </c>
      <c r="CO2" s="132" t="str">
        <f t="shared" ref="CO2" si="12">IF(CK2=1,CL2,IF(CK2=2,CL2&amp;"/"&amp;CM2,IF(CK2=3,CL2&amp;"/"&amp;CM2&amp;"/"&amp;CN2,"")))</f>
        <v/>
      </c>
      <c r="CP2" s="134" t="s">
        <v>153</v>
      </c>
      <c r="CQ2" s="134" t="s">
        <v>153</v>
      </c>
      <c r="CR2" s="134" t="s">
        <v>153</v>
      </c>
      <c r="CS2" s="27" t="str">
        <f t="shared" ref="CS2:CS33" si="13">IF(CK2=1,TEXT(CP2,"#,00")&amp;"W",IF(CK2=2,TEXT(CP2,"#,00")&amp;"W/ "&amp;TEXT(CQ2,"#,00")&amp;"W",IF(CK2=3,TEXT(CP2,"#,00")&amp;"W/ "&amp;TEXT(CQ2,"#,00")&amp;"W/ "&amp;TEXT(CR2,"#,00")&amp;"W","")))</f>
        <v/>
      </c>
      <c r="CT2" s="35" t="s">
        <v>153</v>
      </c>
      <c r="CU2" s="35" t="s">
        <v>153</v>
      </c>
      <c r="CV2" s="36" t="s">
        <v>153</v>
      </c>
      <c r="CW2" s="36" t="s">
        <v>153</v>
      </c>
      <c r="CX2" s="36" t="s">
        <v>153</v>
      </c>
      <c r="CY2" s="36" t="s">
        <v>153</v>
      </c>
      <c r="CZ2" s="135" t="s">
        <v>153</v>
      </c>
      <c r="DA2" s="135" t="s">
        <v>153</v>
      </c>
      <c r="DB2" s="135" t="s">
        <v>153</v>
      </c>
      <c r="DC2" s="132" t="str">
        <f t="shared" ref="DC2" si="14">IF(CY2=1,CZ2,IF(CY2=2,CZ2&amp;"/"&amp;DA2,IF(CY2=3,CZ2&amp;"/"&amp;DA2&amp;"/"&amp;DB2,"")))</f>
        <v/>
      </c>
      <c r="DD2" s="135" t="s">
        <v>153</v>
      </c>
      <c r="DE2" s="135" t="s">
        <v>153</v>
      </c>
      <c r="DF2" s="135" t="s">
        <v>153</v>
      </c>
      <c r="DG2" s="27" t="str">
        <f t="shared" ref="DG2:DG33" si="15">IF(CY2=1,TEXT(DD2,"#,00")&amp;"W",IF(CY2=2,TEXT(DD2,"#,00")&amp;"W/ "&amp;TEXT(DE2,"#,00")&amp;"W",IF(CY2=3,TEXT(DD2,"#,00")&amp;"W/ "&amp;TEXT(DE2,"#,00")&amp;"W/ "&amp;TEXT(DF2,"#,00")&amp;"W","")))</f>
        <v/>
      </c>
      <c r="DH2" s="36" t="s">
        <v>153</v>
      </c>
      <c r="DI2" s="36" t="s">
        <v>153</v>
      </c>
      <c r="DJ2" s="128">
        <f t="shared" ref="DJ2" si="16">IF(LEN(CV2)&lt;&gt;0,6,IF(LEN(CH2)&lt;&gt;0,5,IF(LEN(BT2)&lt;&gt;0,4,IF(LEN(BD2)&lt;&gt;0,3,IF(LEN(AN2)&lt;&gt;0,2,IF(LEN(X2)&lt;&gt;0,1,FALSE))))))</f>
        <v>1</v>
      </c>
      <c r="DK2" s="128" t="str">
        <f t="shared" ref="DK2" si="17">DJ2&amp;"-"&amp;DQ2</f>
        <v>1-1</v>
      </c>
      <c r="DL2" s="128" t="str">
        <f t="shared" ref="DL2" si="18">IF(AN2=0,"",IF(AND(AN2&lt;&gt;0,AN2=X2),"CHUNG","KHÁC"))</f>
        <v/>
      </c>
      <c r="DM2" s="128" t="str">
        <f t="shared" ref="DM2" si="19">IF(BD2=0,"",IF(AND(BD2&lt;&gt;0,BD2=X2),"CHUNG","KHÁC"))</f>
        <v/>
      </c>
      <c r="DN2" s="128" t="str">
        <f t="shared" ref="DN2" si="20">IF(BT2=0,"",IF(AND(BT2&lt;&gt;0,BT2=X2),"CHUNG","KHÁC"))</f>
        <v>KHÁC</v>
      </c>
      <c r="DO2" s="128" t="str">
        <f t="shared" ref="DO2" si="21">IF(CH2=0,"",IF(AND(CH2&lt;&gt;0,CH2=X2),"CHUNG","KHÁC"))</f>
        <v>KHÁC</v>
      </c>
      <c r="DP2" s="128" t="str">
        <f t="shared" ref="DP2" si="22">IF(CV2=0,"",IF(AND(CV2&lt;&gt;0,CV2=X2),"CHUNG","KHÁC"))</f>
        <v>KHÁC</v>
      </c>
      <c r="DQ2" s="128">
        <f t="shared" ref="DQ2" si="23">IF(COUNTIF(DL2:DP2,"CHUNG")=0,1,COUNTIF(DL2:DP2,"CHUNG")+1)</f>
        <v>1</v>
      </c>
      <c r="DR2" s="136" t="s">
        <v>70</v>
      </c>
      <c r="DS2" s="137" t="b">
        <f t="shared" ref="DS2" si="24">RIGHT(G2,LEN(H2)+1)=(H2&amp;".")</f>
        <v>1</v>
      </c>
      <c r="DT2" s="137" t="b">
        <f t="shared" ref="DT2" si="25" xml:space="preserve"> IF((L2-M2)&gt;120,FALSE,TRUE)</f>
        <v>1</v>
      </c>
      <c r="DU2" s="137" t="b">
        <f>IF((S2-R2)&lt;&gt;1826,FALSE,TRUE)</f>
        <v>1</v>
      </c>
      <c r="DV2" s="128" t="b">
        <f>IF(IF(LEN(CV2)&lt;&gt;0,6,IF(LEN(CH2)&lt;&gt;0,5,IF(LEN(BT2)&lt;&gt;0,4,IF(LEN(BD2)&lt;&gt;0,3,IF(LEN(AN2)&lt;&gt;0,2,IF(LEN(X2)&lt;&gt;0,1,FALSE))))))&lt;&gt;V2,FALSE,TRUE)</f>
        <v>1</v>
      </c>
      <c r="DW2" s="128" t="b">
        <f t="shared" ref="DW2" si="26">NOT(OR(AND(X2&lt;&gt;AN2,OR(X2=BD2,X2=BT2,X2=CH2,X2=CV2)),AND(AN2&lt;&gt;BD2,OR(AN2=BT2,AN2=CH2,AN2=CV2)),AND(BD2&lt;&gt;BT2,OR(BD2=CH2,BD2=CV2)),AND(BT2&lt;&gt;CH2,BT2=CV2)))</f>
        <v>1</v>
      </c>
      <c r="DX2" s="128" t="s">
        <v>70</v>
      </c>
      <c r="DY2" s="128" t="s">
        <v>900</v>
      </c>
      <c r="DZ2" s="128" t="s">
        <v>153</v>
      </c>
      <c r="EA2" s="202" t="s">
        <v>70</v>
      </c>
      <c r="EB2" s="202">
        <v>4</v>
      </c>
      <c r="EC2" s="165"/>
      <c r="ED2" s="165"/>
      <c r="EE2" s="165"/>
      <c r="EF2" s="37" t="str">
        <f t="shared" ref="EF2" si="27">IF(EH2=0,"No","Yes")</f>
        <v>No</v>
      </c>
      <c r="EG2" s="37">
        <f t="shared" ref="EG2" si="28">DQ2</f>
        <v>1</v>
      </c>
      <c r="EH2" s="37">
        <f t="shared" ref="EH2" si="29">V2-DQ2</f>
        <v>0</v>
      </c>
      <c r="EI2" s="37" t="str">
        <f t="shared" ref="EI2" si="30">IF(EH2=0,"No","Yes")</f>
        <v>No</v>
      </c>
    </row>
    <row r="3" spans="1:139" ht="47.25">
      <c r="A3" s="53">
        <v>2</v>
      </c>
      <c r="B3" s="26">
        <v>3</v>
      </c>
      <c r="C3" s="37">
        <v>2</v>
      </c>
      <c r="D3" s="221">
        <v>1802422</v>
      </c>
      <c r="E3" s="200" t="s">
        <v>649</v>
      </c>
      <c r="F3" s="54" t="s">
        <v>650</v>
      </c>
      <c r="G3" s="28" t="s">
        <v>663</v>
      </c>
      <c r="H3" s="27" t="s">
        <v>652</v>
      </c>
      <c r="I3" s="27" t="s">
        <v>664</v>
      </c>
      <c r="J3" s="27" t="s">
        <v>665</v>
      </c>
      <c r="K3" s="128" t="s">
        <v>666</v>
      </c>
      <c r="L3" s="130">
        <v>43497</v>
      </c>
      <c r="M3" s="130">
        <v>43485</v>
      </c>
      <c r="N3" s="29" t="str">
        <f t="shared" ref="N3:N33" si="31">IF(LEN(O3)=4,"B0"&amp;O3&amp;P3&amp;Q3,IF(LEN(O3)=3,"B00"&amp;O3&amp;P3&amp;Q3,IF(LEN(O3)=2,"B000"&amp;O3&amp;P3&amp;Q3,IF(LEN(O3)=1,"B0000"&amp;O3&amp;P3&amp;Q3,"B"&amp;O3&amp;P3&amp;Q3))))</f>
        <v>B00457130219TG05</v>
      </c>
      <c r="O3" s="82">
        <v>457</v>
      </c>
      <c r="P3" s="30" t="str">
        <f t="shared" si="1"/>
        <v>130219</v>
      </c>
      <c r="Q3" s="29" t="s">
        <v>223</v>
      </c>
      <c r="R3" s="30" t="str">
        <f t="shared" ref="R3:R33" si="32">TEXT(T3,"dd/mm/yyyy")</f>
        <v>13/02/2019</v>
      </c>
      <c r="S3" s="30" t="str">
        <f t="shared" ref="S3:S33" si="33">TEXT(U3,"dd/mm/yyyy")</f>
        <v>13/02/2024</v>
      </c>
      <c r="T3" s="140" t="s">
        <v>952</v>
      </c>
      <c r="U3" s="140" t="s">
        <v>953</v>
      </c>
      <c r="V3" s="27">
        <v>2</v>
      </c>
      <c r="W3" s="27" t="s">
        <v>900</v>
      </c>
      <c r="X3" s="31" t="s">
        <v>650</v>
      </c>
      <c r="Y3" s="31" t="s">
        <v>902</v>
      </c>
      <c r="Z3" s="31" t="s">
        <v>903</v>
      </c>
      <c r="AA3" s="31">
        <v>3</v>
      </c>
      <c r="AB3" s="131" t="s">
        <v>401</v>
      </c>
      <c r="AC3" s="131" t="s">
        <v>401</v>
      </c>
      <c r="AD3" s="131" t="s">
        <v>400</v>
      </c>
      <c r="AE3" s="131"/>
      <c r="AF3" s="132" t="str">
        <f t="shared" ref="AF3:AF33" si="34">IF(AA3=1,AB3,IF(AA3=2,AB3&amp;"/"&amp;AC3,IF(AA3=3,AB3&amp;"/"&amp;AC3&amp;"/"&amp;AD3,IF(AA3=4,AB3&amp;"/"&amp;AC3&amp;"/"&amp;AD3&amp;"/"&amp;AE3,""))))</f>
        <v>2/2/4</v>
      </c>
      <c r="AG3" s="131">
        <v>41.7</v>
      </c>
      <c r="AH3" s="131">
        <v>41.7</v>
      </c>
      <c r="AI3" s="131">
        <v>37.24</v>
      </c>
      <c r="AJ3" s="131"/>
      <c r="AK3" s="27" t="str">
        <f t="shared" si="5"/>
        <v>41,7W/ 41,7W/ 37,24W</v>
      </c>
      <c r="AL3" s="31" t="s">
        <v>904</v>
      </c>
      <c r="AM3" s="31" t="s">
        <v>905</v>
      </c>
      <c r="AN3" s="32" t="s">
        <v>650</v>
      </c>
      <c r="AO3" s="32" t="s">
        <v>902</v>
      </c>
      <c r="AP3" s="32" t="s">
        <v>657</v>
      </c>
      <c r="AQ3" s="32">
        <v>3</v>
      </c>
      <c r="AR3" s="133" t="s">
        <v>401</v>
      </c>
      <c r="AS3" s="133" t="s">
        <v>401</v>
      </c>
      <c r="AT3" s="133" t="s">
        <v>401</v>
      </c>
      <c r="AU3" s="133"/>
      <c r="AV3" s="132" t="str">
        <f t="shared" ref="AV3:AV33" si="35">IF(AQ3=1,AR3,IF(AQ3=2,AR3&amp;"/"&amp;AS3,IF(AQ3=3,AR3&amp;"/"&amp;AS3&amp;"/"&amp;AT3,IF(AQ3=4,AR3&amp;"/"&amp;AS3&amp;"/"&amp;AT3&amp;"/"&amp;AU3,""))))</f>
        <v>2/2/2</v>
      </c>
      <c r="AW3" s="133" t="s">
        <v>901</v>
      </c>
      <c r="AX3" s="133" t="s">
        <v>901</v>
      </c>
      <c r="AY3" s="133" t="s">
        <v>901</v>
      </c>
      <c r="AZ3" s="133"/>
      <c r="BA3" s="27" t="str">
        <f t="shared" si="7"/>
        <v>40W/ 40W/ 40W</v>
      </c>
      <c r="BB3" s="32" t="s">
        <v>659</v>
      </c>
      <c r="BC3" s="32" t="s">
        <v>906</v>
      </c>
      <c r="BD3" s="129"/>
      <c r="BE3" s="129"/>
      <c r="BF3" s="129"/>
      <c r="BG3" s="129"/>
      <c r="BH3" s="129"/>
      <c r="BI3" s="129"/>
      <c r="BJ3" s="129"/>
      <c r="BK3" s="129"/>
      <c r="BL3" s="132" t="str">
        <f t="shared" ref="BL3:BL33" si="36">IF(BG3=1,BH3,IF(BG3=2,BH3&amp;"/"&amp;BI3,IF(BG3=3,BH3&amp;"/"&amp;BI3&amp;"/"&amp;BJ3,IF(BG3=4,BH3&amp;"/"&amp;BI3&amp;"/"&amp;BJ3&amp;"/"&amp;BK3,""))))</f>
        <v/>
      </c>
      <c r="BM3" s="129"/>
      <c r="BN3" s="129"/>
      <c r="BO3" s="129"/>
      <c r="BP3" s="129"/>
      <c r="BQ3" s="27" t="str">
        <f t="shared" si="9"/>
        <v/>
      </c>
      <c r="BR3" s="129"/>
      <c r="BS3" s="129"/>
      <c r="BT3" s="33" t="s">
        <v>153</v>
      </c>
      <c r="BU3" s="33" t="s">
        <v>153</v>
      </c>
      <c r="BV3" s="33" t="s">
        <v>153</v>
      </c>
      <c r="BW3" s="33" t="s">
        <v>153</v>
      </c>
      <c r="BX3" s="34" t="s">
        <v>153</v>
      </c>
      <c r="BY3" s="34" t="s">
        <v>153</v>
      </c>
      <c r="BZ3" s="34" t="s">
        <v>153</v>
      </c>
      <c r="CA3" s="132" t="str">
        <f t="shared" ref="CA3:CA33" si="37">IF(BW3=1,BX3,IF(BW3=2,BX3&amp;"/"&amp;BY3,IF(BW3=3,BX3&amp;"/"&amp;BY3&amp;"/"&amp;BZ3,"")))</f>
        <v/>
      </c>
      <c r="CB3" s="34" t="s">
        <v>153</v>
      </c>
      <c r="CC3" s="34" t="s">
        <v>153</v>
      </c>
      <c r="CD3" s="34" t="s">
        <v>153</v>
      </c>
      <c r="CE3" s="27" t="str">
        <f t="shared" si="11"/>
        <v/>
      </c>
      <c r="CF3" s="33" t="s">
        <v>153</v>
      </c>
      <c r="CG3" s="33" t="s">
        <v>153</v>
      </c>
      <c r="CH3" s="35" t="s">
        <v>153</v>
      </c>
      <c r="CI3" s="35" t="s">
        <v>153</v>
      </c>
      <c r="CJ3" s="35" t="s">
        <v>153</v>
      </c>
      <c r="CK3" s="35" t="s">
        <v>153</v>
      </c>
      <c r="CL3" s="134" t="s">
        <v>153</v>
      </c>
      <c r="CM3" s="134" t="s">
        <v>153</v>
      </c>
      <c r="CN3" s="134" t="s">
        <v>153</v>
      </c>
      <c r="CO3" s="132" t="str">
        <f t="shared" ref="CO3:CO33" si="38">IF(CK3=1,CL3,IF(CK3=2,CL3&amp;"/"&amp;CM3,IF(CK3=3,CL3&amp;"/"&amp;CM3&amp;"/"&amp;CN3,"")))</f>
        <v/>
      </c>
      <c r="CP3" s="134" t="s">
        <v>153</v>
      </c>
      <c r="CQ3" s="134" t="s">
        <v>153</v>
      </c>
      <c r="CR3" s="134" t="s">
        <v>153</v>
      </c>
      <c r="CS3" s="27" t="str">
        <f t="shared" si="13"/>
        <v/>
      </c>
      <c r="CT3" s="35" t="s">
        <v>153</v>
      </c>
      <c r="CU3" s="35" t="s">
        <v>153</v>
      </c>
      <c r="CV3" s="36" t="s">
        <v>153</v>
      </c>
      <c r="CW3" s="36" t="s">
        <v>153</v>
      </c>
      <c r="CX3" s="36" t="s">
        <v>153</v>
      </c>
      <c r="CY3" s="36" t="s">
        <v>153</v>
      </c>
      <c r="CZ3" s="135" t="s">
        <v>153</v>
      </c>
      <c r="DA3" s="135" t="s">
        <v>153</v>
      </c>
      <c r="DB3" s="135" t="s">
        <v>153</v>
      </c>
      <c r="DC3" s="132" t="str">
        <f t="shared" ref="DC3:DC33" si="39">IF(CY3=1,CZ3,IF(CY3=2,CZ3&amp;"/"&amp;DA3,IF(CY3=3,CZ3&amp;"/"&amp;DA3&amp;"/"&amp;DB3,"")))</f>
        <v/>
      </c>
      <c r="DD3" s="135" t="s">
        <v>153</v>
      </c>
      <c r="DE3" s="135" t="s">
        <v>153</v>
      </c>
      <c r="DF3" s="135" t="s">
        <v>153</v>
      </c>
      <c r="DG3" s="27" t="str">
        <f t="shared" si="15"/>
        <v/>
      </c>
      <c r="DH3" s="36" t="s">
        <v>153</v>
      </c>
      <c r="DI3" s="36" t="s">
        <v>153</v>
      </c>
      <c r="DJ3" s="128">
        <f t="shared" ref="DJ3:DJ33" si="40">IF(LEN(CV3)&lt;&gt;0,6,IF(LEN(CH3)&lt;&gt;0,5,IF(LEN(BT3)&lt;&gt;0,4,IF(LEN(BD3)&lt;&gt;0,3,IF(LEN(AN3)&lt;&gt;0,2,IF(LEN(X3)&lt;&gt;0,1,FALSE))))))</f>
        <v>2</v>
      </c>
      <c r="DK3" s="128" t="str">
        <f t="shared" ref="DK3:DK33" si="41">DJ3&amp;"-"&amp;DQ3</f>
        <v>2-2</v>
      </c>
      <c r="DL3" s="128" t="str">
        <f t="shared" ref="DL3:DL33" si="42">IF(AN3=0,"",IF(AND(AN3&lt;&gt;0,AN3=X3),"CHUNG","KHÁC"))</f>
        <v>CHUNG</v>
      </c>
      <c r="DM3" s="128" t="str">
        <f t="shared" ref="DM3:DM33" si="43">IF(BD3=0,"",IF(AND(BD3&lt;&gt;0,BD3=X3),"CHUNG","KHÁC"))</f>
        <v/>
      </c>
      <c r="DN3" s="128" t="str">
        <f t="shared" ref="DN3:DN33" si="44">IF(BT3=0,"",IF(AND(BT3&lt;&gt;0,BT3=X3),"CHUNG","KHÁC"))</f>
        <v>KHÁC</v>
      </c>
      <c r="DO3" s="128" t="str">
        <f t="shared" ref="DO3:DO33" si="45">IF(CH3=0,"",IF(AND(CH3&lt;&gt;0,CH3=X3),"CHUNG","KHÁC"))</f>
        <v>KHÁC</v>
      </c>
      <c r="DP3" s="128" t="str">
        <f t="shared" ref="DP3:DP33" si="46">IF(CV3=0,"",IF(AND(CV3&lt;&gt;0,CV3=X3),"CHUNG","KHÁC"))</f>
        <v>KHÁC</v>
      </c>
      <c r="DQ3" s="128">
        <f t="shared" ref="DQ3:DQ33" si="47">IF(COUNTIF(DL3:DP3,"CHUNG")=0,1,COUNTIF(DL3:DP3,"CHUNG")+1)</f>
        <v>2</v>
      </c>
      <c r="DR3" s="136" t="s">
        <v>70</v>
      </c>
      <c r="DS3" s="137" t="b">
        <f t="shared" ref="DS3:DS33" si="48">RIGHT(G3,LEN(H3)+1)=(H3&amp;".")</f>
        <v>1</v>
      </c>
      <c r="DT3" s="137" t="b">
        <f t="shared" ref="DT3:DT33" si="49" xml:space="preserve"> IF((L3-M3)&gt;120,FALSE,TRUE)</f>
        <v>1</v>
      </c>
      <c r="DU3" s="137" t="b">
        <f t="shared" ref="DU3:DU33" si="50">IF((S3-R3)&lt;&gt;1826,FALSE,TRUE)</f>
        <v>1</v>
      </c>
      <c r="DV3" s="128" t="b">
        <f t="shared" ref="DV3:DV33" si="51">IF(IF(LEN(CV3)&lt;&gt;0,6,IF(LEN(CH3)&lt;&gt;0,5,IF(LEN(BT3)&lt;&gt;0,4,IF(LEN(BD3)&lt;&gt;0,3,IF(LEN(AN3)&lt;&gt;0,2,IF(LEN(X3)&lt;&gt;0,1,FALSE))))))&lt;&gt;V3,FALSE,TRUE)</f>
        <v>1</v>
      </c>
      <c r="DW3" s="128" t="b">
        <f t="shared" ref="DW3:DW33" si="52">NOT(OR(AND(X3&lt;&gt;AN3,OR(X3=BD3,X3=BT3,X3=CH3,X3=CV3)),AND(AN3&lt;&gt;BD3,OR(AN3=BT3,AN3=CH3,AN3=CV3)),AND(BD3&lt;&gt;BT3,OR(BD3=CH3,BD3=CV3)),AND(BT3&lt;&gt;CH3,BT3=CV3)))</f>
        <v>1</v>
      </c>
      <c r="DX3" s="128" t="s">
        <v>70</v>
      </c>
      <c r="DY3" s="128" t="s">
        <v>900</v>
      </c>
      <c r="DZ3" s="128" t="s">
        <v>153</v>
      </c>
      <c r="EA3" s="202" t="s">
        <v>70</v>
      </c>
      <c r="EB3" s="202">
        <v>25</v>
      </c>
      <c r="EC3" s="165"/>
      <c r="ED3" s="165"/>
      <c r="EE3" s="165"/>
      <c r="EF3" s="37" t="str">
        <f t="shared" ref="EF3:EF33" si="53">IF(EH3=0,"No","Yes")</f>
        <v>No</v>
      </c>
      <c r="EG3" s="37">
        <f t="shared" ref="EG3:EG33" si="54">DQ3</f>
        <v>2</v>
      </c>
      <c r="EH3" s="37">
        <f t="shared" ref="EH3:EH33" si="55">V3-DQ3</f>
        <v>0</v>
      </c>
      <c r="EI3" s="37" t="str">
        <f t="shared" ref="EI3:EI33" si="56">IF(EH3=0,"No","Yes")</f>
        <v>No</v>
      </c>
    </row>
    <row r="4" spans="1:139" ht="47.25">
      <c r="A4" s="53">
        <v>3</v>
      </c>
      <c r="B4" s="26">
        <v>3</v>
      </c>
      <c r="C4" s="37">
        <v>3</v>
      </c>
      <c r="D4" s="221">
        <v>1802423</v>
      </c>
      <c r="E4" s="200" t="s">
        <v>649</v>
      </c>
      <c r="F4" s="54" t="s">
        <v>650</v>
      </c>
      <c r="G4" s="28" t="s">
        <v>675</v>
      </c>
      <c r="H4" s="27" t="s">
        <v>652</v>
      </c>
      <c r="I4" s="27" t="s">
        <v>676</v>
      </c>
      <c r="J4" s="27" t="s">
        <v>677</v>
      </c>
      <c r="K4" s="128" t="s">
        <v>678</v>
      </c>
      <c r="L4" s="130">
        <v>43497</v>
      </c>
      <c r="M4" s="130">
        <v>43485</v>
      </c>
      <c r="N4" s="29" t="str">
        <f t="shared" si="31"/>
        <v>B00458130219TG05</v>
      </c>
      <c r="O4" s="82">
        <v>458</v>
      </c>
      <c r="P4" s="30" t="str">
        <f t="shared" si="1"/>
        <v>130219</v>
      </c>
      <c r="Q4" s="29" t="s">
        <v>223</v>
      </c>
      <c r="R4" s="30" t="str">
        <f t="shared" si="32"/>
        <v>13/02/2019</v>
      </c>
      <c r="S4" s="30" t="str">
        <f t="shared" si="33"/>
        <v>13/02/2024</v>
      </c>
      <c r="T4" s="140" t="s">
        <v>952</v>
      </c>
      <c r="U4" s="140" t="s">
        <v>953</v>
      </c>
      <c r="V4" s="27">
        <v>1</v>
      </c>
      <c r="W4" s="27" t="s">
        <v>70</v>
      </c>
      <c r="X4" s="31" t="s">
        <v>650</v>
      </c>
      <c r="Y4" s="31" t="s">
        <v>679</v>
      </c>
      <c r="Z4" s="31" t="s">
        <v>657</v>
      </c>
      <c r="AA4" s="31">
        <v>3</v>
      </c>
      <c r="AB4" s="131" t="s">
        <v>401</v>
      </c>
      <c r="AC4" s="131" t="s">
        <v>401</v>
      </c>
      <c r="AD4" s="131" t="s">
        <v>401</v>
      </c>
      <c r="AE4" s="131"/>
      <c r="AF4" s="132" t="str">
        <f t="shared" si="34"/>
        <v>2/2/2</v>
      </c>
      <c r="AG4" s="131" t="s">
        <v>901</v>
      </c>
      <c r="AH4" s="131" t="s">
        <v>901</v>
      </c>
      <c r="AI4" s="131" t="s">
        <v>901</v>
      </c>
      <c r="AJ4" s="131"/>
      <c r="AK4" s="27" t="str">
        <f t="shared" si="5"/>
        <v>40W/ 40W/ 40W</v>
      </c>
      <c r="AL4" s="31" t="s">
        <v>659</v>
      </c>
      <c r="AM4" s="31" t="s">
        <v>680</v>
      </c>
      <c r="AN4" s="32"/>
      <c r="AO4" s="32"/>
      <c r="AP4" s="32"/>
      <c r="AQ4" s="32"/>
      <c r="AR4" s="133"/>
      <c r="AS4" s="133"/>
      <c r="AT4" s="133"/>
      <c r="AU4" s="133"/>
      <c r="AV4" s="132" t="str">
        <f t="shared" si="35"/>
        <v/>
      </c>
      <c r="AW4" s="133"/>
      <c r="AX4" s="133"/>
      <c r="AY4" s="133"/>
      <c r="AZ4" s="133"/>
      <c r="BA4" s="27" t="str">
        <f t="shared" si="7"/>
        <v/>
      </c>
      <c r="BB4" s="32"/>
      <c r="BC4" s="32"/>
      <c r="BD4" s="129"/>
      <c r="BE4" s="129"/>
      <c r="BF4" s="129"/>
      <c r="BG4" s="129"/>
      <c r="BH4" s="129"/>
      <c r="BI4" s="129"/>
      <c r="BJ4" s="129"/>
      <c r="BK4" s="129"/>
      <c r="BL4" s="132" t="str">
        <f t="shared" si="36"/>
        <v/>
      </c>
      <c r="BM4" s="129"/>
      <c r="BN4" s="129"/>
      <c r="BO4" s="129"/>
      <c r="BP4" s="129"/>
      <c r="BQ4" s="27" t="str">
        <f t="shared" si="9"/>
        <v/>
      </c>
      <c r="BR4" s="129"/>
      <c r="BS4" s="129"/>
      <c r="BT4" s="33" t="s">
        <v>153</v>
      </c>
      <c r="BU4" s="33" t="s">
        <v>153</v>
      </c>
      <c r="BV4" s="33" t="s">
        <v>153</v>
      </c>
      <c r="BW4" s="33" t="s">
        <v>153</v>
      </c>
      <c r="BX4" s="34" t="s">
        <v>153</v>
      </c>
      <c r="BY4" s="34" t="s">
        <v>153</v>
      </c>
      <c r="BZ4" s="34" t="s">
        <v>153</v>
      </c>
      <c r="CA4" s="132" t="str">
        <f t="shared" si="37"/>
        <v/>
      </c>
      <c r="CB4" s="34" t="s">
        <v>153</v>
      </c>
      <c r="CC4" s="34" t="s">
        <v>153</v>
      </c>
      <c r="CD4" s="34" t="s">
        <v>153</v>
      </c>
      <c r="CE4" s="27" t="str">
        <f t="shared" si="11"/>
        <v/>
      </c>
      <c r="CF4" s="33" t="s">
        <v>153</v>
      </c>
      <c r="CG4" s="33" t="s">
        <v>153</v>
      </c>
      <c r="CH4" s="35" t="s">
        <v>153</v>
      </c>
      <c r="CI4" s="35" t="s">
        <v>153</v>
      </c>
      <c r="CJ4" s="35" t="s">
        <v>153</v>
      </c>
      <c r="CK4" s="35" t="s">
        <v>153</v>
      </c>
      <c r="CL4" s="134" t="s">
        <v>153</v>
      </c>
      <c r="CM4" s="134" t="s">
        <v>153</v>
      </c>
      <c r="CN4" s="134" t="s">
        <v>153</v>
      </c>
      <c r="CO4" s="132" t="str">
        <f t="shared" si="38"/>
        <v/>
      </c>
      <c r="CP4" s="134" t="s">
        <v>153</v>
      </c>
      <c r="CQ4" s="134" t="s">
        <v>153</v>
      </c>
      <c r="CR4" s="134" t="s">
        <v>153</v>
      </c>
      <c r="CS4" s="27" t="str">
        <f t="shared" si="13"/>
        <v/>
      </c>
      <c r="CT4" s="35" t="s">
        <v>153</v>
      </c>
      <c r="CU4" s="35" t="s">
        <v>153</v>
      </c>
      <c r="CV4" s="36" t="s">
        <v>153</v>
      </c>
      <c r="CW4" s="36" t="s">
        <v>153</v>
      </c>
      <c r="CX4" s="36" t="s">
        <v>153</v>
      </c>
      <c r="CY4" s="36" t="s">
        <v>153</v>
      </c>
      <c r="CZ4" s="135" t="s">
        <v>153</v>
      </c>
      <c r="DA4" s="135" t="s">
        <v>153</v>
      </c>
      <c r="DB4" s="135" t="s">
        <v>153</v>
      </c>
      <c r="DC4" s="132" t="str">
        <f t="shared" si="39"/>
        <v/>
      </c>
      <c r="DD4" s="135" t="s">
        <v>153</v>
      </c>
      <c r="DE4" s="135" t="s">
        <v>153</v>
      </c>
      <c r="DF4" s="135" t="s">
        <v>153</v>
      </c>
      <c r="DG4" s="27" t="str">
        <f t="shared" si="15"/>
        <v/>
      </c>
      <c r="DH4" s="36" t="s">
        <v>153</v>
      </c>
      <c r="DI4" s="36" t="s">
        <v>153</v>
      </c>
      <c r="DJ4" s="128">
        <f t="shared" si="40"/>
        <v>1</v>
      </c>
      <c r="DK4" s="128" t="str">
        <f t="shared" si="41"/>
        <v>1-1</v>
      </c>
      <c r="DL4" s="128" t="str">
        <f t="shared" si="42"/>
        <v/>
      </c>
      <c r="DM4" s="128" t="str">
        <f t="shared" si="43"/>
        <v/>
      </c>
      <c r="DN4" s="128" t="str">
        <f t="shared" si="44"/>
        <v>KHÁC</v>
      </c>
      <c r="DO4" s="128" t="str">
        <f t="shared" si="45"/>
        <v>KHÁC</v>
      </c>
      <c r="DP4" s="128" t="str">
        <f t="shared" si="46"/>
        <v>KHÁC</v>
      </c>
      <c r="DQ4" s="128">
        <f t="shared" si="47"/>
        <v>1</v>
      </c>
      <c r="DR4" s="136" t="s">
        <v>70</v>
      </c>
      <c r="DS4" s="137" t="b">
        <f t="shared" si="48"/>
        <v>1</v>
      </c>
      <c r="DT4" s="137" t="b">
        <f t="shared" si="49"/>
        <v>1</v>
      </c>
      <c r="DU4" s="137" t="b">
        <f t="shared" si="50"/>
        <v>1</v>
      </c>
      <c r="DV4" s="128" t="b">
        <f t="shared" si="51"/>
        <v>1</v>
      </c>
      <c r="DW4" s="128" t="b">
        <f t="shared" si="52"/>
        <v>1</v>
      </c>
      <c r="DX4" s="128" t="s">
        <v>70</v>
      </c>
      <c r="DY4" s="128" t="s">
        <v>70</v>
      </c>
      <c r="DZ4" s="128">
        <v>35</v>
      </c>
      <c r="EA4" s="202" t="s">
        <v>70</v>
      </c>
      <c r="EB4" s="202">
        <v>31</v>
      </c>
      <c r="EC4" s="165"/>
      <c r="ED4" s="165"/>
      <c r="EE4" s="165"/>
      <c r="EF4" s="37" t="str">
        <f t="shared" si="53"/>
        <v>No</v>
      </c>
      <c r="EG4" s="37">
        <f t="shared" si="54"/>
        <v>1</v>
      </c>
      <c r="EH4" s="37">
        <f t="shared" si="55"/>
        <v>0</v>
      </c>
      <c r="EI4" s="37" t="str">
        <f t="shared" si="56"/>
        <v>No</v>
      </c>
    </row>
    <row r="5" spans="1:139" ht="47.25">
      <c r="A5" s="53">
        <v>4</v>
      </c>
      <c r="B5" s="26">
        <v>3</v>
      </c>
      <c r="C5" s="37">
        <v>4</v>
      </c>
      <c r="D5" s="221">
        <v>1802424</v>
      </c>
      <c r="E5" s="200" t="s">
        <v>649</v>
      </c>
      <c r="F5" s="54" t="s">
        <v>650</v>
      </c>
      <c r="G5" s="28" t="s">
        <v>681</v>
      </c>
      <c r="H5" s="27" t="s">
        <v>652</v>
      </c>
      <c r="I5" s="27" t="s">
        <v>682</v>
      </c>
      <c r="J5" s="27" t="s">
        <v>683</v>
      </c>
      <c r="K5" s="128" t="s">
        <v>684</v>
      </c>
      <c r="L5" s="130">
        <v>43497</v>
      </c>
      <c r="M5" s="130">
        <v>43486</v>
      </c>
      <c r="N5" s="29" t="str">
        <f t="shared" si="31"/>
        <v>B00459130219TG05</v>
      </c>
      <c r="O5" s="82">
        <v>459</v>
      </c>
      <c r="P5" s="30" t="str">
        <f t="shared" si="1"/>
        <v>130219</v>
      </c>
      <c r="Q5" s="29" t="s">
        <v>223</v>
      </c>
      <c r="R5" s="30" t="str">
        <f t="shared" si="32"/>
        <v>13/02/2019</v>
      </c>
      <c r="S5" s="30" t="str">
        <f t="shared" si="33"/>
        <v>13/02/2024</v>
      </c>
      <c r="T5" s="140" t="s">
        <v>952</v>
      </c>
      <c r="U5" s="140" t="s">
        <v>953</v>
      </c>
      <c r="V5" s="27">
        <v>3</v>
      </c>
      <c r="W5" s="27" t="s">
        <v>900</v>
      </c>
      <c r="X5" s="31" t="s">
        <v>650</v>
      </c>
      <c r="Y5" s="31" t="s">
        <v>907</v>
      </c>
      <c r="Z5" s="31" t="s">
        <v>903</v>
      </c>
      <c r="AA5" s="31">
        <v>3</v>
      </c>
      <c r="AB5" s="131" t="s">
        <v>401</v>
      </c>
      <c r="AC5" s="131" t="s">
        <v>401</v>
      </c>
      <c r="AD5" s="131" t="s">
        <v>401</v>
      </c>
      <c r="AE5" s="131"/>
      <c r="AF5" s="132" t="str">
        <f t="shared" si="34"/>
        <v>2/2/2</v>
      </c>
      <c r="AG5" s="131">
        <v>41.7</v>
      </c>
      <c r="AH5" s="131">
        <v>41.7</v>
      </c>
      <c r="AI5" s="131">
        <v>41.7</v>
      </c>
      <c r="AJ5" s="131"/>
      <c r="AK5" s="27" t="str">
        <f t="shared" si="5"/>
        <v>41,7W/ 41,7W/ 41,7W</v>
      </c>
      <c r="AL5" s="31" t="s">
        <v>908</v>
      </c>
      <c r="AM5" s="31" t="s">
        <v>909</v>
      </c>
      <c r="AN5" s="32" t="s">
        <v>650</v>
      </c>
      <c r="AO5" s="32" t="s">
        <v>907</v>
      </c>
      <c r="AP5" s="32" t="s">
        <v>657</v>
      </c>
      <c r="AQ5" s="32">
        <v>3</v>
      </c>
      <c r="AR5" s="133" t="s">
        <v>401</v>
      </c>
      <c r="AS5" s="133" t="s">
        <v>401</v>
      </c>
      <c r="AT5" s="133" t="s">
        <v>401</v>
      </c>
      <c r="AU5" s="133"/>
      <c r="AV5" s="132" t="str">
        <f t="shared" si="35"/>
        <v>2/2/2</v>
      </c>
      <c r="AW5" s="133" t="s">
        <v>901</v>
      </c>
      <c r="AX5" s="133" t="s">
        <v>901</v>
      </c>
      <c r="AY5" s="133" t="s">
        <v>901</v>
      </c>
      <c r="AZ5" s="133"/>
      <c r="BA5" s="27" t="str">
        <f t="shared" si="7"/>
        <v>40W/ 40W/ 40W</v>
      </c>
      <c r="BB5" s="32" t="s">
        <v>659</v>
      </c>
      <c r="BC5" s="32" t="s">
        <v>909</v>
      </c>
      <c r="BD5" s="129" t="s">
        <v>650</v>
      </c>
      <c r="BE5" s="129" t="s">
        <v>907</v>
      </c>
      <c r="BF5" s="129" t="s">
        <v>910</v>
      </c>
      <c r="BG5" s="129">
        <v>3</v>
      </c>
      <c r="BH5" s="129" t="s">
        <v>911</v>
      </c>
      <c r="BI5" s="129" t="s">
        <v>911</v>
      </c>
      <c r="BJ5" s="129" t="s">
        <v>911</v>
      </c>
      <c r="BK5" s="129"/>
      <c r="BL5" s="132" t="str">
        <f t="shared" si="36"/>
        <v>1/1/1</v>
      </c>
      <c r="BM5" s="129" t="s">
        <v>901</v>
      </c>
      <c r="BN5" s="129" t="s">
        <v>901</v>
      </c>
      <c r="BO5" s="129" t="s">
        <v>901</v>
      </c>
      <c r="BP5" s="129"/>
      <c r="BQ5" s="27" t="str">
        <f t="shared" si="9"/>
        <v>40W/ 40W/ 40W</v>
      </c>
      <c r="BR5" s="129" t="s">
        <v>912</v>
      </c>
      <c r="BS5" s="129" t="s">
        <v>909</v>
      </c>
      <c r="BT5" s="33" t="s">
        <v>153</v>
      </c>
      <c r="BU5" s="33" t="s">
        <v>153</v>
      </c>
      <c r="BV5" s="33" t="s">
        <v>153</v>
      </c>
      <c r="BW5" s="33" t="s">
        <v>153</v>
      </c>
      <c r="BX5" s="34" t="s">
        <v>153</v>
      </c>
      <c r="BY5" s="34" t="s">
        <v>153</v>
      </c>
      <c r="BZ5" s="34" t="s">
        <v>153</v>
      </c>
      <c r="CA5" s="132" t="str">
        <f t="shared" si="37"/>
        <v/>
      </c>
      <c r="CB5" s="34" t="s">
        <v>153</v>
      </c>
      <c r="CC5" s="34" t="s">
        <v>153</v>
      </c>
      <c r="CD5" s="34" t="s">
        <v>153</v>
      </c>
      <c r="CE5" s="27" t="str">
        <f t="shared" si="11"/>
        <v/>
      </c>
      <c r="CF5" s="33" t="s">
        <v>153</v>
      </c>
      <c r="CG5" s="33" t="s">
        <v>153</v>
      </c>
      <c r="CH5" s="35" t="s">
        <v>153</v>
      </c>
      <c r="CI5" s="35" t="s">
        <v>153</v>
      </c>
      <c r="CJ5" s="35" t="s">
        <v>153</v>
      </c>
      <c r="CK5" s="35" t="s">
        <v>153</v>
      </c>
      <c r="CL5" s="134" t="s">
        <v>153</v>
      </c>
      <c r="CM5" s="134" t="s">
        <v>153</v>
      </c>
      <c r="CN5" s="134" t="s">
        <v>153</v>
      </c>
      <c r="CO5" s="132" t="str">
        <f t="shared" si="38"/>
        <v/>
      </c>
      <c r="CP5" s="134" t="s">
        <v>153</v>
      </c>
      <c r="CQ5" s="134" t="s">
        <v>153</v>
      </c>
      <c r="CR5" s="134" t="s">
        <v>153</v>
      </c>
      <c r="CS5" s="27" t="str">
        <f t="shared" si="13"/>
        <v/>
      </c>
      <c r="CT5" s="35" t="s">
        <v>153</v>
      </c>
      <c r="CU5" s="35" t="s">
        <v>153</v>
      </c>
      <c r="CV5" s="36" t="s">
        <v>153</v>
      </c>
      <c r="CW5" s="36" t="s">
        <v>153</v>
      </c>
      <c r="CX5" s="36" t="s">
        <v>153</v>
      </c>
      <c r="CY5" s="36" t="s">
        <v>153</v>
      </c>
      <c r="CZ5" s="135" t="s">
        <v>153</v>
      </c>
      <c r="DA5" s="135" t="s">
        <v>153</v>
      </c>
      <c r="DB5" s="135" t="s">
        <v>153</v>
      </c>
      <c r="DC5" s="132" t="str">
        <f t="shared" si="39"/>
        <v/>
      </c>
      <c r="DD5" s="135" t="s">
        <v>153</v>
      </c>
      <c r="DE5" s="135" t="s">
        <v>153</v>
      </c>
      <c r="DF5" s="135" t="s">
        <v>153</v>
      </c>
      <c r="DG5" s="27" t="str">
        <f t="shared" si="15"/>
        <v/>
      </c>
      <c r="DH5" s="36" t="s">
        <v>153</v>
      </c>
      <c r="DI5" s="36" t="s">
        <v>153</v>
      </c>
      <c r="DJ5" s="128">
        <f t="shared" si="40"/>
        <v>3</v>
      </c>
      <c r="DK5" s="128" t="str">
        <f t="shared" si="41"/>
        <v>3-3</v>
      </c>
      <c r="DL5" s="128" t="str">
        <f t="shared" si="42"/>
        <v>CHUNG</v>
      </c>
      <c r="DM5" s="128" t="str">
        <f t="shared" si="43"/>
        <v>CHUNG</v>
      </c>
      <c r="DN5" s="128" t="str">
        <f t="shared" si="44"/>
        <v>KHÁC</v>
      </c>
      <c r="DO5" s="128" t="str">
        <f t="shared" si="45"/>
        <v>KHÁC</v>
      </c>
      <c r="DP5" s="128" t="str">
        <f t="shared" si="46"/>
        <v>KHÁC</v>
      </c>
      <c r="DQ5" s="128">
        <f t="shared" si="47"/>
        <v>3</v>
      </c>
      <c r="DR5" s="136" t="s">
        <v>70</v>
      </c>
      <c r="DS5" s="137" t="b">
        <f t="shared" si="48"/>
        <v>1</v>
      </c>
      <c r="DT5" s="137" t="b">
        <f t="shared" si="49"/>
        <v>1</v>
      </c>
      <c r="DU5" s="137" t="b">
        <f t="shared" si="50"/>
        <v>1</v>
      </c>
      <c r="DV5" s="128" t="b">
        <f t="shared" si="51"/>
        <v>1</v>
      </c>
      <c r="DW5" s="128" t="b">
        <f t="shared" si="52"/>
        <v>1</v>
      </c>
      <c r="DX5" s="128" t="s">
        <v>70</v>
      </c>
      <c r="DY5" s="128" t="s">
        <v>900</v>
      </c>
      <c r="DZ5" s="128" t="s">
        <v>153</v>
      </c>
      <c r="EA5" s="202" t="s">
        <v>70</v>
      </c>
      <c r="EB5" s="202">
        <v>19.5</v>
      </c>
      <c r="EC5" s="165"/>
      <c r="ED5" s="165"/>
      <c r="EE5" s="165"/>
      <c r="EF5" s="37" t="str">
        <f t="shared" si="53"/>
        <v>No</v>
      </c>
      <c r="EG5" s="37">
        <f t="shared" si="54"/>
        <v>3</v>
      </c>
      <c r="EH5" s="37">
        <f t="shared" si="55"/>
        <v>0</v>
      </c>
      <c r="EI5" s="37" t="str">
        <f t="shared" si="56"/>
        <v>No</v>
      </c>
    </row>
    <row r="6" spans="1:139" ht="47.25">
      <c r="A6" s="53">
        <v>5</v>
      </c>
      <c r="B6" s="26">
        <v>3</v>
      </c>
      <c r="C6" s="37">
        <v>5</v>
      </c>
      <c r="D6" s="221">
        <v>1802425</v>
      </c>
      <c r="E6" s="200" t="s">
        <v>649</v>
      </c>
      <c r="F6" s="54" t="s">
        <v>650</v>
      </c>
      <c r="G6" s="28" t="s">
        <v>694</v>
      </c>
      <c r="H6" s="27" t="s">
        <v>652</v>
      </c>
      <c r="I6" s="27" t="s">
        <v>695</v>
      </c>
      <c r="J6" s="27" t="s">
        <v>696</v>
      </c>
      <c r="K6" s="128" t="s">
        <v>697</v>
      </c>
      <c r="L6" s="130">
        <v>43497</v>
      </c>
      <c r="M6" s="130">
        <v>43486</v>
      </c>
      <c r="N6" s="29" t="str">
        <f t="shared" si="31"/>
        <v>B00460130219TG05</v>
      </c>
      <c r="O6" s="82">
        <v>460</v>
      </c>
      <c r="P6" s="30" t="str">
        <f t="shared" si="1"/>
        <v>130219</v>
      </c>
      <c r="Q6" s="29" t="s">
        <v>223</v>
      </c>
      <c r="R6" s="30" t="str">
        <f t="shared" si="32"/>
        <v>13/02/2019</v>
      </c>
      <c r="S6" s="30" t="str">
        <f t="shared" si="33"/>
        <v>13/02/2024</v>
      </c>
      <c r="T6" s="140" t="s">
        <v>952</v>
      </c>
      <c r="U6" s="140" t="s">
        <v>953</v>
      </c>
      <c r="V6" s="27">
        <v>3</v>
      </c>
      <c r="W6" s="27" t="s">
        <v>900</v>
      </c>
      <c r="X6" s="31" t="s">
        <v>650</v>
      </c>
      <c r="Y6" s="31" t="s">
        <v>913</v>
      </c>
      <c r="Z6" s="31" t="s">
        <v>903</v>
      </c>
      <c r="AA6" s="31">
        <v>3</v>
      </c>
      <c r="AB6" s="131" t="s">
        <v>401</v>
      </c>
      <c r="AC6" s="131" t="s">
        <v>401</v>
      </c>
      <c r="AD6" s="131" t="s">
        <v>401</v>
      </c>
      <c r="AE6" s="131"/>
      <c r="AF6" s="132" t="str">
        <f t="shared" si="34"/>
        <v>2/2/2</v>
      </c>
      <c r="AG6" s="131">
        <v>41.7</v>
      </c>
      <c r="AH6" s="131">
        <v>41.7</v>
      </c>
      <c r="AI6" s="131">
        <v>41.7</v>
      </c>
      <c r="AJ6" s="131"/>
      <c r="AK6" s="27" t="str">
        <f t="shared" si="5"/>
        <v>41,7W/ 41,7W/ 41,7W</v>
      </c>
      <c r="AL6" s="31" t="s">
        <v>908</v>
      </c>
      <c r="AM6" s="31" t="s">
        <v>914</v>
      </c>
      <c r="AN6" s="32" t="s">
        <v>650</v>
      </c>
      <c r="AO6" s="32" t="s">
        <v>913</v>
      </c>
      <c r="AP6" s="32" t="s">
        <v>657</v>
      </c>
      <c r="AQ6" s="32">
        <v>3</v>
      </c>
      <c r="AR6" s="133" t="s">
        <v>401</v>
      </c>
      <c r="AS6" s="133" t="s">
        <v>401</v>
      </c>
      <c r="AT6" s="133" t="s">
        <v>401</v>
      </c>
      <c r="AU6" s="133"/>
      <c r="AV6" s="132" t="str">
        <f t="shared" si="35"/>
        <v>2/2/2</v>
      </c>
      <c r="AW6" s="133" t="s">
        <v>901</v>
      </c>
      <c r="AX6" s="133" t="s">
        <v>901</v>
      </c>
      <c r="AY6" s="133" t="s">
        <v>901</v>
      </c>
      <c r="AZ6" s="133"/>
      <c r="BA6" s="27" t="str">
        <f t="shared" si="7"/>
        <v>40W/ 40W/ 40W</v>
      </c>
      <c r="BB6" s="32" t="s">
        <v>659</v>
      </c>
      <c r="BC6" s="32" t="s">
        <v>914</v>
      </c>
      <c r="BD6" s="129" t="s">
        <v>650</v>
      </c>
      <c r="BE6" s="129" t="s">
        <v>913</v>
      </c>
      <c r="BF6" s="129" t="s">
        <v>910</v>
      </c>
      <c r="BG6" s="129">
        <v>3</v>
      </c>
      <c r="BH6" s="129" t="s">
        <v>911</v>
      </c>
      <c r="BI6" s="129" t="s">
        <v>911</v>
      </c>
      <c r="BJ6" s="129" t="s">
        <v>911</v>
      </c>
      <c r="BK6" s="129"/>
      <c r="BL6" s="132" t="str">
        <f t="shared" si="36"/>
        <v>1/1/1</v>
      </c>
      <c r="BM6" s="129" t="s">
        <v>901</v>
      </c>
      <c r="BN6" s="129" t="s">
        <v>901</v>
      </c>
      <c r="BO6" s="129" t="s">
        <v>901</v>
      </c>
      <c r="BP6" s="129"/>
      <c r="BQ6" s="27" t="str">
        <f t="shared" si="9"/>
        <v>40W/ 40W/ 40W</v>
      </c>
      <c r="BR6" s="129" t="s">
        <v>912</v>
      </c>
      <c r="BS6" s="129" t="s">
        <v>914</v>
      </c>
      <c r="BT6" s="33" t="s">
        <v>153</v>
      </c>
      <c r="BU6" s="33" t="s">
        <v>153</v>
      </c>
      <c r="BV6" s="33" t="s">
        <v>153</v>
      </c>
      <c r="BW6" s="33" t="s">
        <v>153</v>
      </c>
      <c r="BX6" s="34" t="s">
        <v>153</v>
      </c>
      <c r="BY6" s="34" t="s">
        <v>153</v>
      </c>
      <c r="BZ6" s="34" t="s">
        <v>153</v>
      </c>
      <c r="CA6" s="132" t="str">
        <f t="shared" si="37"/>
        <v/>
      </c>
      <c r="CB6" s="34" t="s">
        <v>153</v>
      </c>
      <c r="CC6" s="34" t="s">
        <v>153</v>
      </c>
      <c r="CD6" s="34" t="s">
        <v>153</v>
      </c>
      <c r="CE6" s="27" t="str">
        <f t="shared" si="11"/>
        <v/>
      </c>
      <c r="CF6" s="33" t="s">
        <v>153</v>
      </c>
      <c r="CG6" s="33" t="s">
        <v>153</v>
      </c>
      <c r="CH6" s="35" t="s">
        <v>153</v>
      </c>
      <c r="CI6" s="35" t="s">
        <v>153</v>
      </c>
      <c r="CJ6" s="35" t="s">
        <v>153</v>
      </c>
      <c r="CK6" s="35" t="s">
        <v>153</v>
      </c>
      <c r="CL6" s="134" t="s">
        <v>153</v>
      </c>
      <c r="CM6" s="134" t="s">
        <v>153</v>
      </c>
      <c r="CN6" s="134" t="s">
        <v>153</v>
      </c>
      <c r="CO6" s="132" t="str">
        <f t="shared" si="38"/>
        <v/>
      </c>
      <c r="CP6" s="134" t="s">
        <v>153</v>
      </c>
      <c r="CQ6" s="134" t="s">
        <v>153</v>
      </c>
      <c r="CR6" s="134" t="s">
        <v>153</v>
      </c>
      <c r="CS6" s="27" t="str">
        <f t="shared" si="13"/>
        <v/>
      </c>
      <c r="CT6" s="35" t="s">
        <v>153</v>
      </c>
      <c r="CU6" s="35" t="s">
        <v>153</v>
      </c>
      <c r="CV6" s="36" t="s">
        <v>153</v>
      </c>
      <c r="CW6" s="36" t="s">
        <v>153</v>
      </c>
      <c r="CX6" s="36" t="s">
        <v>153</v>
      </c>
      <c r="CY6" s="36" t="s">
        <v>153</v>
      </c>
      <c r="CZ6" s="135" t="s">
        <v>153</v>
      </c>
      <c r="DA6" s="135" t="s">
        <v>153</v>
      </c>
      <c r="DB6" s="135" t="s">
        <v>153</v>
      </c>
      <c r="DC6" s="132" t="str">
        <f t="shared" si="39"/>
        <v/>
      </c>
      <c r="DD6" s="135" t="s">
        <v>153</v>
      </c>
      <c r="DE6" s="135" t="s">
        <v>153</v>
      </c>
      <c r="DF6" s="135" t="s">
        <v>153</v>
      </c>
      <c r="DG6" s="27" t="str">
        <f t="shared" si="15"/>
        <v/>
      </c>
      <c r="DH6" s="36" t="s">
        <v>153</v>
      </c>
      <c r="DI6" s="36" t="s">
        <v>153</v>
      </c>
      <c r="DJ6" s="128">
        <f t="shared" si="40"/>
        <v>3</v>
      </c>
      <c r="DK6" s="128" t="str">
        <f t="shared" si="41"/>
        <v>3-3</v>
      </c>
      <c r="DL6" s="128" t="str">
        <f t="shared" si="42"/>
        <v>CHUNG</v>
      </c>
      <c r="DM6" s="128" t="str">
        <f t="shared" si="43"/>
        <v>CHUNG</v>
      </c>
      <c r="DN6" s="128" t="str">
        <f t="shared" si="44"/>
        <v>KHÁC</v>
      </c>
      <c r="DO6" s="128" t="str">
        <f t="shared" si="45"/>
        <v>KHÁC</v>
      </c>
      <c r="DP6" s="128" t="str">
        <f t="shared" si="46"/>
        <v>KHÁC</v>
      </c>
      <c r="DQ6" s="128">
        <f t="shared" si="47"/>
        <v>3</v>
      </c>
      <c r="DR6" s="136" t="s">
        <v>70</v>
      </c>
      <c r="DS6" s="137" t="b">
        <f t="shared" si="48"/>
        <v>1</v>
      </c>
      <c r="DT6" s="137" t="b">
        <f t="shared" si="49"/>
        <v>1</v>
      </c>
      <c r="DU6" s="137" t="b">
        <f t="shared" si="50"/>
        <v>1</v>
      </c>
      <c r="DV6" s="128" t="b">
        <f t="shared" si="51"/>
        <v>1</v>
      </c>
      <c r="DW6" s="128" t="b">
        <f t="shared" si="52"/>
        <v>1</v>
      </c>
      <c r="DX6" s="128" t="s">
        <v>70</v>
      </c>
      <c r="DY6" s="128" t="s">
        <v>900</v>
      </c>
      <c r="DZ6" s="128" t="s">
        <v>153</v>
      </c>
      <c r="EA6" s="202" t="s">
        <v>70</v>
      </c>
      <c r="EB6" s="202">
        <v>18</v>
      </c>
      <c r="EC6" s="165"/>
      <c r="ED6" s="165"/>
      <c r="EE6" s="165"/>
      <c r="EF6" s="37" t="str">
        <f t="shared" si="53"/>
        <v>No</v>
      </c>
      <c r="EG6" s="37">
        <f t="shared" si="54"/>
        <v>3</v>
      </c>
      <c r="EH6" s="37">
        <f t="shared" si="55"/>
        <v>0</v>
      </c>
      <c r="EI6" s="37" t="str">
        <f t="shared" si="56"/>
        <v>No</v>
      </c>
    </row>
    <row r="7" spans="1:139" ht="47.25">
      <c r="A7" s="53">
        <v>6</v>
      </c>
      <c r="B7" s="26">
        <v>3</v>
      </c>
      <c r="C7" s="37">
        <v>6</v>
      </c>
      <c r="D7" s="221">
        <v>1802426</v>
      </c>
      <c r="E7" s="200" t="s">
        <v>649</v>
      </c>
      <c r="F7" s="54" t="s">
        <v>650</v>
      </c>
      <c r="G7" s="28" t="s">
        <v>700</v>
      </c>
      <c r="H7" s="27" t="s">
        <v>652</v>
      </c>
      <c r="I7" s="27" t="s">
        <v>701</v>
      </c>
      <c r="J7" s="27" t="s">
        <v>702</v>
      </c>
      <c r="K7" s="128" t="s">
        <v>703</v>
      </c>
      <c r="L7" s="130">
        <v>43497</v>
      </c>
      <c r="M7" s="130">
        <v>43486</v>
      </c>
      <c r="N7" s="29" t="str">
        <f t="shared" si="31"/>
        <v>B00461130219TG05</v>
      </c>
      <c r="O7" s="82">
        <v>461</v>
      </c>
      <c r="P7" s="30" t="str">
        <f t="shared" si="1"/>
        <v>130219</v>
      </c>
      <c r="Q7" s="29" t="s">
        <v>223</v>
      </c>
      <c r="R7" s="30" t="str">
        <f t="shared" si="32"/>
        <v>13/02/2019</v>
      </c>
      <c r="S7" s="30" t="str">
        <f t="shared" si="33"/>
        <v>13/02/2024</v>
      </c>
      <c r="T7" s="140" t="s">
        <v>952</v>
      </c>
      <c r="U7" s="140" t="s">
        <v>953</v>
      </c>
      <c r="V7" s="27">
        <v>3</v>
      </c>
      <c r="W7" s="27" t="s">
        <v>70</v>
      </c>
      <c r="X7" s="31" t="s">
        <v>650</v>
      </c>
      <c r="Y7" s="31" t="s">
        <v>915</v>
      </c>
      <c r="Z7" s="31" t="s">
        <v>903</v>
      </c>
      <c r="AA7" s="31">
        <v>3</v>
      </c>
      <c r="AB7" s="131" t="s">
        <v>401</v>
      </c>
      <c r="AC7" s="131" t="s">
        <v>401</v>
      </c>
      <c r="AD7" s="131" t="s">
        <v>401</v>
      </c>
      <c r="AE7" s="131"/>
      <c r="AF7" s="132" t="str">
        <f t="shared" si="34"/>
        <v>2/2/2</v>
      </c>
      <c r="AG7" s="131">
        <v>41.7</v>
      </c>
      <c r="AH7" s="131">
        <v>41.7</v>
      </c>
      <c r="AI7" s="131">
        <v>41.7</v>
      </c>
      <c r="AJ7" s="131"/>
      <c r="AK7" s="27" t="str">
        <f t="shared" si="5"/>
        <v>41,7W/ 41,7W/ 41,7W</v>
      </c>
      <c r="AL7" s="31" t="s">
        <v>908</v>
      </c>
      <c r="AM7" s="31" t="s">
        <v>680</v>
      </c>
      <c r="AN7" s="32" t="s">
        <v>650</v>
      </c>
      <c r="AO7" s="32" t="s">
        <v>915</v>
      </c>
      <c r="AP7" s="32" t="s">
        <v>657</v>
      </c>
      <c r="AQ7" s="32">
        <v>3</v>
      </c>
      <c r="AR7" s="133" t="s">
        <v>401</v>
      </c>
      <c r="AS7" s="133" t="s">
        <v>401</v>
      </c>
      <c r="AT7" s="133" t="s">
        <v>401</v>
      </c>
      <c r="AU7" s="133"/>
      <c r="AV7" s="132" t="str">
        <f t="shared" si="35"/>
        <v>2/2/2</v>
      </c>
      <c r="AW7" s="133" t="s">
        <v>901</v>
      </c>
      <c r="AX7" s="133" t="s">
        <v>901</v>
      </c>
      <c r="AY7" s="133" t="s">
        <v>901</v>
      </c>
      <c r="AZ7" s="133"/>
      <c r="BA7" s="27" t="str">
        <f t="shared" si="7"/>
        <v>40W/ 40W/ 40W</v>
      </c>
      <c r="BB7" s="32" t="s">
        <v>659</v>
      </c>
      <c r="BC7" s="32" t="s">
        <v>916</v>
      </c>
      <c r="BD7" s="129" t="s">
        <v>650</v>
      </c>
      <c r="BE7" s="129" t="s">
        <v>915</v>
      </c>
      <c r="BF7" s="129" t="s">
        <v>910</v>
      </c>
      <c r="BG7" s="129">
        <v>3</v>
      </c>
      <c r="BH7" s="129" t="s">
        <v>911</v>
      </c>
      <c r="BI7" s="129" t="s">
        <v>911</v>
      </c>
      <c r="BJ7" s="129" t="s">
        <v>911</v>
      </c>
      <c r="BK7" s="129"/>
      <c r="BL7" s="132" t="str">
        <f t="shared" si="36"/>
        <v>1/1/1</v>
      </c>
      <c r="BM7" s="129" t="s">
        <v>901</v>
      </c>
      <c r="BN7" s="129" t="s">
        <v>901</v>
      </c>
      <c r="BO7" s="129" t="s">
        <v>901</v>
      </c>
      <c r="BP7" s="129"/>
      <c r="BQ7" s="27" t="str">
        <f t="shared" si="9"/>
        <v>40W/ 40W/ 40W</v>
      </c>
      <c r="BR7" s="129" t="s">
        <v>912</v>
      </c>
      <c r="BS7" s="129" t="s">
        <v>916</v>
      </c>
      <c r="BT7" s="33" t="s">
        <v>153</v>
      </c>
      <c r="BU7" s="33" t="s">
        <v>153</v>
      </c>
      <c r="BV7" s="33" t="s">
        <v>153</v>
      </c>
      <c r="BW7" s="33" t="s">
        <v>153</v>
      </c>
      <c r="BX7" s="34" t="s">
        <v>153</v>
      </c>
      <c r="BY7" s="34" t="s">
        <v>153</v>
      </c>
      <c r="BZ7" s="34" t="s">
        <v>153</v>
      </c>
      <c r="CA7" s="132" t="str">
        <f t="shared" si="37"/>
        <v/>
      </c>
      <c r="CB7" s="34" t="s">
        <v>153</v>
      </c>
      <c r="CC7" s="34" t="s">
        <v>153</v>
      </c>
      <c r="CD7" s="34" t="s">
        <v>153</v>
      </c>
      <c r="CE7" s="27" t="str">
        <f t="shared" si="11"/>
        <v/>
      </c>
      <c r="CF7" s="33" t="s">
        <v>153</v>
      </c>
      <c r="CG7" s="33" t="s">
        <v>153</v>
      </c>
      <c r="CH7" s="35" t="s">
        <v>153</v>
      </c>
      <c r="CI7" s="35" t="s">
        <v>153</v>
      </c>
      <c r="CJ7" s="35" t="s">
        <v>153</v>
      </c>
      <c r="CK7" s="35" t="s">
        <v>153</v>
      </c>
      <c r="CL7" s="134" t="s">
        <v>153</v>
      </c>
      <c r="CM7" s="134" t="s">
        <v>153</v>
      </c>
      <c r="CN7" s="134" t="s">
        <v>153</v>
      </c>
      <c r="CO7" s="132" t="str">
        <f t="shared" si="38"/>
        <v/>
      </c>
      <c r="CP7" s="134" t="s">
        <v>153</v>
      </c>
      <c r="CQ7" s="134" t="s">
        <v>153</v>
      </c>
      <c r="CR7" s="134" t="s">
        <v>153</v>
      </c>
      <c r="CS7" s="27" t="str">
        <f t="shared" si="13"/>
        <v/>
      </c>
      <c r="CT7" s="35" t="s">
        <v>153</v>
      </c>
      <c r="CU7" s="35" t="s">
        <v>153</v>
      </c>
      <c r="CV7" s="36" t="s">
        <v>153</v>
      </c>
      <c r="CW7" s="36" t="s">
        <v>153</v>
      </c>
      <c r="CX7" s="36" t="s">
        <v>153</v>
      </c>
      <c r="CY7" s="36" t="s">
        <v>153</v>
      </c>
      <c r="CZ7" s="135" t="s">
        <v>153</v>
      </c>
      <c r="DA7" s="135" t="s">
        <v>153</v>
      </c>
      <c r="DB7" s="135" t="s">
        <v>153</v>
      </c>
      <c r="DC7" s="132" t="str">
        <f t="shared" si="39"/>
        <v/>
      </c>
      <c r="DD7" s="135" t="s">
        <v>153</v>
      </c>
      <c r="DE7" s="135" t="s">
        <v>153</v>
      </c>
      <c r="DF7" s="135" t="s">
        <v>153</v>
      </c>
      <c r="DG7" s="27" t="str">
        <f t="shared" si="15"/>
        <v/>
      </c>
      <c r="DH7" s="36" t="s">
        <v>153</v>
      </c>
      <c r="DI7" s="36" t="s">
        <v>153</v>
      </c>
      <c r="DJ7" s="128">
        <f t="shared" si="40"/>
        <v>3</v>
      </c>
      <c r="DK7" s="128" t="str">
        <f t="shared" si="41"/>
        <v>3-3</v>
      </c>
      <c r="DL7" s="128" t="str">
        <f t="shared" si="42"/>
        <v>CHUNG</v>
      </c>
      <c r="DM7" s="128" t="str">
        <f t="shared" si="43"/>
        <v>CHUNG</v>
      </c>
      <c r="DN7" s="128" t="str">
        <f t="shared" si="44"/>
        <v>KHÁC</v>
      </c>
      <c r="DO7" s="128" t="str">
        <f t="shared" si="45"/>
        <v>KHÁC</v>
      </c>
      <c r="DP7" s="128" t="str">
        <f t="shared" si="46"/>
        <v>KHÁC</v>
      </c>
      <c r="DQ7" s="128">
        <f t="shared" si="47"/>
        <v>3</v>
      </c>
      <c r="DR7" s="136" t="s">
        <v>70</v>
      </c>
      <c r="DS7" s="137" t="b">
        <f t="shared" si="48"/>
        <v>1</v>
      </c>
      <c r="DT7" s="137" t="b">
        <f t="shared" si="49"/>
        <v>1</v>
      </c>
      <c r="DU7" s="137" t="b">
        <f t="shared" si="50"/>
        <v>1</v>
      </c>
      <c r="DV7" s="128" t="b">
        <f t="shared" si="51"/>
        <v>1</v>
      </c>
      <c r="DW7" s="128" t="b">
        <f t="shared" si="52"/>
        <v>1</v>
      </c>
      <c r="DX7" s="128" t="s">
        <v>70</v>
      </c>
      <c r="DY7" s="128" t="s">
        <v>70</v>
      </c>
      <c r="DZ7" s="128">
        <v>35</v>
      </c>
      <c r="EA7" s="202" t="s">
        <v>70</v>
      </c>
      <c r="EB7" s="202">
        <v>24.5</v>
      </c>
      <c r="EC7" s="165"/>
      <c r="ED7" s="165"/>
      <c r="EE7" s="165"/>
      <c r="EF7" s="37" t="str">
        <f t="shared" si="53"/>
        <v>No</v>
      </c>
      <c r="EG7" s="37">
        <f t="shared" si="54"/>
        <v>3</v>
      </c>
      <c r="EH7" s="37">
        <f t="shared" si="55"/>
        <v>0</v>
      </c>
      <c r="EI7" s="37" t="str">
        <f t="shared" si="56"/>
        <v>No</v>
      </c>
    </row>
    <row r="8" spans="1:139" ht="47.25">
      <c r="A8" s="53">
        <v>7</v>
      </c>
      <c r="B8" s="26">
        <v>3</v>
      </c>
      <c r="C8" s="37">
        <v>7</v>
      </c>
      <c r="D8" s="221">
        <v>1802427</v>
      </c>
      <c r="E8" s="200" t="s">
        <v>649</v>
      </c>
      <c r="F8" s="54" t="s">
        <v>650</v>
      </c>
      <c r="G8" s="28" t="s">
        <v>706</v>
      </c>
      <c r="H8" s="27" t="s">
        <v>652</v>
      </c>
      <c r="I8" s="27" t="s">
        <v>707</v>
      </c>
      <c r="J8" s="27" t="s">
        <v>708</v>
      </c>
      <c r="K8" s="128" t="s">
        <v>709</v>
      </c>
      <c r="L8" s="130">
        <v>43497</v>
      </c>
      <c r="M8" s="130">
        <v>43486</v>
      </c>
      <c r="N8" s="29" t="str">
        <f t="shared" si="31"/>
        <v>B00462130219TG05</v>
      </c>
      <c r="O8" s="82">
        <v>462</v>
      </c>
      <c r="P8" s="30" t="str">
        <f t="shared" si="1"/>
        <v>130219</v>
      </c>
      <c r="Q8" s="29" t="s">
        <v>223</v>
      </c>
      <c r="R8" s="30" t="str">
        <f t="shared" si="32"/>
        <v>13/02/2019</v>
      </c>
      <c r="S8" s="30" t="str">
        <f t="shared" si="33"/>
        <v>13/02/2024</v>
      </c>
      <c r="T8" s="140" t="s">
        <v>952</v>
      </c>
      <c r="U8" s="140" t="s">
        <v>953</v>
      </c>
      <c r="V8" s="27">
        <v>3</v>
      </c>
      <c r="W8" s="27" t="s">
        <v>900</v>
      </c>
      <c r="X8" s="31" t="s">
        <v>650</v>
      </c>
      <c r="Y8" s="31" t="s">
        <v>917</v>
      </c>
      <c r="Z8" s="31" t="s">
        <v>903</v>
      </c>
      <c r="AA8" s="31">
        <v>3</v>
      </c>
      <c r="AB8" s="131" t="s">
        <v>401</v>
      </c>
      <c r="AC8" s="131" t="s">
        <v>401</v>
      </c>
      <c r="AD8" s="131" t="s">
        <v>401</v>
      </c>
      <c r="AE8" s="131"/>
      <c r="AF8" s="132" t="str">
        <f t="shared" si="34"/>
        <v>2/2/2</v>
      </c>
      <c r="AG8" s="131">
        <v>41.7</v>
      </c>
      <c r="AH8" s="131">
        <v>41.7</v>
      </c>
      <c r="AI8" s="131">
        <v>41.7</v>
      </c>
      <c r="AJ8" s="131"/>
      <c r="AK8" s="27" t="str">
        <f t="shared" si="5"/>
        <v>41,7W/ 41,7W/ 41,7W</v>
      </c>
      <c r="AL8" s="31" t="s">
        <v>908</v>
      </c>
      <c r="AM8" s="31" t="s">
        <v>918</v>
      </c>
      <c r="AN8" s="32" t="s">
        <v>650</v>
      </c>
      <c r="AO8" s="32" t="s">
        <v>917</v>
      </c>
      <c r="AP8" s="32" t="s">
        <v>657</v>
      </c>
      <c r="AQ8" s="32">
        <v>3</v>
      </c>
      <c r="AR8" s="133" t="s">
        <v>401</v>
      </c>
      <c r="AS8" s="133" t="s">
        <v>401</v>
      </c>
      <c r="AT8" s="133" t="s">
        <v>401</v>
      </c>
      <c r="AU8" s="133"/>
      <c r="AV8" s="132" t="str">
        <f t="shared" si="35"/>
        <v>2/2/2</v>
      </c>
      <c r="AW8" s="133" t="s">
        <v>901</v>
      </c>
      <c r="AX8" s="133" t="s">
        <v>901</v>
      </c>
      <c r="AY8" s="133" t="s">
        <v>901</v>
      </c>
      <c r="AZ8" s="133"/>
      <c r="BA8" s="27" t="str">
        <f t="shared" si="7"/>
        <v>40W/ 40W/ 40W</v>
      </c>
      <c r="BB8" s="32" t="s">
        <v>659</v>
      </c>
      <c r="BC8" s="32" t="s">
        <v>680</v>
      </c>
      <c r="BD8" s="129" t="s">
        <v>650</v>
      </c>
      <c r="BE8" s="129" t="s">
        <v>917</v>
      </c>
      <c r="BF8" s="129" t="s">
        <v>910</v>
      </c>
      <c r="BG8" s="129">
        <v>3</v>
      </c>
      <c r="BH8" s="129" t="s">
        <v>911</v>
      </c>
      <c r="BI8" s="129" t="s">
        <v>911</v>
      </c>
      <c r="BJ8" s="129" t="s">
        <v>911</v>
      </c>
      <c r="BK8" s="129"/>
      <c r="BL8" s="132" t="str">
        <f t="shared" si="36"/>
        <v>1/1/1</v>
      </c>
      <c r="BM8" s="129" t="s">
        <v>901</v>
      </c>
      <c r="BN8" s="129" t="s">
        <v>901</v>
      </c>
      <c r="BO8" s="129" t="s">
        <v>901</v>
      </c>
      <c r="BP8" s="129"/>
      <c r="BQ8" s="27" t="str">
        <f t="shared" si="9"/>
        <v>40W/ 40W/ 40W</v>
      </c>
      <c r="BR8" s="129" t="s">
        <v>912</v>
      </c>
      <c r="BS8" s="129" t="s">
        <v>680</v>
      </c>
      <c r="BT8" s="33" t="s">
        <v>153</v>
      </c>
      <c r="BU8" s="33" t="s">
        <v>153</v>
      </c>
      <c r="BV8" s="33" t="s">
        <v>153</v>
      </c>
      <c r="BW8" s="33" t="s">
        <v>153</v>
      </c>
      <c r="BX8" s="34" t="s">
        <v>153</v>
      </c>
      <c r="BY8" s="34" t="s">
        <v>153</v>
      </c>
      <c r="BZ8" s="34" t="s">
        <v>153</v>
      </c>
      <c r="CA8" s="132" t="str">
        <f t="shared" si="37"/>
        <v/>
      </c>
      <c r="CB8" s="34" t="s">
        <v>153</v>
      </c>
      <c r="CC8" s="34" t="s">
        <v>153</v>
      </c>
      <c r="CD8" s="34" t="s">
        <v>153</v>
      </c>
      <c r="CE8" s="27" t="str">
        <f t="shared" si="11"/>
        <v/>
      </c>
      <c r="CF8" s="33" t="s">
        <v>153</v>
      </c>
      <c r="CG8" s="33" t="s">
        <v>153</v>
      </c>
      <c r="CH8" s="35" t="s">
        <v>153</v>
      </c>
      <c r="CI8" s="35" t="s">
        <v>153</v>
      </c>
      <c r="CJ8" s="35" t="s">
        <v>153</v>
      </c>
      <c r="CK8" s="35" t="s">
        <v>153</v>
      </c>
      <c r="CL8" s="134" t="s">
        <v>153</v>
      </c>
      <c r="CM8" s="134" t="s">
        <v>153</v>
      </c>
      <c r="CN8" s="134" t="s">
        <v>153</v>
      </c>
      <c r="CO8" s="132" t="str">
        <f t="shared" si="38"/>
        <v/>
      </c>
      <c r="CP8" s="134" t="s">
        <v>153</v>
      </c>
      <c r="CQ8" s="134" t="s">
        <v>153</v>
      </c>
      <c r="CR8" s="134" t="s">
        <v>153</v>
      </c>
      <c r="CS8" s="27" t="str">
        <f t="shared" si="13"/>
        <v/>
      </c>
      <c r="CT8" s="35" t="s">
        <v>153</v>
      </c>
      <c r="CU8" s="35" t="s">
        <v>153</v>
      </c>
      <c r="CV8" s="36" t="s">
        <v>153</v>
      </c>
      <c r="CW8" s="36" t="s">
        <v>153</v>
      </c>
      <c r="CX8" s="36" t="s">
        <v>153</v>
      </c>
      <c r="CY8" s="36" t="s">
        <v>153</v>
      </c>
      <c r="CZ8" s="135" t="s">
        <v>153</v>
      </c>
      <c r="DA8" s="135" t="s">
        <v>153</v>
      </c>
      <c r="DB8" s="135" t="s">
        <v>153</v>
      </c>
      <c r="DC8" s="132" t="str">
        <f t="shared" si="39"/>
        <v/>
      </c>
      <c r="DD8" s="135" t="s">
        <v>153</v>
      </c>
      <c r="DE8" s="135" t="s">
        <v>153</v>
      </c>
      <c r="DF8" s="135" t="s">
        <v>153</v>
      </c>
      <c r="DG8" s="27" t="str">
        <f t="shared" si="15"/>
        <v/>
      </c>
      <c r="DH8" s="36" t="s">
        <v>153</v>
      </c>
      <c r="DI8" s="36" t="s">
        <v>153</v>
      </c>
      <c r="DJ8" s="128">
        <f t="shared" si="40"/>
        <v>3</v>
      </c>
      <c r="DK8" s="128" t="str">
        <f t="shared" si="41"/>
        <v>3-3</v>
      </c>
      <c r="DL8" s="128" t="str">
        <f t="shared" si="42"/>
        <v>CHUNG</v>
      </c>
      <c r="DM8" s="128" t="str">
        <f t="shared" si="43"/>
        <v>CHUNG</v>
      </c>
      <c r="DN8" s="128" t="str">
        <f t="shared" si="44"/>
        <v>KHÁC</v>
      </c>
      <c r="DO8" s="128" t="str">
        <f t="shared" si="45"/>
        <v>KHÁC</v>
      </c>
      <c r="DP8" s="128" t="str">
        <f t="shared" si="46"/>
        <v>KHÁC</v>
      </c>
      <c r="DQ8" s="128">
        <f t="shared" si="47"/>
        <v>3</v>
      </c>
      <c r="DR8" s="136" t="s">
        <v>70</v>
      </c>
      <c r="DS8" s="137" t="b">
        <f t="shared" si="48"/>
        <v>1</v>
      </c>
      <c r="DT8" s="137" t="b">
        <f t="shared" si="49"/>
        <v>1</v>
      </c>
      <c r="DU8" s="137" t="b">
        <f t="shared" si="50"/>
        <v>1</v>
      </c>
      <c r="DV8" s="128" t="b">
        <f t="shared" si="51"/>
        <v>1</v>
      </c>
      <c r="DW8" s="128" t="b">
        <f t="shared" si="52"/>
        <v>1</v>
      </c>
      <c r="DX8" s="128" t="s">
        <v>70</v>
      </c>
      <c r="DY8" s="128" t="s">
        <v>900</v>
      </c>
      <c r="DZ8" s="128" t="s">
        <v>153</v>
      </c>
      <c r="EA8" s="202" t="s">
        <v>70</v>
      </c>
      <c r="EB8" s="202">
        <v>7</v>
      </c>
      <c r="EC8" s="165"/>
      <c r="ED8" s="165"/>
      <c r="EE8" s="165"/>
      <c r="EF8" s="37" t="str">
        <f t="shared" si="53"/>
        <v>No</v>
      </c>
      <c r="EG8" s="37">
        <f t="shared" si="54"/>
        <v>3</v>
      </c>
      <c r="EH8" s="37">
        <f t="shared" si="55"/>
        <v>0</v>
      </c>
      <c r="EI8" s="37" t="str">
        <f t="shared" si="56"/>
        <v>No</v>
      </c>
    </row>
    <row r="9" spans="1:139" ht="47.25">
      <c r="A9" s="53">
        <v>8</v>
      </c>
      <c r="B9" s="26">
        <v>3</v>
      </c>
      <c r="C9" s="37">
        <v>8</v>
      </c>
      <c r="D9" s="221">
        <v>1802428</v>
      </c>
      <c r="E9" s="200" t="s">
        <v>649</v>
      </c>
      <c r="F9" s="54" t="s">
        <v>650</v>
      </c>
      <c r="G9" s="28" t="s">
        <v>712</v>
      </c>
      <c r="H9" s="27" t="s">
        <v>652</v>
      </c>
      <c r="I9" s="27" t="s">
        <v>713</v>
      </c>
      <c r="J9" s="27" t="s">
        <v>714</v>
      </c>
      <c r="K9" s="128" t="s">
        <v>715</v>
      </c>
      <c r="L9" s="130">
        <v>43497</v>
      </c>
      <c r="M9" s="130">
        <v>43487</v>
      </c>
      <c r="N9" s="29" t="str">
        <f t="shared" si="31"/>
        <v>B00463130219TG05</v>
      </c>
      <c r="O9" s="82">
        <v>463</v>
      </c>
      <c r="P9" s="30" t="str">
        <f t="shared" si="1"/>
        <v>130219</v>
      </c>
      <c r="Q9" s="29" t="s">
        <v>223</v>
      </c>
      <c r="R9" s="30" t="str">
        <f t="shared" si="32"/>
        <v>13/02/2019</v>
      </c>
      <c r="S9" s="30" t="str">
        <f t="shared" si="33"/>
        <v>13/02/2024</v>
      </c>
      <c r="T9" s="140" t="s">
        <v>952</v>
      </c>
      <c r="U9" s="140" t="s">
        <v>953</v>
      </c>
      <c r="V9" s="27">
        <v>3</v>
      </c>
      <c r="W9" s="27" t="s">
        <v>900</v>
      </c>
      <c r="X9" s="31" t="s">
        <v>650</v>
      </c>
      <c r="Y9" s="31" t="s">
        <v>919</v>
      </c>
      <c r="Z9" s="31" t="s">
        <v>903</v>
      </c>
      <c r="AA9" s="31">
        <v>3</v>
      </c>
      <c r="AB9" s="131" t="s">
        <v>401</v>
      </c>
      <c r="AC9" s="131" t="s">
        <v>401</v>
      </c>
      <c r="AD9" s="131" t="s">
        <v>401</v>
      </c>
      <c r="AE9" s="131"/>
      <c r="AF9" s="132" t="str">
        <f t="shared" si="34"/>
        <v>2/2/2</v>
      </c>
      <c r="AG9" s="131">
        <v>41.7</v>
      </c>
      <c r="AH9" s="131">
        <v>41.7</v>
      </c>
      <c r="AI9" s="131">
        <v>41.7</v>
      </c>
      <c r="AJ9" s="131"/>
      <c r="AK9" s="27" t="str">
        <f t="shared" si="5"/>
        <v>41,7W/ 41,7W/ 41,7W</v>
      </c>
      <c r="AL9" s="31" t="s">
        <v>908</v>
      </c>
      <c r="AM9" s="31" t="s">
        <v>920</v>
      </c>
      <c r="AN9" s="32" t="s">
        <v>650</v>
      </c>
      <c r="AO9" s="32" t="s">
        <v>919</v>
      </c>
      <c r="AP9" s="32" t="s">
        <v>657</v>
      </c>
      <c r="AQ9" s="32">
        <v>3</v>
      </c>
      <c r="AR9" s="133" t="s">
        <v>401</v>
      </c>
      <c r="AS9" s="133" t="s">
        <v>401</v>
      </c>
      <c r="AT9" s="133" t="s">
        <v>401</v>
      </c>
      <c r="AU9" s="133"/>
      <c r="AV9" s="132" t="str">
        <f t="shared" si="35"/>
        <v>2/2/2</v>
      </c>
      <c r="AW9" s="133" t="s">
        <v>901</v>
      </c>
      <c r="AX9" s="133" t="s">
        <v>901</v>
      </c>
      <c r="AY9" s="133" t="s">
        <v>901</v>
      </c>
      <c r="AZ9" s="133"/>
      <c r="BA9" s="27" t="str">
        <f t="shared" si="7"/>
        <v>40W/ 40W/ 40W</v>
      </c>
      <c r="BB9" s="32" t="s">
        <v>659</v>
      </c>
      <c r="BC9" s="32" t="s">
        <v>918</v>
      </c>
      <c r="BD9" s="129" t="s">
        <v>650</v>
      </c>
      <c r="BE9" s="129" t="s">
        <v>919</v>
      </c>
      <c r="BF9" s="129" t="s">
        <v>910</v>
      </c>
      <c r="BG9" s="129">
        <v>3</v>
      </c>
      <c r="BH9" s="129" t="s">
        <v>911</v>
      </c>
      <c r="BI9" s="129" t="s">
        <v>911</v>
      </c>
      <c r="BJ9" s="129" t="s">
        <v>911</v>
      </c>
      <c r="BK9" s="129"/>
      <c r="BL9" s="132" t="str">
        <f t="shared" si="36"/>
        <v>1/1/1</v>
      </c>
      <c r="BM9" s="129" t="s">
        <v>901</v>
      </c>
      <c r="BN9" s="129" t="s">
        <v>901</v>
      </c>
      <c r="BO9" s="129" t="s">
        <v>901</v>
      </c>
      <c r="BP9" s="129"/>
      <c r="BQ9" s="27" t="str">
        <f t="shared" si="9"/>
        <v>40W/ 40W/ 40W</v>
      </c>
      <c r="BR9" s="129" t="s">
        <v>912</v>
      </c>
      <c r="BS9" s="129" t="s">
        <v>920</v>
      </c>
      <c r="BT9" s="33" t="s">
        <v>153</v>
      </c>
      <c r="BU9" s="33" t="s">
        <v>153</v>
      </c>
      <c r="BV9" s="33" t="s">
        <v>153</v>
      </c>
      <c r="BW9" s="33" t="s">
        <v>153</v>
      </c>
      <c r="BX9" s="34" t="s">
        <v>153</v>
      </c>
      <c r="BY9" s="34" t="s">
        <v>153</v>
      </c>
      <c r="BZ9" s="34" t="s">
        <v>153</v>
      </c>
      <c r="CA9" s="132" t="str">
        <f t="shared" si="37"/>
        <v/>
      </c>
      <c r="CB9" s="34" t="s">
        <v>153</v>
      </c>
      <c r="CC9" s="34" t="s">
        <v>153</v>
      </c>
      <c r="CD9" s="34" t="s">
        <v>153</v>
      </c>
      <c r="CE9" s="27" t="str">
        <f t="shared" si="11"/>
        <v/>
      </c>
      <c r="CF9" s="33" t="s">
        <v>153</v>
      </c>
      <c r="CG9" s="33" t="s">
        <v>153</v>
      </c>
      <c r="CH9" s="35" t="s">
        <v>153</v>
      </c>
      <c r="CI9" s="35" t="s">
        <v>153</v>
      </c>
      <c r="CJ9" s="35" t="s">
        <v>153</v>
      </c>
      <c r="CK9" s="35" t="s">
        <v>153</v>
      </c>
      <c r="CL9" s="134" t="s">
        <v>153</v>
      </c>
      <c r="CM9" s="134" t="s">
        <v>153</v>
      </c>
      <c r="CN9" s="134" t="s">
        <v>153</v>
      </c>
      <c r="CO9" s="132" t="str">
        <f t="shared" si="38"/>
        <v/>
      </c>
      <c r="CP9" s="134" t="s">
        <v>153</v>
      </c>
      <c r="CQ9" s="134" t="s">
        <v>153</v>
      </c>
      <c r="CR9" s="134" t="s">
        <v>153</v>
      </c>
      <c r="CS9" s="27" t="str">
        <f t="shared" si="13"/>
        <v/>
      </c>
      <c r="CT9" s="35" t="s">
        <v>153</v>
      </c>
      <c r="CU9" s="35" t="s">
        <v>153</v>
      </c>
      <c r="CV9" s="36" t="s">
        <v>153</v>
      </c>
      <c r="CW9" s="36" t="s">
        <v>153</v>
      </c>
      <c r="CX9" s="36" t="s">
        <v>153</v>
      </c>
      <c r="CY9" s="36" t="s">
        <v>153</v>
      </c>
      <c r="CZ9" s="135" t="s">
        <v>153</v>
      </c>
      <c r="DA9" s="135" t="s">
        <v>153</v>
      </c>
      <c r="DB9" s="135" t="s">
        <v>153</v>
      </c>
      <c r="DC9" s="132" t="str">
        <f t="shared" si="39"/>
        <v/>
      </c>
      <c r="DD9" s="135" t="s">
        <v>153</v>
      </c>
      <c r="DE9" s="135" t="s">
        <v>153</v>
      </c>
      <c r="DF9" s="135" t="s">
        <v>153</v>
      </c>
      <c r="DG9" s="27" t="str">
        <f t="shared" si="15"/>
        <v/>
      </c>
      <c r="DH9" s="36" t="s">
        <v>153</v>
      </c>
      <c r="DI9" s="36" t="s">
        <v>153</v>
      </c>
      <c r="DJ9" s="128">
        <f t="shared" si="40"/>
        <v>3</v>
      </c>
      <c r="DK9" s="128" t="str">
        <f t="shared" si="41"/>
        <v>3-3</v>
      </c>
      <c r="DL9" s="128" t="str">
        <f t="shared" si="42"/>
        <v>CHUNG</v>
      </c>
      <c r="DM9" s="128" t="str">
        <f t="shared" si="43"/>
        <v>CHUNG</v>
      </c>
      <c r="DN9" s="128" t="str">
        <f t="shared" si="44"/>
        <v>KHÁC</v>
      </c>
      <c r="DO9" s="128" t="str">
        <f t="shared" si="45"/>
        <v>KHÁC</v>
      </c>
      <c r="DP9" s="128" t="str">
        <f t="shared" si="46"/>
        <v>KHÁC</v>
      </c>
      <c r="DQ9" s="128">
        <f t="shared" si="47"/>
        <v>3</v>
      </c>
      <c r="DR9" s="136" t="s">
        <v>70</v>
      </c>
      <c r="DS9" s="137" t="b">
        <f t="shared" si="48"/>
        <v>1</v>
      </c>
      <c r="DT9" s="137" t="b">
        <f t="shared" si="49"/>
        <v>1</v>
      </c>
      <c r="DU9" s="137" t="b">
        <f t="shared" si="50"/>
        <v>1</v>
      </c>
      <c r="DV9" s="128" t="b">
        <f t="shared" si="51"/>
        <v>1</v>
      </c>
      <c r="DW9" s="128" t="b">
        <f t="shared" si="52"/>
        <v>1</v>
      </c>
      <c r="DX9" s="128" t="s">
        <v>70</v>
      </c>
      <c r="DY9" s="128" t="s">
        <v>900</v>
      </c>
      <c r="DZ9" s="128" t="s">
        <v>153</v>
      </c>
      <c r="EA9" s="202" t="s">
        <v>70</v>
      </c>
      <c r="EB9" s="202">
        <v>24</v>
      </c>
      <c r="EC9" s="165"/>
      <c r="ED9" s="165"/>
      <c r="EE9" s="165"/>
      <c r="EF9" s="37" t="str">
        <f t="shared" si="53"/>
        <v>No</v>
      </c>
      <c r="EG9" s="37">
        <f t="shared" si="54"/>
        <v>3</v>
      </c>
      <c r="EH9" s="37">
        <f t="shared" si="55"/>
        <v>0</v>
      </c>
      <c r="EI9" s="37" t="str">
        <f t="shared" si="56"/>
        <v>No</v>
      </c>
    </row>
    <row r="10" spans="1:139" ht="63">
      <c r="A10" s="53">
        <v>9</v>
      </c>
      <c r="B10" s="26">
        <v>3</v>
      </c>
      <c r="C10" s="37">
        <v>9</v>
      </c>
      <c r="D10" s="221">
        <v>1802429</v>
      </c>
      <c r="E10" s="200" t="s">
        <v>649</v>
      </c>
      <c r="F10" s="54" t="s">
        <v>650</v>
      </c>
      <c r="G10" s="28" t="s">
        <v>718</v>
      </c>
      <c r="H10" s="27" t="s">
        <v>652</v>
      </c>
      <c r="I10" s="27" t="s">
        <v>719</v>
      </c>
      <c r="J10" s="27" t="s">
        <v>720</v>
      </c>
      <c r="K10" s="128" t="s">
        <v>721</v>
      </c>
      <c r="L10" s="130">
        <v>43497</v>
      </c>
      <c r="M10" s="130">
        <v>43487</v>
      </c>
      <c r="N10" s="29" t="str">
        <f t="shared" si="31"/>
        <v>B00464130219TG05</v>
      </c>
      <c r="O10" s="82">
        <v>464</v>
      </c>
      <c r="P10" s="30" t="str">
        <f t="shared" si="1"/>
        <v>130219</v>
      </c>
      <c r="Q10" s="29" t="s">
        <v>223</v>
      </c>
      <c r="R10" s="30" t="str">
        <f t="shared" si="32"/>
        <v>13/02/2019</v>
      </c>
      <c r="S10" s="30" t="str">
        <f t="shared" si="33"/>
        <v>13/02/2024</v>
      </c>
      <c r="T10" s="140" t="s">
        <v>952</v>
      </c>
      <c r="U10" s="140" t="s">
        <v>953</v>
      </c>
      <c r="V10" s="27">
        <v>4</v>
      </c>
      <c r="W10" s="27" t="s">
        <v>900</v>
      </c>
      <c r="X10" s="31" t="s">
        <v>650</v>
      </c>
      <c r="Y10" s="31" t="s">
        <v>921</v>
      </c>
      <c r="Z10" s="31" t="s">
        <v>903</v>
      </c>
      <c r="AA10" s="31">
        <v>3</v>
      </c>
      <c r="AB10" s="131" t="s">
        <v>400</v>
      </c>
      <c r="AC10" s="131" t="s">
        <v>400</v>
      </c>
      <c r="AD10" s="131" t="s">
        <v>400</v>
      </c>
      <c r="AE10" s="131"/>
      <c r="AF10" s="132" t="str">
        <f t="shared" si="34"/>
        <v>4/4/4</v>
      </c>
      <c r="AG10" s="131">
        <v>37.24</v>
      </c>
      <c r="AH10" s="131">
        <v>37.24</v>
      </c>
      <c r="AI10" s="131">
        <v>37.24</v>
      </c>
      <c r="AJ10" s="131"/>
      <c r="AK10" s="27" t="str">
        <f t="shared" si="5"/>
        <v>37,24W/ 37,24W/ 37,24W</v>
      </c>
      <c r="AL10" s="31" t="s">
        <v>904</v>
      </c>
      <c r="AM10" s="31" t="s">
        <v>906</v>
      </c>
      <c r="AN10" s="32" t="s">
        <v>650</v>
      </c>
      <c r="AO10" s="32" t="s">
        <v>921</v>
      </c>
      <c r="AP10" s="32" t="s">
        <v>903</v>
      </c>
      <c r="AQ10" s="32">
        <v>3</v>
      </c>
      <c r="AR10" s="133" t="s">
        <v>400</v>
      </c>
      <c r="AS10" s="133" t="s">
        <v>401</v>
      </c>
      <c r="AT10" s="133" t="s">
        <v>400</v>
      </c>
      <c r="AU10" s="133"/>
      <c r="AV10" s="132" t="str">
        <f t="shared" si="35"/>
        <v>4/2/4</v>
      </c>
      <c r="AW10" s="133">
        <v>37.24</v>
      </c>
      <c r="AX10" s="133">
        <v>41.7</v>
      </c>
      <c r="AY10" s="133">
        <v>37.24</v>
      </c>
      <c r="AZ10" s="133"/>
      <c r="BA10" s="27" t="str">
        <f t="shared" si="7"/>
        <v>37,24W/ 41,7W/ 37,24W</v>
      </c>
      <c r="BB10" s="32" t="s">
        <v>908</v>
      </c>
      <c r="BC10" s="32" t="s">
        <v>922</v>
      </c>
      <c r="BD10" s="129" t="s">
        <v>650</v>
      </c>
      <c r="BE10" s="129" t="s">
        <v>921</v>
      </c>
      <c r="BF10" s="129" t="s">
        <v>657</v>
      </c>
      <c r="BG10" s="129">
        <v>3</v>
      </c>
      <c r="BH10" s="129" t="s">
        <v>401</v>
      </c>
      <c r="BI10" s="129" t="s">
        <v>401</v>
      </c>
      <c r="BJ10" s="129" t="s">
        <v>401</v>
      </c>
      <c r="BK10" s="129"/>
      <c r="BL10" s="132" t="str">
        <f t="shared" si="36"/>
        <v>2/2/2</v>
      </c>
      <c r="BM10" s="129" t="s">
        <v>901</v>
      </c>
      <c r="BN10" s="129" t="s">
        <v>901</v>
      </c>
      <c r="BO10" s="129" t="s">
        <v>901</v>
      </c>
      <c r="BP10" s="129"/>
      <c r="BQ10" s="27" t="str">
        <f t="shared" si="9"/>
        <v>40W/ 40W/ 40W</v>
      </c>
      <c r="BR10" s="129" t="s">
        <v>659</v>
      </c>
      <c r="BS10" s="129" t="s">
        <v>922</v>
      </c>
      <c r="BT10" s="33" t="s">
        <v>650</v>
      </c>
      <c r="BU10" s="33" t="s">
        <v>921</v>
      </c>
      <c r="BV10" s="33" t="s">
        <v>910</v>
      </c>
      <c r="BW10" s="33">
        <v>3</v>
      </c>
      <c r="BX10" s="34" t="s">
        <v>911</v>
      </c>
      <c r="BY10" s="34" t="s">
        <v>911</v>
      </c>
      <c r="BZ10" s="34" t="s">
        <v>911</v>
      </c>
      <c r="CA10" s="132" t="str">
        <f t="shared" si="37"/>
        <v>1/1/1</v>
      </c>
      <c r="CB10" s="34" t="s">
        <v>901</v>
      </c>
      <c r="CC10" s="34" t="s">
        <v>901</v>
      </c>
      <c r="CD10" s="34" t="s">
        <v>901</v>
      </c>
      <c r="CE10" s="27" t="str">
        <f t="shared" si="11"/>
        <v>40,00W/ 40,00W/ 40,00W</v>
      </c>
      <c r="CF10" s="33" t="s">
        <v>912</v>
      </c>
      <c r="CG10" s="33" t="s">
        <v>922</v>
      </c>
      <c r="CH10" s="35" t="s">
        <v>153</v>
      </c>
      <c r="CI10" s="35" t="s">
        <v>153</v>
      </c>
      <c r="CJ10" s="35" t="s">
        <v>153</v>
      </c>
      <c r="CK10" s="35" t="s">
        <v>153</v>
      </c>
      <c r="CL10" s="134" t="s">
        <v>153</v>
      </c>
      <c r="CM10" s="134" t="s">
        <v>153</v>
      </c>
      <c r="CN10" s="134" t="s">
        <v>153</v>
      </c>
      <c r="CO10" s="132" t="str">
        <f t="shared" si="38"/>
        <v/>
      </c>
      <c r="CP10" s="134" t="s">
        <v>153</v>
      </c>
      <c r="CQ10" s="134" t="s">
        <v>153</v>
      </c>
      <c r="CR10" s="134" t="s">
        <v>153</v>
      </c>
      <c r="CS10" s="27" t="str">
        <f t="shared" si="13"/>
        <v/>
      </c>
      <c r="CT10" s="35" t="s">
        <v>153</v>
      </c>
      <c r="CU10" s="35" t="s">
        <v>153</v>
      </c>
      <c r="CV10" s="36" t="s">
        <v>153</v>
      </c>
      <c r="CW10" s="36" t="s">
        <v>153</v>
      </c>
      <c r="CX10" s="36" t="s">
        <v>153</v>
      </c>
      <c r="CY10" s="36" t="s">
        <v>153</v>
      </c>
      <c r="CZ10" s="135" t="s">
        <v>153</v>
      </c>
      <c r="DA10" s="135" t="s">
        <v>153</v>
      </c>
      <c r="DB10" s="135" t="s">
        <v>153</v>
      </c>
      <c r="DC10" s="132" t="str">
        <f t="shared" si="39"/>
        <v/>
      </c>
      <c r="DD10" s="135" t="s">
        <v>153</v>
      </c>
      <c r="DE10" s="135" t="s">
        <v>153</v>
      </c>
      <c r="DF10" s="135" t="s">
        <v>153</v>
      </c>
      <c r="DG10" s="27" t="str">
        <f t="shared" si="15"/>
        <v/>
      </c>
      <c r="DH10" s="36" t="s">
        <v>153</v>
      </c>
      <c r="DI10" s="36" t="s">
        <v>153</v>
      </c>
      <c r="DJ10" s="128">
        <f t="shared" si="40"/>
        <v>4</v>
      </c>
      <c r="DK10" s="128" t="str">
        <f t="shared" si="41"/>
        <v>4-4</v>
      </c>
      <c r="DL10" s="128" t="str">
        <f t="shared" si="42"/>
        <v>CHUNG</v>
      </c>
      <c r="DM10" s="128" t="str">
        <f t="shared" si="43"/>
        <v>CHUNG</v>
      </c>
      <c r="DN10" s="128" t="str">
        <f t="shared" si="44"/>
        <v>CHUNG</v>
      </c>
      <c r="DO10" s="128" t="str">
        <f t="shared" si="45"/>
        <v>KHÁC</v>
      </c>
      <c r="DP10" s="128" t="str">
        <f t="shared" si="46"/>
        <v>KHÁC</v>
      </c>
      <c r="DQ10" s="128">
        <f t="shared" si="47"/>
        <v>4</v>
      </c>
      <c r="DR10" s="136" t="s">
        <v>70</v>
      </c>
      <c r="DS10" s="137" t="b">
        <f t="shared" si="48"/>
        <v>1</v>
      </c>
      <c r="DT10" s="137" t="b">
        <f t="shared" si="49"/>
        <v>1</v>
      </c>
      <c r="DU10" s="137" t="b">
        <f t="shared" si="50"/>
        <v>1</v>
      </c>
      <c r="DV10" s="128" t="b">
        <f t="shared" si="51"/>
        <v>1</v>
      </c>
      <c r="DW10" s="128" t="b">
        <f t="shared" si="52"/>
        <v>1</v>
      </c>
      <c r="DX10" s="128" t="s">
        <v>70</v>
      </c>
      <c r="DY10" s="128" t="s">
        <v>900</v>
      </c>
      <c r="DZ10" s="128" t="s">
        <v>153</v>
      </c>
      <c r="EA10" s="202" t="s">
        <v>70</v>
      </c>
      <c r="EB10" s="202">
        <v>25</v>
      </c>
      <c r="EC10" s="165"/>
      <c r="ED10" s="165"/>
      <c r="EE10" s="165"/>
      <c r="EF10" s="37" t="str">
        <f t="shared" si="53"/>
        <v>No</v>
      </c>
      <c r="EG10" s="37">
        <f t="shared" si="54"/>
        <v>4</v>
      </c>
      <c r="EH10" s="37">
        <f t="shared" si="55"/>
        <v>0</v>
      </c>
      <c r="EI10" s="37" t="str">
        <f t="shared" si="56"/>
        <v>No</v>
      </c>
    </row>
    <row r="11" spans="1:139" ht="47.25">
      <c r="A11" s="53">
        <v>10</v>
      </c>
      <c r="B11" s="26">
        <v>3</v>
      </c>
      <c r="C11" s="37">
        <v>10</v>
      </c>
      <c r="D11" s="221">
        <v>1802430</v>
      </c>
      <c r="E11" s="200" t="s">
        <v>649</v>
      </c>
      <c r="F11" s="54" t="s">
        <v>650</v>
      </c>
      <c r="G11" s="28" t="s">
        <v>730</v>
      </c>
      <c r="H11" s="27" t="s">
        <v>652</v>
      </c>
      <c r="I11" s="27" t="s">
        <v>731</v>
      </c>
      <c r="J11" s="27" t="s">
        <v>732</v>
      </c>
      <c r="K11" s="128" t="s">
        <v>733</v>
      </c>
      <c r="L11" s="130">
        <v>43497</v>
      </c>
      <c r="M11" s="130">
        <v>43487</v>
      </c>
      <c r="N11" s="29" t="str">
        <f t="shared" si="31"/>
        <v>B00465130219TG05</v>
      </c>
      <c r="O11" s="82">
        <v>465</v>
      </c>
      <c r="P11" s="30" t="str">
        <f t="shared" si="1"/>
        <v>130219</v>
      </c>
      <c r="Q11" s="29" t="s">
        <v>223</v>
      </c>
      <c r="R11" s="30" t="str">
        <f t="shared" si="32"/>
        <v>13/02/2019</v>
      </c>
      <c r="S11" s="30" t="str">
        <f t="shared" si="33"/>
        <v>13/02/2024</v>
      </c>
      <c r="T11" s="140" t="s">
        <v>952</v>
      </c>
      <c r="U11" s="140" t="s">
        <v>953</v>
      </c>
      <c r="V11" s="27">
        <v>3</v>
      </c>
      <c r="W11" s="27" t="s">
        <v>900</v>
      </c>
      <c r="X11" s="31" t="s">
        <v>650</v>
      </c>
      <c r="Y11" s="31" t="s">
        <v>923</v>
      </c>
      <c r="Z11" s="31" t="s">
        <v>903</v>
      </c>
      <c r="AA11" s="31">
        <v>3</v>
      </c>
      <c r="AB11" s="131" t="s">
        <v>401</v>
      </c>
      <c r="AC11" s="131" t="s">
        <v>401</v>
      </c>
      <c r="AD11" s="131" t="s">
        <v>401</v>
      </c>
      <c r="AE11" s="131"/>
      <c r="AF11" s="132" t="str">
        <f t="shared" si="34"/>
        <v>2/2/2</v>
      </c>
      <c r="AG11" s="131">
        <v>41.7</v>
      </c>
      <c r="AH11" s="131">
        <v>41.7</v>
      </c>
      <c r="AI11" s="131">
        <v>41.7</v>
      </c>
      <c r="AJ11" s="131"/>
      <c r="AK11" s="27" t="str">
        <f t="shared" si="5"/>
        <v>41,7W/ 41,7W/ 41,7W</v>
      </c>
      <c r="AL11" s="31" t="s">
        <v>908</v>
      </c>
      <c r="AM11" s="31" t="s">
        <v>909</v>
      </c>
      <c r="AN11" s="32" t="s">
        <v>650</v>
      </c>
      <c r="AO11" s="32" t="s">
        <v>923</v>
      </c>
      <c r="AP11" s="32" t="s">
        <v>657</v>
      </c>
      <c r="AQ11" s="32">
        <v>3</v>
      </c>
      <c r="AR11" s="133" t="s">
        <v>401</v>
      </c>
      <c r="AS11" s="133" t="s">
        <v>401</v>
      </c>
      <c r="AT11" s="133" t="s">
        <v>401</v>
      </c>
      <c r="AU11" s="133"/>
      <c r="AV11" s="132" t="str">
        <f t="shared" si="35"/>
        <v>2/2/2</v>
      </c>
      <c r="AW11" s="133" t="s">
        <v>901</v>
      </c>
      <c r="AX11" s="133" t="s">
        <v>901</v>
      </c>
      <c r="AY11" s="133" t="s">
        <v>901</v>
      </c>
      <c r="AZ11" s="133"/>
      <c r="BA11" s="27" t="str">
        <f t="shared" si="7"/>
        <v>40W/ 40W/ 40W</v>
      </c>
      <c r="BB11" s="32" t="s">
        <v>659</v>
      </c>
      <c r="BC11" s="32" t="s">
        <v>909</v>
      </c>
      <c r="BD11" s="129" t="s">
        <v>650</v>
      </c>
      <c r="BE11" s="129" t="s">
        <v>923</v>
      </c>
      <c r="BF11" s="129" t="s">
        <v>910</v>
      </c>
      <c r="BG11" s="129">
        <v>3</v>
      </c>
      <c r="BH11" s="129" t="s">
        <v>911</v>
      </c>
      <c r="BI11" s="129" t="s">
        <v>911</v>
      </c>
      <c r="BJ11" s="129" t="s">
        <v>911</v>
      </c>
      <c r="BK11" s="129"/>
      <c r="BL11" s="132" t="str">
        <f t="shared" si="36"/>
        <v>1/1/1</v>
      </c>
      <c r="BM11" s="129" t="s">
        <v>901</v>
      </c>
      <c r="BN11" s="129" t="s">
        <v>901</v>
      </c>
      <c r="BO11" s="129" t="s">
        <v>901</v>
      </c>
      <c r="BP11" s="129"/>
      <c r="BQ11" s="27" t="str">
        <f t="shared" si="9"/>
        <v>40W/ 40W/ 40W</v>
      </c>
      <c r="BR11" s="129" t="s">
        <v>912</v>
      </c>
      <c r="BS11" s="129" t="s">
        <v>918</v>
      </c>
      <c r="BT11" s="33" t="s">
        <v>153</v>
      </c>
      <c r="BU11" s="33" t="s">
        <v>153</v>
      </c>
      <c r="BV11" s="33" t="s">
        <v>153</v>
      </c>
      <c r="BW11" s="33" t="s">
        <v>153</v>
      </c>
      <c r="BX11" s="34" t="s">
        <v>153</v>
      </c>
      <c r="BY11" s="34" t="s">
        <v>153</v>
      </c>
      <c r="BZ11" s="34" t="s">
        <v>153</v>
      </c>
      <c r="CA11" s="132" t="str">
        <f t="shared" si="37"/>
        <v/>
      </c>
      <c r="CB11" s="34" t="s">
        <v>153</v>
      </c>
      <c r="CC11" s="34" t="s">
        <v>153</v>
      </c>
      <c r="CD11" s="34" t="s">
        <v>153</v>
      </c>
      <c r="CE11" s="27" t="str">
        <f t="shared" si="11"/>
        <v/>
      </c>
      <c r="CF11" s="33" t="s">
        <v>153</v>
      </c>
      <c r="CG11" s="33" t="s">
        <v>153</v>
      </c>
      <c r="CH11" s="35" t="s">
        <v>153</v>
      </c>
      <c r="CI11" s="35" t="s">
        <v>153</v>
      </c>
      <c r="CJ11" s="35" t="s">
        <v>153</v>
      </c>
      <c r="CK11" s="35" t="s">
        <v>153</v>
      </c>
      <c r="CL11" s="134" t="s">
        <v>153</v>
      </c>
      <c r="CM11" s="134" t="s">
        <v>153</v>
      </c>
      <c r="CN11" s="134" t="s">
        <v>153</v>
      </c>
      <c r="CO11" s="132" t="str">
        <f t="shared" si="38"/>
        <v/>
      </c>
      <c r="CP11" s="134" t="s">
        <v>153</v>
      </c>
      <c r="CQ11" s="134" t="s">
        <v>153</v>
      </c>
      <c r="CR11" s="134" t="s">
        <v>153</v>
      </c>
      <c r="CS11" s="27" t="str">
        <f t="shared" si="13"/>
        <v/>
      </c>
      <c r="CT11" s="35" t="s">
        <v>153</v>
      </c>
      <c r="CU11" s="35" t="s">
        <v>153</v>
      </c>
      <c r="CV11" s="36" t="s">
        <v>153</v>
      </c>
      <c r="CW11" s="36" t="s">
        <v>153</v>
      </c>
      <c r="CX11" s="36" t="s">
        <v>153</v>
      </c>
      <c r="CY11" s="36" t="s">
        <v>153</v>
      </c>
      <c r="CZ11" s="135" t="s">
        <v>153</v>
      </c>
      <c r="DA11" s="135" t="s">
        <v>153</v>
      </c>
      <c r="DB11" s="135" t="s">
        <v>153</v>
      </c>
      <c r="DC11" s="132" t="str">
        <f t="shared" si="39"/>
        <v/>
      </c>
      <c r="DD11" s="135" t="s">
        <v>153</v>
      </c>
      <c r="DE11" s="135" t="s">
        <v>153</v>
      </c>
      <c r="DF11" s="135" t="s">
        <v>153</v>
      </c>
      <c r="DG11" s="27" t="str">
        <f t="shared" si="15"/>
        <v/>
      </c>
      <c r="DH11" s="36" t="s">
        <v>153</v>
      </c>
      <c r="DI11" s="36" t="s">
        <v>153</v>
      </c>
      <c r="DJ11" s="128">
        <f t="shared" si="40"/>
        <v>3</v>
      </c>
      <c r="DK11" s="128" t="str">
        <f t="shared" si="41"/>
        <v>3-3</v>
      </c>
      <c r="DL11" s="128" t="str">
        <f t="shared" si="42"/>
        <v>CHUNG</v>
      </c>
      <c r="DM11" s="128" t="str">
        <f t="shared" si="43"/>
        <v>CHUNG</v>
      </c>
      <c r="DN11" s="128" t="str">
        <f t="shared" si="44"/>
        <v>KHÁC</v>
      </c>
      <c r="DO11" s="128" t="str">
        <f t="shared" si="45"/>
        <v>KHÁC</v>
      </c>
      <c r="DP11" s="128" t="str">
        <f t="shared" si="46"/>
        <v>KHÁC</v>
      </c>
      <c r="DQ11" s="128">
        <f t="shared" si="47"/>
        <v>3</v>
      </c>
      <c r="DR11" s="136" t="s">
        <v>70</v>
      </c>
      <c r="DS11" s="137" t="b">
        <f t="shared" si="48"/>
        <v>1</v>
      </c>
      <c r="DT11" s="137" t="b">
        <f t="shared" si="49"/>
        <v>1</v>
      </c>
      <c r="DU11" s="137" t="b">
        <f t="shared" si="50"/>
        <v>1</v>
      </c>
      <c r="DV11" s="128" t="b">
        <f t="shared" si="51"/>
        <v>1</v>
      </c>
      <c r="DW11" s="128" t="b">
        <f t="shared" si="52"/>
        <v>1</v>
      </c>
      <c r="DX11" s="128" t="s">
        <v>70</v>
      </c>
      <c r="DY11" s="128" t="s">
        <v>900</v>
      </c>
      <c r="DZ11" s="128" t="s">
        <v>153</v>
      </c>
      <c r="EA11" s="202" t="s">
        <v>70</v>
      </c>
      <c r="EB11" s="202">
        <v>17.5</v>
      </c>
      <c r="EC11" s="165"/>
      <c r="ED11" s="165"/>
      <c r="EE11" s="165"/>
      <c r="EF11" s="37" t="str">
        <f t="shared" si="53"/>
        <v>No</v>
      </c>
      <c r="EG11" s="37">
        <f t="shared" si="54"/>
        <v>3</v>
      </c>
      <c r="EH11" s="37">
        <f t="shared" si="55"/>
        <v>0</v>
      </c>
      <c r="EI11" s="37" t="str">
        <f t="shared" si="56"/>
        <v>No</v>
      </c>
    </row>
    <row r="12" spans="1:139" ht="47.25">
      <c r="A12" s="53">
        <v>11</v>
      </c>
      <c r="B12" s="26">
        <v>3</v>
      </c>
      <c r="C12" s="37">
        <v>11</v>
      </c>
      <c r="D12" s="221">
        <v>1802431</v>
      </c>
      <c r="E12" s="200" t="s">
        <v>649</v>
      </c>
      <c r="F12" s="54" t="s">
        <v>650</v>
      </c>
      <c r="G12" s="28" t="s">
        <v>736</v>
      </c>
      <c r="H12" s="27" t="s">
        <v>652</v>
      </c>
      <c r="I12" s="27" t="s">
        <v>737</v>
      </c>
      <c r="J12" s="27" t="s">
        <v>738</v>
      </c>
      <c r="K12" s="128" t="s">
        <v>739</v>
      </c>
      <c r="L12" s="130">
        <v>43497</v>
      </c>
      <c r="M12" s="130">
        <v>43487</v>
      </c>
      <c r="N12" s="29" t="str">
        <f t="shared" si="31"/>
        <v>B00466130219TG05</v>
      </c>
      <c r="O12" s="82">
        <v>466</v>
      </c>
      <c r="P12" s="30" t="str">
        <f t="shared" si="1"/>
        <v>130219</v>
      </c>
      <c r="Q12" s="29" t="s">
        <v>223</v>
      </c>
      <c r="R12" s="30" t="str">
        <f t="shared" si="32"/>
        <v>13/02/2019</v>
      </c>
      <c r="S12" s="30" t="str">
        <f t="shared" si="33"/>
        <v>13/02/2024</v>
      </c>
      <c r="T12" s="140" t="s">
        <v>952</v>
      </c>
      <c r="U12" s="140" t="s">
        <v>953</v>
      </c>
      <c r="V12" s="27">
        <v>3</v>
      </c>
      <c r="W12" s="27" t="s">
        <v>70</v>
      </c>
      <c r="X12" s="31" t="s">
        <v>650</v>
      </c>
      <c r="Y12" s="31" t="s">
        <v>924</v>
      </c>
      <c r="Z12" s="31" t="s">
        <v>903</v>
      </c>
      <c r="AA12" s="31">
        <v>3</v>
      </c>
      <c r="AB12" s="131" t="s">
        <v>401</v>
      </c>
      <c r="AC12" s="131" t="s">
        <v>401</v>
      </c>
      <c r="AD12" s="131" t="s">
        <v>401</v>
      </c>
      <c r="AE12" s="131"/>
      <c r="AF12" s="132" t="str">
        <f t="shared" si="34"/>
        <v>2/2/2</v>
      </c>
      <c r="AG12" s="131">
        <v>41.7</v>
      </c>
      <c r="AH12" s="131">
        <v>41.7</v>
      </c>
      <c r="AI12" s="131">
        <v>41.7</v>
      </c>
      <c r="AJ12" s="131"/>
      <c r="AK12" s="27" t="str">
        <f t="shared" si="5"/>
        <v>41,7W/ 41,7W/ 41,7W</v>
      </c>
      <c r="AL12" s="31" t="s">
        <v>908</v>
      </c>
      <c r="AM12" s="31" t="s">
        <v>925</v>
      </c>
      <c r="AN12" s="32" t="s">
        <v>650</v>
      </c>
      <c r="AO12" s="32" t="s">
        <v>924</v>
      </c>
      <c r="AP12" s="32" t="s">
        <v>657</v>
      </c>
      <c r="AQ12" s="32">
        <v>3</v>
      </c>
      <c r="AR12" s="133" t="s">
        <v>401</v>
      </c>
      <c r="AS12" s="133" t="s">
        <v>401</v>
      </c>
      <c r="AT12" s="133" t="s">
        <v>401</v>
      </c>
      <c r="AU12" s="133"/>
      <c r="AV12" s="132" t="str">
        <f t="shared" si="35"/>
        <v>2/2/2</v>
      </c>
      <c r="AW12" s="133" t="s">
        <v>901</v>
      </c>
      <c r="AX12" s="133" t="s">
        <v>901</v>
      </c>
      <c r="AY12" s="133" t="s">
        <v>901</v>
      </c>
      <c r="AZ12" s="133"/>
      <c r="BA12" s="27" t="str">
        <f t="shared" si="7"/>
        <v>40W/ 40W/ 40W</v>
      </c>
      <c r="BB12" s="32" t="s">
        <v>659</v>
      </c>
      <c r="BC12" s="32" t="s">
        <v>916</v>
      </c>
      <c r="BD12" s="129" t="s">
        <v>650</v>
      </c>
      <c r="BE12" s="129" t="s">
        <v>924</v>
      </c>
      <c r="BF12" s="129" t="s">
        <v>910</v>
      </c>
      <c r="BG12" s="129">
        <v>3</v>
      </c>
      <c r="BH12" s="129" t="s">
        <v>911</v>
      </c>
      <c r="BI12" s="129" t="s">
        <v>911</v>
      </c>
      <c r="BJ12" s="129" t="s">
        <v>911</v>
      </c>
      <c r="BK12" s="129"/>
      <c r="BL12" s="132" t="str">
        <f t="shared" si="36"/>
        <v>1/1/1</v>
      </c>
      <c r="BM12" s="129" t="s">
        <v>901</v>
      </c>
      <c r="BN12" s="129" t="s">
        <v>901</v>
      </c>
      <c r="BO12" s="129" t="s">
        <v>901</v>
      </c>
      <c r="BP12" s="129"/>
      <c r="BQ12" s="27" t="str">
        <f t="shared" si="9"/>
        <v>40W/ 40W/ 40W</v>
      </c>
      <c r="BR12" s="129" t="s">
        <v>912</v>
      </c>
      <c r="BS12" s="129" t="s">
        <v>916</v>
      </c>
      <c r="BT12" s="33" t="s">
        <v>153</v>
      </c>
      <c r="BU12" s="33" t="s">
        <v>153</v>
      </c>
      <c r="BV12" s="33" t="s">
        <v>153</v>
      </c>
      <c r="BW12" s="33" t="s">
        <v>153</v>
      </c>
      <c r="BX12" s="34" t="s">
        <v>153</v>
      </c>
      <c r="BY12" s="34" t="s">
        <v>153</v>
      </c>
      <c r="BZ12" s="34" t="s">
        <v>153</v>
      </c>
      <c r="CA12" s="132" t="str">
        <f t="shared" si="37"/>
        <v/>
      </c>
      <c r="CB12" s="34" t="s">
        <v>153</v>
      </c>
      <c r="CC12" s="34" t="s">
        <v>153</v>
      </c>
      <c r="CD12" s="34" t="s">
        <v>153</v>
      </c>
      <c r="CE12" s="27" t="str">
        <f t="shared" si="11"/>
        <v/>
      </c>
      <c r="CF12" s="33" t="s">
        <v>153</v>
      </c>
      <c r="CG12" s="33" t="s">
        <v>153</v>
      </c>
      <c r="CH12" s="35" t="s">
        <v>153</v>
      </c>
      <c r="CI12" s="35" t="s">
        <v>153</v>
      </c>
      <c r="CJ12" s="35" t="s">
        <v>153</v>
      </c>
      <c r="CK12" s="35" t="s">
        <v>153</v>
      </c>
      <c r="CL12" s="134" t="s">
        <v>153</v>
      </c>
      <c r="CM12" s="134" t="s">
        <v>153</v>
      </c>
      <c r="CN12" s="134" t="s">
        <v>153</v>
      </c>
      <c r="CO12" s="132" t="str">
        <f t="shared" si="38"/>
        <v/>
      </c>
      <c r="CP12" s="134" t="s">
        <v>153</v>
      </c>
      <c r="CQ12" s="134" t="s">
        <v>153</v>
      </c>
      <c r="CR12" s="134" t="s">
        <v>153</v>
      </c>
      <c r="CS12" s="27" t="str">
        <f t="shared" si="13"/>
        <v/>
      </c>
      <c r="CT12" s="35" t="s">
        <v>153</v>
      </c>
      <c r="CU12" s="35" t="s">
        <v>153</v>
      </c>
      <c r="CV12" s="36" t="s">
        <v>153</v>
      </c>
      <c r="CW12" s="36" t="s">
        <v>153</v>
      </c>
      <c r="CX12" s="36" t="s">
        <v>153</v>
      </c>
      <c r="CY12" s="36" t="s">
        <v>153</v>
      </c>
      <c r="CZ12" s="135" t="s">
        <v>153</v>
      </c>
      <c r="DA12" s="135" t="s">
        <v>153</v>
      </c>
      <c r="DB12" s="135" t="s">
        <v>153</v>
      </c>
      <c r="DC12" s="132" t="str">
        <f t="shared" si="39"/>
        <v/>
      </c>
      <c r="DD12" s="135" t="s">
        <v>153</v>
      </c>
      <c r="DE12" s="135" t="s">
        <v>153</v>
      </c>
      <c r="DF12" s="135" t="s">
        <v>153</v>
      </c>
      <c r="DG12" s="27" t="str">
        <f t="shared" si="15"/>
        <v/>
      </c>
      <c r="DH12" s="36" t="s">
        <v>153</v>
      </c>
      <c r="DI12" s="36" t="s">
        <v>153</v>
      </c>
      <c r="DJ12" s="128">
        <f t="shared" si="40"/>
        <v>3</v>
      </c>
      <c r="DK12" s="128" t="str">
        <f t="shared" si="41"/>
        <v>3-3</v>
      </c>
      <c r="DL12" s="128" t="str">
        <f t="shared" si="42"/>
        <v>CHUNG</v>
      </c>
      <c r="DM12" s="128" t="str">
        <f t="shared" si="43"/>
        <v>CHUNG</v>
      </c>
      <c r="DN12" s="128" t="str">
        <f t="shared" si="44"/>
        <v>KHÁC</v>
      </c>
      <c r="DO12" s="128" t="str">
        <f t="shared" si="45"/>
        <v>KHÁC</v>
      </c>
      <c r="DP12" s="128" t="str">
        <f t="shared" si="46"/>
        <v>KHÁC</v>
      </c>
      <c r="DQ12" s="128">
        <f t="shared" si="47"/>
        <v>3</v>
      </c>
      <c r="DR12" s="136" t="s">
        <v>70</v>
      </c>
      <c r="DS12" s="137" t="b">
        <f t="shared" si="48"/>
        <v>1</v>
      </c>
      <c r="DT12" s="137" t="b">
        <f t="shared" si="49"/>
        <v>1</v>
      </c>
      <c r="DU12" s="137" t="b">
        <f t="shared" si="50"/>
        <v>1</v>
      </c>
      <c r="DV12" s="128" t="b">
        <f t="shared" si="51"/>
        <v>1</v>
      </c>
      <c r="DW12" s="128" t="b">
        <f t="shared" si="52"/>
        <v>1</v>
      </c>
      <c r="DX12" s="128" t="s">
        <v>70</v>
      </c>
      <c r="DY12" s="128" t="s">
        <v>70</v>
      </c>
      <c r="DZ12" s="128">
        <v>36</v>
      </c>
      <c r="EA12" s="202" t="s">
        <v>70</v>
      </c>
      <c r="EB12" s="202">
        <v>28</v>
      </c>
      <c r="EC12" s="165"/>
      <c r="ED12" s="165"/>
      <c r="EE12" s="165"/>
      <c r="EF12" s="37" t="str">
        <f t="shared" si="53"/>
        <v>No</v>
      </c>
      <c r="EG12" s="37">
        <f t="shared" si="54"/>
        <v>3</v>
      </c>
      <c r="EH12" s="37">
        <f t="shared" si="55"/>
        <v>0</v>
      </c>
      <c r="EI12" s="37" t="str">
        <f t="shared" si="56"/>
        <v>No</v>
      </c>
    </row>
    <row r="13" spans="1:139" ht="47.25">
      <c r="A13" s="53">
        <v>12</v>
      </c>
      <c r="B13" s="26">
        <v>3</v>
      </c>
      <c r="C13" s="37">
        <v>12</v>
      </c>
      <c r="D13" s="221">
        <v>1802432</v>
      </c>
      <c r="E13" s="200" t="s">
        <v>649</v>
      </c>
      <c r="F13" s="54" t="s">
        <v>650</v>
      </c>
      <c r="G13" s="28" t="s">
        <v>743</v>
      </c>
      <c r="H13" s="27" t="s">
        <v>652</v>
      </c>
      <c r="I13" s="27" t="s">
        <v>744</v>
      </c>
      <c r="J13" s="27" t="s">
        <v>745</v>
      </c>
      <c r="K13" s="128" t="s">
        <v>746</v>
      </c>
      <c r="L13" s="130">
        <v>43497</v>
      </c>
      <c r="M13" s="130">
        <v>43488</v>
      </c>
      <c r="N13" s="29" t="str">
        <f t="shared" si="31"/>
        <v>B00467130219TG05</v>
      </c>
      <c r="O13" s="82">
        <v>467</v>
      </c>
      <c r="P13" s="30" t="str">
        <f t="shared" si="1"/>
        <v>130219</v>
      </c>
      <c r="Q13" s="29" t="s">
        <v>223</v>
      </c>
      <c r="R13" s="30" t="str">
        <f t="shared" si="32"/>
        <v>13/02/2019</v>
      </c>
      <c r="S13" s="30" t="str">
        <f t="shared" si="33"/>
        <v>13/02/2024</v>
      </c>
      <c r="T13" s="140" t="s">
        <v>952</v>
      </c>
      <c r="U13" s="140" t="s">
        <v>953</v>
      </c>
      <c r="V13" s="27">
        <v>3</v>
      </c>
      <c r="W13" s="27" t="s">
        <v>900</v>
      </c>
      <c r="X13" s="31" t="s">
        <v>650</v>
      </c>
      <c r="Y13" s="31" t="s">
        <v>926</v>
      </c>
      <c r="Z13" s="31" t="s">
        <v>903</v>
      </c>
      <c r="AA13" s="31">
        <v>3</v>
      </c>
      <c r="AB13" s="131" t="s">
        <v>401</v>
      </c>
      <c r="AC13" s="131" t="s">
        <v>401</v>
      </c>
      <c r="AD13" s="131" t="s">
        <v>401</v>
      </c>
      <c r="AE13" s="131"/>
      <c r="AF13" s="132" t="str">
        <f t="shared" si="34"/>
        <v>2/2/2</v>
      </c>
      <c r="AG13" s="131">
        <v>41.7</v>
      </c>
      <c r="AH13" s="131">
        <v>41.7</v>
      </c>
      <c r="AI13" s="131">
        <v>41.7</v>
      </c>
      <c r="AJ13" s="131"/>
      <c r="AK13" s="27" t="str">
        <f t="shared" si="5"/>
        <v>41,7W/ 41,7W/ 41,7W</v>
      </c>
      <c r="AL13" s="31" t="s">
        <v>908</v>
      </c>
      <c r="AM13" s="31" t="s">
        <v>918</v>
      </c>
      <c r="AN13" s="32" t="s">
        <v>650</v>
      </c>
      <c r="AO13" s="32" t="s">
        <v>926</v>
      </c>
      <c r="AP13" s="32" t="s">
        <v>657</v>
      </c>
      <c r="AQ13" s="32">
        <v>3</v>
      </c>
      <c r="AR13" s="133" t="s">
        <v>401</v>
      </c>
      <c r="AS13" s="133" t="s">
        <v>401</v>
      </c>
      <c r="AT13" s="133" t="s">
        <v>401</v>
      </c>
      <c r="AU13" s="133"/>
      <c r="AV13" s="132" t="str">
        <f t="shared" si="35"/>
        <v>2/2/2</v>
      </c>
      <c r="AW13" s="133" t="s">
        <v>901</v>
      </c>
      <c r="AX13" s="133" t="s">
        <v>901</v>
      </c>
      <c r="AY13" s="133" t="s">
        <v>901</v>
      </c>
      <c r="AZ13" s="133"/>
      <c r="BA13" s="27" t="str">
        <f t="shared" si="7"/>
        <v>40W/ 40W/ 40W</v>
      </c>
      <c r="BB13" s="32" t="s">
        <v>659</v>
      </c>
      <c r="BC13" s="32" t="s">
        <v>918</v>
      </c>
      <c r="BD13" s="129" t="s">
        <v>650</v>
      </c>
      <c r="BE13" s="129" t="s">
        <v>926</v>
      </c>
      <c r="BF13" s="129" t="s">
        <v>910</v>
      </c>
      <c r="BG13" s="129">
        <v>3</v>
      </c>
      <c r="BH13" s="129" t="s">
        <v>911</v>
      </c>
      <c r="BI13" s="129" t="s">
        <v>911</v>
      </c>
      <c r="BJ13" s="129" t="s">
        <v>911</v>
      </c>
      <c r="BK13" s="129"/>
      <c r="BL13" s="132" t="str">
        <f t="shared" si="36"/>
        <v>1/1/1</v>
      </c>
      <c r="BM13" s="129" t="s">
        <v>901</v>
      </c>
      <c r="BN13" s="129" t="s">
        <v>901</v>
      </c>
      <c r="BO13" s="129" t="s">
        <v>901</v>
      </c>
      <c r="BP13" s="129"/>
      <c r="BQ13" s="27" t="str">
        <f t="shared" si="9"/>
        <v>40W/ 40W/ 40W</v>
      </c>
      <c r="BR13" s="129" t="s">
        <v>912</v>
      </c>
      <c r="BS13" s="129" t="s">
        <v>918</v>
      </c>
      <c r="BT13" s="33" t="s">
        <v>153</v>
      </c>
      <c r="BU13" s="33" t="s">
        <v>153</v>
      </c>
      <c r="BV13" s="33" t="s">
        <v>153</v>
      </c>
      <c r="BW13" s="33" t="s">
        <v>153</v>
      </c>
      <c r="BX13" s="34" t="s">
        <v>153</v>
      </c>
      <c r="BY13" s="34" t="s">
        <v>153</v>
      </c>
      <c r="BZ13" s="34" t="s">
        <v>153</v>
      </c>
      <c r="CA13" s="132" t="str">
        <f t="shared" si="37"/>
        <v/>
      </c>
      <c r="CB13" s="34" t="s">
        <v>153</v>
      </c>
      <c r="CC13" s="34" t="s">
        <v>153</v>
      </c>
      <c r="CD13" s="34" t="s">
        <v>153</v>
      </c>
      <c r="CE13" s="27" t="str">
        <f t="shared" si="11"/>
        <v/>
      </c>
      <c r="CF13" s="33" t="s">
        <v>153</v>
      </c>
      <c r="CG13" s="33" t="s">
        <v>153</v>
      </c>
      <c r="CH13" s="35" t="s">
        <v>153</v>
      </c>
      <c r="CI13" s="35" t="s">
        <v>153</v>
      </c>
      <c r="CJ13" s="35" t="s">
        <v>153</v>
      </c>
      <c r="CK13" s="35" t="s">
        <v>153</v>
      </c>
      <c r="CL13" s="134" t="s">
        <v>153</v>
      </c>
      <c r="CM13" s="134" t="s">
        <v>153</v>
      </c>
      <c r="CN13" s="134" t="s">
        <v>153</v>
      </c>
      <c r="CO13" s="132" t="str">
        <f t="shared" si="38"/>
        <v/>
      </c>
      <c r="CP13" s="134" t="s">
        <v>153</v>
      </c>
      <c r="CQ13" s="134" t="s">
        <v>153</v>
      </c>
      <c r="CR13" s="134" t="s">
        <v>153</v>
      </c>
      <c r="CS13" s="27" t="str">
        <f t="shared" si="13"/>
        <v/>
      </c>
      <c r="CT13" s="35" t="s">
        <v>153</v>
      </c>
      <c r="CU13" s="35" t="s">
        <v>153</v>
      </c>
      <c r="CV13" s="36" t="s">
        <v>153</v>
      </c>
      <c r="CW13" s="36" t="s">
        <v>153</v>
      </c>
      <c r="CX13" s="36" t="s">
        <v>153</v>
      </c>
      <c r="CY13" s="36" t="s">
        <v>153</v>
      </c>
      <c r="CZ13" s="135" t="s">
        <v>153</v>
      </c>
      <c r="DA13" s="135" t="s">
        <v>153</v>
      </c>
      <c r="DB13" s="135" t="s">
        <v>153</v>
      </c>
      <c r="DC13" s="132" t="str">
        <f t="shared" si="39"/>
        <v/>
      </c>
      <c r="DD13" s="135" t="s">
        <v>153</v>
      </c>
      <c r="DE13" s="135" t="s">
        <v>153</v>
      </c>
      <c r="DF13" s="135" t="s">
        <v>153</v>
      </c>
      <c r="DG13" s="27" t="str">
        <f t="shared" si="15"/>
        <v/>
      </c>
      <c r="DH13" s="36" t="s">
        <v>153</v>
      </c>
      <c r="DI13" s="36" t="s">
        <v>153</v>
      </c>
      <c r="DJ13" s="128">
        <f t="shared" si="40"/>
        <v>3</v>
      </c>
      <c r="DK13" s="128" t="str">
        <f t="shared" si="41"/>
        <v>3-3</v>
      </c>
      <c r="DL13" s="128" t="str">
        <f t="shared" si="42"/>
        <v>CHUNG</v>
      </c>
      <c r="DM13" s="128" t="str">
        <f t="shared" si="43"/>
        <v>CHUNG</v>
      </c>
      <c r="DN13" s="128" t="str">
        <f t="shared" si="44"/>
        <v>KHÁC</v>
      </c>
      <c r="DO13" s="128" t="str">
        <f t="shared" si="45"/>
        <v>KHÁC</v>
      </c>
      <c r="DP13" s="128" t="str">
        <f t="shared" si="46"/>
        <v>KHÁC</v>
      </c>
      <c r="DQ13" s="128">
        <f t="shared" si="47"/>
        <v>3</v>
      </c>
      <c r="DR13" s="136" t="s">
        <v>70</v>
      </c>
      <c r="DS13" s="137" t="b">
        <f t="shared" si="48"/>
        <v>1</v>
      </c>
      <c r="DT13" s="137" t="b">
        <f t="shared" si="49"/>
        <v>1</v>
      </c>
      <c r="DU13" s="137" t="b">
        <f t="shared" si="50"/>
        <v>1</v>
      </c>
      <c r="DV13" s="128" t="b">
        <f t="shared" si="51"/>
        <v>1</v>
      </c>
      <c r="DW13" s="128" t="b">
        <f t="shared" si="52"/>
        <v>1</v>
      </c>
      <c r="DX13" s="128" t="s">
        <v>70</v>
      </c>
      <c r="DY13" s="128" t="s">
        <v>900</v>
      </c>
      <c r="DZ13" s="128" t="s">
        <v>153</v>
      </c>
      <c r="EA13" s="202" t="s">
        <v>70</v>
      </c>
      <c r="EB13" s="202">
        <v>20</v>
      </c>
      <c r="EC13" s="165"/>
      <c r="ED13" s="165"/>
      <c r="EE13" s="165"/>
      <c r="EF13" s="37" t="str">
        <f t="shared" si="53"/>
        <v>No</v>
      </c>
      <c r="EG13" s="37">
        <f t="shared" si="54"/>
        <v>3</v>
      </c>
      <c r="EH13" s="37">
        <f t="shared" si="55"/>
        <v>0</v>
      </c>
      <c r="EI13" s="37" t="str">
        <f t="shared" si="56"/>
        <v>No</v>
      </c>
    </row>
    <row r="14" spans="1:139" ht="47.25">
      <c r="A14" s="53">
        <v>13</v>
      </c>
      <c r="B14" s="26">
        <v>3</v>
      </c>
      <c r="C14" s="37">
        <v>13</v>
      </c>
      <c r="D14" s="221">
        <v>1802433</v>
      </c>
      <c r="E14" s="200" t="s">
        <v>649</v>
      </c>
      <c r="F14" s="54" t="s">
        <v>650</v>
      </c>
      <c r="G14" s="28" t="s">
        <v>749</v>
      </c>
      <c r="H14" s="27" t="s">
        <v>652</v>
      </c>
      <c r="I14" s="27" t="s">
        <v>750</v>
      </c>
      <c r="J14" s="27" t="s">
        <v>751</v>
      </c>
      <c r="K14" s="128" t="s">
        <v>752</v>
      </c>
      <c r="L14" s="130">
        <v>43497</v>
      </c>
      <c r="M14" s="130">
        <v>43488</v>
      </c>
      <c r="N14" s="29" t="str">
        <f t="shared" si="31"/>
        <v>B00468130219TG05</v>
      </c>
      <c r="O14" s="82">
        <v>468</v>
      </c>
      <c r="P14" s="30" t="str">
        <f t="shared" si="1"/>
        <v>130219</v>
      </c>
      <c r="Q14" s="29" t="s">
        <v>223</v>
      </c>
      <c r="R14" s="30" t="str">
        <f t="shared" si="32"/>
        <v>13/02/2019</v>
      </c>
      <c r="S14" s="30" t="str">
        <f t="shared" si="33"/>
        <v>13/02/2024</v>
      </c>
      <c r="T14" s="140" t="s">
        <v>952</v>
      </c>
      <c r="U14" s="140" t="s">
        <v>953</v>
      </c>
      <c r="V14" s="27">
        <v>3</v>
      </c>
      <c r="W14" s="27" t="s">
        <v>900</v>
      </c>
      <c r="X14" s="31" t="s">
        <v>650</v>
      </c>
      <c r="Y14" s="31" t="s">
        <v>927</v>
      </c>
      <c r="Z14" s="31" t="s">
        <v>903</v>
      </c>
      <c r="AA14" s="31">
        <v>3</v>
      </c>
      <c r="AB14" s="131" t="s">
        <v>400</v>
      </c>
      <c r="AC14" s="131" t="s">
        <v>400</v>
      </c>
      <c r="AD14" s="131" t="s">
        <v>401</v>
      </c>
      <c r="AE14" s="131"/>
      <c r="AF14" s="132" t="str">
        <f t="shared" si="34"/>
        <v>4/4/2</v>
      </c>
      <c r="AG14" s="131">
        <v>37.24</v>
      </c>
      <c r="AH14" s="131">
        <v>37.24</v>
      </c>
      <c r="AI14" s="131">
        <v>41.7</v>
      </c>
      <c r="AJ14" s="131"/>
      <c r="AK14" s="27" t="str">
        <f t="shared" si="5"/>
        <v>37,24W/ 37,24W/ 41,7W</v>
      </c>
      <c r="AL14" s="31" t="s">
        <v>908</v>
      </c>
      <c r="AM14" s="31" t="s">
        <v>928</v>
      </c>
      <c r="AN14" s="32" t="s">
        <v>650</v>
      </c>
      <c r="AO14" s="32" t="s">
        <v>927</v>
      </c>
      <c r="AP14" s="32" t="s">
        <v>657</v>
      </c>
      <c r="AQ14" s="32">
        <v>3</v>
      </c>
      <c r="AR14" s="133" t="s">
        <v>401</v>
      </c>
      <c r="AS14" s="133" t="s">
        <v>401</v>
      </c>
      <c r="AT14" s="133" t="s">
        <v>401</v>
      </c>
      <c r="AU14" s="133"/>
      <c r="AV14" s="132" t="str">
        <f t="shared" si="35"/>
        <v>2/2/2</v>
      </c>
      <c r="AW14" s="133" t="s">
        <v>901</v>
      </c>
      <c r="AX14" s="133" t="s">
        <v>901</v>
      </c>
      <c r="AY14" s="133" t="s">
        <v>901</v>
      </c>
      <c r="AZ14" s="133"/>
      <c r="BA14" s="27" t="str">
        <f t="shared" si="7"/>
        <v>40W/ 40W/ 40W</v>
      </c>
      <c r="BB14" s="32" t="s">
        <v>659</v>
      </c>
      <c r="BC14" s="32" t="s">
        <v>928</v>
      </c>
      <c r="BD14" s="129" t="s">
        <v>650</v>
      </c>
      <c r="BE14" s="129" t="s">
        <v>927</v>
      </c>
      <c r="BF14" s="129" t="s">
        <v>910</v>
      </c>
      <c r="BG14" s="129">
        <v>3</v>
      </c>
      <c r="BH14" s="129" t="s">
        <v>911</v>
      </c>
      <c r="BI14" s="129" t="s">
        <v>911</v>
      </c>
      <c r="BJ14" s="129" t="s">
        <v>911</v>
      </c>
      <c r="BK14" s="129"/>
      <c r="BL14" s="132" t="str">
        <f t="shared" si="36"/>
        <v>1/1/1</v>
      </c>
      <c r="BM14" s="129" t="s">
        <v>901</v>
      </c>
      <c r="BN14" s="129" t="s">
        <v>901</v>
      </c>
      <c r="BO14" s="129" t="s">
        <v>901</v>
      </c>
      <c r="BP14" s="129"/>
      <c r="BQ14" s="27" t="str">
        <f t="shared" si="9"/>
        <v>40W/ 40W/ 40W</v>
      </c>
      <c r="BR14" s="129" t="s">
        <v>912</v>
      </c>
      <c r="BS14" s="129" t="s">
        <v>929</v>
      </c>
      <c r="BT14" s="33" t="s">
        <v>153</v>
      </c>
      <c r="BU14" s="33" t="s">
        <v>153</v>
      </c>
      <c r="BV14" s="33" t="s">
        <v>153</v>
      </c>
      <c r="BW14" s="33" t="s">
        <v>153</v>
      </c>
      <c r="BX14" s="34" t="s">
        <v>153</v>
      </c>
      <c r="BY14" s="34" t="s">
        <v>153</v>
      </c>
      <c r="BZ14" s="34" t="s">
        <v>153</v>
      </c>
      <c r="CA14" s="132" t="str">
        <f t="shared" si="37"/>
        <v/>
      </c>
      <c r="CB14" s="34" t="s">
        <v>153</v>
      </c>
      <c r="CC14" s="34" t="s">
        <v>153</v>
      </c>
      <c r="CD14" s="34" t="s">
        <v>153</v>
      </c>
      <c r="CE14" s="27" t="str">
        <f t="shared" si="11"/>
        <v/>
      </c>
      <c r="CF14" s="33" t="s">
        <v>153</v>
      </c>
      <c r="CG14" s="33" t="s">
        <v>153</v>
      </c>
      <c r="CH14" s="35" t="s">
        <v>153</v>
      </c>
      <c r="CI14" s="35" t="s">
        <v>153</v>
      </c>
      <c r="CJ14" s="35" t="s">
        <v>153</v>
      </c>
      <c r="CK14" s="35" t="s">
        <v>153</v>
      </c>
      <c r="CL14" s="134" t="s">
        <v>153</v>
      </c>
      <c r="CM14" s="134" t="s">
        <v>153</v>
      </c>
      <c r="CN14" s="134" t="s">
        <v>153</v>
      </c>
      <c r="CO14" s="132" t="str">
        <f t="shared" si="38"/>
        <v/>
      </c>
      <c r="CP14" s="134" t="s">
        <v>153</v>
      </c>
      <c r="CQ14" s="134" t="s">
        <v>153</v>
      </c>
      <c r="CR14" s="134" t="s">
        <v>153</v>
      </c>
      <c r="CS14" s="27" t="str">
        <f t="shared" si="13"/>
        <v/>
      </c>
      <c r="CT14" s="35" t="s">
        <v>153</v>
      </c>
      <c r="CU14" s="35" t="s">
        <v>153</v>
      </c>
      <c r="CV14" s="36" t="s">
        <v>153</v>
      </c>
      <c r="CW14" s="36" t="s">
        <v>153</v>
      </c>
      <c r="CX14" s="36" t="s">
        <v>153</v>
      </c>
      <c r="CY14" s="36" t="s">
        <v>153</v>
      </c>
      <c r="CZ14" s="135" t="s">
        <v>153</v>
      </c>
      <c r="DA14" s="135" t="s">
        <v>153</v>
      </c>
      <c r="DB14" s="135" t="s">
        <v>153</v>
      </c>
      <c r="DC14" s="132" t="str">
        <f t="shared" si="39"/>
        <v/>
      </c>
      <c r="DD14" s="135" t="s">
        <v>153</v>
      </c>
      <c r="DE14" s="135" t="s">
        <v>153</v>
      </c>
      <c r="DF14" s="135" t="s">
        <v>153</v>
      </c>
      <c r="DG14" s="27" t="str">
        <f t="shared" si="15"/>
        <v/>
      </c>
      <c r="DH14" s="36" t="s">
        <v>153</v>
      </c>
      <c r="DI14" s="36" t="s">
        <v>153</v>
      </c>
      <c r="DJ14" s="128">
        <f t="shared" si="40"/>
        <v>3</v>
      </c>
      <c r="DK14" s="128" t="str">
        <f t="shared" si="41"/>
        <v>3-3</v>
      </c>
      <c r="DL14" s="128" t="str">
        <f t="shared" si="42"/>
        <v>CHUNG</v>
      </c>
      <c r="DM14" s="128" t="str">
        <f t="shared" si="43"/>
        <v>CHUNG</v>
      </c>
      <c r="DN14" s="128" t="str">
        <f t="shared" si="44"/>
        <v>KHÁC</v>
      </c>
      <c r="DO14" s="128" t="str">
        <f t="shared" si="45"/>
        <v>KHÁC</v>
      </c>
      <c r="DP14" s="128" t="str">
        <f t="shared" si="46"/>
        <v>KHÁC</v>
      </c>
      <c r="DQ14" s="128">
        <f t="shared" si="47"/>
        <v>3</v>
      </c>
      <c r="DR14" s="136" t="s">
        <v>70</v>
      </c>
      <c r="DS14" s="137" t="b">
        <f t="shared" si="48"/>
        <v>1</v>
      </c>
      <c r="DT14" s="137" t="b">
        <f t="shared" si="49"/>
        <v>1</v>
      </c>
      <c r="DU14" s="137" t="b">
        <f t="shared" si="50"/>
        <v>1</v>
      </c>
      <c r="DV14" s="128" t="b">
        <f t="shared" si="51"/>
        <v>1</v>
      </c>
      <c r="DW14" s="128" t="b">
        <f t="shared" si="52"/>
        <v>1</v>
      </c>
      <c r="DX14" s="128" t="s">
        <v>70</v>
      </c>
      <c r="DY14" s="128" t="s">
        <v>900</v>
      </c>
      <c r="DZ14" s="128" t="s">
        <v>153</v>
      </c>
      <c r="EA14" s="202" t="s">
        <v>70</v>
      </c>
      <c r="EB14" s="202">
        <v>26</v>
      </c>
      <c r="EC14" s="165"/>
      <c r="ED14" s="165"/>
      <c r="EE14" s="165"/>
      <c r="EF14" s="37" t="str">
        <f t="shared" si="53"/>
        <v>No</v>
      </c>
      <c r="EG14" s="37">
        <f t="shared" si="54"/>
        <v>3</v>
      </c>
      <c r="EH14" s="37">
        <f t="shared" si="55"/>
        <v>0</v>
      </c>
      <c r="EI14" s="37" t="str">
        <f t="shared" si="56"/>
        <v>No</v>
      </c>
    </row>
    <row r="15" spans="1:139" ht="47.25">
      <c r="A15" s="53">
        <v>14</v>
      </c>
      <c r="B15" s="26">
        <v>3</v>
      </c>
      <c r="C15" s="37">
        <v>14</v>
      </c>
      <c r="D15" s="221">
        <v>1802434</v>
      </c>
      <c r="E15" s="200" t="s">
        <v>649</v>
      </c>
      <c r="F15" s="54" t="s">
        <v>650</v>
      </c>
      <c r="G15" s="28" t="s">
        <v>757</v>
      </c>
      <c r="H15" s="27" t="s">
        <v>652</v>
      </c>
      <c r="I15" s="27" t="s">
        <v>758</v>
      </c>
      <c r="J15" s="27" t="s">
        <v>759</v>
      </c>
      <c r="K15" s="128" t="s">
        <v>760</v>
      </c>
      <c r="L15" s="130">
        <v>43497</v>
      </c>
      <c r="M15" s="130">
        <v>43488</v>
      </c>
      <c r="N15" s="29" t="str">
        <f t="shared" si="31"/>
        <v>B00469130219TG05</v>
      </c>
      <c r="O15" s="82">
        <v>469</v>
      </c>
      <c r="P15" s="30" t="str">
        <f t="shared" si="1"/>
        <v>130219</v>
      </c>
      <c r="Q15" s="29" t="s">
        <v>223</v>
      </c>
      <c r="R15" s="30" t="str">
        <f t="shared" si="32"/>
        <v>13/02/2019</v>
      </c>
      <c r="S15" s="30" t="str">
        <f t="shared" si="33"/>
        <v>13/02/2024</v>
      </c>
      <c r="T15" s="140" t="s">
        <v>952</v>
      </c>
      <c r="U15" s="140" t="s">
        <v>953</v>
      </c>
      <c r="V15" s="27">
        <v>3</v>
      </c>
      <c r="W15" s="27" t="s">
        <v>900</v>
      </c>
      <c r="X15" s="31" t="s">
        <v>650</v>
      </c>
      <c r="Y15" s="31" t="s">
        <v>930</v>
      </c>
      <c r="Z15" s="31" t="s">
        <v>903</v>
      </c>
      <c r="AA15" s="31">
        <v>3</v>
      </c>
      <c r="AB15" s="131" t="s">
        <v>400</v>
      </c>
      <c r="AC15" s="131" t="s">
        <v>400</v>
      </c>
      <c r="AD15" s="131" t="s">
        <v>400</v>
      </c>
      <c r="AE15" s="131"/>
      <c r="AF15" s="132" t="str">
        <f t="shared" si="34"/>
        <v>4/4/4</v>
      </c>
      <c r="AG15" s="131">
        <v>37.24</v>
      </c>
      <c r="AH15" s="131">
        <v>37.24</v>
      </c>
      <c r="AI15" s="131">
        <v>37.24</v>
      </c>
      <c r="AJ15" s="131"/>
      <c r="AK15" s="27" t="str">
        <f t="shared" si="5"/>
        <v>37,24W/ 37,24W/ 37,24W</v>
      </c>
      <c r="AL15" s="31" t="s">
        <v>908</v>
      </c>
      <c r="AM15" s="31" t="s">
        <v>954</v>
      </c>
      <c r="AN15" s="32" t="s">
        <v>650</v>
      </c>
      <c r="AO15" s="32" t="s">
        <v>930</v>
      </c>
      <c r="AP15" s="32" t="s">
        <v>657</v>
      </c>
      <c r="AQ15" s="32">
        <v>3</v>
      </c>
      <c r="AR15" s="133" t="s">
        <v>401</v>
      </c>
      <c r="AS15" s="133" t="s">
        <v>401</v>
      </c>
      <c r="AT15" s="133" t="s">
        <v>401</v>
      </c>
      <c r="AU15" s="133"/>
      <c r="AV15" s="132" t="str">
        <f t="shared" si="35"/>
        <v>2/2/2</v>
      </c>
      <c r="AW15" s="133" t="s">
        <v>901</v>
      </c>
      <c r="AX15" s="133" t="s">
        <v>901</v>
      </c>
      <c r="AY15" s="133" t="s">
        <v>901</v>
      </c>
      <c r="AZ15" s="133"/>
      <c r="BA15" s="27" t="str">
        <f t="shared" si="7"/>
        <v>40W/ 40W/ 40W</v>
      </c>
      <c r="BB15" s="32" t="s">
        <v>659</v>
      </c>
      <c r="BC15" s="32" t="s">
        <v>954</v>
      </c>
      <c r="BD15" s="129" t="s">
        <v>650</v>
      </c>
      <c r="BE15" s="129" t="s">
        <v>930</v>
      </c>
      <c r="BF15" s="129" t="s">
        <v>910</v>
      </c>
      <c r="BG15" s="129">
        <v>3</v>
      </c>
      <c r="BH15" s="129" t="s">
        <v>911</v>
      </c>
      <c r="BI15" s="129" t="s">
        <v>911</v>
      </c>
      <c r="BJ15" s="129" t="s">
        <v>911</v>
      </c>
      <c r="BK15" s="129"/>
      <c r="BL15" s="132" t="str">
        <f t="shared" si="36"/>
        <v>1/1/1</v>
      </c>
      <c r="BM15" s="129" t="s">
        <v>901</v>
      </c>
      <c r="BN15" s="129" t="s">
        <v>901</v>
      </c>
      <c r="BO15" s="129" t="s">
        <v>901</v>
      </c>
      <c r="BP15" s="129"/>
      <c r="BQ15" s="27" t="str">
        <f t="shared" si="9"/>
        <v>40W/ 40W/ 40W</v>
      </c>
      <c r="BR15" s="129" t="s">
        <v>912</v>
      </c>
      <c r="BS15" s="129" t="s">
        <v>954</v>
      </c>
      <c r="BT15" s="33" t="s">
        <v>153</v>
      </c>
      <c r="BU15" s="33" t="s">
        <v>153</v>
      </c>
      <c r="BV15" s="33" t="s">
        <v>153</v>
      </c>
      <c r="BW15" s="33" t="s">
        <v>153</v>
      </c>
      <c r="BX15" s="34" t="s">
        <v>153</v>
      </c>
      <c r="BY15" s="34" t="s">
        <v>153</v>
      </c>
      <c r="BZ15" s="34" t="s">
        <v>153</v>
      </c>
      <c r="CA15" s="132" t="str">
        <f t="shared" si="37"/>
        <v/>
      </c>
      <c r="CB15" s="34" t="s">
        <v>153</v>
      </c>
      <c r="CC15" s="34" t="s">
        <v>153</v>
      </c>
      <c r="CD15" s="34" t="s">
        <v>153</v>
      </c>
      <c r="CE15" s="27" t="str">
        <f t="shared" si="11"/>
        <v/>
      </c>
      <c r="CF15" s="33" t="s">
        <v>153</v>
      </c>
      <c r="CG15" s="33" t="s">
        <v>153</v>
      </c>
      <c r="CH15" s="35" t="s">
        <v>153</v>
      </c>
      <c r="CI15" s="35" t="s">
        <v>153</v>
      </c>
      <c r="CJ15" s="35" t="s">
        <v>153</v>
      </c>
      <c r="CK15" s="35" t="s">
        <v>153</v>
      </c>
      <c r="CL15" s="134" t="s">
        <v>153</v>
      </c>
      <c r="CM15" s="134" t="s">
        <v>153</v>
      </c>
      <c r="CN15" s="134" t="s">
        <v>153</v>
      </c>
      <c r="CO15" s="132" t="str">
        <f t="shared" si="38"/>
        <v/>
      </c>
      <c r="CP15" s="134" t="s">
        <v>153</v>
      </c>
      <c r="CQ15" s="134" t="s">
        <v>153</v>
      </c>
      <c r="CR15" s="134" t="s">
        <v>153</v>
      </c>
      <c r="CS15" s="27" t="str">
        <f t="shared" si="13"/>
        <v/>
      </c>
      <c r="CT15" s="35" t="s">
        <v>153</v>
      </c>
      <c r="CU15" s="35" t="s">
        <v>153</v>
      </c>
      <c r="CV15" s="36" t="s">
        <v>153</v>
      </c>
      <c r="CW15" s="36" t="s">
        <v>153</v>
      </c>
      <c r="CX15" s="36" t="s">
        <v>153</v>
      </c>
      <c r="CY15" s="36" t="s">
        <v>153</v>
      </c>
      <c r="CZ15" s="135" t="s">
        <v>153</v>
      </c>
      <c r="DA15" s="135" t="s">
        <v>153</v>
      </c>
      <c r="DB15" s="135" t="s">
        <v>153</v>
      </c>
      <c r="DC15" s="132" t="str">
        <f t="shared" si="39"/>
        <v/>
      </c>
      <c r="DD15" s="135" t="s">
        <v>153</v>
      </c>
      <c r="DE15" s="135" t="s">
        <v>153</v>
      </c>
      <c r="DF15" s="135" t="s">
        <v>153</v>
      </c>
      <c r="DG15" s="27" t="str">
        <f t="shared" si="15"/>
        <v/>
      </c>
      <c r="DH15" s="36" t="s">
        <v>153</v>
      </c>
      <c r="DI15" s="36" t="s">
        <v>153</v>
      </c>
      <c r="DJ15" s="128">
        <f t="shared" si="40"/>
        <v>3</v>
      </c>
      <c r="DK15" s="128" t="str">
        <f t="shared" si="41"/>
        <v>3-3</v>
      </c>
      <c r="DL15" s="128" t="str">
        <f t="shared" si="42"/>
        <v>CHUNG</v>
      </c>
      <c r="DM15" s="128" t="str">
        <f t="shared" si="43"/>
        <v>CHUNG</v>
      </c>
      <c r="DN15" s="128" t="str">
        <f t="shared" si="44"/>
        <v>KHÁC</v>
      </c>
      <c r="DO15" s="128" t="str">
        <f t="shared" si="45"/>
        <v>KHÁC</v>
      </c>
      <c r="DP15" s="128" t="str">
        <f t="shared" si="46"/>
        <v>KHÁC</v>
      </c>
      <c r="DQ15" s="128">
        <f t="shared" si="47"/>
        <v>3</v>
      </c>
      <c r="DR15" s="136" t="s">
        <v>70</v>
      </c>
      <c r="DS15" s="137" t="b">
        <f t="shared" si="48"/>
        <v>1</v>
      </c>
      <c r="DT15" s="137" t="b">
        <f t="shared" si="49"/>
        <v>1</v>
      </c>
      <c r="DU15" s="137" t="b">
        <f t="shared" si="50"/>
        <v>1</v>
      </c>
      <c r="DV15" s="128" t="b">
        <f t="shared" si="51"/>
        <v>1</v>
      </c>
      <c r="DW15" s="128" t="b">
        <f t="shared" si="52"/>
        <v>1</v>
      </c>
      <c r="DX15" s="128" t="s">
        <v>70</v>
      </c>
      <c r="DY15" s="128" t="s">
        <v>900</v>
      </c>
      <c r="DZ15" s="128" t="s">
        <v>153</v>
      </c>
      <c r="EA15" s="202" t="s">
        <v>70</v>
      </c>
      <c r="EB15" s="202">
        <v>-2.5</v>
      </c>
      <c r="EC15" s="165"/>
      <c r="ED15" s="165"/>
      <c r="EE15" s="165"/>
      <c r="EF15" s="37" t="str">
        <f t="shared" si="53"/>
        <v>No</v>
      </c>
      <c r="EG15" s="37">
        <f t="shared" si="54"/>
        <v>3</v>
      </c>
      <c r="EH15" s="37">
        <f t="shared" si="55"/>
        <v>0</v>
      </c>
      <c r="EI15" s="37" t="str">
        <f t="shared" si="56"/>
        <v>No</v>
      </c>
    </row>
    <row r="16" spans="1:139" ht="47.25">
      <c r="A16" s="53">
        <v>15</v>
      </c>
      <c r="B16" s="26">
        <v>3</v>
      </c>
      <c r="C16" s="37">
        <v>15</v>
      </c>
      <c r="D16" s="221">
        <v>1802435</v>
      </c>
      <c r="E16" s="200" t="s">
        <v>649</v>
      </c>
      <c r="F16" s="54" t="s">
        <v>650</v>
      </c>
      <c r="G16" s="28" t="s">
        <v>766</v>
      </c>
      <c r="H16" s="27" t="s">
        <v>652</v>
      </c>
      <c r="I16" s="27" t="s">
        <v>767</v>
      </c>
      <c r="J16" s="27" t="s">
        <v>768</v>
      </c>
      <c r="K16" s="128" t="s">
        <v>769</v>
      </c>
      <c r="L16" s="130">
        <v>43497</v>
      </c>
      <c r="M16" s="130">
        <v>43488</v>
      </c>
      <c r="N16" s="29" t="str">
        <f t="shared" si="31"/>
        <v>B00470130219TG05</v>
      </c>
      <c r="O16" s="82">
        <v>470</v>
      </c>
      <c r="P16" s="30" t="str">
        <f t="shared" si="1"/>
        <v>130219</v>
      </c>
      <c r="Q16" s="29" t="s">
        <v>223</v>
      </c>
      <c r="R16" s="30" t="str">
        <f t="shared" si="32"/>
        <v>13/02/2019</v>
      </c>
      <c r="S16" s="30" t="str">
        <f t="shared" si="33"/>
        <v>13/02/2024</v>
      </c>
      <c r="T16" s="140" t="s">
        <v>952</v>
      </c>
      <c r="U16" s="140" t="s">
        <v>953</v>
      </c>
      <c r="V16" s="27">
        <v>3</v>
      </c>
      <c r="W16" s="27" t="s">
        <v>900</v>
      </c>
      <c r="X16" s="31" t="s">
        <v>650</v>
      </c>
      <c r="Y16" s="31" t="s">
        <v>931</v>
      </c>
      <c r="Z16" s="31" t="s">
        <v>903</v>
      </c>
      <c r="AA16" s="31">
        <v>3</v>
      </c>
      <c r="AB16" s="131" t="s">
        <v>400</v>
      </c>
      <c r="AC16" s="131" t="s">
        <v>400</v>
      </c>
      <c r="AD16" s="131" t="s">
        <v>400</v>
      </c>
      <c r="AE16" s="131"/>
      <c r="AF16" s="132" t="str">
        <f t="shared" si="34"/>
        <v>4/4/4</v>
      </c>
      <c r="AG16" s="131">
        <v>37.24</v>
      </c>
      <c r="AH16" s="131">
        <v>37.24</v>
      </c>
      <c r="AI16" s="131">
        <v>37.24</v>
      </c>
      <c r="AJ16" s="131"/>
      <c r="AK16" s="27" t="str">
        <f t="shared" si="5"/>
        <v>37,24W/ 37,24W/ 37,24W</v>
      </c>
      <c r="AL16" s="31" t="s">
        <v>908</v>
      </c>
      <c r="AM16" s="31" t="s">
        <v>909</v>
      </c>
      <c r="AN16" s="32" t="s">
        <v>650</v>
      </c>
      <c r="AO16" s="32" t="s">
        <v>931</v>
      </c>
      <c r="AP16" s="32" t="s">
        <v>657</v>
      </c>
      <c r="AQ16" s="32">
        <v>3</v>
      </c>
      <c r="AR16" s="133" t="s">
        <v>401</v>
      </c>
      <c r="AS16" s="133" t="s">
        <v>401</v>
      </c>
      <c r="AT16" s="133" t="s">
        <v>401</v>
      </c>
      <c r="AU16" s="133"/>
      <c r="AV16" s="132" t="str">
        <f t="shared" si="35"/>
        <v>2/2/2</v>
      </c>
      <c r="AW16" s="133" t="s">
        <v>901</v>
      </c>
      <c r="AX16" s="133" t="s">
        <v>901</v>
      </c>
      <c r="AY16" s="133" t="s">
        <v>901</v>
      </c>
      <c r="AZ16" s="133"/>
      <c r="BA16" s="27" t="str">
        <f t="shared" si="7"/>
        <v>40W/ 40W/ 40W</v>
      </c>
      <c r="BB16" s="32" t="s">
        <v>659</v>
      </c>
      <c r="BC16" s="32" t="s">
        <v>925</v>
      </c>
      <c r="BD16" s="129" t="s">
        <v>650</v>
      </c>
      <c r="BE16" s="129" t="s">
        <v>931</v>
      </c>
      <c r="BF16" s="129" t="s">
        <v>910</v>
      </c>
      <c r="BG16" s="129">
        <v>3</v>
      </c>
      <c r="BH16" s="129" t="s">
        <v>911</v>
      </c>
      <c r="BI16" s="129" t="s">
        <v>911</v>
      </c>
      <c r="BJ16" s="129" t="s">
        <v>911</v>
      </c>
      <c r="BK16" s="129"/>
      <c r="BL16" s="132" t="str">
        <f t="shared" si="36"/>
        <v>1/1/1</v>
      </c>
      <c r="BM16" s="129" t="s">
        <v>901</v>
      </c>
      <c r="BN16" s="129" t="s">
        <v>901</v>
      </c>
      <c r="BO16" s="129" t="s">
        <v>901</v>
      </c>
      <c r="BP16" s="129"/>
      <c r="BQ16" s="27" t="str">
        <f t="shared" si="9"/>
        <v>40W/ 40W/ 40W</v>
      </c>
      <c r="BR16" s="129" t="s">
        <v>912</v>
      </c>
      <c r="BS16" s="129" t="s">
        <v>925</v>
      </c>
      <c r="BT16" s="33" t="s">
        <v>153</v>
      </c>
      <c r="BU16" s="33" t="s">
        <v>153</v>
      </c>
      <c r="BV16" s="33" t="s">
        <v>153</v>
      </c>
      <c r="BW16" s="33" t="s">
        <v>153</v>
      </c>
      <c r="BX16" s="34" t="s">
        <v>153</v>
      </c>
      <c r="BY16" s="34" t="s">
        <v>153</v>
      </c>
      <c r="BZ16" s="34" t="s">
        <v>153</v>
      </c>
      <c r="CA16" s="132" t="str">
        <f t="shared" si="37"/>
        <v/>
      </c>
      <c r="CB16" s="34" t="s">
        <v>153</v>
      </c>
      <c r="CC16" s="34" t="s">
        <v>153</v>
      </c>
      <c r="CD16" s="34" t="s">
        <v>153</v>
      </c>
      <c r="CE16" s="27" t="str">
        <f t="shared" si="11"/>
        <v/>
      </c>
      <c r="CF16" s="33" t="s">
        <v>153</v>
      </c>
      <c r="CG16" s="33" t="s">
        <v>153</v>
      </c>
      <c r="CH16" s="35" t="s">
        <v>153</v>
      </c>
      <c r="CI16" s="35" t="s">
        <v>153</v>
      </c>
      <c r="CJ16" s="35" t="s">
        <v>153</v>
      </c>
      <c r="CK16" s="35" t="s">
        <v>153</v>
      </c>
      <c r="CL16" s="134" t="s">
        <v>153</v>
      </c>
      <c r="CM16" s="134" t="s">
        <v>153</v>
      </c>
      <c r="CN16" s="134" t="s">
        <v>153</v>
      </c>
      <c r="CO16" s="132" t="str">
        <f t="shared" si="38"/>
        <v/>
      </c>
      <c r="CP16" s="134" t="s">
        <v>153</v>
      </c>
      <c r="CQ16" s="134" t="s">
        <v>153</v>
      </c>
      <c r="CR16" s="134" t="s">
        <v>153</v>
      </c>
      <c r="CS16" s="27" t="str">
        <f t="shared" si="13"/>
        <v/>
      </c>
      <c r="CT16" s="35" t="s">
        <v>153</v>
      </c>
      <c r="CU16" s="35" t="s">
        <v>153</v>
      </c>
      <c r="CV16" s="36" t="s">
        <v>153</v>
      </c>
      <c r="CW16" s="36" t="s">
        <v>153</v>
      </c>
      <c r="CX16" s="36" t="s">
        <v>153</v>
      </c>
      <c r="CY16" s="36" t="s">
        <v>153</v>
      </c>
      <c r="CZ16" s="135" t="s">
        <v>153</v>
      </c>
      <c r="DA16" s="135" t="s">
        <v>153</v>
      </c>
      <c r="DB16" s="135" t="s">
        <v>153</v>
      </c>
      <c r="DC16" s="132" t="str">
        <f t="shared" si="39"/>
        <v/>
      </c>
      <c r="DD16" s="135" t="s">
        <v>153</v>
      </c>
      <c r="DE16" s="135" t="s">
        <v>153</v>
      </c>
      <c r="DF16" s="135" t="s">
        <v>153</v>
      </c>
      <c r="DG16" s="27" t="str">
        <f t="shared" si="15"/>
        <v/>
      </c>
      <c r="DH16" s="36" t="s">
        <v>153</v>
      </c>
      <c r="DI16" s="36" t="s">
        <v>153</v>
      </c>
      <c r="DJ16" s="128">
        <f t="shared" si="40"/>
        <v>3</v>
      </c>
      <c r="DK16" s="128" t="str">
        <f t="shared" si="41"/>
        <v>3-3</v>
      </c>
      <c r="DL16" s="128" t="str">
        <f t="shared" si="42"/>
        <v>CHUNG</v>
      </c>
      <c r="DM16" s="128" t="str">
        <f t="shared" si="43"/>
        <v>CHUNG</v>
      </c>
      <c r="DN16" s="128" t="str">
        <f t="shared" si="44"/>
        <v>KHÁC</v>
      </c>
      <c r="DO16" s="128" t="str">
        <f t="shared" si="45"/>
        <v>KHÁC</v>
      </c>
      <c r="DP16" s="128" t="str">
        <f t="shared" si="46"/>
        <v>KHÁC</v>
      </c>
      <c r="DQ16" s="128">
        <f t="shared" si="47"/>
        <v>3</v>
      </c>
      <c r="DR16" s="136" t="s">
        <v>70</v>
      </c>
      <c r="DS16" s="137" t="b">
        <f t="shared" si="48"/>
        <v>1</v>
      </c>
      <c r="DT16" s="137" t="b">
        <f t="shared" si="49"/>
        <v>1</v>
      </c>
      <c r="DU16" s="137" t="b">
        <f t="shared" si="50"/>
        <v>1</v>
      </c>
      <c r="DV16" s="128" t="b">
        <f t="shared" si="51"/>
        <v>1</v>
      </c>
      <c r="DW16" s="128" t="b">
        <f t="shared" si="52"/>
        <v>1</v>
      </c>
      <c r="DX16" s="128" t="s">
        <v>70</v>
      </c>
      <c r="DY16" s="128" t="s">
        <v>900</v>
      </c>
      <c r="DZ16" s="128" t="s">
        <v>153</v>
      </c>
      <c r="EA16" s="202" t="s">
        <v>70</v>
      </c>
      <c r="EB16" s="202">
        <v>19.5</v>
      </c>
      <c r="EC16" s="165"/>
      <c r="ED16" s="165"/>
      <c r="EE16" s="165"/>
      <c r="EF16" s="37" t="str">
        <f t="shared" si="53"/>
        <v>No</v>
      </c>
      <c r="EG16" s="37">
        <f t="shared" si="54"/>
        <v>3</v>
      </c>
      <c r="EH16" s="37">
        <f t="shared" si="55"/>
        <v>0</v>
      </c>
      <c r="EI16" s="37" t="str">
        <f t="shared" si="56"/>
        <v>No</v>
      </c>
    </row>
    <row r="17" spans="1:139" ht="47.25">
      <c r="A17" s="53">
        <v>16</v>
      </c>
      <c r="B17" s="26">
        <v>3</v>
      </c>
      <c r="C17" s="37">
        <v>16</v>
      </c>
      <c r="D17" s="221">
        <v>1802436</v>
      </c>
      <c r="E17" s="200" t="s">
        <v>649</v>
      </c>
      <c r="F17" s="54" t="s">
        <v>650</v>
      </c>
      <c r="G17" s="28" t="s">
        <v>772</v>
      </c>
      <c r="H17" s="27" t="s">
        <v>652</v>
      </c>
      <c r="I17" s="27" t="s">
        <v>773</v>
      </c>
      <c r="J17" s="27" t="s">
        <v>774</v>
      </c>
      <c r="K17" s="128" t="s">
        <v>775</v>
      </c>
      <c r="L17" s="130">
        <v>43497</v>
      </c>
      <c r="M17" s="130">
        <v>43489</v>
      </c>
      <c r="N17" s="29" t="str">
        <f t="shared" si="31"/>
        <v>B00471130219TG05</v>
      </c>
      <c r="O17" s="82">
        <v>471</v>
      </c>
      <c r="P17" s="30" t="str">
        <f t="shared" si="1"/>
        <v>130219</v>
      </c>
      <c r="Q17" s="29" t="s">
        <v>223</v>
      </c>
      <c r="R17" s="30" t="str">
        <f t="shared" si="32"/>
        <v>13/02/2019</v>
      </c>
      <c r="S17" s="30" t="str">
        <f t="shared" si="33"/>
        <v>13/02/2024</v>
      </c>
      <c r="T17" s="140" t="s">
        <v>952</v>
      </c>
      <c r="U17" s="140" t="s">
        <v>953</v>
      </c>
      <c r="V17" s="27">
        <v>3</v>
      </c>
      <c r="W17" s="27" t="s">
        <v>900</v>
      </c>
      <c r="X17" s="31" t="s">
        <v>650</v>
      </c>
      <c r="Y17" s="31" t="s">
        <v>932</v>
      </c>
      <c r="Z17" s="31" t="s">
        <v>903</v>
      </c>
      <c r="AA17" s="31">
        <v>3</v>
      </c>
      <c r="AB17" s="131" t="s">
        <v>400</v>
      </c>
      <c r="AC17" s="131" t="s">
        <v>400</v>
      </c>
      <c r="AD17" s="131" t="s">
        <v>400</v>
      </c>
      <c r="AE17" s="131"/>
      <c r="AF17" s="132" t="str">
        <f t="shared" si="34"/>
        <v>4/4/4</v>
      </c>
      <c r="AG17" s="131">
        <v>37.24</v>
      </c>
      <c r="AH17" s="131">
        <v>37.24</v>
      </c>
      <c r="AI17" s="131">
        <v>37.24</v>
      </c>
      <c r="AJ17" s="131"/>
      <c r="AK17" s="27" t="str">
        <f t="shared" si="5"/>
        <v>37,24W/ 37,24W/ 37,24W</v>
      </c>
      <c r="AL17" s="31" t="s">
        <v>908</v>
      </c>
      <c r="AM17" s="31" t="s">
        <v>955</v>
      </c>
      <c r="AN17" s="32" t="s">
        <v>650</v>
      </c>
      <c r="AO17" s="32" t="s">
        <v>932</v>
      </c>
      <c r="AP17" s="32" t="s">
        <v>657</v>
      </c>
      <c r="AQ17" s="32">
        <v>3</v>
      </c>
      <c r="AR17" s="133" t="s">
        <v>401</v>
      </c>
      <c r="AS17" s="133" t="s">
        <v>401</v>
      </c>
      <c r="AT17" s="133" t="s">
        <v>401</v>
      </c>
      <c r="AU17" s="133"/>
      <c r="AV17" s="132" t="str">
        <f t="shared" si="35"/>
        <v>2/2/2</v>
      </c>
      <c r="AW17" s="133" t="s">
        <v>901</v>
      </c>
      <c r="AX17" s="133" t="s">
        <v>901</v>
      </c>
      <c r="AY17" s="133" t="s">
        <v>901</v>
      </c>
      <c r="AZ17" s="133"/>
      <c r="BA17" s="27" t="str">
        <f t="shared" si="7"/>
        <v>40W/ 40W/ 40W</v>
      </c>
      <c r="BB17" s="32" t="s">
        <v>659</v>
      </c>
      <c r="BC17" s="32" t="s">
        <v>954</v>
      </c>
      <c r="BD17" s="129" t="s">
        <v>650</v>
      </c>
      <c r="BE17" s="129" t="s">
        <v>932</v>
      </c>
      <c r="BF17" s="129" t="s">
        <v>910</v>
      </c>
      <c r="BG17" s="129">
        <v>3</v>
      </c>
      <c r="BH17" s="129" t="s">
        <v>911</v>
      </c>
      <c r="BI17" s="129" t="s">
        <v>911</v>
      </c>
      <c r="BJ17" s="129" t="s">
        <v>911</v>
      </c>
      <c r="BK17" s="129"/>
      <c r="BL17" s="132" t="str">
        <f t="shared" si="36"/>
        <v>1/1/1</v>
      </c>
      <c r="BM17" s="129" t="s">
        <v>901</v>
      </c>
      <c r="BN17" s="129" t="s">
        <v>901</v>
      </c>
      <c r="BO17" s="129" t="s">
        <v>901</v>
      </c>
      <c r="BP17" s="129"/>
      <c r="BQ17" s="27" t="str">
        <f t="shared" si="9"/>
        <v>40W/ 40W/ 40W</v>
      </c>
      <c r="BR17" s="129" t="s">
        <v>912</v>
      </c>
      <c r="BS17" s="129" t="s">
        <v>954</v>
      </c>
      <c r="BT17" s="33" t="s">
        <v>153</v>
      </c>
      <c r="BU17" s="33" t="s">
        <v>153</v>
      </c>
      <c r="BV17" s="33" t="s">
        <v>153</v>
      </c>
      <c r="BW17" s="33" t="s">
        <v>153</v>
      </c>
      <c r="BX17" s="34" t="s">
        <v>153</v>
      </c>
      <c r="BY17" s="34" t="s">
        <v>153</v>
      </c>
      <c r="BZ17" s="34" t="s">
        <v>153</v>
      </c>
      <c r="CA17" s="132" t="str">
        <f t="shared" si="37"/>
        <v/>
      </c>
      <c r="CB17" s="34" t="s">
        <v>153</v>
      </c>
      <c r="CC17" s="34" t="s">
        <v>153</v>
      </c>
      <c r="CD17" s="34" t="s">
        <v>153</v>
      </c>
      <c r="CE17" s="27" t="str">
        <f t="shared" si="11"/>
        <v/>
      </c>
      <c r="CF17" s="33" t="s">
        <v>153</v>
      </c>
      <c r="CG17" s="33" t="s">
        <v>153</v>
      </c>
      <c r="CH17" s="35" t="s">
        <v>153</v>
      </c>
      <c r="CI17" s="35" t="s">
        <v>153</v>
      </c>
      <c r="CJ17" s="35" t="s">
        <v>153</v>
      </c>
      <c r="CK17" s="35" t="s">
        <v>153</v>
      </c>
      <c r="CL17" s="134" t="s">
        <v>153</v>
      </c>
      <c r="CM17" s="134" t="s">
        <v>153</v>
      </c>
      <c r="CN17" s="134" t="s">
        <v>153</v>
      </c>
      <c r="CO17" s="132" t="str">
        <f t="shared" si="38"/>
        <v/>
      </c>
      <c r="CP17" s="134" t="s">
        <v>153</v>
      </c>
      <c r="CQ17" s="134" t="s">
        <v>153</v>
      </c>
      <c r="CR17" s="134" t="s">
        <v>153</v>
      </c>
      <c r="CS17" s="27" t="str">
        <f t="shared" si="13"/>
        <v/>
      </c>
      <c r="CT17" s="35" t="s">
        <v>153</v>
      </c>
      <c r="CU17" s="35" t="s">
        <v>153</v>
      </c>
      <c r="CV17" s="36" t="s">
        <v>153</v>
      </c>
      <c r="CW17" s="36" t="s">
        <v>153</v>
      </c>
      <c r="CX17" s="36" t="s">
        <v>153</v>
      </c>
      <c r="CY17" s="36" t="s">
        <v>153</v>
      </c>
      <c r="CZ17" s="135" t="s">
        <v>153</v>
      </c>
      <c r="DA17" s="135" t="s">
        <v>153</v>
      </c>
      <c r="DB17" s="135" t="s">
        <v>153</v>
      </c>
      <c r="DC17" s="132" t="str">
        <f t="shared" si="39"/>
        <v/>
      </c>
      <c r="DD17" s="135" t="s">
        <v>153</v>
      </c>
      <c r="DE17" s="135" t="s">
        <v>153</v>
      </c>
      <c r="DF17" s="135" t="s">
        <v>153</v>
      </c>
      <c r="DG17" s="27" t="str">
        <f t="shared" si="15"/>
        <v/>
      </c>
      <c r="DH17" s="36" t="s">
        <v>153</v>
      </c>
      <c r="DI17" s="36" t="s">
        <v>153</v>
      </c>
      <c r="DJ17" s="128">
        <f t="shared" si="40"/>
        <v>3</v>
      </c>
      <c r="DK17" s="128" t="str">
        <f t="shared" si="41"/>
        <v>3-3</v>
      </c>
      <c r="DL17" s="128" t="str">
        <f t="shared" si="42"/>
        <v>CHUNG</v>
      </c>
      <c r="DM17" s="128" t="str">
        <f t="shared" si="43"/>
        <v>CHUNG</v>
      </c>
      <c r="DN17" s="128" t="str">
        <f t="shared" si="44"/>
        <v>KHÁC</v>
      </c>
      <c r="DO17" s="128" t="str">
        <f t="shared" si="45"/>
        <v>KHÁC</v>
      </c>
      <c r="DP17" s="128" t="str">
        <f t="shared" si="46"/>
        <v>KHÁC</v>
      </c>
      <c r="DQ17" s="128">
        <f t="shared" si="47"/>
        <v>3</v>
      </c>
      <c r="DR17" s="136" t="s">
        <v>70</v>
      </c>
      <c r="DS17" s="137" t="b">
        <f t="shared" si="48"/>
        <v>1</v>
      </c>
      <c r="DT17" s="137" t="b">
        <f t="shared" si="49"/>
        <v>1</v>
      </c>
      <c r="DU17" s="137" t="b">
        <f t="shared" si="50"/>
        <v>1</v>
      </c>
      <c r="DV17" s="128" t="b">
        <f t="shared" si="51"/>
        <v>1</v>
      </c>
      <c r="DW17" s="128" t="b">
        <f t="shared" si="52"/>
        <v>1</v>
      </c>
      <c r="DX17" s="128" t="s">
        <v>70</v>
      </c>
      <c r="DY17" s="128" t="s">
        <v>900</v>
      </c>
      <c r="DZ17" s="128" t="s">
        <v>153</v>
      </c>
      <c r="EA17" s="202" t="s">
        <v>70</v>
      </c>
      <c r="EB17" s="202">
        <v>8.5</v>
      </c>
      <c r="EC17" s="165"/>
      <c r="ED17" s="165"/>
      <c r="EE17" s="165"/>
      <c r="EF17" s="37" t="str">
        <f t="shared" si="53"/>
        <v>No</v>
      </c>
      <c r="EG17" s="37">
        <f t="shared" si="54"/>
        <v>3</v>
      </c>
      <c r="EH17" s="37">
        <f t="shared" si="55"/>
        <v>0</v>
      </c>
      <c r="EI17" s="37" t="str">
        <f t="shared" si="56"/>
        <v>No</v>
      </c>
    </row>
    <row r="18" spans="1:139" ht="47.25">
      <c r="A18" s="53">
        <v>17</v>
      </c>
      <c r="B18" s="26">
        <v>3</v>
      </c>
      <c r="C18" s="37">
        <v>17</v>
      </c>
      <c r="D18" s="221">
        <v>1802437</v>
      </c>
      <c r="E18" s="200" t="s">
        <v>649</v>
      </c>
      <c r="F18" s="54" t="s">
        <v>650</v>
      </c>
      <c r="G18" s="28" t="s">
        <v>779</v>
      </c>
      <c r="H18" s="27" t="s">
        <v>652</v>
      </c>
      <c r="I18" s="27" t="s">
        <v>780</v>
      </c>
      <c r="J18" s="27" t="s">
        <v>781</v>
      </c>
      <c r="K18" s="128" t="s">
        <v>782</v>
      </c>
      <c r="L18" s="130">
        <v>43497</v>
      </c>
      <c r="M18" s="130">
        <v>43489</v>
      </c>
      <c r="N18" s="29" t="str">
        <f t="shared" si="31"/>
        <v>B00472130219TG05</v>
      </c>
      <c r="O18" s="82">
        <v>472</v>
      </c>
      <c r="P18" s="30" t="str">
        <f t="shared" si="1"/>
        <v>130219</v>
      </c>
      <c r="Q18" s="29" t="s">
        <v>223</v>
      </c>
      <c r="R18" s="30" t="str">
        <f t="shared" si="32"/>
        <v>13/02/2019</v>
      </c>
      <c r="S18" s="30" t="str">
        <f t="shared" si="33"/>
        <v>13/02/2024</v>
      </c>
      <c r="T18" s="140" t="s">
        <v>952</v>
      </c>
      <c r="U18" s="140" t="s">
        <v>953</v>
      </c>
      <c r="V18" s="27">
        <v>3</v>
      </c>
      <c r="W18" s="27" t="s">
        <v>900</v>
      </c>
      <c r="X18" s="31" t="s">
        <v>650</v>
      </c>
      <c r="Y18" s="31" t="s">
        <v>933</v>
      </c>
      <c r="Z18" s="31" t="s">
        <v>903</v>
      </c>
      <c r="AA18" s="31">
        <v>3</v>
      </c>
      <c r="AB18" s="131" t="s">
        <v>400</v>
      </c>
      <c r="AC18" s="131" t="s">
        <v>400</v>
      </c>
      <c r="AD18" s="131" t="s">
        <v>400</v>
      </c>
      <c r="AE18" s="131"/>
      <c r="AF18" s="132" t="str">
        <f t="shared" si="34"/>
        <v>4/4/4</v>
      </c>
      <c r="AG18" s="131">
        <v>37.24</v>
      </c>
      <c r="AH18" s="131">
        <v>37.24</v>
      </c>
      <c r="AI18" s="131">
        <v>37.24</v>
      </c>
      <c r="AJ18" s="131"/>
      <c r="AK18" s="27" t="str">
        <f t="shared" si="5"/>
        <v>37,24W/ 37,24W/ 37,24W</v>
      </c>
      <c r="AL18" s="31" t="s">
        <v>908</v>
      </c>
      <c r="AM18" s="31" t="s">
        <v>956</v>
      </c>
      <c r="AN18" s="32" t="s">
        <v>650</v>
      </c>
      <c r="AO18" s="32" t="s">
        <v>933</v>
      </c>
      <c r="AP18" s="32" t="s">
        <v>657</v>
      </c>
      <c r="AQ18" s="32">
        <v>3</v>
      </c>
      <c r="AR18" s="133" t="s">
        <v>401</v>
      </c>
      <c r="AS18" s="133" t="s">
        <v>401</v>
      </c>
      <c r="AT18" s="133" t="s">
        <v>401</v>
      </c>
      <c r="AU18" s="133"/>
      <c r="AV18" s="132" t="str">
        <f t="shared" si="35"/>
        <v>2/2/2</v>
      </c>
      <c r="AW18" s="133" t="s">
        <v>901</v>
      </c>
      <c r="AX18" s="133" t="s">
        <v>901</v>
      </c>
      <c r="AY18" s="133" t="s">
        <v>901</v>
      </c>
      <c r="AZ18" s="133"/>
      <c r="BA18" s="27" t="str">
        <f t="shared" si="7"/>
        <v>40W/ 40W/ 40W</v>
      </c>
      <c r="BB18" s="32" t="s">
        <v>659</v>
      </c>
      <c r="BC18" s="32" t="s">
        <v>959</v>
      </c>
      <c r="BD18" s="129" t="s">
        <v>650</v>
      </c>
      <c r="BE18" s="129" t="s">
        <v>933</v>
      </c>
      <c r="BF18" s="129" t="s">
        <v>910</v>
      </c>
      <c r="BG18" s="129">
        <v>3</v>
      </c>
      <c r="BH18" s="129" t="s">
        <v>911</v>
      </c>
      <c r="BI18" s="129" t="s">
        <v>911</v>
      </c>
      <c r="BJ18" s="129" t="s">
        <v>911</v>
      </c>
      <c r="BK18" s="129"/>
      <c r="BL18" s="132" t="str">
        <f t="shared" si="36"/>
        <v>1/1/1</v>
      </c>
      <c r="BM18" s="129" t="s">
        <v>901</v>
      </c>
      <c r="BN18" s="129" t="s">
        <v>901</v>
      </c>
      <c r="BO18" s="129" t="s">
        <v>901</v>
      </c>
      <c r="BP18" s="129"/>
      <c r="BQ18" s="27" t="str">
        <f t="shared" si="9"/>
        <v>40W/ 40W/ 40W</v>
      </c>
      <c r="BR18" s="129" t="s">
        <v>912</v>
      </c>
      <c r="BS18" s="129" t="s">
        <v>959</v>
      </c>
      <c r="BT18" s="33" t="s">
        <v>153</v>
      </c>
      <c r="BU18" s="33" t="s">
        <v>153</v>
      </c>
      <c r="BV18" s="33" t="s">
        <v>153</v>
      </c>
      <c r="BW18" s="33" t="s">
        <v>153</v>
      </c>
      <c r="BX18" s="34" t="s">
        <v>153</v>
      </c>
      <c r="BY18" s="34" t="s">
        <v>153</v>
      </c>
      <c r="BZ18" s="34" t="s">
        <v>153</v>
      </c>
      <c r="CA18" s="132" t="str">
        <f t="shared" si="37"/>
        <v/>
      </c>
      <c r="CB18" s="34" t="s">
        <v>153</v>
      </c>
      <c r="CC18" s="34" t="s">
        <v>153</v>
      </c>
      <c r="CD18" s="34" t="s">
        <v>153</v>
      </c>
      <c r="CE18" s="27" t="str">
        <f t="shared" si="11"/>
        <v/>
      </c>
      <c r="CF18" s="33" t="s">
        <v>153</v>
      </c>
      <c r="CG18" s="33" t="s">
        <v>153</v>
      </c>
      <c r="CH18" s="35" t="s">
        <v>153</v>
      </c>
      <c r="CI18" s="35" t="s">
        <v>153</v>
      </c>
      <c r="CJ18" s="35" t="s">
        <v>153</v>
      </c>
      <c r="CK18" s="35" t="s">
        <v>153</v>
      </c>
      <c r="CL18" s="134" t="s">
        <v>153</v>
      </c>
      <c r="CM18" s="134" t="s">
        <v>153</v>
      </c>
      <c r="CN18" s="134" t="s">
        <v>153</v>
      </c>
      <c r="CO18" s="132" t="str">
        <f t="shared" si="38"/>
        <v/>
      </c>
      <c r="CP18" s="134" t="s">
        <v>153</v>
      </c>
      <c r="CQ18" s="134" t="s">
        <v>153</v>
      </c>
      <c r="CR18" s="134" t="s">
        <v>153</v>
      </c>
      <c r="CS18" s="27" t="str">
        <f t="shared" si="13"/>
        <v/>
      </c>
      <c r="CT18" s="35" t="s">
        <v>153</v>
      </c>
      <c r="CU18" s="35" t="s">
        <v>153</v>
      </c>
      <c r="CV18" s="36" t="s">
        <v>153</v>
      </c>
      <c r="CW18" s="36" t="s">
        <v>153</v>
      </c>
      <c r="CX18" s="36" t="s">
        <v>153</v>
      </c>
      <c r="CY18" s="36" t="s">
        <v>153</v>
      </c>
      <c r="CZ18" s="135" t="s">
        <v>153</v>
      </c>
      <c r="DA18" s="135" t="s">
        <v>153</v>
      </c>
      <c r="DB18" s="135" t="s">
        <v>153</v>
      </c>
      <c r="DC18" s="132" t="str">
        <f t="shared" si="39"/>
        <v/>
      </c>
      <c r="DD18" s="135" t="s">
        <v>153</v>
      </c>
      <c r="DE18" s="135" t="s">
        <v>153</v>
      </c>
      <c r="DF18" s="135" t="s">
        <v>153</v>
      </c>
      <c r="DG18" s="27" t="str">
        <f t="shared" si="15"/>
        <v/>
      </c>
      <c r="DH18" s="36" t="s">
        <v>153</v>
      </c>
      <c r="DI18" s="36" t="s">
        <v>153</v>
      </c>
      <c r="DJ18" s="128">
        <f t="shared" si="40"/>
        <v>3</v>
      </c>
      <c r="DK18" s="128" t="str">
        <f t="shared" si="41"/>
        <v>3-3</v>
      </c>
      <c r="DL18" s="128" t="str">
        <f t="shared" si="42"/>
        <v>CHUNG</v>
      </c>
      <c r="DM18" s="128" t="str">
        <f t="shared" si="43"/>
        <v>CHUNG</v>
      </c>
      <c r="DN18" s="128" t="str">
        <f t="shared" si="44"/>
        <v>KHÁC</v>
      </c>
      <c r="DO18" s="128" t="str">
        <f t="shared" si="45"/>
        <v>KHÁC</v>
      </c>
      <c r="DP18" s="128" t="str">
        <f t="shared" si="46"/>
        <v>KHÁC</v>
      </c>
      <c r="DQ18" s="128">
        <f t="shared" si="47"/>
        <v>3</v>
      </c>
      <c r="DR18" s="136" t="s">
        <v>70</v>
      </c>
      <c r="DS18" s="137" t="b">
        <f t="shared" si="48"/>
        <v>1</v>
      </c>
      <c r="DT18" s="137" t="b">
        <f t="shared" si="49"/>
        <v>1</v>
      </c>
      <c r="DU18" s="137" t="b">
        <f t="shared" si="50"/>
        <v>1</v>
      </c>
      <c r="DV18" s="128" t="b">
        <f t="shared" si="51"/>
        <v>1</v>
      </c>
      <c r="DW18" s="128" t="b">
        <f t="shared" si="52"/>
        <v>1</v>
      </c>
      <c r="DX18" s="128" t="s">
        <v>70</v>
      </c>
      <c r="DY18" s="128" t="s">
        <v>900</v>
      </c>
      <c r="DZ18" s="128" t="s">
        <v>153</v>
      </c>
      <c r="EA18" s="202" t="s">
        <v>70</v>
      </c>
      <c r="EB18" s="202">
        <v>-4.5</v>
      </c>
      <c r="EC18" s="165"/>
      <c r="ED18" s="165"/>
      <c r="EE18" s="165"/>
      <c r="EF18" s="37" t="str">
        <f t="shared" si="53"/>
        <v>No</v>
      </c>
      <c r="EG18" s="37">
        <f t="shared" si="54"/>
        <v>3</v>
      </c>
      <c r="EH18" s="37">
        <f t="shared" si="55"/>
        <v>0</v>
      </c>
      <c r="EI18" s="37" t="str">
        <f t="shared" si="56"/>
        <v>No</v>
      </c>
    </row>
    <row r="19" spans="1:139" ht="63">
      <c r="A19" s="53">
        <v>18</v>
      </c>
      <c r="B19" s="26">
        <v>3</v>
      </c>
      <c r="C19" s="37">
        <v>18</v>
      </c>
      <c r="D19" s="221">
        <v>1802438</v>
      </c>
      <c r="E19" s="200" t="s">
        <v>649</v>
      </c>
      <c r="F19" s="54" t="s">
        <v>650</v>
      </c>
      <c r="G19" s="28" t="s">
        <v>785</v>
      </c>
      <c r="H19" s="27" t="s">
        <v>652</v>
      </c>
      <c r="I19" s="27" t="s">
        <v>786</v>
      </c>
      <c r="J19" s="27" t="s">
        <v>787</v>
      </c>
      <c r="K19" s="128" t="s">
        <v>788</v>
      </c>
      <c r="L19" s="130">
        <v>43497</v>
      </c>
      <c r="M19" s="130">
        <v>43489</v>
      </c>
      <c r="N19" s="29" t="str">
        <f t="shared" si="31"/>
        <v>B00473130219TG05</v>
      </c>
      <c r="O19" s="82">
        <v>473</v>
      </c>
      <c r="P19" s="30" t="str">
        <f t="shared" si="1"/>
        <v>130219</v>
      </c>
      <c r="Q19" s="29" t="s">
        <v>223</v>
      </c>
      <c r="R19" s="30" t="str">
        <f t="shared" si="32"/>
        <v>13/02/2019</v>
      </c>
      <c r="S19" s="30" t="str">
        <f t="shared" si="33"/>
        <v>13/02/2024</v>
      </c>
      <c r="T19" s="140" t="s">
        <v>952</v>
      </c>
      <c r="U19" s="140" t="s">
        <v>953</v>
      </c>
      <c r="V19" s="27">
        <v>4</v>
      </c>
      <c r="W19" s="27" t="s">
        <v>900</v>
      </c>
      <c r="X19" s="31" t="s">
        <v>650</v>
      </c>
      <c r="Y19" s="31" t="s">
        <v>934</v>
      </c>
      <c r="Z19" s="31" t="s">
        <v>903</v>
      </c>
      <c r="AA19" s="31">
        <v>3</v>
      </c>
      <c r="AB19" s="131" t="s">
        <v>400</v>
      </c>
      <c r="AC19" s="131" t="s">
        <v>400</v>
      </c>
      <c r="AD19" s="131" t="s">
        <v>400</v>
      </c>
      <c r="AE19" s="131"/>
      <c r="AF19" s="132" t="str">
        <f t="shared" si="34"/>
        <v>4/4/4</v>
      </c>
      <c r="AG19" s="131">
        <v>37.24</v>
      </c>
      <c r="AH19" s="131">
        <v>37.24</v>
      </c>
      <c r="AI19" s="131">
        <v>37.24</v>
      </c>
      <c r="AJ19" s="131"/>
      <c r="AK19" s="27" t="str">
        <f t="shared" si="5"/>
        <v>37,24W/ 37,24W/ 37,24W</v>
      </c>
      <c r="AL19" s="31" t="s">
        <v>904</v>
      </c>
      <c r="AM19" s="31" t="s">
        <v>957</v>
      </c>
      <c r="AN19" s="32" t="s">
        <v>650</v>
      </c>
      <c r="AO19" s="32" t="s">
        <v>934</v>
      </c>
      <c r="AP19" s="32" t="s">
        <v>903</v>
      </c>
      <c r="AQ19" s="32">
        <v>3</v>
      </c>
      <c r="AR19" s="133" t="s">
        <v>400</v>
      </c>
      <c r="AS19" s="133" t="s">
        <v>400</v>
      </c>
      <c r="AT19" s="133" t="s">
        <v>400</v>
      </c>
      <c r="AU19" s="133"/>
      <c r="AV19" s="132" t="str">
        <f t="shared" si="35"/>
        <v>4/4/4</v>
      </c>
      <c r="AW19" s="133">
        <v>37.24</v>
      </c>
      <c r="AX19" s="133">
        <v>37.24</v>
      </c>
      <c r="AY19" s="133">
        <v>37.24</v>
      </c>
      <c r="AZ19" s="133"/>
      <c r="BA19" s="27" t="str">
        <f t="shared" si="7"/>
        <v>37,24W/ 37,24W/ 37,24W</v>
      </c>
      <c r="BB19" s="32" t="s">
        <v>908</v>
      </c>
      <c r="BC19" s="32" t="s">
        <v>954</v>
      </c>
      <c r="BD19" s="129" t="s">
        <v>650</v>
      </c>
      <c r="BE19" s="129" t="s">
        <v>934</v>
      </c>
      <c r="BF19" s="129" t="s">
        <v>657</v>
      </c>
      <c r="BG19" s="129">
        <v>3</v>
      </c>
      <c r="BH19" s="129" t="s">
        <v>401</v>
      </c>
      <c r="BI19" s="129" t="s">
        <v>401</v>
      </c>
      <c r="BJ19" s="129" t="s">
        <v>401</v>
      </c>
      <c r="BK19" s="129"/>
      <c r="BL19" s="132" t="str">
        <f t="shared" si="36"/>
        <v>2/2/2</v>
      </c>
      <c r="BM19" s="129" t="s">
        <v>901</v>
      </c>
      <c r="BN19" s="129" t="s">
        <v>901</v>
      </c>
      <c r="BO19" s="129" t="s">
        <v>901</v>
      </c>
      <c r="BP19" s="129"/>
      <c r="BQ19" s="27" t="str">
        <f t="shared" si="9"/>
        <v>40W/ 40W/ 40W</v>
      </c>
      <c r="BR19" s="129" t="s">
        <v>659</v>
      </c>
      <c r="BS19" s="129" t="s">
        <v>959</v>
      </c>
      <c r="BT19" s="33" t="s">
        <v>650</v>
      </c>
      <c r="BU19" s="33" t="s">
        <v>934</v>
      </c>
      <c r="BV19" s="33" t="s">
        <v>910</v>
      </c>
      <c r="BW19" s="33">
        <v>3</v>
      </c>
      <c r="BX19" s="34" t="s">
        <v>911</v>
      </c>
      <c r="BY19" s="34" t="s">
        <v>911</v>
      </c>
      <c r="BZ19" s="34" t="s">
        <v>911</v>
      </c>
      <c r="CA19" s="132" t="str">
        <f t="shared" si="37"/>
        <v>1/1/1</v>
      </c>
      <c r="CB19" s="34" t="s">
        <v>901</v>
      </c>
      <c r="CC19" s="34" t="s">
        <v>901</v>
      </c>
      <c r="CD19" s="34" t="s">
        <v>901</v>
      </c>
      <c r="CE19" s="27" t="str">
        <f t="shared" si="11"/>
        <v>40,00W/ 40,00W/ 40,00W</v>
      </c>
      <c r="CF19" s="33" t="s">
        <v>912</v>
      </c>
      <c r="CG19" s="33" t="s">
        <v>959</v>
      </c>
      <c r="CH19" s="35" t="s">
        <v>153</v>
      </c>
      <c r="CI19" s="35" t="s">
        <v>153</v>
      </c>
      <c r="CJ19" s="35" t="s">
        <v>153</v>
      </c>
      <c r="CK19" s="35" t="s">
        <v>153</v>
      </c>
      <c r="CL19" s="134" t="s">
        <v>153</v>
      </c>
      <c r="CM19" s="134" t="s">
        <v>153</v>
      </c>
      <c r="CN19" s="134" t="s">
        <v>153</v>
      </c>
      <c r="CO19" s="132" t="str">
        <f t="shared" si="38"/>
        <v/>
      </c>
      <c r="CP19" s="134" t="s">
        <v>153</v>
      </c>
      <c r="CQ19" s="134" t="s">
        <v>153</v>
      </c>
      <c r="CR19" s="134" t="s">
        <v>153</v>
      </c>
      <c r="CS19" s="27" t="str">
        <f t="shared" si="13"/>
        <v/>
      </c>
      <c r="CT19" s="35" t="s">
        <v>153</v>
      </c>
      <c r="CU19" s="35" t="s">
        <v>153</v>
      </c>
      <c r="CV19" s="36" t="s">
        <v>153</v>
      </c>
      <c r="CW19" s="36" t="s">
        <v>153</v>
      </c>
      <c r="CX19" s="36" t="s">
        <v>153</v>
      </c>
      <c r="CY19" s="36" t="s">
        <v>153</v>
      </c>
      <c r="CZ19" s="135" t="s">
        <v>153</v>
      </c>
      <c r="DA19" s="135" t="s">
        <v>153</v>
      </c>
      <c r="DB19" s="135" t="s">
        <v>153</v>
      </c>
      <c r="DC19" s="132" t="str">
        <f t="shared" si="39"/>
        <v/>
      </c>
      <c r="DD19" s="135" t="s">
        <v>153</v>
      </c>
      <c r="DE19" s="135" t="s">
        <v>153</v>
      </c>
      <c r="DF19" s="135" t="s">
        <v>153</v>
      </c>
      <c r="DG19" s="27" t="str">
        <f t="shared" si="15"/>
        <v/>
      </c>
      <c r="DH19" s="36" t="s">
        <v>153</v>
      </c>
      <c r="DI19" s="36" t="s">
        <v>153</v>
      </c>
      <c r="DJ19" s="128">
        <f t="shared" si="40"/>
        <v>4</v>
      </c>
      <c r="DK19" s="128" t="str">
        <f t="shared" si="41"/>
        <v>4-4</v>
      </c>
      <c r="DL19" s="128" t="str">
        <f t="shared" si="42"/>
        <v>CHUNG</v>
      </c>
      <c r="DM19" s="128" t="str">
        <f t="shared" si="43"/>
        <v>CHUNG</v>
      </c>
      <c r="DN19" s="128" t="str">
        <f t="shared" si="44"/>
        <v>CHUNG</v>
      </c>
      <c r="DO19" s="128" t="str">
        <f t="shared" si="45"/>
        <v>KHÁC</v>
      </c>
      <c r="DP19" s="128" t="str">
        <f t="shared" si="46"/>
        <v>KHÁC</v>
      </c>
      <c r="DQ19" s="128">
        <f t="shared" si="47"/>
        <v>4</v>
      </c>
      <c r="DR19" s="136" t="s">
        <v>70</v>
      </c>
      <c r="DS19" s="137" t="b">
        <f t="shared" si="48"/>
        <v>1</v>
      </c>
      <c r="DT19" s="137" t="b">
        <f t="shared" si="49"/>
        <v>1</v>
      </c>
      <c r="DU19" s="137" t="b">
        <f t="shared" si="50"/>
        <v>1</v>
      </c>
      <c r="DV19" s="128" t="b">
        <f t="shared" si="51"/>
        <v>1</v>
      </c>
      <c r="DW19" s="128" t="b">
        <f t="shared" si="52"/>
        <v>1</v>
      </c>
      <c r="DX19" s="128" t="s">
        <v>70</v>
      </c>
      <c r="DY19" s="128" t="s">
        <v>900</v>
      </c>
      <c r="DZ19" s="128" t="s">
        <v>153</v>
      </c>
      <c r="EA19" s="202" t="s">
        <v>70</v>
      </c>
      <c r="EB19" s="202">
        <v>4.5</v>
      </c>
      <c r="EC19" s="165"/>
      <c r="ED19" s="165"/>
      <c r="EE19" s="165"/>
      <c r="EF19" s="37" t="str">
        <f t="shared" si="53"/>
        <v>No</v>
      </c>
      <c r="EG19" s="37">
        <f t="shared" si="54"/>
        <v>4</v>
      </c>
      <c r="EH19" s="37">
        <f t="shared" si="55"/>
        <v>0</v>
      </c>
      <c r="EI19" s="37" t="str">
        <f t="shared" si="56"/>
        <v>No</v>
      </c>
    </row>
    <row r="20" spans="1:139" ht="47.25">
      <c r="A20" s="53">
        <v>19</v>
      </c>
      <c r="B20" s="26">
        <v>3</v>
      </c>
      <c r="C20" s="37">
        <v>19</v>
      </c>
      <c r="D20" s="221">
        <v>1802439</v>
      </c>
      <c r="E20" s="200" t="s">
        <v>649</v>
      </c>
      <c r="F20" s="54" t="s">
        <v>650</v>
      </c>
      <c r="G20" s="28" t="s">
        <v>793</v>
      </c>
      <c r="H20" s="27" t="s">
        <v>652</v>
      </c>
      <c r="I20" s="27" t="s">
        <v>794</v>
      </c>
      <c r="J20" s="27" t="s">
        <v>795</v>
      </c>
      <c r="K20" s="128" t="s">
        <v>796</v>
      </c>
      <c r="L20" s="130">
        <v>43497</v>
      </c>
      <c r="M20" s="130">
        <v>43489</v>
      </c>
      <c r="N20" s="29" t="str">
        <f t="shared" si="31"/>
        <v>B00474130219TG05</v>
      </c>
      <c r="O20" s="82">
        <v>474</v>
      </c>
      <c r="P20" s="30" t="str">
        <f t="shared" si="1"/>
        <v>130219</v>
      </c>
      <c r="Q20" s="29" t="s">
        <v>223</v>
      </c>
      <c r="R20" s="30" t="str">
        <f t="shared" si="32"/>
        <v>13/02/2019</v>
      </c>
      <c r="S20" s="30" t="str">
        <f t="shared" si="33"/>
        <v>13/02/2024</v>
      </c>
      <c r="T20" s="140" t="s">
        <v>952</v>
      </c>
      <c r="U20" s="140" t="s">
        <v>953</v>
      </c>
      <c r="V20" s="27">
        <v>3</v>
      </c>
      <c r="W20" s="27" t="s">
        <v>900</v>
      </c>
      <c r="X20" s="31" t="s">
        <v>650</v>
      </c>
      <c r="Y20" s="31" t="s">
        <v>935</v>
      </c>
      <c r="Z20" s="31" t="s">
        <v>903</v>
      </c>
      <c r="AA20" s="31">
        <v>3</v>
      </c>
      <c r="AB20" s="131" t="s">
        <v>400</v>
      </c>
      <c r="AC20" s="131" t="s">
        <v>400</v>
      </c>
      <c r="AD20" s="131" t="s">
        <v>400</v>
      </c>
      <c r="AE20" s="131"/>
      <c r="AF20" s="132" t="str">
        <f t="shared" si="34"/>
        <v>4/4/4</v>
      </c>
      <c r="AG20" s="131">
        <v>37.24</v>
      </c>
      <c r="AH20" s="131">
        <v>37.24</v>
      </c>
      <c r="AI20" s="131">
        <v>37.24</v>
      </c>
      <c r="AJ20" s="131"/>
      <c r="AK20" s="27" t="str">
        <f t="shared" si="5"/>
        <v>37,24W/ 37,24W/ 37,24W</v>
      </c>
      <c r="AL20" s="31" t="s">
        <v>904</v>
      </c>
      <c r="AM20" s="31" t="s">
        <v>955</v>
      </c>
      <c r="AN20" s="32" t="s">
        <v>650</v>
      </c>
      <c r="AO20" s="32" t="s">
        <v>935</v>
      </c>
      <c r="AP20" s="32" t="s">
        <v>657</v>
      </c>
      <c r="AQ20" s="32">
        <v>3</v>
      </c>
      <c r="AR20" s="133" t="s">
        <v>401</v>
      </c>
      <c r="AS20" s="133" t="s">
        <v>401</v>
      </c>
      <c r="AT20" s="133" t="s">
        <v>401</v>
      </c>
      <c r="AU20" s="133"/>
      <c r="AV20" s="132" t="str">
        <f t="shared" si="35"/>
        <v>2/2/2</v>
      </c>
      <c r="AW20" s="133" t="s">
        <v>901</v>
      </c>
      <c r="AX20" s="133" t="s">
        <v>901</v>
      </c>
      <c r="AY20" s="133" t="s">
        <v>901</v>
      </c>
      <c r="AZ20" s="133"/>
      <c r="BA20" s="27" t="str">
        <f t="shared" si="7"/>
        <v>40W/ 40W/ 40W</v>
      </c>
      <c r="BB20" s="32" t="s">
        <v>659</v>
      </c>
      <c r="BC20" s="32" t="s">
        <v>959</v>
      </c>
      <c r="BD20" s="129" t="s">
        <v>650</v>
      </c>
      <c r="BE20" s="129" t="s">
        <v>935</v>
      </c>
      <c r="BF20" s="129" t="s">
        <v>910</v>
      </c>
      <c r="BG20" s="129">
        <v>3</v>
      </c>
      <c r="BH20" s="129" t="s">
        <v>911</v>
      </c>
      <c r="BI20" s="129" t="s">
        <v>911</v>
      </c>
      <c r="BJ20" s="129" t="s">
        <v>911</v>
      </c>
      <c r="BK20" s="129"/>
      <c r="BL20" s="132" t="str">
        <f t="shared" si="36"/>
        <v>1/1/1</v>
      </c>
      <c r="BM20" s="129" t="s">
        <v>901</v>
      </c>
      <c r="BN20" s="129" t="s">
        <v>901</v>
      </c>
      <c r="BO20" s="129" t="s">
        <v>901</v>
      </c>
      <c r="BP20" s="129"/>
      <c r="BQ20" s="27" t="str">
        <f t="shared" si="9"/>
        <v>40W/ 40W/ 40W</v>
      </c>
      <c r="BR20" s="129" t="s">
        <v>912</v>
      </c>
      <c r="BS20" s="129" t="s">
        <v>959</v>
      </c>
      <c r="BT20" s="33" t="s">
        <v>153</v>
      </c>
      <c r="BU20" s="33" t="s">
        <v>153</v>
      </c>
      <c r="BV20" s="33" t="s">
        <v>153</v>
      </c>
      <c r="BW20" s="33" t="s">
        <v>153</v>
      </c>
      <c r="BX20" s="34" t="s">
        <v>153</v>
      </c>
      <c r="BY20" s="34" t="s">
        <v>153</v>
      </c>
      <c r="BZ20" s="34" t="s">
        <v>153</v>
      </c>
      <c r="CA20" s="132" t="str">
        <f t="shared" si="37"/>
        <v/>
      </c>
      <c r="CB20" s="34" t="s">
        <v>153</v>
      </c>
      <c r="CC20" s="34" t="s">
        <v>153</v>
      </c>
      <c r="CD20" s="34" t="s">
        <v>153</v>
      </c>
      <c r="CE20" s="27" t="str">
        <f t="shared" si="11"/>
        <v/>
      </c>
      <c r="CF20" s="33" t="s">
        <v>153</v>
      </c>
      <c r="CG20" s="33" t="s">
        <v>153</v>
      </c>
      <c r="CH20" s="35" t="s">
        <v>153</v>
      </c>
      <c r="CI20" s="35" t="s">
        <v>153</v>
      </c>
      <c r="CJ20" s="35" t="s">
        <v>153</v>
      </c>
      <c r="CK20" s="35" t="s">
        <v>153</v>
      </c>
      <c r="CL20" s="134" t="s">
        <v>153</v>
      </c>
      <c r="CM20" s="134" t="s">
        <v>153</v>
      </c>
      <c r="CN20" s="134" t="s">
        <v>153</v>
      </c>
      <c r="CO20" s="132" t="str">
        <f t="shared" si="38"/>
        <v/>
      </c>
      <c r="CP20" s="134" t="s">
        <v>153</v>
      </c>
      <c r="CQ20" s="134" t="s">
        <v>153</v>
      </c>
      <c r="CR20" s="134" t="s">
        <v>153</v>
      </c>
      <c r="CS20" s="27" t="str">
        <f t="shared" si="13"/>
        <v/>
      </c>
      <c r="CT20" s="35" t="s">
        <v>153</v>
      </c>
      <c r="CU20" s="35" t="s">
        <v>153</v>
      </c>
      <c r="CV20" s="36" t="s">
        <v>153</v>
      </c>
      <c r="CW20" s="36" t="s">
        <v>153</v>
      </c>
      <c r="CX20" s="36" t="s">
        <v>153</v>
      </c>
      <c r="CY20" s="36" t="s">
        <v>153</v>
      </c>
      <c r="CZ20" s="135" t="s">
        <v>153</v>
      </c>
      <c r="DA20" s="135" t="s">
        <v>153</v>
      </c>
      <c r="DB20" s="135" t="s">
        <v>153</v>
      </c>
      <c r="DC20" s="132" t="str">
        <f t="shared" si="39"/>
        <v/>
      </c>
      <c r="DD20" s="135" t="s">
        <v>153</v>
      </c>
      <c r="DE20" s="135" t="s">
        <v>153</v>
      </c>
      <c r="DF20" s="135" t="s">
        <v>153</v>
      </c>
      <c r="DG20" s="27" t="str">
        <f t="shared" si="15"/>
        <v/>
      </c>
      <c r="DH20" s="36" t="s">
        <v>153</v>
      </c>
      <c r="DI20" s="36" t="s">
        <v>153</v>
      </c>
      <c r="DJ20" s="128">
        <f t="shared" si="40"/>
        <v>3</v>
      </c>
      <c r="DK20" s="128" t="str">
        <f t="shared" si="41"/>
        <v>3-3</v>
      </c>
      <c r="DL20" s="128" t="str">
        <f t="shared" si="42"/>
        <v>CHUNG</v>
      </c>
      <c r="DM20" s="128" t="str">
        <f t="shared" si="43"/>
        <v>CHUNG</v>
      </c>
      <c r="DN20" s="128" t="str">
        <f t="shared" si="44"/>
        <v>KHÁC</v>
      </c>
      <c r="DO20" s="128" t="str">
        <f t="shared" si="45"/>
        <v>KHÁC</v>
      </c>
      <c r="DP20" s="128" t="str">
        <f t="shared" si="46"/>
        <v>KHÁC</v>
      </c>
      <c r="DQ20" s="128">
        <f t="shared" si="47"/>
        <v>3</v>
      </c>
      <c r="DR20" s="136" t="s">
        <v>70</v>
      </c>
      <c r="DS20" s="137" t="b">
        <f t="shared" si="48"/>
        <v>1</v>
      </c>
      <c r="DT20" s="137" t="b">
        <f t="shared" si="49"/>
        <v>1</v>
      </c>
      <c r="DU20" s="137" t="b">
        <f t="shared" si="50"/>
        <v>1</v>
      </c>
      <c r="DV20" s="128" t="b">
        <f t="shared" si="51"/>
        <v>1</v>
      </c>
      <c r="DW20" s="128" t="b">
        <f t="shared" si="52"/>
        <v>1</v>
      </c>
      <c r="DX20" s="128" t="s">
        <v>70</v>
      </c>
      <c r="DY20" s="128" t="s">
        <v>900</v>
      </c>
      <c r="DZ20" s="128" t="s">
        <v>153</v>
      </c>
      <c r="EA20" s="202" t="s">
        <v>70</v>
      </c>
      <c r="EB20" s="202">
        <v>8.5</v>
      </c>
      <c r="EC20" s="165"/>
      <c r="ED20" s="165"/>
      <c r="EE20" s="165"/>
      <c r="EF20" s="37" t="str">
        <f t="shared" si="53"/>
        <v>No</v>
      </c>
      <c r="EG20" s="37">
        <f t="shared" si="54"/>
        <v>3</v>
      </c>
      <c r="EH20" s="37">
        <f t="shared" si="55"/>
        <v>0</v>
      </c>
      <c r="EI20" s="37" t="str">
        <f t="shared" si="56"/>
        <v>No</v>
      </c>
    </row>
    <row r="21" spans="1:139" ht="47.25">
      <c r="A21" s="53">
        <v>20</v>
      </c>
      <c r="B21" s="26">
        <v>3</v>
      </c>
      <c r="C21" s="37">
        <v>20</v>
      </c>
      <c r="D21" s="221">
        <v>1802440</v>
      </c>
      <c r="E21" s="200" t="s">
        <v>649</v>
      </c>
      <c r="F21" s="54" t="s">
        <v>650</v>
      </c>
      <c r="G21" s="28" t="s">
        <v>801</v>
      </c>
      <c r="H21" s="27" t="s">
        <v>652</v>
      </c>
      <c r="I21" s="27" t="s">
        <v>802</v>
      </c>
      <c r="J21" s="27" t="s">
        <v>803</v>
      </c>
      <c r="K21" s="128" t="s">
        <v>804</v>
      </c>
      <c r="L21" s="130">
        <v>43497</v>
      </c>
      <c r="M21" s="130">
        <v>43490</v>
      </c>
      <c r="N21" s="29" t="str">
        <f t="shared" si="31"/>
        <v>B00475130219TG05</v>
      </c>
      <c r="O21" s="82">
        <v>475</v>
      </c>
      <c r="P21" s="30" t="str">
        <f t="shared" si="1"/>
        <v>130219</v>
      </c>
      <c r="Q21" s="29" t="s">
        <v>223</v>
      </c>
      <c r="R21" s="30" t="str">
        <f t="shared" si="32"/>
        <v>13/02/2019</v>
      </c>
      <c r="S21" s="30" t="str">
        <f t="shared" si="33"/>
        <v>13/02/2024</v>
      </c>
      <c r="T21" s="140" t="s">
        <v>952</v>
      </c>
      <c r="U21" s="140" t="s">
        <v>953</v>
      </c>
      <c r="V21" s="27">
        <v>3</v>
      </c>
      <c r="W21" s="27" t="s">
        <v>70</v>
      </c>
      <c r="X21" s="31" t="s">
        <v>650</v>
      </c>
      <c r="Y21" s="31" t="s">
        <v>936</v>
      </c>
      <c r="Z21" s="31" t="s">
        <v>903</v>
      </c>
      <c r="AA21" s="31">
        <v>4</v>
      </c>
      <c r="AB21" s="131" t="s">
        <v>400</v>
      </c>
      <c r="AC21" s="131" t="s">
        <v>400</v>
      </c>
      <c r="AD21" s="131" t="s">
        <v>400</v>
      </c>
      <c r="AE21" s="131">
        <v>4</v>
      </c>
      <c r="AF21" s="132" t="str">
        <f t="shared" si="34"/>
        <v>4/4/4/4</v>
      </c>
      <c r="AG21" s="131">
        <v>37.24</v>
      </c>
      <c r="AH21" s="131">
        <v>37.24</v>
      </c>
      <c r="AI21" s="131">
        <v>37.24</v>
      </c>
      <c r="AJ21" s="131">
        <v>37.24</v>
      </c>
      <c r="AK21" s="27" t="str">
        <f t="shared" si="5"/>
        <v>37,24W/ 37,24W/ 37,24W/ 37,24W</v>
      </c>
      <c r="AL21" s="31" t="s">
        <v>904</v>
      </c>
      <c r="AM21" s="31" t="s">
        <v>937</v>
      </c>
      <c r="AN21" s="32" t="s">
        <v>650</v>
      </c>
      <c r="AO21" s="32" t="s">
        <v>936</v>
      </c>
      <c r="AP21" s="32" t="s">
        <v>657</v>
      </c>
      <c r="AQ21" s="32">
        <v>3</v>
      </c>
      <c r="AR21" s="133" t="s">
        <v>401</v>
      </c>
      <c r="AS21" s="133" t="s">
        <v>401</v>
      </c>
      <c r="AT21" s="133" t="s">
        <v>401</v>
      </c>
      <c r="AU21" s="133"/>
      <c r="AV21" s="132" t="str">
        <f t="shared" si="35"/>
        <v>2/2/2</v>
      </c>
      <c r="AW21" s="133" t="s">
        <v>901</v>
      </c>
      <c r="AX21" s="133" t="s">
        <v>901</v>
      </c>
      <c r="AY21" s="133" t="s">
        <v>901</v>
      </c>
      <c r="AZ21" s="133"/>
      <c r="BA21" s="27" t="str">
        <f t="shared" si="7"/>
        <v>40W/ 40W/ 40W</v>
      </c>
      <c r="BB21" s="32" t="s">
        <v>659</v>
      </c>
      <c r="BC21" s="32" t="s">
        <v>916</v>
      </c>
      <c r="BD21" s="129" t="s">
        <v>650</v>
      </c>
      <c r="BE21" s="129" t="s">
        <v>936</v>
      </c>
      <c r="BF21" s="129" t="s">
        <v>910</v>
      </c>
      <c r="BG21" s="129">
        <v>3</v>
      </c>
      <c r="BH21" s="129" t="s">
        <v>911</v>
      </c>
      <c r="BI21" s="129" t="s">
        <v>911</v>
      </c>
      <c r="BJ21" s="129" t="s">
        <v>911</v>
      </c>
      <c r="BK21" s="129"/>
      <c r="BL21" s="132" t="str">
        <f t="shared" si="36"/>
        <v>1/1/1</v>
      </c>
      <c r="BM21" s="129" t="s">
        <v>901</v>
      </c>
      <c r="BN21" s="129" t="s">
        <v>901</v>
      </c>
      <c r="BO21" s="129" t="s">
        <v>901</v>
      </c>
      <c r="BP21" s="129"/>
      <c r="BQ21" s="27" t="str">
        <f t="shared" si="9"/>
        <v>40W/ 40W/ 40W</v>
      </c>
      <c r="BR21" s="129" t="s">
        <v>912</v>
      </c>
      <c r="BS21" s="129" t="s">
        <v>916</v>
      </c>
      <c r="BT21" s="33" t="s">
        <v>153</v>
      </c>
      <c r="BU21" s="33" t="s">
        <v>153</v>
      </c>
      <c r="BV21" s="33" t="s">
        <v>153</v>
      </c>
      <c r="BW21" s="33" t="s">
        <v>153</v>
      </c>
      <c r="BX21" s="34" t="s">
        <v>153</v>
      </c>
      <c r="BY21" s="34" t="s">
        <v>153</v>
      </c>
      <c r="BZ21" s="34" t="s">
        <v>153</v>
      </c>
      <c r="CA21" s="132" t="str">
        <f t="shared" si="37"/>
        <v/>
      </c>
      <c r="CB21" s="34" t="s">
        <v>153</v>
      </c>
      <c r="CC21" s="34" t="s">
        <v>153</v>
      </c>
      <c r="CD21" s="34" t="s">
        <v>153</v>
      </c>
      <c r="CE21" s="27" t="str">
        <f t="shared" si="11"/>
        <v/>
      </c>
      <c r="CF21" s="33" t="s">
        <v>153</v>
      </c>
      <c r="CG21" s="33" t="s">
        <v>153</v>
      </c>
      <c r="CH21" s="35" t="s">
        <v>153</v>
      </c>
      <c r="CI21" s="35" t="s">
        <v>153</v>
      </c>
      <c r="CJ21" s="35" t="s">
        <v>153</v>
      </c>
      <c r="CK21" s="35" t="s">
        <v>153</v>
      </c>
      <c r="CL21" s="134" t="s">
        <v>153</v>
      </c>
      <c r="CM21" s="134" t="s">
        <v>153</v>
      </c>
      <c r="CN21" s="134" t="s">
        <v>153</v>
      </c>
      <c r="CO21" s="132" t="str">
        <f t="shared" si="38"/>
        <v/>
      </c>
      <c r="CP21" s="134" t="s">
        <v>153</v>
      </c>
      <c r="CQ21" s="134" t="s">
        <v>153</v>
      </c>
      <c r="CR21" s="134" t="s">
        <v>153</v>
      </c>
      <c r="CS21" s="27" t="str">
        <f t="shared" si="13"/>
        <v/>
      </c>
      <c r="CT21" s="35" t="s">
        <v>153</v>
      </c>
      <c r="CU21" s="35" t="s">
        <v>153</v>
      </c>
      <c r="CV21" s="36" t="s">
        <v>153</v>
      </c>
      <c r="CW21" s="36" t="s">
        <v>153</v>
      </c>
      <c r="CX21" s="36" t="s">
        <v>153</v>
      </c>
      <c r="CY21" s="36" t="s">
        <v>153</v>
      </c>
      <c r="CZ21" s="135" t="s">
        <v>153</v>
      </c>
      <c r="DA21" s="135" t="s">
        <v>153</v>
      </c>
      <c r="DB21" s="135" t="s">
        <v>153</v>
      </c>
      <c r="DC21" s="132" t="str">
        <f t="shared" si="39"/>
        <v/>
      </c>
      <c r="DD21" s="135" t="s">
        <v>153</v>
      </c>
      <c r="DE21" s="135" t="s">
        <v>153</v>
      </c>
      <c r="DF21" s="135" t="s">
        <v>153</v>
      </c>
      <c r="DG21" s="27" t="str">
        <f t="shared" si="15"/>
        <v/>
      </c>
      <c r="DH21" s="36" t="s">
        <v>153</v>
      </c>
      <c r="DI21" s="36" t="s">
        <v>153</v>
      </c>
      <c r="DJ21" s="128">
        <f t="shared" si="40"/>
        <v>3</v>
      </c>
      <c r="DK21" s="128" t="str">
        <f t="shared" si="41"/>
        <v>3-3</v>
      </c>
      <c r="DL21" s="128" t="str">
        <f t="shared" si="42"/>
        <v>CHUNG</v>
      </c>
      <c r="DM21" s="128" t="str">
        <f t="shared" si="43"/>
        <v>CHUNG</v>
      </c>
      <c r="DN21" s="128" t="str">
        <f t="shared" si="44"/>
        <v>KHÁC</v>
      </c>
      <c r="DO21" s="128" t="str">
        <f t="shared" si="45"/>
        <v>KHÁC</v>
      </c>
      <c r="DP21" s="128" t="str">
        <f t="shared" si="46"/>
        <v>KHÁC</v>
      </c>
      <c r="DQ21" s="128">
        <f t="shared" si="47"/>
        <v>3</v>
      </c>
      <c r="DR21" s="136" t="s">
        <v>70</v>
      </c>
      <c r="DS21" s="137" t="b">
        <f t="shared" si="48"/>
        <v>1</v>
      </c>
      <c r="DT21" s="137" t="b">
        <f t="shared" si="49"/>
        <v>1</v>
      </c>
      <c r="DU21" s="137" t="b">
        <f t="shared" si="50"/>
        <v>1</v>
      </c>
      <c r="DV21" s="128" t="b">
        <f t="shared" si="51"/>
        <v>1</v>
      </c>
      <c r="DW21" s="128" t="b">
        <f t="shared" si="52"/>
        <v>1</v>
      </c>
      <c r="DX21" s="128" t="s">
        <v>70</v>
      </c>
      <c r="DY21" s="128" t="s">
        <v>70</v>
      </c>
      <c r="DZ21" s="128">
        <v>36</v>
      </c>
      <c r="EA21" s="202" t="s">
        <v>70</v>
      </c>
      <c r="EB21" s="202">
        <v>25.5</v>
      </c>
      <c r="EC21" s="165"/>
      <c r="ED21" s="165"/>
      <c r="EE21" s="165"/>
      <c r="EF21" s="37" t="str">
        <f t="shared" si="53"/>
        <v>No</v>
      </c>
      <c r="EG21" s="37">
        <f t="shared" si="54"/>
        <v>3</v>
      </c>
      <c r="EH21" s="37">
        <f t="shared" si="55"/>
        <v>0</v>
      </c>
      <c r="EI21" s="37" t="str">
        <f t="shared" si="56"/>
        <v>No</v>
      </c>
    </row>
    <row r="22" spans="1:139" ht="63">
      <c r="A22" s="53">
        <v>21</v>
      </c>
      <c r="B22" s="26">
        <v>3</v>
      </c>
      <c r="C22" s="37">
        <v>21</v>
      </c>
      <c r="D22" s="221">
        <v>1802441</v>
      </c>
      <c r="E22" s="200" t="s">
        <v>649</v>
      </c>
      <c r="F22" s="54" t="s">
        <v>650</v>
      </c>
      <c r="G22" s="28" t="s">
        <v>809</v>
      </c>
      <c r="H22" s="27" t="s">
        <v>652</v>
      </c>
      <c r="I22" s="27" t="s">
        <v>810</v>
      </c>
      <c r="J22" s="27" t="s">
        <v>811</v>
      </c>
      <c r="K22" s="128" t="s">
        <v>812</v>
      </c>
      <c r="L22" s="130">
        <v>43497</v>
      </c>
      <c r="M22" s="130">
        <v>43490</v>
      </c>
      <c r="N22" s="29" t="str">
        <f t="shared" si="31"/>
        <v>B00476130219TG05</v>
      </c>
      <c r="O22" s="82">
        <v>476</v>
      </c>
      <c r="P22" s="30" t="str">
        <f t="shared" si="1"/>
        <v>130219</v>
      </c>
      <c r="Q22" s="29" t="s">
        <v>223</v>
      </c>
      <c r="R22" s="30" t="str">
        <f t="shared" si="32"/>
        <v>13/02/2019</v>
      </c>
      <c r="S22" s="30" t="str">
        <f t="shared" si="33"/>
        <v>13/02/2024</v>
      </c>
      <c r="T22" s="140" t="s">
        <v>952</v>
      </c>
      <c r="U22" s="140" t="s">
        <v>953</v>
      </c>
      <c r="V22" s="27">
        <v>4</v>
      </c>
      <c r="W22" s="27" t="s">
        <v>900</v>
      </c>
      <c r="X22" s="31" t="s">
        <v>650</v>
      </c>
      <c r="Y22" s="31" t="s">
        <v>938</v>
      </c>
      <c r="Z22" s="31" t="s">
        <v>903</v>
      </c>
      <c r="AA22" s="31">
        <v>3</v>
      </c>
      <c r="AB22" s="131" t="s">
        <v>400</v>
      </c>
      <c r="AC22" s="131" t="s">
        <v>400</v>
      </c>
      <c r="AD22" s="131" t="s">
        <v>400</v>
      </c>
      <c r="AE22" s="131"/>
      <c r="AF22" s="132" t="str">
        <f t="shared" si="34"/>
        <v>4/4/4</v>
      </c>
      <c r="AG22" s="131">
        <v>37.24</v>
      </c>
      <c r="AH22" s="131">
        <v>37.24</v>
      </c>
      <c r="AI22" s="131">
        <v>37.24</v>
      </c>
      <c r="AJ22" s="131"/>
      <c r="AK22" s="27" t="str">
        <f t="shared" si="5"/>
        <v>37,24W/ 37,24W/ 37,24W</v>
      </c>
      <c r="AL22" s="31" t="s">
        <v>904</v>
      </c>
      <c r="AM22" s="31" t="s">
        <v>925</v>
      </c>
      <c r="AN22" s="32" t="s">
        <v>650</v>
      </c>
      <c r="AO22" s="32" t="s">
        <v>938</v>
      </c>
      <c r="AP22" s="32" t="s">
        <v>903</v>
      </c>
      <c r="AQ22" s="32">
        <v>3</v>
      </c>
      <c r="AR22" s="133" t="s">
        <v>401</v>
      </c>
      <c r="AS22" s="133" t="s">
        <v>401</v>
      </c>
      <c r="AT22" s="133" t="s">
        <v>401</v>
      </c>
      <c r="AU22" s="133"/>
      <c r="AV22" s="132" t="str">
        <f t="shared" si="35"/>
        <v>2/2/2</v>
      </c>
      <c r="AW22" s="133">
        <v>41.7</v>
      </c>
      <c r="AX22" s="133">
        <v>41.7</v>
      </c>
      <c r="AY22" s="133">
        <v>41.7</v>
      </c>
      <c r="AZ22" s="133"/>
      <c r="BA22" s="27" t="str">
        <f t="shared" si="7"/>
        <v>41,7W/ 41,7W/ 41,7W</v>
      </c>
      <c r="BB22" s="32" t="s">
        <v>908</v>
      </c>
      <c r="BC22" s="32" t="s">
        <v>906</v>
      </c>
      <c r="BD22" s="129" t="s">
        <v>650</v>
      </c>
      <c r="BE22" s="129" t="s">
        <v>938</v>
      </c>
      <c r="BF22" s="129" t="s">
        <v>657</v>
      </c>
      <c r="BG22" s="129">
        <v>3</v>
      </c>
      <c r="BH22" s="129" t="s">
        <v>401</v>
      </c>
      <c r="BI22" s="129" t="s">
        <v>401</v>
      </c>
      <c r="BJ22" s="129" t="s">
        <v>401</v>
      </c>
      <c r="BK22" s="129"/>
      <c r="BL22" s="132" t="str">
        <f t="shared" si="36"/>
        <v>2/2/2</v>
      </c>
      <c r="BM22" s="129" t="s">
        <v>901</v>
      </c>
      <c r="BN22" s="129" t="s">
        <v>901</v>
      </c>
      <c r="BO22" s="129" t="s">
        <v>901</v>
      </c>
      <c r="BP22" s="129"/>
      <c r="BQ22" s="27" t="str">
        <f t="shared" si="9"/>
        <v>40W/ 40W/ 40W</v>
      </c>
      <c r="BR22" s="129" t="s">
        <v>659</v>
      </c>
      <c r="BS22" s="129" t="s">
        <v>929</v>
      </c>
      <c r="BT22" s="33" t="s">
        <v>650</v>
      </c>
      <c r="BU22" s="33" t="s">
        <v>938</v>
      </c>
      <c r="BV22" s="33" t="s">
        <v>910</v>
      </c>
      <c r="BW22" s="33">
        <v>3</v>
      </c>
      <c r="BX22" s="34" t="s">
        <v>911</v>
      </c>
      <c r="BY22" s="34" t="s">
        <v>911</v>
      </c>
      <c r="BZ22" s="34" t="s">
        <v>911</v>
      </c>
      <c r="CA22" s="132" t="str">
        <f t="shared" si="37"/>
        <v>1/1/1</v>
      </c>
      <c r="CB22" s="34" t="s">
        <v>901</v>
      </c>
      <c r="CC22" s="34" t="s">
        <v>901</v>
      </c>
      <c r="CD22" s="34" t="s">
        <v>901</v>
      </c>
      <c r="CE22" s="27" t="str">
        <f t="shared" si="11"/>
        <v>40,00W/ 40,00W/ 40,00W</v>
      </c>
      <c r="CF22" s="33" t="s">
        <v>912</v>
      </c>
      <c r="CG22" s="33" t="s">
        <v>922</v>
      </c>
      <c r="CH22" s="35" t="s">
        <v>153</v>
      </c>
      <c r="CI22" s="35" t="s">
        <v>153</v>
      </c>
      <c r="CJ22" s="35" t="s">
        <v>153</v>
      </c>
      <c r="CK22" s="35" t="s">
        <v>153</v>
      </c>
      <c r="CL22" s="134" t="s">
        <v>153</v>
      </c>
      <c r="CM22" s="134" t="s">
        <v>153</v>
      </c>
      <c r="CN22" s="134" t="s">
        <v>153</v>
      </c>
      <c r="CO22" s="132" t="str">
        <f t="shared" si="38"/>
        <v/>
      </c>
      <c r="CP22" s="134" t="s">
        <v>153</v>
      </c>
      <c r="CQ22" s="134" t="s">
        <v>153</v>
      </c>
      <c r="CR22" s="134" t="s">
        <v>153</v>
      </c>
      <c r="CS22" s="27" t="str">
        <f t="shared" si="13"/>
        <v/>
      </c>
      <c r="CT22" s="35" t="s">
        <v>153</v>
      </c>
      <c r="CU22" s="35" t="s">
        <v>153</v>
      </c>
      <c r="CV22" s="36" t="s">
        <v>153</v>
      </c>
      <c r="CW22" s="36" t="s">
        <v>153</v>
      </c>
      <c r="CX22" s="36" t="s">
        <v>153</v>
      </c>
      <c r="CY22" s="36" t="s">
        <v>153</v>
      </c>
      <c r="CZ22" s="135" t="s">
        <v>153</v>
      </c>
      <c r="DA22" s="135" t="s">
        <v>153</v>
      </c>
      <c r="DB22" s="135" t="s">
        <v>153</v>
      </c>
      <c r="DC22" s="132" t="str">
        <f t="shared" si="39"/>
        <v/>
      </c>
      <c r="DD22" s="135" t="s">
        <v>153</v>
      </c>
      <c r="DE22" s="135" t="s">
        <v>153</v>
      </c>
      <c r="DF22" s="135" t="s">
        <v>153</v>
      </c>
      <c r="DG22" s="27" t="str">
        <f t="shared" si="15"/>
        <v/>
      </c>
      <c r="DH22" s="36" t="s">
        <v>153</v>
      </c>
      <c r="DI22" s="36" t="s">
        <v>153</v>
      </c>
      <c r="DJ22" s="128">
        <f t="shared" si="40"/>
        <v>4</v>
      </c>
      <c r="DK22" s="128" t="str">
        <f t="shared" si="41"/>
        <v>4-4</v>
      </c>
      <c r="DL22" s="128" t="str">
        <f t="shared" si="42"/>
        <v>CHUNG</v>
      </c>
      <c r="DM22" s="128" t="str">
        <f t="shared" si="43"/>
        <v>CHUNG</v>
      </c>
      <c r="DN22" s="128" t="str">
        <f t="shared" si="44"/>
        <v>CHUNG</v>
      </c>
      <c r="DO22" s="128" t="str">
        <f t="shared" si="45"/>
        <v>KHÁC</v>
      </c>
      <c r="DP22" s="128" t="str">
        <f t="shared" si="46"/>
        <v>KHÁC</v>
      </c>
      <c r="DQ22" s="128">
        <f t="shared" si="47"/>
        <v>4</v>
      </c>
      <c r="DR22" s="136" t="s">
        <v>70</v>
      </c>
      <c r="DS22" s="137" t="b">
        <f t="shared" si="48"/>
        <v>1</v>
      </c>
      <c r="DT22" s="137" t="b">
        <f t="shared" si="49"/>
        <v>1</v>
      </c>
      <c r="DU22" s="137" t="b">
        <f t="shared" si="50"/>
        <v>1</v>
      </c>
      <c r="DV22" s="128" t="b">
        <f t="shared" si="51"/>
        <v>1</v>
      </c>
      <c r="DW22" s="128" t="b">
        <f t="shared" si="52"/>
        <v>1</v>
      </c>
      <c r="DX22" s="128" t="s">
        <v>70</v>
      </c>
      <c r="DY22" s="128" t="s">
        <v>900</v>
      </c>
      <c r="DZ22" s="128" t="s">
        <v>153</v>
      </c>
      <c r="EA22" s="202" t="s">
        <v>70</v>
      </c>
      <c r="EB22" s="202">
        <v>25</v>
      </c>
      <c r="EC22" s="165"/>
      <c r="ED22" s="165"/>
      <c r="EE22" s="165"/>
      <c r="EF22" s="37" t="str">
        <f t="shared" si="53"/>
        <v>No</v>
      </c>
      <c r="EG22" s="37">
        <f t="shared" si="54"/>
        <v>4</v>
      </c>
      <c r="EH22" s="37">
        <f t="shared" si="55"/>
        <v>0</v>
      </c>
      <c r="EI22" s="37" t="str">
        <f t="shared" si="56"/>
        <v>No</v>
      </c>
    </row>
    <row r="23" spans="1:139" ht="47.25">
      <c r="A23" s="53">
        <v>22</v>
      </c>
      <c r="B23" s="26">
        <v>3</v>
      </c>
      <c r="C23" s="37">
        <v>22</v>
      </c>
      <c r="D23" s="221">
        <v>1802442</v>
      </c>
      <c r="E23" s="200" t="s">
        <v>649</v>
      </c>
      <c r="F23" s="54" t="s">
        <v>650</v>
      </c>
      <c r="G23" s="28" t="s">
        <v>818</v>
      </c>
      <c r="H23" s="27" t="s">
        <v>652</v>
      </c>
      <c r="I23" s="27" t="s">
        <v>819</v>
      </c>
      <c r="J23" s="27" t="s">
        <v>820</v>
      </c>
      <c r="K23" s="128" t="s">
        <v>821</v>
      </c>
      <c r="L23" s="130">
        <v>43497</v>
      </c>
      <c r="M23" s="130">
        <v>43490</v>
      </c>
      <c r="N23" s="29" t="str">
        <f t="shared" si="31"/>
        <v>B00477130219TG05</v>
      </c>
      <c r="O23" s="82">
        <v>477</v>
      </c>
      <c r="P23" s="30" t="str">
        <f t="shared" si="1"/>
        <v>130219</v>
      </c>
      <c r="Q23" s="29" t="s">
        <v>223</v>
      </c>
      <c r="R23" s="30" t="str">
        <f t="shared" si="32"/>
        <v>13/02/2019</v>
      </c>
      <c r="S23" s="30" t="str">
        <f t="shared" si="33"/>
        <v>13/02/2024</v>
      </c>
      <c r="T23" s="140" t="s">
        <v>952</v>
      </c>
      <c r="U23" s="140" t="s">
        <v>953</v>
      </c>
      <c r="V23" s="27">
        <v>3</v>
      </c>
      <c r="W23" s="27" t="s">
        <v>70</v>
      </c>
      <c r="X23" s="31" t="s">
        <v>650</v>
      </c>
      <c r="Y23" s="31" t="s">
        <v>939</v>
      </c>
      <c r="Z23" s="31" t="s">
        <v>903</v>
      </c>
      <c r="AA23" s="31">
        <v>4</v>
      </c>
      <c r="AB23" s="131" t="s">
        <v>400</v>
      </c>
      <c r="AC23" s="131" t="s">
        <v>400</v>
      </c>
      <c r="AD23" s="131" t="s">
        <v>401</v>
      </c>
      <c r="AE23" s="131">
        <v>4</v>
      </c>
      <c r="AF23" s="132" t="str">
        <f t="shared" si="34"/>
        <v>4/4/2/4</v>
      </c>
      <c r="AG23" s="131">
        <v>37.24</v>
      </c>
      <c r="AH23" s="131">
        <v>37.24</v>
      </c>
      <c r="AI23" s="131">
        <v>41.7</v>
      </c>
      <c r="AJ23" s="131">
        <v>37.24</v>
      </c>
      <c r="AK23" s="27" t="str">
        <f t="shared" si="5"/>
        <v>37,24W/ 37,24W/ 41,7W/ 37,24W</v>
      </c>
      <c r="AL23" s="31" t="s">
        <v>904</v>
      </c>
      <c r="AM23" s="31" t="s">
        <v>940</v>
      </c>
      <c r="AN23" s="32" t="s">
        <v>650</v>
      </c>
      <c r="AO23" s="32" t="s">
        <v>939</v>
      </c>
      <c r="AP23" s="32" t="s">
        <v>657</v>
      </c>
      <c r="AQ23" s="32">
        <v>3</v>
      </c>
      <c r="AR23" s="133" t="s">
        <v>401</v>
      </c>
      <c r="AS23" s="133" t="s">
        <v>401</v>
      </c>
      <c r="AT23" s="133" t="s">
        <v>401</v>
      </c>
      <c r="AU23" s="133"/>
      <c r="AV23" s="132" t="str">
        <f t="shared" si="35"/>
        <v>2/2/2</v>
      </c>
      <c r="AW23" s="133" t="s">
        <v>901</v>
      </c>
      <c r="AX23" s="133" t="s">
        <v>901</v>
      </c>
      <c r="AY23" s="133" t="s">
        <v>901</v>
      </c>
      <c r="AZ23" s="133"/>
      <c r="BA23" s="27" t="str">
        <f t="shared" si="7"/>
        <v>40W/ 40W/ 40W</v>
      </c>
      <c r="BB23" s="32" t="s">
        <v>659</v>
      </c>
      <c r="BC23" s="32" t="s">
        <v>922</v>
      </c>
      <c r="BD23" s="129" t="s">
        <v>650</v>
      </c>
      <c r="BE23" s="129" t="s">
        <v>939</v>
      </c>
      <c r="BF23" s="129" t="s">
        <v>910</v>
      </c>
      <c r="BG23" s="129">
        <v>3</v>
      </c>
      <c r="BH23" s="129" t="s">
        <v>911</v>
      </c>
      <c r="BI23" s="129" t="s">
        <v>911</v>
      </c>
      <c r="BJ23" s="129" t="s">
        <v>911</v>
      </c>
      <c r="BK23" s="129"/>
      <c r="BL23" s="132" t="str">
        <f t="shared" si="36"/>
        <v>1/1/1</v>
      </c>
      <c r="BM23" s="129" t="s">
        <v>901</v>
      </c>
      <c r="BN23" s="129" t="s">
        <v>901</v>
      </c>
      <c r="BO23" s="129" t="s">
        <v>901</v>
      </c>
      <c r="BP23" s="129"/>
      <c r="BQ23" s="27" t="str">
        <f t="shared" si="9"/>
        <v>40W/ 40W/ 40W</v>
      </c>
      <c r="BR23" s="129" t="s">
        <v>912</v>
      </c>
      <c r="BS23" s="129" t="s">
        <v>916</v>
      </c>
      <c r="BT23" s="33" t="s">
        <v>153</v>
      </c>
      <c r="BU23" s="33" t="s">
        <v>153</v>
      </c>
      <c r="BV23" s="33" t="s">
        <v>153</v>
      </c>
      <c r="BW23" s="33" t="s">
        <v>153</v>
      </c>
      <c r="BX23" s="34" t="s">
        <v>153</v>
      </c>
      <c r="BY23" s="34" t="s">
        <v>153</v>
      </c>
      <c r="BZ23" s="34" t="s">
        <v>153</v>
      </c>
      <c r="CA23" s="132" t="str">
        <f t="shared" si="37"/>
        <v/>
      </c>
      <c r="CB23" s="34" t="s">
        <v>153</v>
      </c>
      <c r="CC23" s="34" t="s">
        <v>153</v>
      </c>
      <c r="CD23" s="34" t="s">
        <v>153</v>
      </c>
      <c r="CE23" s="27" t="str">
        <f t="shared" si="11"/>
        <v/>
      </c>
      <c r="CF23" s="33" t="s">
        <v>153</v>
      </c>
      <c r="CG23" s="33" t="s">
        <v>153</v>
      </c>
      <c r="CH23" s="35" t="s">
        <v>153</v>
      </c>
      <c r="CI23" s="35" t="s">
        <v>153</v>
      </c>
      <c r="CJ23" s="35" t="s">
        <v>153</v>
      </c>
      <c r="CK23" s="35" t="s">
        <v>153</v>
      </c>
      <c r="CL23" s="134" t="s">
        <v>153</v>
      </c>
      <c r="CM23" s="134" t="s">
        <v>153</v>
      </c>
      <c r="CN23" s="134" t="s">
        <v>153</v>
      </c>
      <c r="CO23" s="132" t="str">
        <f t="shared" si="38"/>
        <v/>
      </c>
      <c r="CP23" s="134" t="s">
        <v>153</v>
      </c>
      <c r="CQ23" s="134" t="s">
        <v>153</v>
      </c>
      <c r="CR23" s="134" t="s">
        <v>153</v>
      </c>
      <c r="CS23" s="27" t="str">
        <f t="shared" si="13"/>
        <v/>
      </c>
      <c r="CT23" s="35" t="s">
        <v>153</v>
      </c>
      <c r="CU23" s="35" t="s">
        <v>153</v>
      </c>
      <c r="CV23" s="36" t="s">
        <v>153</v>
      </c>
      <c r="CW23" s="36" t="s">
        <v>153</v>
      </c>
      <c r="CX23" s="36" t="s">
        <v>153</v>
      </c>
      <c r="CY23" s="36" t="s">
        <v>153</v>
      </c>
      <c r="CZ23" s="135" t="s">
        <v>153</v>
      </c>
      <c r="DA23" s="135" t="s">
        <v>153</v>
      </c>
      <c r="DB23" s="135" t="s">
        <v>153</v>
      </c>
      <c r="DC23" s="132" t="str">
        <f t="shared" si="39"/>
        <v/>
      </c>
      <c r="DD23" s="135" t="s">
        <v>153</v>
      </c>
      <c r="DE23" s="135" t="s">
        <v>153</v>
      </c>
      <c r="DF23" s="135" t="s">
        <v>153</v>
      </c>
      <c r="DG23" s="27" t="str">
        <f t="shared" si="15"/>
        <v/>
      </c>
      <c r="DH23" s="36" t="s">
        <v>153</v>
      </c>
      <c r="DI23" s="36" t="s">
        <v>153</v>
      </c>
      <c r="DJ23" s="128">
        <f t="shared" si="40"/>
        <v>3</v>
      </c>
      <c r="DK23" s="128" t="str">
        <f t="shared" si="41"/>
        <v>3-3</v>
      </c>
      <c r="DL23" s="128" t="str">
        <f t="shared" si="42"/>
        <v>CHUNG</v>
      </c>
      <c r="DM23" s="128" t="str">
        <f t="shared" si="43"/>
        <v>CHUNG</v>
      </c>
      <c r="DN23" s="128" t="str">
        <f t="shared" si="44"/>
        <v>KHÁC</v>
      </c>
      <c r="DO23" s="128" t="str">
        <f t="shared" si="45"/>
        <v>KHÁC</v>
      </c>
      <c r="DP23" s="128" t="str">
        <f t="shared" si="46"/>
        <v>KHÁC</v>
      </c>
      <c r="DQ23" s="128">
        <f t="shared" si="47"/>
        <v>3</v>
      </c>
      <c r="DR23" s="136" t="s">
        <v>70</v>
      </c>
      <c r="DS23" s="137" t="b">
        <f t="shared" si="48"/>
        <v>1</v>
      </c>
      <c r="DT23" s="137" t="b">
        <f t="shared" si="49"/>
        <v>1</v>
      </c>
      <c r="DU23" s="137" t="b">
        <f t="shared" si="50"/>
        <v>1</v>
      </c>
      <c r="DV23" s="128" t="b">
        <f t="shared" si="51"/>
        <v>1</v>
      </c>
      <c r="DW23" s="128" t="b">
        <f t="shared" si="52"/>
        <v>1</v>
      </c>
      <c r="DX23" s="128" t="s">
        <v>70</v>
      </c>
      <c r="DY23" s="128" t="s">
        <v>70</v>
      </c>
      <c r="DZ23" s="128">
        <v>37</v>
      </c>
      <c r="EA23" s="202" t="s">
        <v>70</v>
      </c>
      <c r="EB23" s="202">
        <v>33</v>
      </c>
      <c r="EC23" s="165"/>
      <c r="ED23" s="165"/>
      <c r="EE23" s="165"/>
      <c r="EF23" s="37" t="str">
        <f t="shared" si="53"/>
        <v>No</v>
      </c>
      <c r="EG23" s="37">
        <f t="shared" si="54"/>
        <v>3</v>
      </c>
      <c r="EH23" s="37">
        <f t="shared" si="55"/>
        <v>0</v>
      </c>
      <c r="EI23" s="37" t="str">
        <f t="shared" si="56"/>
        <v>No</v>
      </c>
    </row>
    <row r="24" spans="1:139" ht="63">
      <c r="A24" s="53">
        <v>23</v>
      </c>
      <c r="B24" s="26">
        <v>3</v>
      </c>
      <c r="C24" s="37">
        <v>23</v>
      </c>
      <c r="D24" s="221">
        <v>1802443</v>
      </c>
      <c r="E24" s="200" t="s">
        <v>649</v>
      </c>
      <c r="F24" s="54" t="s">
        <v>650</v>
      </c>
      <c r="G24" s="28" t="s">
        <v>826</v>
      </c>
      <c r="H24" s="27" t="s">
        <v>652</v>
      </c>
      <c r="I24" s="27" t="s">
        <v>827</v>
      </c>
      <c r="J24" s="27" t="s">
        <v>828</v>
      </c>
      <c r="K24" s="128" t="s">
        <v>829</v>
      </c>
      <c r="L24" s="130">
        <v>43497</v>
      </c>
      <c r="M24" s="130">
        <v>43490</v>
      </c>
      <c r="N24" s="29" t="str">
        <f t="shared" si="31"/>
        <v>B00478130219TG05</v>
      </c>
      <c r="O24" s="82">
        <v>478</v>
      </c>
      <c r="P24" s="30" t="str">
        <f t="shared" si="1"/>
        <v>130219</v>
      </c>
      <c r="Q24" s="29" t="s">
        <v>223</v>
      </c>
      <c r="R24" s="30" t="str">
        <f t="shared" si="32"/>
        <v>13/02/2019</v>
      </c>
      <c r="S24" s="30" t="str">
        <f t="shared" si="33"/>
        <v>13/02/2024</v>
      </c>
      <c r="T24" s="140" t="s">
        <v>952</v>
      </c>
      <c r="U24" s="140" t="s">
        <v>953</v>
      </c>
      <c r="V24" s="27">
        <v>4</v>
      </c>
      <c r="W24" s="27" t="s">
        <v>70</v>
      </c>
      <c r="X24" s="31" t="s">
        <v>650</v>
      </c>
      <c r="Y24" s="31" t="s">
        <v>941</v>
      </c>
      <c r="Z24" s="31" t="s">
        <v>903</v>
      </c>
      <c r="AA24" s="31">
        <v>3</v>
      </c>
      <c r="AB24" s="131" t="s">
        <v>400</v>
      </c>
      <c r="AC24" s="131" t="s">
        <v>400</v>
      </c>
      <c r="AD24" s="131" t="s">
        <v>400</v>
      </c>
      <c r="AE24" s="131"/>
      <c r="AF24" s="132" t="str">
        <f t="shared" si="34"/>
        <v>4/4/4</v>
      </c>
      <c r="AG24" s="131">
        <v>37.24</v>
      </c>
      <c r="AH24" s="131">
        <v>37.24</v>
      </c>
      <c r="AI24" s="131">
        <v>37.24</v>
      </c>
      <c r="AJ24" s="131"/>
      <c r="AK24" s="27" t="str">
        <f t="shared" si="5"/>
        <v>37,24W/ 37,24W/ 37,24W</v>
      </c>
      <c r="AL24" s="31" t="s">
        <v>904</v>
      </c>
      <c r="AM24" s="31" t="s">
        <v>916</v>
      </c>
      <c r="AN24" s="32" t="s">
        <v>650</v>
      </c>
      <c r="AO24" s="32" t="s">
        <v>941</v>
      </c>
      <c r="AP24" s="32" t="s">
        <v>903</v>
      </c>
      <c r="AQ24" s="32">
        <v>3</v>
      </c>
      <c r="AR24" s="133" t="s">
        <v>401</v>
      </c>
      <c r="AS24" s="133" t="s">
        <v>401</v>
      </c>
      <c r="AT24" s="133" t="s">
        <v>401</v>
      </c>
      <c r="AU24" s="133"/>
      <c r="AV24" s="132" t="str">
        <f t="shared" si="35"/>
        <v>2/2/2</v>
      </c>
      <c r="AW24" s="133">
        <v>41.7</v>
      </c>
      <c r="AX24" s="133">
        <v>41.7</v>
      </c>
      <c r="AY24" s="133">
        <v>41.7</v>
      </c>
      <c r="AZ24" s="133"/>
      <c r="BA24" s="27" t="str">
        <f t="shared" si="7"/>
        <v>41,7W/ 41,7W/ 41,7W</v>
      </c>
      <c r="BB24" s="32" t="s">
        <v>908</v>
      </c>
      <c r="BC24" s="32" t="s">
        <v>925</v>
      </c>
      <c r="BD24" s="129" t="s">
        <v>650</v>
      </c>
      <c r="BE24" s="129" t="s">
        <v>941</v>
      </c>
      <c r="BF24" s="129" t="s">
        <v>657</v>
      </c>
      <c r="BG24" s="129">
        <v>3</v>
      </c>
      <c r="BH24" s="129" t="s">
        <v>401</v>
      </c>
      <c r="BI24" s="129" t="s">
        <v>401</v>
      </c>
      <c r="BJ24" s="129" t="s">
        <v>401</v>
      </c>
      <c r="BK24" s="129"/>
      <c r="BL24" s="132" t="str">
        <f t="shared" si="36"/>
        <v>2/2/2</v>
      </c>
      <c r="BM24" s="129" t="s">
        <v>901</v>
      </c>
      <c r="BN24" s="129" t="s">
        <v>901</v>
      </c>
      <c r="BO24" s="129" t="s">
        <v>901</v>
      </c>
      <c r="BP24" s="129"/>
      <c r="BQ24" s="27" t="str">
        <f t="shared" si="9"/>
        <v>40W/ 40W/ 40W</v>
      </c>
      <c r="BR24" s="129" t="s">
        <v>659</v>
      </c>
      <c r="BS24" s="129" t="s">
        <v>942</v>
      </c>
      <c r="BT24" s="33" t="s">
        <v>650</v>
      </c>
      <c r="BU24" s="33" t="s">
        <v>941</v>
      </c>
      <c r="BV24" s="33" t="s">
        <v>910</v>
      </c>
      <c r="BW24" s="33">
        <v>3</v>
      </c>
      <c r="BX24" s="34" t="s">
        <v>911</v>
      </c>
      <c r="BY24" s="34" t="s">
        <v>911</v>
      </c>
      <c r="BZ24" s="34" t="s">
        <v>911</v>
      </c>
      <c r="CA24" s="132" t="str">
        <f t="shared" si="37"/>
        <v>1/1/1</v>
      </c>
      <c r="CB24" s="34" t="s">
        <v>901</v>
      </c>
      <c r="CC24" s="34" t="s">
        <v>901</v>
      </c>
      <c r="CD24" s="34" t="s">
        <v>901</v>
      </c>
      <c r="CE24" s="27" t="str">
        <f t="shared" si="11"/>
        <v>40,00W/ 40,00W/ 40,00W</v>
      </c>
      <c r="CF24" s="33" t="s">
        <v>912</v>
      </c>
      <c r="CG24" s="33" t="s">
        <v>916</v>
      </c>
      <c r="CH24" s="35" t="s">
        <v>153</v>
      </c>
      <c r="CI24" s="35" t="s">
        <v>153</v>
      </c>
      <c r="CJ24" s="35" t="s">
        <v>153</v>
      </c>
      <c r="CK24" s="35" t="s">
        <v>153</v>
      </c>
      <c r="CL24" s="134" t="s">
        <v>153</v>
      </c>
      <c r="CM24" s="134" t="s">
        <v>153</v>
      </c>
      <c r="CN24" s="134" t="s">
        <v>153</v>
      </c>
      <c r="CO24" s="132" t="str">
        <f t="shared" si="38"/>
        <v/>
      </c>
      <c r="CP24" s="134" t="s">
        <v>153</v>
      </c>
      <c r="CQ24" s="134" t="s">
        <v>153</v>
      </c>
      <c r="CR24" s="134" t="s">
        <v>153</v>
      </c>
      <c r="CS24" s="27" t="str">
        <f t="shared" si="13"/>
        <v/>
      </c>
      <c r="CT24" s="35" t="s">
        <v>153</v>
      </c>
      <c r="CU24" s="35" t="s">
        <v>153</v>
      </c>
      <c r="CV24" s="36" t="s">
        <v>153</v>
      </c>
      <c r="CW24" s="36" t="s">
        <v>153</v>
      </c>
      <c r="CX24" s="36" t="s">
        <v>153</v>
      </c>
      <c r="CY24" s="36" t="s">
        <v>153</v>
      </c>
      <c r="CZ24" s="135" t="s">
        <v>153</v>
      </c>
      <c r="DA24" s="135" t="s">
        <v>153</v>
      </c>
      <c r="DB24" s="135" t="s">
        <v>153</v>
      </c>
      <c r="DC24" s="132" t="str">
        <f t="shared" si="39"/>
        <v/>
      </c>
      <c r="DD24" s="135" t="s">
        <v>153</v>
      </c>
      <c r="DE24" s="135" t="s">
        <v>153</v>
      </c>
      <c r="DF24" s="135" t="s">
        <v>153</v>
      </c>
      <c r="DG24" s="27" t="str">
        <f t="shared" si="15"/>
        <v/>
      </c>
      <c r="DH24" s="36" t="s">
        <v>153</v>
      </c>
      <c r="DI24" s="36" t="s">
        <v>153</v>
      </c>
      <c r="DJ24" s="128">
        <f t="shared" si="40"/>
        <v>4</v>
      </c>
      <c r="DK24" s="128" t="str">
        <f t="shared" si="41"/>
        <v>4-4</v>
      </c>
      <c r="DL24" s="128" t="str">
        <f t="shared" si="42"/>
        <v>CHUNG</v>
      </c>
      <c r="DM24" s="128" t="str">
        <f t="shared" si="43"/>
        <v>CHUNG</v>
      </c>
      <c r="DN24" s="128" t="str">
        <f t="shared" si="44"/>
        <v>CHUNG</v>
      </c>
      <c r="DO24" s="128" t="str">
        <f t="shared" si="45"/>
        <v>KHÁC</v>
      </c>
      <c r="DP24" s="128" t="str">
        <f t="shared" si="46"/>
        <v>KHÁC</v>
      </c>
      <c r="DQ24" s="128">
        <f t="shared" si="47"/>
        <v>4</v>
      </c>
      <c r="DR24" s="136" t="s">
        <v>70</v>
      </c>
      <c r="DS24" s="137" t="b">
        <f t="shared" si="48"/>
        <v>1</v>
      </c>
      <c r="DT24" s="137" t="b">
        <f t="shared" si="49"/>
        <v>1</v>
      </c>
      <c r="DU24" s="137" t="b">
        <f t="shared" si="50"/>
        <v>1</v>
      </c>
      <c r="DV24" s="128" t="b">
        <f t="shared" si="51"/>
        <v>1</v>
      </c>
      <c r="DW24" s="128" t="b">
        <f t="shared" si="52"/>
        <v>1</v>
      </c>
      <c r="DX24" s="128" t="s">
        <v>70</v>
      </c>
      <c r="DY24" s="128" t="s">
        <v>70</v>
      </c>
      <c r="DZ24" s="128">
        <v>36</v>
      </c>
      <c r="EA24" s="202" t="s">
        <v>70</v>
      </c>
      <c r="EB24" s="202">
        <v>32</v>
      </c>
      <c r="EC24" s="165"/>
      <c r="ED24" s="165"/>
      <c r="EE24" s="165"/>
      <c r="EF24" s="37" t="str">
        <f t="shared" si="53"/>
        <v>No</v>
      </c>
      <c r="EG24" s="37">
        <f t="shared" si="54"/>
        <v>4</v>
      </c>
      <c r="EH24" s="37">
        <f t="shared" si="55"/>
        <v>0</v>
      </c>
      <c r="EI24" s="37" t="str">
        <f t="shared" si="56"/>
        <v>No</v>
      </c>
    </row>
    <row r="25" spans="1:139" ht="63">
      <c r="A25" s="53">
        <v>24</v>
      </c>
      <c r="B25" s="26">
        <v>3</v>
      </c>
      <c r="C25" s="37">
        <v>24</v>
      </c>
      <c r="D25" s="221">
        <v>1802444</v>
      </c>
      <c r="E25" s="200" t="s">
        <v>649</v>
      </c>
      <c r="F25" s="54" t="s">
        <v>650</v>
      </c>
      <c r="G25" s="28" t="s">
        <v>832</v>
      </c>
      <c r="H25" s="27" t="s">
        <v>652</v>
      </c>
      <c r="I25" s="27" t="s">
        <v>833</v>
      </c>
      <c r="J25" s="27" t="s">
        <v>834</v>
      </c>
      <c r="K25" s="128" t="s">
        <v>835</v>
      </c>
      <c r="L25" s="130">
        <v>43497</v>
      </c>
      <c r="M25" s="130">
        <v>43491</v>
      </c>
      <c r="N25" s="29" t="str">
        <f t="shared" si="31"/>
        <v>B00479130219TG05</v>
      </c>
      <c r="O25" s="82">
        <v>479</v>
      </c>
      <c r="P25" s="30" t="str">
        <f t="shared" si="1"/>
        <v>130219</v>
      </c>
      <c r="Q25" s="29" t="s">
        <v>223</v>
      </c>
      <c r="R25" s="30" t="str">
        <f t="shared" si="32"/>
        <v>13/02/2019</v>
      </c>
      <c r="S25" s="30" t="str">
        <f t="shared" si="33"/>
        <v>13/02/2024</v>
      </c>
      <c r="T25" s="140" t="s">
        <v>952</v>
      </c>
      <c r="U25" s="140" t="s">
        <v>953</v>
      </c>
      <c r="V25" s="27">
        <v>4</v>
      </c>
      <c r="W25" s="27" t="s">
        <v>70</v>
      </c>
      <c r="X25" s="31" t="s">
        <v>650</v>
      </c>
      <c r="Y25" s="31" t="s">
        <v>943</v>
      </c>
      <c r="Z25" s="31" t="s">
        <v>903</v>
      </c>
      <c r="AA25" s="31">
        <v>3</v>
      </c>
      <c r="AB25" s="131" t="s">
        <v>400</v>
      </c>
      <c r="AC25" s="131" t="s">
        <v>400</v>
      </c>
      <c r="AD25" s="131" t="s">
        <v>400</v>
      </c>
      <c r="AE25" s="131"/>
      <c r="AF25" s="132" t="str">
        <f t="shared" si="34"/>
        <v>4/4/4</v>
      </c>
      <c r="AG25" s="131">
        <v>37.24</v>
      </c>
      <c r="AH25" s="131">
        <v>37.24</v>
      </c>
      <c r="AI25" s="131">
        <v>37.24</v>
      </c>
      <c r="AJ25" s="131"/>
      <c r="AK25" s="27" t="str">
        <f t="shared" si="5"/>
        <v>37,24W/ 37,24W/ 37,24W</v>
      </c>
      <c r="AL25" s="31" t="s">
        <v>904</v>
      </c>
      <c r="AM25" s="31" t="s">
        <v>916</v>
      </c>
      <c r="AN25" s="32" t="s">
        <v>650</v>
      </c>
      <c r="AO25" s="32" t="s">
        <v>943</v>
      </c>
      <c r="AP25" s="32" t="s">
        <v>903</v>
      </c>
      <c r="AQ25" s="32">
        <v>3</v>
      </c>
      <c r="AR25" s="133" t="s">
        <v>400</v>
      </c>
      <c r="AS25" s="133" t="s">
        <v>400</v>
      </c>
      <c r="AT25" s="133" t="s">
        <v>400</v>
      </c>
      <c r="AU25" s="133"/>
      <c r="AV25" s="132" t="str">
        <f t="shared" si="35"/>
        <v>4/4/4</v>
      </c>
      <c r="AW25" s="133">
        <v>37.24</v>
      </c>
      <c r="AX25" s="133">
        <v>37.24</v>
      </c>
      <c r="AY25" s="133">
        <v>37.24</v>
      </c>
      <c r="AZ25" s="133"/>
      <c r="BA25" s="27" t="str">
        <f t="shared" si="7"/>
        <v>37,24W/ 37,24W/ 37,24W</v>
      </c>
      <c r="BB25" s="32" t="s">
        <v>908</v>
      </c>
      <c r="BC25" s="32" t="s">
        <v>916</v>
      </c>
      <c r="BD25" s="129" t="s">
        <v>650</v>
      </c>
      <c r="BE25" s="129" t="s">
        <v>943</v>
      </c>
      <c r="BF25" s="129" t="s">
        <v>657</v>
      </c>
      <c r="BG25" s="129">
        <v>3</v>
      </c>
      <c r="BH25" s="129" t="s">
        <v>401</v>
      </c>
      <c r="BI25" s="129" t="s">
        <v>401</v>
      </c>
      <c r="BJ25" s="129" t="s">
        <v>401</v>
      </c>
      <c r="BK25" s="129"/>
      <c r="BL25" s="132" t="str">
        <f t="shared" si="36"/>
        <v>2/2/2</v>
      </c>
      <c r="BM25" s="129" t="s">
        <v>901</v>
      </c>
      <c r="BN25" s="129" t="s">
        <v>901</v>
      </c>
      <c r="BO25" s="129" t="s">
        <v>901</v>
      </c>
      <c r="BP25" s="129"/>
      <c r="BQ25" s="27" t="str">
        <f t="shared" si="9"/>
        <v>40W/ 40W/ 40W</v>
      </c>
      <c r="BR25" s="129" t="s">
        <v>659</v>
      </c>
      <c r="BS25" s="129" t="s">
        <v>925</v>
      </c>
      <c r="BT25" s="33" t="s">
        <v>650</v>
      </c>
      <c r="BU25" s="33" t="s">
        <v>943</v>
      </c>
      <c r="BV25" s="33" t="s">
        <v>910</v>
      </c>
      <c r="BW25" s="33">
        <v>3</v>
      </c>
      <c r="BX25" s="34" t="s">
        <v>911</v>
      </c>
      <c r="BY25" s="34" t="s">
        <v>911</v>
      </c>
      <c r="BZ25" s="34" t="s">
        <v>911</v>
      </c>
      <c r="CA25" s="132" t="str">
        <f t="shared" si="37"/>
        <v>1/1/1</v>
      </c>
      <c r="CB25" s="34" t="s">
        <v>901</v>
      </c>
      <c r="CC25" s="34" t="s">
        <v>901</v>
      </c>
      <c r="CD25" s="34" t="s">
        <v>901</v>
      </c>
      <c r="CE25" s="27" t="str">
        <f t="shared" si="11"/>
        <v>40,00W/ 40,00W/ 40,00W</v>
      </c>
      <c r="CF25" s="33" t="s">
        <v>912</v>
      </c>
      <c r="CG25" s="33" t="s">
        <v>944</v>
      </c>
      <c r="CH25" s="35" t="s">
        <v>153</v>
      </c>
      <c r="CI25" s="35" t="s">
        <v>153</v>
      </c>
      <c r="CJ25" s="35" t="s">
        <v>153</v>
      </c>
      <c r="CK25" s="35" t="s">
        <v>153</v>
      </c>
      <c r="CL25" s="134" t="s">
        <v>153</v>
      </c>
      <c r="CM25" s="134" t="s">
        <v>153</v>
      </c>
      <c r="CN25" s="134" t="s">
        <v>153</v>
      </c>
      <c r="CO25" s="132" t="str">
        <f t="shared" si="38"/>
        <v/>
      </c>
      <c r="CP25" s="134" t="s">
        <v>153</v>
      </c>
      <c r="CQ25" s="134" t="s">
        <v>153</v>
      </c>
      <c r="CR25" s="134" t="s">
        <v>153</v>
      </c>
      <c r="CS25" s="27" t="str">
        <f t="shared" si="13"/>
        <v/>
      </c>
      <c r="CT25" s="35" t="s">
        <v>153</v>
      </c>
      <c r="CU25" s="35" t="s">
        <v>153</v>
      </c>
      <c r="CV25" s="36" t="s">
        <v>153</v>
      </c>
      <c r="CW25" s="36" t="s">
        <v>153</v>
      </c>
      <c r="CX25" s="36" t="s">
        <v>153</v>
      </c>
      <c r="CY25" s="36" t="s">
        <v>153</v>
      </c>
      <c r="CZ25" s="135" t="s">
        <v>153</v>
      </c>
      <c r="DA25" s="135" t="s">
        <v>153</v>
      </c>
      <c r="DB25" s="135" t="s">
        <v>153</v>
      </c>
      <c r="DC25" s="132" t="str">
        <f t="shared" si="39"/>
        <v/>
      </c>
      <c r="DD25" s="135" t="s">
        <v>153</v>
      </c>
      <c r="DE25" s="135" t="s">
        <v>153</v>
      </c>
      <c r="DF25" s="135" t="s">
        <v>153</v>
      </c>
      <c r="DG25" s="27" t="str">
        <f t="shared" si="15"/>
        <v/>
      </c>
      <c r="DH25" s="36" t="s">
        <v>153</v>
      </c>
      <c r="DI25" s="36" t="s">
        <v>153</v>
      </c>
      <c r="DJ25" s="128">
        <f t="shared" si="40"/>
        <v>4</v>
      </c>
      <c r="DK25" s="128" t="str">
        <f t="shared" si="41"/>
        <v>4-4</v>
      </c>
      <c r="DL25" s="128" t="str">
        <f t="shared" si="42"/>
        <v>CHUNG</v>
      </c>
      <c r="DM25" s="128" t="str">
        <f t="shared" si="43"/>
        <v>CHUNG</v>
      </c>
      <c r="DN25" s="128" t="str">
        <f t="shared" si="44"/>
        <v>CHUNG</v>
      </c>
      <c r="DO25" s="128" t="str">
        <f t="shared" si="45"/>
        <v>KHÁC</v>
      </c>
      <c r="DP25" s="128" t="str">
        <f t="shared" si="46"/>
        <v>KHÁC</v>
      </c>
      <c r="DQ25" s="128">
        <f t="shared" si="47"/>
        <v>4</v>
      </c>
      <c r="DR25" s="136" t="s">
        <v>70</v>
      </c>
      <c r="DS25" s="137" t="b">
        <f t="shared" si="48"/>
        <v>1</v>
      </c>
      <c r="DT25" s="137" t="b">
        <f t="shared" si="49"/>
        <v>1</v>
      </c>
      <c r="DU25" s="137" t="b">
        <f t="shared" si="50"/>
        <v>1</v>
      </c>
      <c r="DV25" s="128" t="b">
        <f t="shared" si="51"/>
        <v>1</v>
      </c>
      <c r="DW25" s="128" t="b">
        <f t="shared" si="52"/>
        <v>1</v>
      </c>
      <c r="DX25" s="128" t="s">
        <v>70</v>
      </c>
      <c r="DY25" s="128" t="s">
        <v>70</v>
      </c>
      <c r="DZ25" s="128">
        <v>36</v>
      </c>
      <c r="EA25" s="202" t="s">
        <v>70</v>
      </c>
      <c r="EB25" s="202">
        <v>22</v>
      </c>
      <c r="EC25" s="165"/>
      <c r="ED25" s="165"/>
      <c r="EE25" s="165"/>
      <c r="EF25" s="37" t="str">
        <f t="shared" si="53"/>
        <v>No</v>
      </c>
      <c r="EG25" s="37">
        <f t="shared" si="54"/>
        <v>4</v>
      </c>
      <c r="EH25" s="37">
        <f t="shared" si="55"/>
        <v>0</v>
      </c>
      <c r="EI25" s="37" t="str">
        <f t="shared" si="56"/>
        <v>No</v>
      </c>
    </row>
    <row r="26" spans="1:139" ht="47.25">
      <c r="A26" s="53">
        <v>25</v>
      </c>
      <c r="B26" s="26">
        <v>3</v>
      </c>
      <c r="C26" s="37">
        <v>26</v>
      </c>
      <c r="D26" s="221">
        <v>1802446</v>
      </c>
      <c r="E26" s="200" t="s">
        <v>649</v>
      </c>
      <c r="F26" s="54" t="s">
        <v>650</v>
      </c>
      <c r="G26" s="28" t="s">
        <v>838</v>
      </c>
      <c r="H26" s="27" t="s">
        <v>652</v>
      </c>
      <c r="I26" s="27" t="s">
        <v>839</v>
      </c>
      <c r="J26" s="27" t="s">
        <v>840</v>
      </c>
      <c r="K26" s="128" t="s">
        <v>841</v>
      </c>
      <c r="L26" s="130">
        <v>43497</v>
      </c>
      <c r="M26" s="130">
        <v>43491</v>
      </c>
      <c r="N26" s="29" t="str">
        <f t="shared" si="31"/>
        <v>B00480130219TG05</v>
      </c>
      <c r="O26" s="82">
        <v>480</v>
      </c>
      <c r="P26" s="30" t="str">
        <f t="shared" si="1"/>
        <v>130219</v>
      </c>
      <c r="Q26" s="29" t="s">
        <v>223</v>
      </c>
      <c r="R26" s="30" t="str">
        <f t="shared" si="32"/>
        <v>13/02/2019</v>
      </c>
      <c r="S26" s="30" t="str">
        <f t="shared" si="33"/>
        <v>13/02/2024</v>
      </c>
      <c r="T26" s="140" t="s">
        <v>952</v>
      </c>
      <c r="U26" s="140" t="s">
        <v>953</v>
      </c>
      <c r="V26" s="27">
        <v>2</v>
      </c>
      <c r="W26" s="27" t="s">
        <v>70</v>
      </c>
      <c r="X26" s="31" t="s">
        <v>650</v>
      </c>
      <c r="Y26" s="31" t="s">
        <v>945</v>
      </c>
      <c r="Z26" s="31" t="s">
        <v>657</v>
      </c>
      <c r="AA26" s="31">
        <v>3</v>
      </c>
      <c r="AB26" s="131" t="s">
        <v>401</v>
      </c>
      <c r="AC26" s="131" t="s">
        <v>401</v>
      </c>
      <c r="AD26" s="131" t="s">
        <v>401</v>
      </c>
      <c r="AE26" s="131"/>
      <c r="AF26" s="132" t="str">
        <f t="shared" si="34"/>
        <v>2/2/2</v>
      </c>
      <c r="AG26" s="131" t="s">
        <v>901</v>
      </c>
      <c r="AH26" s="131" t="s">
        <v>901</v>
      </c>
      <c r="AI26" s="131" t="s">
        <v>901</v>
      </c>
      <c r="AJ26" s="131"/>
      <c r="AK26" s="27" t="str">
        <f t="shared" si="5"/>
        <v>40W/ 40W/ 40W</v>
      </c>
      <c r="AL26" s="31" t="s">
        <v>659</v>
      </c>
      <c r="AM26" s="31" t="s">
        <v>916</v>
      </c>
      <c r="AN26" s="32" t="s">
        <v>650</v>
      </c>
      <c r="AO26" s="32" t="s">
        <v>945</v>
      </c>
      <c r="AP26" s="32" t="s">
        <v>910</v>
      </c>
      <c r="AQ26" s="32">
        <v>3</v>
      </c>
      <c r="AR26" s="133" t="s">
        <v>911</v>
      </c>
      <c r="AS26" s="133" t="s">
        <v>911</v>
      </c>
      <c r="AT26" s="133" t="s">
        <v>911</v>
      </c>
      <c r="AU26" s="133"/>
      <c r="AV26" s="132" t="str">
        <f t="shared" si="35"/>
        <v>1/1/1</v>
      </c>
      <c r="AW26" s="133" t="s">
        <v>901</v>
      </c>
      <c r="AX26" s="133" t="s">
        <v>901</v>
      </c>
      <c r="AY26" s="133" t="s">
        <v>901</v>
      </c>
      <c r="AZ26" s="133"/>
      <c r="BA26" s="27" t="str">
        <f t="shared" si="7"/>
        <v>40W/ 40W/ 40W</v>
      </c>
      <c r="BB26" s="32" t="s">
        <v>912</v>
      </c>
      <c r="BC26" s="32" t="s">
        <v>916</v>
      </c>
      <c r="BD26" s="129"/>
      <c r="BE26" s="129"/>
      <c r="BF26" s="129"/>
      <c r="BG26" s="129"/>
      <c r="BH26" s="129"/>
      <c r="BI26" s="129"/>
      <c r="BJ26" s="129"/>
      <c r="BK26" s="129"/>
      <c r="BL26" s="132" t="str">
        <f t="shared" si="36"/>
        <v/>
      </c>
      <c r="BM26" s="129"/>
      <c r="BN26" s="129"/>
      <c r="BO26" s="129"/>
      <c r="BP26" s="129"/>
      <c r="BQ26" s="27" t="str">
        <f t="shared" si="9"/>
        <v/>
      </c>
      <c r="BR26" s="129"/>
      <c r="BS26" s="129"/>
      <c r="BT26" s="33" t="s">
        <v>153</v>
      </c>
      <c r="BU26" s="33" t="s">
        <v>153</v>
      </c>
      <c r="BV26" s="33" t="s">
        <v>153</v>
      </c>
      <c r="BW26" s="33" t="s">
        <v>153</v>
      </c>
      <c r="BX26" s="34" t="s">
        <v>153</v>
      </c>
      <c r="BY26" s="34" t="s">
        <v>153</v>
      </c>
      <c r="BZ26" s="34" t="s">
        <v>153</v>
      </c>
      <c r="CA26" s="132" t="str">
        <f t="shared" si="37"/>
        <v/>
      </c>
      <c r="CB26" s="34" t="s">
        <v>153</v>
      </c>
      <c r="CC26" s="34" t="s">
        <v>153</v>
      </c>
      <c r="CD26" s="34" t="s">
        <v>153</v>
      </c>
      <c r="CE26" s="27" t="str">
        <f t="shared" si="11"/>
        <v/>
      </c>
      <c r="CF26" s="33" t="s">
        <v>153</v>
      </c>
      <c r="CG26" s="33" t="s">
        <v>153</v>
      </c>
      <c r="CH26" s="35" t="s">
        <v>153</v>
      </c>
      <c r="CI26" s="35" t="s">
        <v>153</v>
      </c>
      <c r="CJ26" s="35" t="s">
        <v>153</v>
      </c>
      <c r="CK26" s="35" t="s">
        <v>153</v>
      </c>
      <c r="CL26" s="134" t="s">
        <v>153</v>
      </c>
      <c r="CM26" s="134" t="s">
        <v>153</v>
      </c>
      <c r="CN26" s="134" t="s">
        <v>153</v>
      </c>
      <c r="CO26" s="132" t="str">
        <f t="shared" si="38"/>
        <v/>
      </c>
      <c r="CP26" s="134" t="s">
        <v>153</v>
      </c>
      <c r="CQ26" s="134" t="s">
        <v>153</v>
      </c>
      <c r="CR26" s="134" t="s">
        <v>153</v>
      </c>
      <c r="CS26" s="27" t="str">
        <f t="shared" si="13"/>
        <v/>
      </c>
      <c r="CT26" s="35" t="s">
        <v>153</v>
      </c>
      <c r="CU26" s="35" t="s">
        <v>153</v>
      </c>
      <c r="CV26" s="36" t="s">
        <v>153</v>
      </c>
      <c r="CW26" s="36" t="s">
        <v>153</v>
      </c>
      <c r="CX26" s="36" t="s">
        <v>153</v>
      </c>
      <c r="CY26" s="36" t="s">
        <v>153</v>
      </c>
      <c r="CZ26" s="135" t="s">
        <v>153</v>
      </c>
      <c r="DA26" s="135" t="s">
        <v>153</v>
      </c>
      <c r="DB26" s="135" t="s">
        <v>153</v>
      </c>
      <c r="DC26" s="132" t="str">
        <f t="shared" si="39"/>
        <v/>
      </c>
      <c r="DD26" s="135" t="s">
        <v>153</v>
      </c>
      <c r="DE26" s="135" t="s">
        <v>153</v>
      </c>
      <c r="DF26" s="135" t="s">
        <v>153</v>
      </c>
      <c r="DG26" s="27" t="str">
        <f t="shared" si="15"/>
        <v/>
      </c>
      <c r="DH26" s="36" t="s">
        <v>153</v>
      </c>
      <c r="DI26" s="36" t="s">
        <v>153</v>
      </c>
      <c r="DJ26" s="128">
        <f t="shared" si="40"/>
        <v>2</v>
      </c>
      <c r="DK26" s="128" t="str">
        <f t="shared" si="41"/>
        <v>2-2</v>
      </c>
      <c r="DL26" s="128" t="str">
        <f t="shared" si="42"/>
        <v>CHUNG</v>
      </c>
      <c r="DM26" s="128" t="str">
        <f t="shared" si="43"/>
        <v/>
      </c>
      <c r="DN26" s="128" t="str">
        <f t="shared" si="44"/>
        <v>KHÁC</v>
      </c>
      <c r="DO26" s="128" t="str">
        <f t="shared" si="45"/>
        <v>KHÁC</v>
      </c>
      <c r="DP26" s="128" t="str">
        <f t="shared" si="46"/>
        <v>KHÁC</v>
      </c>
      <c r="DQ26" s="128">
        <f t="shared" si="47"/>
        <v>2</v>
      </c>
      <c r="DR26" s="136" t="s">
        <v>70</v>
      </c>
      <c r="DS26" s="137" t="b">
        <f t="shared" si="48"/>
        <v>1</v>
      </c>
      <c r="DT26" s="137" t="b">
        <f t="shared" si="49"/>
        <v>1</v>
      </c>
      <c r="DU26" s="137" t="b">
        <f t="shared" si="50"/>
        <v>1</v>
      </c>
      <c r="DV26" s="128" t="b">
        <f t="shared" si="51"/>
        <v>1</v>
      </c>
      <c r="DW26" s="128" t="b">
        <f t="shared" si="52"/>
        <v>1</v>
      </c>
      <c r="DX26" s="128" t="s">
        <v>70</v>
      </c>
      <c r="DY26" s="128" t="s">
        <v>70</v>
      </c>
      <c r="DZ26" s="128">
        <v>40</v>
      </c>
      <c r="EA26" s="202" t="s">
        <v>70</v>
      </c>
      <c r="EB26" s="202">
        <v>29.5</v>
      </c>
      <c r="EC26" s="165"/>
      <c r="ED26" s="165"/>
      <c r="EE26" s="165"/>
      <c r="EF26" s="37" t="str">
        <f t="shared" si="53"/>
        <v>No</v>
      </c>
      <c r="EG26" s="37">
        <f t="shared" si="54"/>
        <v>2</v>
      </c>
      <c r="EH26" s="37">
        <f t="shared" si="55"/>
        <v>0</v>
      </c>
      <c r="EI26" s="37" t="str">
        <f t="shared" si="56"/>
        <v>No</v>
      </c>
    </row>
    <row r="27" spans="1:139" ht="47.25">
      <c r="A27" s="53">
        <v>26</v>
      </c>
      <c r="B27" s="26">
        <v>3</v>
      </c>
      <c r="C27" s="37">
        <v>27</v>
      </c>
      <c r="D27" s="221">
        <v>1802447</v>
      </c>
      <c r="E27" s="200" t="s">
        <v>649</v>
      </c>
      <c r="F27" s="54" t="s">
        <v>650</v>
      </c>
      <c r="G27" s="28" t="s">
        <v>849</v>
      </c>
      <c r="H27" s="27" t="s">
        <v>652</v>
      </c>
      <c r="I27" s="27" t="s">
        <v>850</v>
      </c>
      <c r="J27" s="27" t="s">
        <v>851</v>
      </c>
      <c r="K27" s="128" t="s">
        <v>852</v>
      </c>
      <c r="L27" s="130">
        <v>43497</v>
      </c>
      <c r="M27" s="130">
        <v>43491</v>
      </c>
      <c r="N27" s="29" t="str">
        <f t="shared" si="31"/>
        <v>B00481130219TG05</v>
      </c>
      <c r="O27" s="82">
        <v>481</v>
      </c>
      <c r="P27" s="30" t="str">
        <f t="shared" si="1"/>
        <v>130219</v>
      </c>
      <c r="Q27" s="29" t="s">
        <v>223</v>
      </c>
      <c r="R27" s="30" t="str">
        <f t="shared" si="32"/>
        <v>13/02/2019</v>
      </c>
      <c r="S27" s="30" t="str">
        <f t="shared" si="33"/>
        <v>13/02/2024</v>
      </c>
      <c r="T27" s="140" t="s">
        <v>952</v>
      </c>
      <c r="U27" s="140" t="s">
        <v>953</v>
      </c>
      <c r="V27" s="27">
        <v>1</v>
      </c>
      <c r="W27" s="27" t="s">
        <v>900</v>
      </c>
      <c r="X27" s="31" t="s">
        <v>650</v>
      </c>
      <c r="Y27" s="31" t="s">
        <v>853</v>
      </c>
      <c r="Z27" s="31" t="s">
        <v>657</v>
      </c>
      <c r="AA27" s="31">
        <v>2</v>
      </c>
      <c r="AB27" s="131" t="s">
        <v>401</v>
      </c>
      <c r="AC27" s="131" t="s">
        <v>401</v>
      </c>
      <c r="AD27" s="131" t="s">
        <v>153</v>
      </c>
      <c r="AE27" s="131"/>
      <c r="AF27" s="132" t="str">
        <f t="shared" si="34"/>
        <v>2/2</v>
      </c>
      <c r="AG27" s="131" t="s">
        <v>901</v>
      </c>
      <c r="AH27" s="131" t="s">
        <v>901</v>
      </c>
      <c r="AI27" s="131"/>
      <c r="AJ27" s="131"/>
      <c r="AK27" s="27" t="str">
        <f t="shared" si="5"/>
        <v>40W/ 40W</v>
      </c>
      <c r="AL27" s="31" t="s">
        <v>659</v>
      </c>
      <c r="AM27" s="31" t="s">
        <v>856</v>
      </c>
      <c r="AN27" s="32"/>
      <c r="AO27" s="32"/>
      <c r="AP27" s="32"/>
      <c r="AQ27" s="32"/>
      <c r="AR27" s="133"/>
      <c r="AS27" s="133"/>
      <c r="AT27" s="133"/>
      <c r="AU27" s="133"/>
      <c r="AV27" s="132" t="str">
        <f t="shared" si="35"/>
        <v/>
      </c>
      <c r="AW27" s="133"/>
      <c r="AX27" s="133"/>
      <c r="AY27" s="133"/>
      <c r="AZ27" s="133"/>
      <c r="BA27" s="27" t="str">
        <f t="shared" si="7"/>
        <v/>
      </c>
      <c r="BB27" s="32"/>
      <c r="BC27" s="32"/>
      <c r="BD27" s="129"/>
      <c r="BE27" s="129"/>
      <c r="BF27" s="129"/>
      <c r="BG27" s="129"/>
      <c r="BH27" s="129"/>
      <c r="BI27" s="129"/>
      <c r="BJ27" s="129"/>
      <c r="BK27" s="129"/>
      <c r="BL27" s="132" t="str">
        <f t="shared" si="36"/>
        <v/>
      </c>
      <c r="BM27" s="129"/>
      <c r="BN27" s="129"/>
      <c r="BO27" s="129"/>
      <c r="BP27" s="129"/>
      <c r="BQ27" s="27" t="str">
        <f t="shared" si="9"/>
        <v/>
      </c>
      <c r="BR27" s="129"/>
      <c r="BS27" s="129"/>
      <c r="BT27" s="33" t="s">
        <v>153</v>
      </c>
      <c r="BU27" s="33" t="s">
        <v>153</v>
      </c>
      <c r="BV27" s="33" t="s">
        <v>153</v>
      </c>
      <c r="BW27" s="33" t="s">
        <v>153</v>
      </c>
      <c r="BX27" s="34" t="s">
        <v>153</v>
      </c>
      <c r="BY27" s="34" t="s">
        <v>153</v>
      </c>
      <c r="BZ27" s="34" t="s">
        <v>153</v>
      </c>
      <c r="CA27" s="132" t="str">
        <f t="shared" si="37"/>
        <v/>
      </c>
      <c r="CB27" s="34" t="s">
        <v>153</v>
      </c>
      <c r="CC27" s="34" t="s">
        <v>153</v>
      </c>
      <c r="CD27" s="34" t="s">
        <v>153</v>
      </c>
      <c r="CE27" s="27" t="str">
        <f t="shared" si="11"/>
        <v/>
      </c>
      <c r="CF27" s="33" t="s">
        <v>153</v>
      </c>
      <c r="CG27" s="33" t="s">
        <v>153</v>
      </c>
      <c r="CH27" s="35" t="s">
        <v>153</v>
      </c>
      <c r="CI27" s="35" t="s">
        <v>153</v>
      </c>
      <c r="CJ27" s="35" t="s">
        <v>153</v>
      </c>
      <c r="CK27" s="35" t="s">
        <v>153</v>
      </c>
      <c r="CL27" s="134" t="s">
        <v>153</v>
      </c>
      <c r="CM27" s="134" t="s">
        <v>153</v>
      </c>
      <c r="CN27" s="134" t="s">
        <v>153</v>
      </c>
      <c r="CO27" s="132" t="str">
        <f t="shared" si="38"/>
        <v/>
      </c>
      <c r="CP27" s="134" t="s">
        <v>153</v>
      </c>
      <c r="CQ27" s="134" t="s">
        <v>153</v>
      </c>
      <c r="CR27" s="134" t="s">
        <v>153</v>
      </c>
      <c r="CS27" s="27" t="str">
        <f t="shared" si="13"/>
        <v/>
      </c>
      <c r="CT27" s="35" t="s">
        <v>153</v>
      </c>
      <c r="CU27" s="35" t="s">
        <v>153</v>
      </c>
      <c r="CV27" s="36" t="s">
        <v>153</v>
      </c>
      <c r="CW27" s="36" t="s">
        <v>153</v>
      </c>
      <c r="CX27" s="36" t="s">
        <v>153</v>
      </c>
      <c r="CY27" s="36" t="s">
        <v>153</v>
      </c>
      <c r="CZ27" s="135" t="s">
        <v>153</v>
      </c>
      <c r="DA27" s="135" t="s">
        <v>153</v>
      </c>
      <c r="DB27" s="135" t="s">
        <v>153</v>
      </c>
      <c r="DC27" s="132" t="str">
        <f t="shared" si="39"/>
        <v/>
      </c>
      <c r="DD27" s="135" t="s">
        <v>153</v>
      </c>
      <c r="DE27" s="135" t="s">
        <v>153</v>
      </c>
      <c r="DF27" s="135" t="s">
        <v>153</v>
      </c>
      <c r="DG27" s="27" t="str">
        <f t="shared" si="15"/>
        <v/>
      </c>
      <c r="DH27" s="36" t="s">
        <v>153</v>
      </c>
      <c r="DI27" s="36" t="s">
        <v>153</v>
      </c>
      <c r="DJ27" s="128">
        <f t="shared" si="40"/>
        <v>1</v>
      </c>
      <c r="DK27" s="128" t="str">
        <f t="shared" si="41"/>
        <v>1-1</v>
      </c>
      <c r="DL27" s="128" t="str">
        <f t="shared" si="42"/>
        <v/>
      </c>
      <c r="DM27" s="128" t="str">
        <f t="shared" si="43"/>
        <v/>
      </c>
      <c r="DN27" s="128" t="str">
        <f t="shared" si="44"/>
        <v>KHÁC</v>
      </c>
      <c r="DO27" s="128" t="str">
        <f t="shared" si="45"/>
        <v>KHÁC</v>
      </c>
      <c r="DP27" s="128" t="str">
        <f t="shared" si="46"/>
        <v>KHÁC</v>
      </c>
      <c r="DQ27" s="128">
        <f t="shared" si="47"/>
        <v>1</v>
      </c>
      <c r="DR27" s="136" t="s">
        <v>70</v>
      </c>
      <c r="DS27" s="137" t="b">
        <f t="shared" si="48"/>
        <v>1</v>
      </c>
      <c r="DT27" s="137" t="b">
        <f t="shared" si="49"/>
        <v>1</v>
      </c>
      <c r="DU27" s="137" t="b">
        <f t="shared" si="50"/>
        <v>1</v>
      </c>
      <c r="DV27" s="128" t="b">
        <f t="shared" si="51"/>
        <v>1</v>
      </c>
      <c r="DW27" s="128" t="b">
        <f t="shared" si="52"/>
        <v>1</v>
      </c>
      <c r="DX27" s="128" t="s">
        <v>70</v>
      </c>
      <c r="DY27" s="128" t="s">
        <v>900</v>
      </c>
      <c r="DZ27" s="128" t="s">
        <v>153</v>
      </c>
      <c r="EA27" s="202" t="s">
        <v>70</v>
      </c>
      <c r="EB27" s="202">
        <v>13</v>
      </c>
      <c r="EC27" s="165"/>
      <c r="ED27" s="165"/>
      <c r="EE27" s="165"/>
      <c r="EF27" s="37" t="str">
        <f t="shared" si="53"/>
        <v>No</v>
      </c>
      <c r="EG27" s="37">
        <f t="shared" si="54"/>
        <v>1</v>
      </c>
      <c r="EH27" s="37">
        <f t="shared" si="55"/>
        <v>0</v>
      </c>
      <c r="EI27" s="37" t="str">
        <f t="shared" si="56"/>
        <v>No</v>
      </c>
    </row>
    <row r="28" spans="1:139" ht="47.25">
      <c r="A28" s="53">
        <v>27</v>
      </c>
      <c r="B28" s="26">
        <v>3</v>
      </c>
      <c r="C28" s="37">
        <v>28</v>
      </c>
      <c r="D28" s="221">
        <v>1802448</v>
      </c>
      <c r="E28" s="200" t="s">
        <v>649</v>
      </c>
      <c r="F28" s="54" t="s">
        <v>650</v>
      </c>
      <c r="G28" s="28" t="s">
        <v>857</v>
      </c>
      <c r="H28" s="27" t="s">
        <v>652</v>
      </c>
      <c r="I28" s="27" t="s">
        <v>858</v>
      </c>
      <c r="J28" s="27" t="s">
        <v>859</v>
      </c>
      <c r="K28" s="128" t="s">
        <v>860</v>
      </c>
      <c r="L28" s="130">
        <v>43497</v>
      </c>
      <c r="M28" s="130">
        <v>43492</v>
      </c>
      <c r="N28" s="29" t="str">
        <f t="shared" si="31"/>
        <v>B00482130219TG05</v>
      </c>
      <c r="O28" s="82">
        <v>482</v>
      </c>
      <c r="P28" s="30" t="str">
        <f t="shared" si="1"/>
        <v>130219</v>
      </c>
      <c r="Q28" s="29" t="s">
        <v>223</v>
      </c>
      <c r="R28" s="30" t="str">
        <f t="shared" si="32"/>
        <v>13/02/2019</v>
      </c>
      <c r="S28" s="30" t="str">
        <f t="shared" si="33"/>
        <v>13/02/2024</v>
      </c>
      <c r="T28" s="140" t="s">
        <v>952</v>
      </c>
      <c r="U28" s="140" t="s">
        <v>953</v>
      </c>
      <c r="V28" s="27">
        <v>3</v>
      </c>
      <c r="W28" s="27" t="s">
        <v>900</v>
      </c>
      <c r="X28" s="31" t="s">
        <v>650</v>
      </c>
      <c r="Y28" s="31" t="s">
        <v>946</v>
      </c>
      <c r="Z28" s="31" t="s">
        <v>903</v>
      </c>
      <c r="AA28" s="31">
        <v>3</v>
      </c>
      <c r="AB28" s="131" t="s">
        <v>401</v>
      </c>
      <c r="AC28" s="131" t="s">
        <v>401</v>
      </c>
      <c r="AD28" s="131" t="s">
        <v>400</v>
      </c>
      <c r="AE28" s="131"/>
      <c r="AF28" s="132" t="str">
        <f t="shared" si="34"/>
        <v>2/2/4</v>
      </c>
      <c r="AG28" s="131">
        <v>41.7</v>
      </c>
      <c r="AH28" s="131">
        <v>41.7</v>
      </c>
      <c r="AI28" s="131">
        <v>37.24</v>
      </c>
      <c r="AJ28" s="131"/>
      <c r="AK28" s="27" t="str">
        <f t="shared" si="5"/>
        <v>41,7W/ 41,7W/ 37,24W</v>
      </c>
      <c r="AL28" s="31" t="s">
        <v>904</v>
      </c>
      <c r="AM28" s="31" t="s">
        <v>918</v>
      </c>
      <c r="AN28" s="32" t="s">
        <v>650</v>
      </c>
      <c r="AO28" s="32" t="s">
        <v>946</v>
      </c>
      <c r="AP28" s="32" t="s">
        <v>657</v>
      </c>
      <c r="AQ28" s="32">
        <v>3</v>
      </c>
      <c r="AR28" s="133" t="s">
        <v>401</v>
      </c>
      <c r="AS28" s="133" t="s">
        <v>401</v>
      </c>
      <c r="AT28" s="133" t="s">
        <v>401</v>
      </c>
      <c r="AU28" s="133"/>
      <c r="AV28" s="132" t="str">
        <f t="shared" si="35"/>
        <v>2/2/2</v>
      </c>
      <c r="AW28" s="133" t="s">
        <v>901</v>
      </c>
      <c r="AX28" s="133" t="s">
        <v>901</v>
      </c>
      <c r="AY28" s="133" t="s">
        <v>901</v>
      </c>
      <c r="AZ28" s="133"/>
      <c r="BA28" s="27" t="str">
        <f t="shared" si="7"/>
        <v>40W/ 40W/ 40W</v>
      </c>
      <c r="BB28" s="32" t="s">
        <v>659</v>
      </c>
      <c r="BC28" s="32" t="s">
        <v>929</v>
      </c>
      <c r="BD28" s="129" t="s">
        <v>650</v>
      </c>
      <c r="BE28" s="129" t="s">
        <v>946</v>
      </c>
      <c r="BF28" s="129" t="s">
        <v>910</v>
      </c>
      <c r="BG28" s="129">
        <v>3</v>
      </c>
      <c r="BH28" s="129" t="s">
        <v>911</v>
      </c>
      <c r="BI28" s="129" t="s">
        <v>911</v>
      </c>
      <c r="BJ28" s="129" t="s">
        <v>911</v>
      </c>
      <c r="BK28" s="129"/>
      <c r="BL28" s="132" t="str">
        <f t="shared" si="36"/>
        <v>1/1/1</v>
      </c>
      <c r="BM28" s="129" t="s">
        <v>901</v>
      </c>
      <c r="BN28" s="129" t="s">
        <v>901</v>
      </c>
      <c r="BO28" s="129" t="s">
        <v>901</v>
      </c>
      <c r="BP28" s="129"/>
      <c r="BQ28" s="27" t="str">
        <f t="shared" si="9"/>
        <v>40W/ 40W/ 40W</v>
      </c>
      <c r="BR28" s="129" t="s">
        <v>912</v>
      </c>
      <c r="BS28" s="129" t="s">
        <v>929</v>
      </c>
      <c r="BT28" s="33" t="s">
        <v>153</v>
      </c>
      <c r="BU28" s="33" t="s">
        <v>153</v>
      </c>
      <c r="BV28" s="33" t="s">
        <v>153</v>
      </c>
      <c r="BW28" s="33" t="s">
        <v>153</v>
      </c>
      <c r="BX28" s="34" t="s">
        <v>153</v>
      </c>
      <c r="BY28" s="34" t="s">
        <v>153</v>
      </c>
      <c r="BZ28" s="34" t="s">
        <v>153</v>
      </c>
      <c r="CA28" s="132" t="str">
        <f t="shared" si="37"/>
        <v/>
      </c>
      <c r="CB28" s="34" t="s">
        <v>153</v>
      </c>
      <c r="CC28" s="34" t="s">
        <v>153</v>
      </c>
      <c r="CD28" s="34" t="s">
        <v>153</v>
      </c>
      <c r="CE28" s="27" t="str">
        <f t="shared" si="11"/>
        <v/>
      </c>
      <c r="CF28" s="33" t="s">
        <v>153</v>
      </c>
      <c r="CG28" s="33" t="s">
        <v>153</v>
      </c>
      <c r="CH28" s="35" t="s">
        <v>153</v>
      </c>
      <c r="CI28" s="35" t="s">
        <v>153</v>
      </c>
      <c r="CJ28" s="35" t="s">
        <v>153</v>
      </c>
      <c r="CK28" s="35" t="s">
        <v>153</v>
      </c>
      <c r="CL28" s="134" t="s">
        <v>153</v>
      </c>
      <c r="CM28" s="134" t="s">
        <v>153</v>
      </c>
      <c r="CN28" s="134" t="s">
        <v>153</v>
      </c>
      <c r="CO28" s="132" t="str">
        <f t="shared" si="38"/>
        <v/>
      </c>
      <c r="CP28" s="134" t="s">
        <v>153</v>
      </c>
      <c r="CQ28" s="134" t="s">
        <v>153</v>
      </c>
      <c r="CR28" s="134" t="s">
        <v>153</v>
      </c>
      <c r="CS28" s="27" t="str">
        <f t="shared" si="13"/>
        <v/>
      </c>
      <c r="CT28" s="35" t="s">
        <v>153</v>
      </c>
      <c r="CU28" s="35" t="s">
        <v>153</v>
      </c>
      <c r="CV28" s="36" t="s">
        <v>153</v>
      </c>
      <c r="CW28" s="36" t="s">
        <v>153</v>
      </c>
      <c r="CX28" s="36" t="s">
        <v>153</v>
      </c>
      <c r="CY28" s="36" t="s">
        <v>153</v>
      </c>
      <c r="CZ28" s="135" t="s">
        <v>153</v>
      </c>
      <c r="DA28" s="135" t="s">
        <v>153</v>
      </c>
      <c r="DB28" s="135" t="s">
        <v>153</v>
      </c>
      <c r="DC28" s="132" t="str">
        <f t="shared" si="39"/>
        <v/>
      </c>
      <c r="DD28" s="135" t="s">
        <v>153</v>
      </c>
      <c r="DE28" s="135" t="s">
        <v>153</v>
      </c>
      <c r="DF28" s="135" t="s">
        <v>153</v>
      </c>
      <c r="DG28" s="27" t="str">
        <f t="shared" si="15"/>
        <v/>
      </c>
      <c r="DH28" s="36" t="s">
        <v>153</v>
      </c>
      <c r="DI28" s="36" t="s">
        <v>153</v>
      </c>
      <c r="DJ28" s="128">
        <f t="shared" si="40"/>
        <v>3</v>
      </c>
      <c r="DK28" s="128" t="str">
        <f t="shared" si="41"/>
        <v>3-3</v>
      </c>
      <c r="DL28" s="128" t="str">
        <f t="shared" si="42"/>
        <v>CHUNG</v>
      </c>
      <c r="DM28" s="128" t="str">
        <f t="shared" si="43"/>
        <v>CHUNG</v>
      </c>
      <c r="DN28" s="128" t="str">
        <f t="shared" si="44"/>
        <v>KHÁC</v>
      </c>
      <c r="DO28" s="128" t="str">
        <f t="shared" si="45"/>
        <v>KHÁC</v>
      </c>
      <c r="DP28" s="128" t="str">
        <f t="shared" si="46"/>
        <v>KHÁC</v>
      </c>
      <c r="DQ28" s="128">
        <f t="shared" si="47"/>
        <v>3</v>
      </c>
      <c r="DR28" s="136" t="s">
        <v>70</v>
      </c>
      <c r="DS28" s="137" t="b">
        <f t="shared" si="48"/>
        <v>1</v>
      </c>
      <c r="DT28" s="137" t="b">
        <f t="shared" si="49"/>
        <v>1</v>
      </c>
      <c r="DU28" s="137" t="b">
        <f t="shared" si="50"/>
        <v>1</v>
      </c>
      <c r="DV28" s="128" t="b">
        <f t="shared" si="51"/>
        <v>1</v>
      </c>
      <c r="DW28" s="128" t="b">
        <f t="shared" si="52"/>
        <v>1</v>
      </c>
      <c r="DX28" s="128" t="s">
        <v>70</v>
      </c>
      <c r="DY28" s="128" t="s">
        <v>900</v>
      </c>
      <c r="DZ28" s="128" t="s">
        <v>153</v>
      </c>
      <c r="EA28" s="202" t="s">
        <v>70</v>
      </c>
      <c r="EB28" s="202">
        <v>14</v>
      </c>
      <c r="EC28" s="165"/>
      <c r="ED28" s="165"/>
      <c r="EE28" s="165"/>
      <c r="EF28" s="37" t="str">
        <f t="shared" si="53"/>
        <v>No</v>
      </c>
      <c r="EG28" s="37">
        <f t="shared" si="54"/>
        <v>3</v>
      </c>
      <c r="EH28" s="37">
        <f t="shared" si="55"/>
        <v>0</v>
      </c>
      <c r="EI28" s="37" t="str">
        <f t="shared" si="56"/>
        <v>No</v>
      </c>
    </row>
    <row r="29" spans="1:139" ht="47.25">
      <c r="A29" s="53">
        <v>28</v>
      </c>
      <c r="B29" s="26">
        <v>3</v>
      </c>
      <c r="C29" s="37">
        <v>29</v>
      </c>
      <c r="D29" s="221">
        <v>1802449</v>
      </c>
      <c r="E29" s="200" t="s">
        <v>649</v>
      </c>
      <c r="F29" s="54" t="s">
        <v>650</v>
      </c>
      <c r="G29" s="28" t="s">
        <v>866</v>
      </c>
      <c r="H29" s="27" t="s">
        <v>652</v>
      </c>
      <c r="I29" s="27" t="s">
        <v>867</v>
      </c>
      <c r="J29" s="27" t="s">
        <v>868</v>
      </c>
      <c r="K29" s="128" t="s">
        <v>869</v>
      </c>
      <c r="L29" s="130">
        <v>43497</v>
      </c>
      <c r="M29" s="130">
        <v>43492</v>
      </c>
      <c r="N29" s="29" t="str">
        <f t="shared" si="31"/>
        <v>B00483130219TG05</v>
      </c>
      <c r="O29" s="82">
        <v>483</v>
      </c>
      <c r="P29" s="30" t="str">
        <f t="shared" si="1"/>
        <v>130219</v>
      </c>
      <c r="Q29" s="29" t="s">
        <v>223</v>
      </c>
      <c r="R29" s="30" t="str">
        <f t="shared" si="32"/>
        <v>13/02/2019</v>
      </c>
      <c r="S29" s="30" t="str">
        <f t="shared" si="33"/>
        <v>13/02/2024</v>
      </c>
      <c r="T29" s="140" t="s">
        <v>952</v>
      </c>
      <c r="U29" s="140" t="s">
        <v>953</v>
      </c>
      <c r="V29" s="27">
        <v>1</v>
      </c>
      <c r="W29" s="27" t="s">
        <v>900</v>
      </c>
      <c r="X29" s="31" t="s">
        <v>650</v>
      </c>
      <c r="Y29" s="31" t="s">
        <v>870</v>
      </c>
      <c r="Z29" s="31" t="s">
        <v>657</v>
      </c>
      <c r="AA29" s="31">
        <v>2</v>
      </c>
      <c r="AB29" s="131" t="s">
        <v>401</v>
      </c>
      <c r="AC29" s="131" t="s">
        <v>401</v>
      </c>
      <c r="AD29" s="131" t="s">
        <v>153</v>
      </c>
      <c r="AE29" s="131"/>
      <c r="AF29" s="132" t="str">
        <f t="shared" si="34"/>
        <v>2/2</v>
      </c>
      <c r="AG29" s="131" t="s">
        <v>901</v>
      </c>
      <c r="AH29" s="131" t="s">
        <v>901</v>
      </c>
      <c r="AI29" s="131"/>
      <c r="AJ29" s="131"/>
      <c r="AK29" s="27" t="str">
        <f t="shared" si="5"/>
        <v>40W/ 40W</v>
      </c>
      <c r="AL29" s="31" t="s">
        <v>659</v>
      </c>
      <c r="AM29" s="31" t="s">
        <v>871</v>
      </c>
      <c r="AN29" s="32"/>
      <c r="AO29" s="32"/>
      <c r="AP29" s="32"/>
      <c r="AQ29" s="32"/>
      <c r="AR29" s="133"/>
      <c r="AS29" s="133"/>
      <c r="AT29" s="133"/>
      <c r="AU29" s="133"/>
      <c r="AV29" s="132" t="str">
        <f t="shared" si="35"/>
        <v/>
      </c>
      <c r="AW29" s="133"/>
      <c r="AX29" s="133"/>
      <c r="AY29" s="133"/>
      <c r="AZ29" s="133"/>
      <c r="BA29" s="27" t="str">
        <f t="shared" si="7"/>
        <v/>
      </c>
      <c r="BB29" s="32"/>
      <c r="BC29" s="32"/>
      <c r="BD29" s="129"/>
      <c r="BE29" s="129"/>
      <c r="BF29" s="129"/>
      <c r="BG29" s="129"/>
      <c r="BH29" s="129"/>
      <c r="BI29" s="129"/>
      <c r="BJ29" s="129"/>
      <c r="BK29" s="129"/>
      <c r="BL29" s="132" t="str">
        <f t="shared" si="36"/>
        <v/>
      </c>
      <c r="BM29" s="129"/>
      <c r="BN29" s="129"/>
      <c r="BO29" s="129"/>
      <c r="BP29" s="129"/>
      <c r="BQ29" s="27" t="str">
        <f t="shared" si="9"/>
        <v/>
      </c>
      <c r="BR29" s="129"/>
      <c r="BS29" s="129"/>
      <c r="BT29" s="33" t="s">
        <v>153</v>
      </c>
      <c r="BU29" s="33" t="s">
        <v>153</v>
      </c>
      <c r="BV29" s="33" t="s">
        <v>153</v>
      </c>
      <c r="BW29" s="33" t="s">
        <v>153</v>
      </c>
      <c r="BX29" s="34" t="s">
        <v>153</v>
      </c>
      <c r="BY29" s="34" t="s">
        <v>153</v>
      </c>
      <c r="BZ29" s="34" t="s">
        <v>153</v>
      </c>
      <c r="CA29" s="132" t="str">
        <f t="shared" si="37"/>
        <v/>
      </c>
      <c r="CB29" s="34" t="s">
        <v>153</v>
      </c>
      <c r="CC29" s="34" t="s">
        <v>153</v>
      </c>
      <c r="CD29" s="34" t="s">
        <v>153</v>
      </c>
      <c r="CE29" s="27" t="str">
        <f t="shared" si="11"/>
        <v/>
      </c>
      <c r="CF29" s="33" t="s">
        <v>153</v>
      </c>
      <c r="CG29" s="33" t="s">
        <v>153</v>
      </c>
      <c r="CH29" s="35" t="s">
        <v>153</v>
      </c>
      <c r="CI29" s="35" t="s">
        <v>153</v>
      </c>
      <c r="CJ29" s="35" t="s">
        <v>153</v>
      </c>
      <c r="CK29" s="35" t="s">
        <v>153</v>
      </c>
      <c r="CL29" s="134" t="s">
        <v>153</v>
      </c>
      <c r="CM29" s="134" t="s">
        <v>153</v>
      </c>
      <c r="CN29" s="134" t="s">
        <v>153</v>
      </c>
      <c r="CO29" s="132" t="str">
        <f t="shared" si="38"/>
        <v/>
      </c>
      <c r="CP29" s="134" t="s">
        <v>153</v>
      </c>
      <c r="CQ29" s="134" t="s">
        <v>153</v>
      </c>
      <c r="CR29" s="134" t="s">
        <v>153</v>
      </c>
      <c r="CS29" s="27" t="str">
        <f t="shared" si="13"/>
        <v/>
      </c>
      <c r="CT29" s="35" t="s">
        <v>153</v>
      </c>
      <c r="CU29" s="35" t="s">
        <v>153</v>
      </c>
      <c r="CV29" s="36" t="s">
        <v>153</v>
      </c>
      <c r="CW29" s="36" t="s">
        <v>153</v>
      </c>
      <c r="CX29" s="36" t="s">
        <v>153</v>
      </c>
      <c r="CY29" s="36" t="s">
        <v>153</v>
      </c>
      <c r="CZ29" s="135" t="s">
        <v>153</v>
      </c>
      <c r="DA29" s="135" t="s">
        <v>153</v>
      </c>
      <c r="DB29" s="135" t="s">
        <v>153</v>
      </c>
      <c r="DC29" s="132" t="str">
        <f t="shared" si="39"/>
        <v/>
      </c>
      <c r="DD29" s="135" t="s">
        <v>153</v>
      </c>
      <c r="DE29" s="135" t="s">
        <v>153</v>
      </c>
      <c r="DF29" s="135" t="s">
        <v>153</v>
      </c>
      <c r="DG29" s="27" t="str">
        <f t="shared" si="15"/>
        <v/>
      </c>
      <c r="DH29" s="36" t="s">
        <v>153</v>
      </c>
      <c r="DI29" s="36" t="s">
        <v>153</v>
      </c>
      <c r="DJ29" s="128">
        <f t="shared" si="40"/>
        <v>1</v>
      </c>
      <c r="DK29" s="128" t="str">
        <f t="shared" si="41"/>
        <v>1-1</v>
      </c>
      <c r="DL29" s="128" t="str">
        <f t="shared" si="42"/>
        <v/>
      </c>
      <c r="DM29" s="128" t="str">
        <f t="shared" si="43"/>
        <v/>
      </c>
      <c r="DN29" s="128" t="str">
        <f t="shared" si="44"/>
        <v>KHÁC</v>
      </c>
      <c r="DO29" s="128" t="str">
        <f t="shared" si="45"/>
        <v>KHÁC</v>
      </c>
      <c r="DP29" s="128" t="str">
        <f t="shared" si="46"/>
        <v>KHÁC</v>
      </c>
      <c r="DQ29" s="128">
        <f t="shared" si="47"/>
        <v>1</v>
      </c>
      <c r="DR29" s="136" t="s">
        <v>70</v>
      </c>
      <c r="DS29" s="137" t="b">
        <f t="shared" si="48"/>
        <v>1</v>
      </c>
      <c r="DT29" s="137" t="b">
        <f t="shared" si="49"/>
        <v>1</v>
      </c>
      <c r="DU29" s="137" t="b">
        <f t="shared" si="50"/>
        <v>1</v>
      </c>
      <c r="DV29" s="128" t="b">
        <f t="shared" si="51"/>
        <v>1</v>
      </c>
      <c r="DW29" s="128" t="b">
        <f t="shared" si="52"/>
        <v>1</v>
      </c>
      <c r="DX29" s="128" t="s">
        <v>70</v>
      </c>
      <c r="DY29" s="128" t="s">
        <v>900</v>
      </c>
      <c r="DZ29" s="128" t="s">
        <v>153</v>
      </c>
      <c r="EA29" s="202" t="s">
        <v>70</v>
      </c>
      <c r="EB29" s="202">
        <v>12</v>
      </c>
      <c r="EC29" s="165"/>
      <c r="ED29" s="165"/>
      <c r="EE29" s="165"/>
      <c r="EF29" s="37" t="str">
        <f t="shared" si="53"/>
        <v>No</v>
      </c>
      <c r="EG29" s="37">
        <f t="shared" si="54"/>
        <v>1</v>
      </c>
      <c r="EH29" s="37">
        <f t="shared" si="55"/>
        <v>0</v>
      </c>
      <c r="EI29" s="37" t="str">
        <f t="shared" si="56"/>
        <v>No</v>
      </c>
    </row>
    <row r="30" spans="1:139" ht="63">
      <c r="A30" s="53">
        <v>29</v>
      </c>
      <c r="B30" s="26">
        <v>3</v>
      </c>
      <c r="C30" s="37">
        <v>30</v>
      </c>
      <c r="D30" s="221">
        <v>1802450</v>
      </c>
      <c r="E30" s="200" t="s">
        <v>649</v>
      </c>
      <c r="F30" s="54" t="s">
        <v>650</v>
      </c>
      <c r="G30" s="28" t="s">
        <v>872</v>
      </c>
      <c r="H30" s="27" t="s">
        <v>652</v>
      </c>
      <c r="I30" s="27" t="s">
        <v>873</v>
      </c>
      <c r="J30" s="27" t="s">
        <v>874</v>
      </c>
      <c r="K30" s="128" t="s">
        <v>875</v>
      </c>
      <c r="L30" s="130">
        <v>43497</v>
      </c>
      <c r="M30" s="130">
        <v>43492</v>
      </c>
      <c r="N30" s="29" t="str">
        <f t="shared" si="31"/>
        <v>B00484130219TG05</v>
      </c>
      <c r="O30" s="82">
        <v>484</v>
      </c>
      <c r="P30" s="30" t="str">
        <f t="shared" si="1"/>
        <v>130219</v>
      </c>
      <c r="Q30" s="29" t="s">
        <v>223</v>
      </c>
      <c r="R30" s="30" t="str">
        <f t="shared" si="32"/>
        <v>13/02/2019</v>
      </c>
      <c r="S30" s="30" t="str">
        <f t="shared" si="33"/>
        <v>13/02/2024</v>
      </c>
      <c r="T30" s="140" t="s">
        <v>952</v>
      </c>
      <c r="U30" s="140" t="s">
        <v>953</v>
      </c>
      <c r="V30" s="27">
        <v>4</v>
      </c>
      <c r="W30" s="27" t="s">
        <v>900</v>
      </c>
      <c r="X30" s="31" t="s">
        <v>650</v>
      </c>
      <c r="Y30" s="31" t="s">
        <v>947</v>
      </c>
      <c r="Z30" s="31" t="s">
        <v>903</v>
      </c>
      <c r="AA30" s="31">
        <v>3</v>
      </c>
      <c r="AB30" s="131" t="s">
        <v>400</v>
      </c>
      <c r="AC30" s="131" t="s">
        <v>400</v>
      </c>
      <c r="AD30" s="131" t="s">
        <v>400</v>
      </c>
      <c r="AE30" s="131"/>
      <c r="AF30" s="132" t="str">
        <f t="shared" si="34"/>
        <v>4/4/4</v>
      </c>
      <c r="AG30" s="131">
        <v>37.24</v>
      </c>
      <c r="AH30" s="131">
        <v>37.24</v>
      </c>
      <c r="AI30" s="131">
        <v>37.24</v>
      </c>
      <c r="AJ30" s="131"/>
      <c r="AK30" s="27" t="str">
        <f t="shared" si="5"/>
        <v>37,24W/ 37,24W/ 37,24W</v>
      </c>
      <c r="AL30" s="31" t="s">
        <v>904</v>
      </c>
      <c r="AM30" s="31" t="s">
        <v>958</v>
      </c>
      <c r="AN30" s="32" t="s">
        <v>650</v>
      </c>
      <c r="AO30" s="32" t="s">
        <v>947</v>
      </c>
      <c r="AP30" s="32" t="s">
        <v>903</v>
      </c>
      <c r="AQ30" s="32">
        <v>3</v>
      </c>
      <c r="AR30" s="133" t="s">
        <v>401</v>
      </c>
      <c r="AS30" s="133" t="s">
        <v>401</v>
      </c>
      <c r="AT30" s="133" t="s">
        <v>401</v>
      </c>
      <c r="AU30" s="133"/>
      <c r="AV30" s="132" t="str">
        <f t="shared" si="35"/>
        <v>2/2/2</v>
      </c>
      <c r="AW30" s="133">
        <v>41.7</v>
      </c>
      <c r="AX30" s="133">
        <v>41.7</v>
      </c>
      <c r="AY30" s="133">
        <v>41.7</v>
      </c>
      <c r="AZ30" s="133"/>
      <c r="BA30" s="27" t="str">
        <f t="shared" si="7"/>
        <v>41,7W/ 41,7W/ 41,7W</v>
      </c>
      <c r="BB30" s="32" t="s">
        <v>908</v>
      </c>
      <c r="BC30" s="32" t="s">
        <v>959</v>
      </c>
      <c r="BD30" s="129" t="s">
        <v>650</v>
      </c>
      <c r="BE30" s="129" t="s">
        <v>947</v>
      </c>
      <c r="BF30" s="129" t="s">
        <v>657</v>
      </c>
      <c r="BG30" s="129">
        <v>3</v>
      </c>
      <c r="BH30" s="129" t="s">
        <v>401</v>
      </c>
      <c r="BI30" s="129" t="s">
        <v>401</v>
      </c>
      <c r="BJ30" s="129" t="s">
        <v>401</v>
      </c>
      <c r="BK30" s="129"/>
      <c r="BL30" s="132" t="str">
        <f t="shared" si="36"/>
        <v>2/2/2</v>
      </c>
      <c r="BM30" s="129" t="s">
        <v>901</v>
      </c>
      <c r="BN30" s="129" t="s">
        <v>901</v>
      </c>
      <c r="BO30" s="129" t="s">
        <v>901</v>
      </c>
      <c r="BP30" s="129"/>
      <c r="BQ30" s="27" t="str">
        <f t="shared" si="9"/>
        <v>40W/ 40W/ 40W</v>
      </c>
      <c r="BR30" s="129" t="s">
        <v>659</v>
      </c>
      <c r="BS30" s="129" t="s">
        <v>960</v>
      </c>
      <c r="BT30" s="33" t="s">
        <v>650</v>
      </c>
      <c r="BU30" s="33" t="s">
        <v>947</v>
      </c>
      <c r="BV30" s="33" t="s">
        <v>910</v>
      </c>
      <c r="BW30" s="33">
        <v>3</v>
      </c>
      <c r="BX30" s="34" t="s">
        <v>911</v>
      </c>
      <c r="BY30" s="34" t="s">
        <v>911</v>
      </c>
      <c r="BZ30" s="34" t="s">
        <v>911</v>
      </c>
      <c r="CA30" s="132" t="str">
        <f t="shared" si="37"/>
        <v>1/1/1</v>
      </c>
      <c r="CB30" s="34" t="s">
        <v>901</v>
      </c>
      <c r="CC30" s="34" t="s">
        <v>901</v>
      </c>
      <c r="CD30" s="34" t="s">
        <v>901</v>
      </c>
      <c r="CE30" s="27" t="str">
        <f t="shared" si="11"/>
        <v>40,00W/ 40,00W/ 40,00W</v>
      </c>
      <c r="CF30" s="33" t="s">
        <v>912</v>
      </c>
      <c r="CG30" s="33" t="s">
        <v>960</v>
      </c>
      <c r="CH30" s="35" t="s">
        <v>153</v>
      </c>
      <c r="CI30" s="35" t="s">
        <v>153</v>
      </c>
      <c r="CJ30" s="35" t="s">
        <v>153</v>
      </c>
      <c r="CK30" s="35" t="s">
        <v>153</v>
      </c>
      <c r="CL30" s="134" t="s">
        <v>153</v>
      </c>
      <c r="CM30" s="134" t="s">
        <v>153</v>
      </c>
      <c r="CN30" s="134" t="s">
        <v>153</v>
      </c>
      <c r="CO30" s="132" t="str">
        <f t="shared" si="38"/>
        <v/>
      </c>
      <c r="CP30" s="134" t="s">
        <v>153</v>
      </c>
      <c r="CQ30" s="134" t="s">
        <v>153</v>
      </c>
      <c r="CR30" s="134" t="s">
        <v>153</v>
      </c>
      <c r="CS30" s="27" t="str">
        <f t="shared" si="13"/>
        <v/>
      </c>
      <c r="CT30" s="35" t="s">
        <v>153</v>
      </c>
      <c r="CU30" s="35" t="s">
        <v>153</v>
      </c>
      <c r="CV30" s="36" t="s">
        <v>153</v>
      </c>
      <c r="CW30" s="36" t="s">
        <v>153</v>
      </c>
      <c r="CX30" s="36" t="s">
        <v>153</v>
      </c>
      <c r="CY30" s="36" t="s">
        <v>153</v>
      </c>
      <c r="CZ30" s="135" t="s">
        <v>153</v>
      </c>
      <c r="DA30" s="135" t="s">
        <v>153</v>
      </c>
      <c r="DB30" s="135" t="s">
        <v>153</v>
      </c>
      <c r="DC30" s="132" t="str">
        <f t="shared" si="39"/>
        <v/>
      </c>
      <c r="DD30" s="135" t="s">
        <v>153</v>
      </c>
      <c r="DE30" s="135" t="s">
        <v>153</v>
      </c>
      <c r="DF30" s="135" t="s">
        <v>153</v>
      </c>
      <c r="DG30" s="27" t="str">
        <f t="shared" si="15"/>
        <v/>
      </c>
      <c r="DH30" s="36" t="s">
        <v>153</v>
      </c>
      <c r="DI30" s="36" t="s">
        <v>153</v>
      </c>
      <c r="DJ30" s="128">
        <f t="shared" si="40"/>
        <v>4</v>
      </c>
      <c r="DK30" s="128" t="str">
        <f t="shared" si="41"/>
        <v>4-4</v>
      </c>
      <c r="DL30" s="128" t="str">
        <f t="shared" si="42"/>
        <v>CHUNG</v>
      </c>
      <c r="DM30" s="128" t="str">
        <f t="shared" si="43"/>
        <v>CHUNG</v>
      </c>
      <c r="DN30" s="128" t="str">
        <f t="shared" si="44"/>
        <v>CHUNG</v>
      </c>
      <c r="DO30" s="128" t="str">
        <f t="shared" si="45"/>
        <v>KHÁC</v>
      </c>
      <c r="DP30" s="128" t="str">
        <f t="shared" si="46"/>
        <v>KHÁC</v>
      </c>
      <c r="DQ30" s="128">
        <f t="shared" si="47"/>
        <v>4</v>
      </c>
      <c r="DR30" s="136" t="s">
        <v>70</v>
      </c>
      <c r="DS30" s="137" t="b">
        <f t="shared" si="48"/>
        <v>1</v>
      </c>
      <c r="DT30" s="137" t="b">
        <f t="shared" si="49"/>
        <v>1</v>
      </c>
      <c r="DU30" s="137" t="b">
        <f t="shared" si="50"/>
        <v>1</v>
      </c>
      <c r="DV30" s="128" t="b">
        <f t="shared" si="51"/>
        <v>1</v>
      </c>
      <c r="DW30" s="128" t="b">
        <f t="shared" si="52"/>
        <v>1</v>
      </c>
      <c r="DX30" s="128" t="s">
        <v>70</v>
      </c>
      <c r="DY30" s="128" t="s">
        <v>900</v>
      </c>
      <c r="DZ30" s="128" t="s">
        <v>153</v>
      </c>
      <c r="EA30" s="202" t="s">
        <v>70</v>
      </c>
      <c r="EB30" s="202">
        <v>7.5</v>
      </c>
      <c r="EC30" s="165"/>
      <c r="ED30" s="165"/>
      <c r="EE30" s="165"/>
      <c r="EF30" s="37" t="str">
        <f t="shared" si="53"/>
        <v>No</v>
      </c>
      <c r="EG30" s="37">
        <f t="shared" si="54"/>
        <v>4</v>
      </c>
      <c r="EH30" s="37">
        <f t="shared" si="55"/>
        <v>0</v>
      </c>
      <c r="EI30" s="37" t="str">
        <f t="shared" si="56"/>
        <v>No</v>
      </c>
    </row>
    <row r="31" spans="1:139" ht="47.25">
      <c r="A31" s="53">
        <v>30</v>
      </c>
      <c r="B31" s="26">
        <v>3</v>
      </c>
      <c r="C31" s="37">
        <v>31</v>
      </c>
      <c r="D31" s="221">
        <v>1802451</v>
      </c>
      <c r="E31" s="200" t="s">
        <v>649</v>
      </c>
      <c r="F31" s="54" t="s">
        <v>650</v>
      </c>
      <c r="G31" s="28" t="s">
        <v>878</v>
      </c>
      <c r="H31" s="27" t="s">
        <v>652</v>
      </c>
      <c r="I31" s="27" t="s">
        <v>879</v>
      </c>
      <c r="J31" s="27" t="s">
        <v>880</v>
      </c>
      <c r="K31" s="128" t="s">
        <v>881</v>
      </c>
      <c r="L31" s="130">
        <v>43497</v>
      </c>
      <c r="M31" s="130">
        <v>43492</v>
      </c>
      <c r="N31" s="29" t="str">
        <f t="shared" si="31"/>
        <v>B00485130219TG05</v>
      </c>
      <c r="O31" s="82">
        <v>485</v>
      </c>
      <c r="P31" s="30" t="str">
        <f t="shared" si="1"/>
        <v>130219</v>
      </c>
      <c r="Q31" s="29" t="s">
        <v>223</v>
      </c>
      <c r="R31" s="30" t="str">
        <f t="shared" si="32"/>
        <v>13/02/2019</v>
      </c>
      <c r="S31" s="30" t="str">
        <f t="shared" si="33"/>
        <v>13/02/2024</v>
      </c>
      <c r="T31" s="140" t="s">
        <v>952</v>
      </c>
      <c r="U31" s="140" t="s">
        <v>953</v>
      </c>
      <c r="V31" s="27">
        <v>3</v>
      </c>
      <c r="W31" s="27" t="s">
        <v>70</v>
      </c>
      <c r="X31" s="31" t="s">
        <v>650</v>
      </c>
      <c r="Y31" s="31" t="s">
        <v>948</v>
      </c>
      <c r="Z31" s="31" t="s">
        <v>903</v>
      </c>
      <c r="AA31" s="31">
        <v>4</v>
      </c>
      <c r="AB31" s="131" t="s">
        <v>401</v>
      </c>
      <c r="AC31" s="131" t="s">
        <v>401</v>
      </c>
      <c r="AD31" s="131" t="s">
        <v>401</v>
      </c>
      <c r="AE31" s="131">
        <v>2</v>
      </c>
      <c r="AF31" s="132" t="str">
        <f t="shared" si="34"/>
        <v>2/2/2/2</v>
      </c>
      <c r="AG31" s="131">
        <v>41.7</v>
      </c>
      <c r="AH31" s="131">
        <v>41.7</v>
      </c>
      <c r="AI31" s="131">
        <v>41.7</v>
      </c>
      <c r="AJ31" s="131">
        <v>41.7</v>
      </c>
      <c r="AK31" s="27" t="str">
        <f t="shared" si="5"/>
        <v>41,7W/ 41,7W/ 41,7W/ 41,7W</v>
      </c>
      <c r="AL31" s="31" t="s">
        <v>904</v>
      </c>
      <c r="AM31" s="31" t="s">
        <v>949</v>
      </c>
      <c r="AN31" s="32" t="s">
        <v>650</v>
      </c>
      <c r="AO31" s="32" t="s">
        <v>948</v>
      </c>
      <c r="AP31" s="32" t="s">
        <v>657</v>
      </c>
      <c r="AQ31" s="32">
        <v>3</v>
      </c>
      <c r="AR31" s="133" t="s">
        <v>401</v>
      </c>
      <c r="AS31" s="133" t="s">
        <v>401</v>
      </c>
      <c r="AT31" s="133" t="s">
        <v>401</v>
      </c>
      <c r="AU31" s="133"/>
      <c r="AV31" s="132" t="str">
        <f t="shared" si="35"/>
        <v>2/2/2</v>
      </c>
      <c r="AW31" s="133" t="s">
        <v>901</v>
      </c>
      <c r="AX31" s="133" t="s">
        <v>901</v>
      </c>
      <c r="AY31" s="133" t="s">
        <v>901</v>
      </c>
      <c r="AZ31" s="133"/>
      <c r="BA31" s="27" t="str">
        <f t="shared" si="7"/>
        <v>40W/ 40W/ 40W</v>
      </c>
      <c r="BB31" s="32" t="s">
        <v>659</v>
      </c>
      <c r="BC31" s="32" t="s">
        <v>916</v>
      </c>
      <c r="BD31" s="129" t="s">
        <v>650</v>
      </c>
      <c r="BE31" s="129" t="s">
        <v>948</v>
      </c>
      <c r="BF31" s="129" t="s">
        <v>910</v>
      </c>
      <c r="BG31" s="129">
        <v>3</v>
      </c>
      <c r="BH31" s="129" t="s">
        <v>911</v>
      </c>
      <c r="BI31" s="129" t="s">
        <v>911</v>
      </c>
      <c r="BJ31" s="129" t="s">
        <v>911</v>
      </c>
      <c r="BK31" s="129"/>
      <c r="BL31" s="132" t="str">
        <f t="shared" si="36"/>
        <v>1/1/1</v>
      </c>
      <c r="BM31" s="129" t="s">
        <v>901</v>
      </c>
      <c r="BN31" s="129" t="s">
        <v>901</v>
      </c>
      <c r="BO31" s="129" t="s">
        <v>901</v>
      </c>
      <c r="BP31" s="129"/>
      <c r="BQ31" s="27" t="str">
        <f t="shared" si="9"/>
        <v>40W/ 40W/ 40W</v>
      </c>
      <c r="BR31" s="129" t="s">
        <v>912</v>
      </c>
      <c r="BS31" s="129" t="s">
        <v>916</v>
      </c>
      <c r="BT31" s="33" t="s">
        <v>153</v>
      </c>
      <c r="BU31" s="33" t="s">
        <v>153</v>
      </c>
      <c r="BV31" s="33" t="s">
        <v>153</v>
      </c>
      <c r="BW31" s="33" t="s">
        <v>153</v>
      </c>
      <c r="BX31" s="34" t="s">
        <v>153</v>
      </c>
      <c r="BY31" s="34" t="s">
        <v>153</v>
      </c>
      <c r="BZ31" s="34" t="s">
        <v>153</v>
      </c>
      <c r="CA31" s="132" t="str">
        <f t="shared" si="37"/>
        <v/>
      </c>
      <c r="CB31" s="34" t="s">
        <v>153</v>
      </c>
      <c r="CC31" s="34" t="s">
        <v>153</v>
      </c>
      <c r="CD31" s="34" t="s">
        <v>153</v>
      </c>
      <c r="CE31" s="27" t="str">
        <f t="shared" si="11"/>
        <v/>
      </c>
      <c r="CF31" s="33" t="s">
        <v>153</v>
      </c>
      <c r="CG31" s="33" t="s">
        <v>153</v>
      </c>
      <c r="CH31" s="35" t="s">
        <v>153</v>
      </c>
      <c r="CI31" s="35" t="s">
        <v>153</v>
      </c>
      <c r="CJ31" s="35" t="s">
        <v>153</v>
      </c>
      <c r="CK31" s="35" t="s">
        <v>153</v>
      </c>
      <c r="CL31" s="134" t="s">
        <v>153</v>
      </c>
      <c r="CM31" s="134" t="s">
        <v>153</v>
      </c>
      <c r="CN31" s="134" t="s">
        <v>153</v>
      </c>
      <c r="CO31" s="132" t="str">
        <f t="shared" si="38"/>
        <v/>
      </c>
      <c r="CP31" s="134" t="s">
        <v>153</v>
      </c>
      <c r="CQ31" s="134" t="s">
        <v>153</v>
      </c>
      <c r="CR31" s="134" t="s">
        <v>153</v>
      </c>
      <c r="CS31" s="27" t="str">
        <f t="shared" si="13"/>
        <v/>
      </c>
      <c r="CT31" s="35" t="s">
        <v>153</v>
      </c>
      <c r="CU31" s="35" t="s">
        <v>153</v>
      </c>
      <c r="CV31" s="36" t="s">
        <v>153</v>
      </c>
      <c r="CW31" s="36" t="s">
        <v>153</v>
      </c>
      <c r="CX31" s="36" t="s">
        <v>153</v>
      </c>
      <c r="CY31" s="36" t="s">
        <v>153</v>
      </c>
      <c r="CZ31" s="135" t="s">
        <v>153</v>
      </c>
      <c r="DA31" s="135" t="s">
        <v>153</v>
      </c>
      <c r="DB31" s="135" t="s">
        <v>153</v>
      </c>
      <c r="DC31" s="132" t="str">
        <f t="shared" si="39"/>
        <v/>
      </c>
      <c r="DD31" s="135" t="s">
        <v>153</v>
      </c>
      <c r="DE31" s="135" t="s">
        <v>153</v>
      </c>
      <c r="DF31" s="135" t="s">
        <v>153</v>
      </c>
      <c r="DG31" s="27" t="str">
        <f t="shared" si="15"/>
        <v/>
      </c>
      <c r="DH31" s="36" t="s">
        <v>153</v>
      </c>
      <c r="DI31" s="36" t="s">
        <v>153</v>
      </c>
      <c r="DJ31" s="128">
        <f t="shared" si="40"/>
        <v>3</v>
      </c>
      <c r="DK31" s="128" t="str">
        <f t="shared" si="41"/>
        <v>3-3</v>
      </c>
      <c r="DL31" s="128" t="str">
        <f t="shared" si="42"/>
        <v>CHUNG</v>
      </c>
      <c r="DM31" s="128" t="str">
        <f t="shared" si="43"/>
        <v>CHUNG</v>
      </c>
      <c r="DN31" s="128" t="str">
        <f t="shared" si="44"/>
        <v>KHÁC</v>
      </c>
      <c r="DO31" s="128" t="str">
        <f t="shared" si="45"/>
        <v>KHÁC</v>
      </c>
      <c r="DP31" s="128" t="str">
        <f t="shared" si="46"/>
        <v>KHÁC</v>
      </c>
      <c r="DQ31" s="128">
        <f t="shared" si="47"/>
        <v>3</v>
      </c>
      <c r="DR31" s="136" t="s">
        <v>70</v>
      </c>
      <c r="DS31" s="137" t="b">
        <f t="shared" si="48"/>
        <v>1</v>
      </c>
      <c r="DT31" s="137" t="b">
        <f t="shared" si="49"/>
        <v>1</v>
      </c>
      <c r="DU31" s="137" t="b">
        <f t="shared" si="50"/>
        <v>1</v>
      </c>
      <c r="DV31" s="128" t="b">
        <f t="shared" si="51"/>
        <v>1</v>
      </c>
      <c r="DW31" s="128" t="b">
        <f t="shared" si="52"/>
        <v>1</v>
      </c>
      <c r="DX31" s="128" t="s">
        <v>70</v>
      </c>
      <c r="DY31" s="128" t="s">
        <v>70</v>
      </c>
      <c r="DZ31" s="128">
        <v>34</v>
      </c>
      <c r="EA31" s="202" t="s">
        <v>70</v>
      </c>
      <c r="EB31" s="202">
        <v>30</v>
      </c>
      <c r="EC31" s="165"/>
      <c r="ED31" s="165"/>
      <c r="EE31" s="165"/>
      <c r="EF31" s="37" t="str">
        <f t="shared" si="53"/>
        <v>No</v>
      </c>
      <c r="EG31" s="37">
        <f t="shared" si="54"/>
        <v>3</v>
      </c>
      <c r="EH31" s="37">
        <f t="shared" si="55"/>
        <v>0</v>
      </c>
      <c r="EI31" s="37" t="str">
        <f t="shared" si="56"/>
        <v>No</v>
      </c>
    </row>
    <row r="32" spans="1:139" ht="47.25">
      <c r="A32" s="53">
        <v>31</v>
      </c>
      <c r="B32" s="26">
        <v>3</v>
      </c>
      <c r="C32" s="37">
        <v>32</v>
      </c>
      <c r="D32" s="221">
        <v>1802452</v>
      </c>
      <c r="E32" s="200" t="s">
        <v>649</v>
      </c>
      <c r="F32" s="54" t="s">
        <v>650</v>
      </c>
      <c r="G32" s="28" t="s">
        <v>886</v>
      </c>
      <c r="H32" s="27" t="s">
        <v>652</v>
      </c>
      <c r="I32" s="27" t="s">
        <v>887</v>
      </c>
      <c r="J32" s="27" t="s">
        <v>888</v>
      </c>
      <c r="K32" s="128" t="s">
        <v>889</v>
      </c>
      <c r="L32" s="130">
        <v>43497</v>
      </c>
      <c r="M32" s="130">
        <v>43493</v>
      </c>
      <c r="N32" s="29" t="str">
        <f t="shared" si="31"/>
        <v>B00486130219TG05</v>
      </c>
      <c r="O32" s="82">
        <v>486</v>
      </c>
      <c r="P32" s="30" t="str">
        <f t="shared" si="1"/>
        <v>130219</v>
      </c>
      <c r="Q32" s="29" t="s">
        <v>223</v>
      </c>
      <c r="R32" s="30" t="str">
        <f t="shared" si="32"/>
        <v>13/02/2019</v>
      </c>
      <c r="S32" s="30" t="str">
        <f t="shared" si="33"/>
        <v>13/02/2024</v>
      </c>
      <c r="T32" s="140" t="s">
        <v>952</v>
      </c>
      <c r="U32" s="140" t="s">
        <v>953</v>
      </c>
      <c r="V32" s="27">
        <v>3</v>
      </c>
      <c r="W32" s="27" t="s">
        <v>70</v>
      </c>
      <c r="X32" s="31" t="s">
        <v>650</v>
      </c>
      <c r="Y32" s="31" t="s">
        <v>950</v>
      </c>
      <c r="Z32" s="31" t="s">
        <v>903</v>
      </c>
      <c r="AA32" s="31">
        <v>4</v>
      </c>
      <c r="AB32" s="131" t="s">
        <v>401</v>
      </c>
      <c r="AC32" s="131" t="s">
        <v>400</v>
      </c>
      <c r="AD32" s="131" t="s">
        <v>401</v>
      </c>
      <c r="AE32" s="131">
        <v>2</v>
      </c>
      <c r="AF32" s="132" t="str">
        <f t="shared" si="34"/>
        <v>2/4/2/2</v>
      </c>
      <c r="AG32" s="131">
        <v>41.7</v>
      </c>
      <c r="AH32" s="131">
        <v>37.24</v>
      </c>
      <c r="AI32" s="131">
        <v>41.7</v>
      </c>
      <c r="AJ32" s="131">
        <v>41.7</v>
      </c>
      <c r="AK32" s="27" t="str">
        <f t="shared" si="5"/>
        <v>41,7W/ 37,24W/ 41,7W/ 41,7W</v>
      </c>
      <c r="AL32" s="31" t="s">
        <v>904</v>
      </c>
      <c r="AM32" s="31" t="s">
        <v>951</v>
      </c>
      <c r="AN32" s="32" t="s">
        <v>650</v>
      </c>
      <c r="AO32" s="32" t="s">
        <v>950</v>
      </c>
      <c r="AP32" s="32" t="s">
        <v>657</v>
      </c>
      <c r="AQ32" s="32">
        <v>3</v>
      </c>
      <c r="AR32" s="133" t="s">
        <v>401</v>
      </c>
      <c r="AS32" s="133" t="s">
        <v>401</v>
      </c>
      <c r="AT32" s="133" t="s">
        <v>401</v>
      </c>
      <c r="AU32" s="133"/>
      <c r="AV32" s="132" t="str">
        <f t="shared" si="35"/>
        <v>2/2/2</v>
      </c>
      <c r="AW32" s="133" t="s">
        <v>901</v>
      </c>
      <c r="AX32" s="133" t="s">
        <v>901</v>
      </c>
      <c r="AY32" s="133" t="s">
        <v>901</v>
      </c>
      <c r="AZ32" s="133"/>
      <c r="BA32" s="27" t="str">
        <f t="shared" si="7"/>
        <v>40W/ 40W/ 40W</v>
      </c>
      <c r="BB32" s="32" t="s">
        <v>659</v>
      </c>
      <c r="BC32" s="32" t="s">
        <v>944</v>
      </c>
      <c r="BD32" s="129" t="s">
        <v>650</v>
      </c>
      <c r="BE32" s="129" t="s">
        <v>950</v>
      </c>
      <c r="BF32" s="129" t="s">
        <v>910</v>
      </c>
      <c r="BG32" s="129">
        <v>3</v>
      </c>
      <c r="BH32" s="129" t="s">
        <v>911</v>
      </c>
      <c r="BI32" s="129" t="s">
        <v>911</v>
      </c>
      <c r="BJ32" s="129" t="s">
        <v>911</v>
      </c>
      <c r="BK32" s="129"/>
      <c r="BL32" s="132" t="str">
        <f t="shared" si="36"/>
        <v>1/1/1</v>
      </c>
      <c r="BM32" s="129" t="s">
        <v>901</v>
      </c>
      <c r="BN32" s="129" t="s">
        <v>901</v>
      </c>
      <c r="BO32" s="129" t="s">
        <v>901</v>
      </c>
      <c r="BP32" s="129"/>
      <c r="BQ32" s="27" t="str">
        <f t="shared" si="9"/>
        <v>40W/ 40W/ 40W</v>
      </c>
      <c r="BR32" s="129" t="s">
        <v>912</v>
      </c>
      <c r="BS32" s="129" t="s">
        <v>944</v>
      </c>
      <c r="BT32" s="33" t="s">
        <v>153</v>
      </c>
      <c r="BU32" s="33" t="s">
        <v>153</v>
      </c>
      <c r="BV32" s="33" t="s">
        <v>153</v>
      </c>
      <c r="BW32" s="33" t="s">
        <v>153</v>
      </c>
      <c r="BX32" s="34" t="s">
        <v>153</v>
      </c>
      <c r="BY32" s="34" t="s">
        <v>153</v>
      </c>
      <c r="BZ32" s="34" t="s">
        <v>153</v>
      </c>
      <c r="CA32" s="132" t="str">
        <f t="shared" si="37"/>
        <v/>
      </c>
      <c r="CB32" s="34" t="s">
        <v>153</v>
      </c>
      <c r="CC32" s="34" t="s">
        <v>153</v>
      </c>
      <c r="CD32" s="34" t="s">
        <v>153</v>
      </c>
      <c r="CE32" s="27" t="str">
        <f t="shared" si="11"/>
        <v/>
      </c>
      <c r="CF32" s="33" t="s">
        <v>153</v>
      </c>
      <c r="CG32" s="33" t="s">
        <v>153</v>
      </c>
      <c r="CH32" s="35" t="s">
        <v>153</v>
      </c>
      <c r="CI32" s="35" t="s">
        <v>153</v>
      </c>
      <c r="CJ32" s="35" t="s">
        <v>153</v>
      </c>
      <c r="CK32" s="35" t="s">
        <v>153</v>
      </c>
      <c r="CL32" s="134" t="s">
        <v>153</v>
      </c>
      <c r="CM32" s="134" t="s">
        <v>153</v>
      </c>
      <c r="CN32" s="134" t="s">
        <v>153</v>
      </c>
      <c r="CO32" s="132" t="str">
        <f t="shared" si="38"/>
        <v/>
      </c>
      <c r="CP32" s="134" t="s">
        <v>153</v>
      </c>
      <c r="CQ32" s="134" t="s">
        <v>153</v>
      </c>
      <c r="CR32" s="134" t="s">
        <v>153</v>
      </c>
      <c r="CS32" s="27" t="str">
        <f t="shared" si="13"/>
        <v/>
      </c>
      <c r="CT32" s="35" t="s">
        <v>153</v>
      </c>
      <c r="CU32" s="35" t="s">
        <v>153</v>
      </c>
      <c r="CV32" s="36" t="s">
        <v>153</v>
      </c>
      <c r="CW32" s="36" t="s">
        <v>153</v>
      </c>
      <c r="CX32" s="36" t="s">
        <v>153</v>
      </c>
      <c r="CY32" s="36" t="s">
        <v>153</v>
      </c>
      <c r="CZ32" s="135" t="s">
        <v>153</v>
      </c>
      <c r="DA32" s="135" t="s">
        <v>153</v>
      </c>
      <c r="DB32" s="135" t="s">
        <v>153</v>
      </c>
      <c r="DC32" s="132" t="str">
        <f t="shared" si="39"/>
        <v/>
      </c>
      <c r="DD32" s="135" t="s">
        <v>153</v>
      </c>
      <c r="DE32" s="135" t="s">
        <v>153</v>
      </c>
      <c r="DF32" s="135" t="s">
        <v>153</v>
      </c>
      <c r="DG32" s="27" t="str">
        <f t="shared" si="15"/>
        <v/>
      </c>
      <c r="DH32" s="36" t="s">
        <v>153</v>
      </c>
      <c r="DI32" s="36" t="s">
        <v>153</v>
      </c>
      <c r="DJ32" s="128">
        <f t="shared" si="40"/>
        <v>3</v>
      </c>
      <c r="DK32" s="128" t="str">
        <f t="shared" si="41"/>
        <v>3-3</v>
      </c>
      <c r="DL32" s="128" t="str">
        <f t="shared" si="42"/>
        <v>CHUNG</v>
      </c>
      <c r="DM32" s="128" t="str">
        <f t="shared" si="43"/>
        <v>CHUNG</v>
      </c>
      <c r="DN32" s="128" t="str">
        <f t="shared" si="44"/>
        <v>KHÁC</v>
      </c>
      <c r="DO32" s="128" t="str">
        <f t="shared" si="45"/>
        <v>KHÁC</v>
      </c>
      <c r="DP32" s="128" t="str">
        <f t="shared" si="46"/>
        <v>KHÁC</v>
      </c>
      <c r="DQ32" s="128">
        <f t="shared" si="47"/>
        <v>3</v>
      </c>
      <c r="DR32" s="136" t="s">
        <v>70</v>
      </c>
      <c r="DS32" s="137" t="b">
        <f t="shared" si="48"/>
        <v>1</v>
      </c>
      <c r="DT32" s="137" t="b">
        <f t="shared" si="49"/>
        <v>1</v>
      </c>
      <c r="DU32" s="137" t="b">
        <f t="shared" si="50"/>
        <v>1</v>
      </c>
      <c r="DV32" s="128" t="b">
        <f t="shared" si="51"/>
        <v>1</v>
      </c>
      <c r="DW32" s="128" t="b">
        <f t="shared" si="52"/>
        <v>1</v>
      </c>
      <c r="DX32" s="128" t="s">
        <v>70</v>
      </c>
      <c r="DY32" s="128" t="s">
        <v>70</v>
      </c>
      <c r="DZ32" s="128">
        <v>36</v>
      </c>
      <c r="EA32" s="202" t="s">
        <v>70</v>
      </c>
      <c r="EB32" s="202">
        <v>32</v>
      </c>
      <c r="EC32" s="165"/>
      <c r="ED32" s="165"/>
      <c r="EE32" s="165"/>
      <c r="EF32" s="37" t="str">
        <f t="shared" si="53"/>
        <v>No</v>
      </c>
      <c r="EG32" s="37">
        <f t="shared" si="54"/>
        <v>3</v>
      </c>
      <c r="EH32" s="37">
        <f t="shared" si="55"/>
        <v>0</v>
      </c>
      <c r="EI32" s="37" t="str">
        <f t="shared" si="56"/>
        <v>No</v>
      </c>
    </row>
    <row r="33" spans="1:139" ht="47.25">
      <c r="A33" s="53">
        <v>32</v>
      </c>
      <c r="B33" s="26">
        <v>3</v>
      </c>
      <c r="C33" s="37">
        <v>33</v>
      </c>
      <c r="D33" s="221">
        <v>1802453</v>
      </c>
      <c r="E33" s="200" t="s">
        <v>649</v>
      </c>
      <c r="F33" s="54" t="s">
        <v>650</v>
      </c>
      <c r="G33" s="28" t="s">
        <v>894</v>
      </c>
      <c r="H33" s="27" t="s">
        <v>652</v>
      </c>
      <c r="I33" s="27" t="s">
        <v>895</v>
      </c>
      <c r="J33" s="27" t="s">
        <v>896</v>
      </c>
      <c r="K33" s="128" t="s">
        <v>897</v>
      </c>
      <c r="L33" s="130">
        <v>43497</v>
      </c>
      <c r="M33" s="130">
        <v>43493</v>
      </c>
      <c r="N33" s="29" t="str">
        <f t="shared" si="31"/>
        <v>B00487130219TG05</v>
      </c>
      <c r="O33" s="82">
        <v>487</v>
      </c>
      <c r="P33" s="30" t="str">
        <f t="shared" si="1"/>
        <v>130219</v>
      </c>
      <c r="Q33" s="29" t="s">
        <v>223</v>
      </c>
      <c r="R33" s="30" t="str">
        <f t="shared" si="32"/>
        <v>13/02/2019</v>
      </c>
      <c r="S33" s="30" t="str">
        <f t="shared" si="33"/>
        <v>13/02/2024</v>
      </c>
      <c r="T33" s="140" t="s">
        <v>952</v>
      </c>
      <c r="U33" s="140" t="s">
        <v>953</v>
      </c>
      <c r="V33" s="27">
        <v>1</v>
      </c>
      <c r="W33" s="27" t="s">
        <v>900</v>
      </c>
      <c r="X33" s="31" t="s">
        <v>650</v>
      </c>
      <c r="Y33" s="31" t="s">
        <v>898</v>
      </c>
      <c r="Z33" s="31" t="s">
        <v>657</v>
      </c>
      <c r="AA33" s="31">
        <v>2</v>
      </c>
      <c r="AB33" s="131" t="s">
        <v>401</v>
      </c>
      <c r="AC33" s="131" t="s">
        <v>401</v>
      </c>
      <c r="AD33" s="131" t="s">
        <v>153</v>
      </c>
      <c r="AE33" s="131"/>
      <c r="AF33" s="132" t="str">
        <f t="shared" si="34"/>
        <v>2/2</v>
      </c>
      <c r="AG33" s="131" t="s">
        <v>901</v>
      </c>
      <c r="AH33" s="131" t="s">
        <v>901</v>
      </c>
      <c r="AI33" s="131"/>
      <c r="AJ33" s="131"/>
      <c r="AK33" s="27" t="str">
        <f t="shared" si="5"/>
        <v>40W/ 40W</v>
      </c>
      <c r="AL33" s="31" t="s">
        <v>659</v>
      </c>
      <c r="AM33" s="31" t="s">
        <v>899</v>
      </c>
      <c r="AN33" s="32"/>
      <c r="AO33" s="32"/>
      <c r="AP33" s="32"/>
      <c r="AQ33" s="32"/>
      <c r="AR33" s="133"/>
      <c r="AS33" s="133"/>
      <c r="AT33" s="133"/>
      <c r="AU33" s="133"/>
      <c r="AV33" s="132" t="str">
        <f t="shared" si="35"/>
        <v/>
      </c>
      <c r="AW33" s="133"/>
      <c r="AX33" s="133"/>
      <c r="AY33" s="133"/>
      <c r="AZ33" s="133"/>
      <c r="BA33" s="27" t="str">
        <f t="shared" si="7"/>
        <v/>
      </c>
      <c r="BB33" s="32"/>
      <c r="BC33" s="32"/>
      <c r="BD33" s="129"/>
      <c r="BE33" s="129"/>
      <c r="BF33" s="129"/>
      <c r="BG33" s="129"/>
      <c r="BH33" s="129"/>
      <c r="BI33" s="129"/>
      <c r="BJ33" s="129"/>
      <c r="BK33" s="129"/>
      <c r="BL33" s="132" t="str">
        <f t="shared" si="36"/>
        <v/>
      </c>
      <c r="BM33" s="129"/>
      <c r="BN33" s="129"/>
      <c r="BO33" s="129"/>
      <c r="BP33" s="129"/>
      <c r="BQ33" s="27" t="str">
        <f t="shared" si="9"/>
        <v/>
      </c>
      <c r="BR33" s="129"/>
      <c r="BS33" s="129"/>
      <c r="BT33" s="33" t="s">
        <v>153</v>
      </c>
      <c r="BU33" s="33" t="s">
        <v>153</v>
      </c>
      <c r="BV33" s="33" t="s">
        <v>153</v>
      </c>
      <c r="BW33" s="33" t="s">
        <v>153</v>
      </c>
      <c r="BX33" s="34" t="s">
        <v>153</v>
      </c>
      <c r="BY33" s="34" t="s">
        <v>153</v>
      </c>
      <c r="BZ33" s="34" t="s">
        <v>153</v>
      </c>
      <c r="CA33" s="132" t="str">
        <f t="shared" si="37"/>
        <v/>
      </c>
      <c r="CB33" s="34" t="s">
        <v>153</v>
      </c>
      <c r="CC33" s="34" t="s">
        <v>153</v>
      </c>
      <c r="CD33" s="34" t="s">
        <v>153</v>
      </c>
      <c r="CE33" s="27" t="str">
        <f t="shared" si="11"/>
        <v/>
      </c>
      <c r="CF33" s="33" t="s">
        <v>153</v>
      </c>
      <c r="CG33" s="33" t="s">
        <v>153</v>
      </c>
      <c r="CH33" s="35" t="s">
        <v>153</v>
      </c>
      <c r="CI33" s="35" t="s">
        <v>153</v>
      </c>
      <c r="CJ33" s="35" t="s">
        <v>153</v>
      </c>
      <c r="CK33" s="35" t="s">
        <v>153</v>
      </c>
      <c r="CL33" s="134" t="s">
        <v>153</v>
      </c>
      <c r="CM33" s="134" t="s">
        <v>153</v>
      </c>
      <c r="CN33" s="134" t="s">
        <v>153</v>
      </c>
      <c r="CO33" s="132" t="str">
        <f t="shared" si="38"/>
        <v/>
      </c>
      <c r="CP33" s="134" t="s">
        <v>153</v>
      </c>
      <c r="CQ33" s="134" t="s">
        <v>153</v>
      </c>
      <c r="CR33" s="134" t="s">
        <v>153</v>
      </c>
      <c r="CS33" s="27" t="str">
        <f t="shared" si="13"/>
        <v/>
      </c>
      <c r="CT33" s="35" t="s">
        <v>153</v>
      </c>
      <c r="CU33" s="35" t="s">
        <v>153</v>
      </c>
      <c r="CV33" s="36" t="s">
        <v>153</v>
      </c>
      <c r="CW33" s="36" t="s">
        <v>153</v>
      </c>
      <c r="CX33" s="36" t="s">
        <v>153</v>
      </c>
      <c r="CY33" s="36" t="s">
        <v>153</v>
      </c>
      <c r="CZ33" s="135" t="s">
        <v>153</v>
      </c>
      <c r="DA33" s="135" t="s">
        <v>153</v>
      </c>
      <c r="DB33" s="135" t="s">
        <v>153</v>
      </c>
      <c r="DC33" s="132" t="str">
        <f t="shared" si="39"/>
        <v/>
      </c>
      <c r="DD33" s="135" t="s">
        <v>153</v>
      </c>
      <c r="DE33" s="135" t="s">
        <v>153</v>
      </c>
      <c r="DF33" s="135" t="s">
        <v>153</v>
      </c>
      <c r="DG33" s="27" t="str">
        <f t="shared" si="15"/>
        <v/>
      </c>
      <c r="DH33" s="36" t="s">
        <v>153</v>
      </c>
      <c r="DI33" s="36" t="s">
        <v>153</v>
      </c>
      <c r="DJ33" s="128">
        <f t="shared" si="40"/>
        <v>1</v>
      </c>
      <c r="DK33" s="128" t="str">
        <f t="shared" si="41"/>
        <v>1-1</v>
      </c>
      <c r="DL33" s="128" t="str">
        <f t="shared" si="42"/>
        <v/>
      </c>
      <c r="DM33" s="128" t="str">
        <f t="shared" si="43"/>
        <v/>
      </c>
      <c r="DN33" s="128" t="str">
        <f t="shared" si="44"/>
        <v>KHÁC</v>
      </c>
      <c r="DO33" s="128" t="str">
        <f t="shared" si="45"/>
        <v>KHÁC</v>
      </c>
      <c r="DP33" s="128" t="str">
        <f t="shared" si="46"/>
        <v>KHÁC</v>
      </c>
      <c r="DQ33" s="128">
        <f t="shared" si="47"/>
        <v>1</v>
      </c>
      <c r="DR33" s="136" t="s">
        <v>70</v>
      </c>
      <c r="DS33" s="137" t="b">
        <f t="shared" si="48"/>
        <v>1</v>
      </c>
      <c r="DT33" s="137" t="b">
        <f t="shared" si="49"/>
        <v>1</v>
      </c>
      <c r="DU33" s="137" t="b">
        <f t="shared" si="50"/>
        <v>1</v>
      </c>
      <c r="DV33" s="128" t="b">
        <f t="shared" si="51"/>
        <v>1</v>
      </c>
      <c r="DW33" s="128" t="b">
        <f t="shared" si="52"/>
        <v>1</v>
      </c>
      <c r="DX33" s="128" t="s">
        <v>70</v>
      </c>
      <c r="DY33" s="128" t="s">
        <v>900</v>
      </c>
      <c r="DZ33" s="128" t="s">
        <v>153</v>
      </c>
      <c r="EA33" s="202" t="s">
        <v>70</v>
      </c>
      <c r="EB33" s="202">
        <v>18</v>
      </c>
      <c r="EC33" s="165"/>
      <c r="ED33" s="165"/>
      <c r="EE33" s="165"/>
      <c r="EF33" s="37" t="str">
        <f t="shared" si="53"/>
        <v>No</v>
      </c>
      <c r="EG33" s="37">
        <f t="shared" si="54"/>
        <v>1</v>
      </c>
      <c r="EH33" s="37">
        <f t="shared" si="55"/>
        <v>0</v>
      </c>
      <c r="EI33" s="37" t="str">
        <f t="shared" si="56"/>
        <v>No</v>
      </c>
    </row>
  </sheetData>
  <autoFilter ref="A1:EI33">
    <sortState ref="A2:EI71">
      <sortCondition ref="A1:A71"/>
    </sortState>
  </autoFilter>
  <conditionalFormatting sqref="DS1:DW64042">
    <cfRule type="cellIs" dxfId="9" priority="43" stopIfTrue="1" operator="notEqual">
      <formula>TRUE</formula>
    </cfRule>
  </conditionalFormatting>
  <conditionalFormatting sqref="BW1 CK1 CY1">
    <cfRule type="cellIs" dxfId="8" priority="42" stopIfTrue="1" operator="notEqual">
      <formula>3</formula>
    </cfRule>
  </conditionalFormatting>
  <conditionalFormatting sqref="CY1:CY64042 CK1:CK64042 BW1:BW64042 AA1:AA64042 AQ1:AQ64042 BG1:BG64042">
    <cfRule type="cellIs" dxfId="7" priority="41" stopIfTrue="1" operator="notEqual">
      <formula>3</formula>
    </cfRule>
  </conditionalFormatting>
  <conditionalFormatting sqref="BW2:BW33">
    <cfRule type="cellIs" dxfId="6" priority="39" operator="notEqual">
      <formula>3</formula>
    </cfRule>
    <cfRule type="cellIs" priority="40" operator="equal">
      <formula>3</formula>
    </cfRule>
  </conditionalFormatting>
  <conditionalFormatting sqref="DX1:DY1048576">
    <cfRule type="containsText" dxfId="5" priority="18"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0" workbookViewId="0">
      <selection activeCell="R16" sqref="R16:T16"/>
    </sheetView>
  </sheetViews>
  <sheetFormatPr defaultColWidth="9.140625" defaultRowHeight="15.75"/>
  <cols>
    <col min="1" max="13" width="3.140625" style="141" customWidth="1"/>
    <col min="14" max="14" width="8.42578125" style="141" customWidth="1"/>
    <col min="15" max="25" width="3.140625" style="141" customWidth="1"/>
    <col min="26" max="26" width="3.5703125" style="141" customWidth="1"/>
    <col min="27" max="29" width="3.140625" style="141" customWidth="1"/>
    <col min="30" max="30" width="10.5703125" style="141" bestFit="1" customWidth="1"/>
    <col min="31" max="31" width="11.85546875" style="141" bestFit="1" customWidth="1"/>
    <col min="32" max="32" width="10.5703125" style="141" bestFit="1" customWidth="1"/>
    <col min="33" max="33" width="9.85546875" style="141" bestFit="1" customWidth="1"/>
    <col min="34" max="34" width="11.85546875" style="141" bestFit="1" customWidth="1"/>
    <col min="35" max="16384" width="9.140625" style="141"/>
  </cols>
  <sheetData>
    <row r="1" spans="1:34" ht="16.5">
      <c r="A1" s="223" t="s">
        <v>140</v>
      </c>
      <c r="B1" s="223"/>
      <c r="C1" s="223"/>
      <c r="D1" s="223"/>
      <c r="E1" s="223"/>
      <c r="F1" s="223"/>
      <c r="G1" s="223"/>
      <c r="H1" s="223"/>
      <c r="I1" s="223"/>
      <c r="J1" s="223"/>
      <c r="N1" s="224" t="s">
        <v>104</v>
      </c>
      <c r="O1" s="224"/>
      <c r="P1" s="224"/>
      <c r="Q1" s="224"/>
      <c r="R1" s="224"/>
      <c r="S1" s="224"/>
      <c r="T1" s="224"/>
      <c r="U1" s="224"/>
      <c r="V1" s="224"/>
      <c r="W1" s="224"/>
      <c r="X1" s="224"/>
      <c r="Y1" s="224"/>
      <c r="Z1" s="224"/>
      <c r="AA1" s="113"/>
    </row>
    <row r="2" spans="1:34" ht="16.5" customHeight="1">
      <c r="A2" s="224" t="s">
        <v>103</v>
      </c>
      <c r="B2" s="224"/>
      <c r="C2" s="224"/>
      <c r="D2" s="224"/>
      <c r="E2" s="224"/>
      <c r="F2" s="224"/>
      <c r="G2" s="224"/>
      <c r="H2" s="224"/>
      <c r="I2" s="224"/>
      <c r="J2" s="224"/>
      <c r="N2" s="250" t="s">
        <v>173</v>
      </c>
      <c r="O2" s="250"/>
      <c r="P2" s="250"/>
      <c r="Q2" s="250"/>
      <c r="R2" s="250"/>
      <c r="S2" s="250"/>
      <c r="T2" s="250"/>
      <c r="U2" s="250"/>
      <c r="V2" s="250"/>
      <c r="W2" s="250"/>
      <c r="X2" s="250"/>
      <c r="Y2" s="250"/>
      <c r="Z2" s="250"/>
    </row>
    <row r="3" spans="1:34" ht="16.5">
      <c r="A3" s="224" t="s">
        <v>105</v>
      </c>
      <c r="B3" s="224"/>
      <c r="C3" s="224"/>
      <c r="D3" s="224"/>
      <c r="E3" s="224"/>
      <c r="F3" s="224"/>
      <c r="G3" s="224"/>
      <c r="H3" s="224"/>
      <c r="I3" s="224"/>
      <c r="J3" s="224"/>
      <c r="O3" s="146"/>
      <c r="P3" s="146"/>
      <c r="Q3" s="146"/>
      <c r="R3" s="146"/>
      <c r="S3" s="146"/>
      <c r="T3" s="146"/>
      <c r="U3" s="146"/>
      <c r="V3" s="146"/>
      <c r="W3" s="146"/>
    </row>
    <row r="4" spans="1:34" ht="21.75" customHeight="1">
      <c r="C4" s="227" t="str">
        <f>IF(LEN(AD4)=1,"Số: 0"&amp;AD4&amp;"/LPKĐ-TT2","Số: "&amp;AD4&amp;"/LPKĐ-TT2")</f>
        <v>Số: 38/LPKĐ-TT2</v>
      </c>
      <c r="D4" s="227"/>
      <c r="E4" s="227"/>
      <c r="F4" s="227"/>
      <c r="G4" s="227"/>
      <c r="H4" s="227"/>
      <c r="N4" s="230" t="str">
        <f>"TP. Hồ Chí Minh, ngày "&amp;AF4&amp;" tháng "&amp;AG4&amp;" năm "&amp;AH4</f>
        <v>TP. Hồ Chí Minh, ngày 11 tháng 7 năm 2014</v>
      </c>
      <c r="O4" s="230"/>
      <c r="P4" s="230"/>
      <c r="Q4" s="230"/>
      <c r="R4" s="230"/>
      <c r="S4" s="230"/>
      <c r="T4" s="230"/>
      <c r="U4" s="230"/>
      <c r="V4" s="230"/>
      <c r="W4" s="230"/>
      <c r="X4" s="230"/>
      <c r="Y4" s="230"/>
      <c r="Z4" s="230"/>
      <c r="AD4" s="142" t="s">
        <v>241</v>
      </c>
      <c r="AE4" s="143" t="s">
        <v>249</v>
      </c>
      <c r="AF4" s="141">
        <f>DAY(AE4)</f>
        <v>11</v>
      </c>
      <c r="AG4" s="141">
        <f>MONTH(AE4)</f>
        <v>7</v>
      </c>
      <c r="AH4" s="141">
        <f>YEAR(AE4)</f>
        <v>2014</v>
      </c>
    </row>
    <row r="6" spans="1:34" ht="8.25" customHeight="1">
      <c r="O6" s="113"/>
    </row>
    <row r="7" spans="1:34" ht="18.75">
      <c r="C7" s="229" t="s">
        <v>171</v>
      </c>
      <c r="D7" s="229"/>
      <c r="E7" s="229"/>
      <c r="F7" s="229"/>
      <c r="G7" s="229"/>
      <c r="H7" s="229"/>
      <c r="I7" s="229"/>
      <c r="J7" s="229"/>
      <c r="K7" s="229"/>
      <c r="L7" s="229"/>
      <c r="M7" s="229"/>
      <c r="N7" s="229"/>
      <c r="O7" s="229"/>
      <c r="P7" s="229"/>
      <c r="Q7" s="229"/>
      <c r="R7" s="229"/>
      <c r="S7" s="229"/>
      <c r="T7" s="229"/>
      <c r="U7" s="229"/>
      <c r="V7" s="229"/>
      <c r="W7" s="229"/>
      <c r="X7" s="229"/>
    </row>
    <row r="8" spans="1:34" ht="18.75">
      <c r="C8" s="229" t="s">
        <v>107</v>
      </c>
      <c r="D8" s="229"/>
      <c r="E8" s="229"/>
      <c r="F8" s="229"/>
      <c r="G8" s="229"/>
      <c r="H8" s="229"/>
      <c r="I8" s="229"/>
      <c r="J8" s="229"/>
      <c r="K8" s="229"/>
      <c r="L8" s="229"/>
      <c r="M8" s="229"/>
      <c r="N8" s="229"/>
      <c r="O8" s="229"/>
      <c r="P8" s="229"/>
      <c r="Q8" s="229"/>
      <c r="R8" s="229"/>
      <c r="S8" s="229"/>
      <c r="T8" s="229"/>
      <c r="U8" s="229"/>
      <c r="V8" s="229"/>
      <c r="W8" s="229"/>
      <c r="X8" s="229"/>
    </row>
    <row r="10" spans="1:34" ht="16.5">
      <c r="D10" s="223" t="str">
        <f>"Kính gửi: "&amp;AD10</f>
        <v>Kính gửi: Trung tâm Thông tin di động khu vực II</v>
      </c>
      <c r="E10" s="223"/>
      <c r="F10" s="223"/>
      <c r="G10" s="223"/>
      <c r="H10" s="223"/>
      <c r="I10" s="223"/>
      <c r="J10" s="223"/>
      <c r="K10" s="223"/>
      <c r="L10" s="223"/>
      <c r="M10" s="223"/>
      <c r="N10" s="223"/>
      <c r="O10" s="223"/>
      <c r="P10" s="223"/>
      <c r="Q10" s="223"/>
      <c r="R10" s="223"/>
      <c r="S10" s="223"/>
      <c r="T10" s="223"/>
      <c r="U10" s="223"/>
      <c r="V10" s="223"/>
      <c r="W10" s="223"/>
      <c r="AD10" s="141" t="s">
        <v>248</v>
      </c>
    </row>
    <row r="11" spans="1:34" ht="15.75" customHeight="1">
      <c r="A11" s="115"/>
      <c r="B11" s="115"/>
      <c r="D11" s="228" t="s">
        <v>174</v>
      </c>
      <c r="E11" s="228"/>
      <c r="F11" s="228"/>
      <c r="G11" s="251" t="str">
        <f>AD11</f>
        <v>Số MM18, đường Trường Sơn, phường 14, quận 10, thành phố Hồ Chí Minh.</v>
      </c>
      <c r="H11" s="251"/>
      <c r="I11" s="251"/>
      <c r="J11" s="251"/>
      <c r="K11" s="251"/>
      <c r="L11" s="251"/>
      <c r="M11" s="251"/>
      <c r="N11" s="251"/>
      <c r="O11" s="251"/>
      <c r="P11" s="251"/>
      <c r="Q11" s="251"/>
      <c r="R11" s="251"/>
      <c r="S11" s="251"/>
      <c r="T11" s="251"/>
      <c r="U11" s="251"/>
      <c r="V11" s="251"/>
      <c r="W11" s="251"/>
      <c r="X11" s="114"/>
      <c r="Y11" s="114"/>
      <c r="Z11" s="114"/>
      <c r="AD11" s="141" t="s">
        <v>247</v>
      </c>
    </row>
    <row r="12" spans="1:34">
      <c r="A12" s="115"/>
      <c r="B12" s="115"/>
      <c r="C12" s="115"/>
      <c r="D12" s="115"/>
      <c r="E12" s="115"/>
      <c r="F12" s="114"/>
      <c r="G12" s="251"/>
      <c r="H12" s="251"/>
      <c r="I12" s="251"/>
      <c r="J12" s="251"/>
      <c r="K12" s="251"/>
      <c r="L12" s="251"/>
      <c r="M12" s="251"/>
      <c r="N12" s="251"/>
      <c r="O12" s="251"/>
      <c r="P12" s="251"/>
      <c r="Q12" s="251"/>
      <c r="R12" s="251"/>
      <c r="S12" s="251"/>
      <c r="T12" s="251"/>
      <c r="U12" s="251"/>
      <c r="V12" s="251"/>
      <c r="W12" s="251"/>
      <c r="X12" s="114"/>
      <c r="Y12" s="114"/>
      <c r="Z12" s="114"/>
    </row>
    <row r="13" spans="1:34" ht="20.25" customHeight="1">
      <c r="A13" s="115"/>
      <c r="B13" s="115"/>
      <c r="D13" s="115" t="s">
        <v>175</v>
      </c>
      <c r="E13" s="115"/>
      <c r="F13" s="115"/>
      <c r="G13" s="228" t="str">
        <f>AD13</f>
        <v>08 38662387</v>
      </c>
      <c r="H13" s="228"/>
      <c r="I13" s="228"/>
      <c r="J13" s="228"/>
      <c r="K13" s="228"/>
      <c r="L13" s="228"/>
      <c r="M13" s="228"/>
      <c r="N13" s="115"/>
      <c r="O13" s="115" t="s">
        <v>141</v>
      </c>
      <c r="P13" s="115"/>
      <c r="Q13" s="228" t="str">
        <f>AH13</f>
        <v>08 38662388</v>
      </c>
      <c r="R13" s="228"/>
      <c r="S13" s="228"/>
      <c r="T13" s="228"/>
      <c r="U13" s="228"/>
      <c r="V13" s="228"/>
      <c r="W13" s="228"/>
      <c r="X13" s="115"/>
      <c r="Y13" s="115"/>
      <c r="Z13" s="115"/>
      <c r="AD13" s="141" t="s">
        <v>246</v>
      </c>
      <c r="AH13" s="141" t="s">
        <v>245</v>
      </c>
    </row>
    <row r="14" spans="1:34" ht="55.15" customHeight="1">
      <c r="A14" s="225"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25"/>
      <c r="C14" s="225"/>
      <c r="D14" s="225"/>
      <c r="E14" s="225"/>
      <c r="F14" s="225"/>
      <c r="G14" s="225"/>
      <c r="H14" s="225"/>
      <c r="I14" s="225"/>
      <c r="J14" s="225"/>
      <c r="K14" s="225"/>
      <c r="L14" s="225"/>
      <c r="M14" s="225"/>
      <c r="N14" s="225"/>
      <c r="O14" s="225"/>
      <c r="P14" s="225"/>
      <c r="Q14" s="225"/>
      <c r="R14" s="225"/>
      <c r="S14" s="225"/>
      <c r="T14" s="225"/>
      <c r="U14" s="225"/>
      <c r="V14" s="225"/>
      <c r="W14" s="225"/>
      <c r="X14" s="225"/>
      <c r="Y14" s="225"/>
      <c r="Z14" s="225"/>
      <c r="AD14" s="141" t="s">
        <v>244</v>
      </c>
      <c r="AE14" s="143" t="s">
        <v>243</v>
      </c>
      <c r="AF14" s="141">
        <f>DAY(AE14)</f>
        <v>25</v>
      </c>
      <c r="AG14" s="141">
        <f>MONTH(AE14)</f>
        <v>12</v>
      </c>
      <c r="AH14" s="141">
        <f>YEAR(AE14)</f>
        <v>2013</v>
      </c>
    </row>
    <row r="15" spans="1:34" ht="87.75" customHeight="1">
      <c r="A15" s="226" t="s">
        <v>232</v>
      </c>
      <c r="B15" s="226"/>
      <c r="C15" s="226"/>
      <c r="D15" s="226"/>
      <c r="E15" s="226"/>
      <c r="F15" s="226"/>
      <c r="G15" s="226"/>
      <c r="H15" s="226"/>
      <c r="I15" s="226"/>
      <c r="J15" s="226"/>
      <c r="K15" s="226"/>
      <c r="L15" s="226"/>
      <c r="M15" s="226"/>
      <c r="N15" s="226"/>
      <c r="O15" s="226"/>
      <c r="P15" s="226"/>
      <c r="Q15" s="226"/>
      <c r="R15" s="226"/>
      <c r="S15" s="226"/>
      <c r="T15" s="226"/>
      <c r="U15" s="226"/>
      <c r="V15" s="226"/>
      <c r="W15" s="226"/>
      <c r="X15" s="226"/>
      <c r="Y15" s="226"/>
      <c r="Z15" s="226"/>
    </row>
    <row r="16" spans="1:34" ht="33" customHeight="1">
      <c r="B16" s="236" t="s">
        <v>0</v>
      </c>
      <c r="C16" s="238"/>
      <c r="D16" s="236" t="s">
        <v>139</v>
      </c>
      <c r="E16" s="237"/>
      <c r="F16" s="237"/>
      <c r="G16" s="237"/>
      <c r="H16" s="237"/>
      <c r="I16" s="237"/>
      <c r="J16" s="237"/>
      <c r="K16" s="237"/>
      <c r="L16" s="237"/>
      <c r="M16" s="237"/>
      <c r="N16" s="238"/>
      <c r="O16" s="235" t="s">
        <v>197</v>
      </c>
      <c r="P16" s="235"/>
      <c r="Q16" s="235"/>
      <c r="R16" s="235" t="s">
        <v>251</v>
      </c>
      <c r="S16" s="235"/>
      <c r="T16" s="235"/>
      <c r="U16" s="235" t="s">
        <v>142</v>
      </c>
      <c r="V16" s="235"/>
      <c r="W16" s="235"/>
      <c r="X16" s="235"/>
      <c r="Y16" s="235"/>
    </row>
    <row r="17" spans="1:44" ht="18.75" customHeight="1">
      <c r="B17" s="247">
        <v>1</v>
      </c>
      <c r="C17" s="248"/>
      <c r="D17" s="239" t="s">
        <v>143</v>
      </c>
      <c r="E17" s="240"/>
      <c r="F17" s="240"/>
      <c r="G17" s="240"/>
      <c r="H17" s="240"/>
      <c r="I17" s="240"/>
      <c r="J17" s="240"/>
      <c r="K17" s="240"/>
      <c r="L17" s="240"/>
      <c r="M17" s="240"/>
      <c r="N17" s="240"/>
      <c r="O17" s="241">
        <v>50000</v>
      </c>
      <c r="P17" s="242"/>
      <c r="Q17" s="243"/>
      <c r="R17" s="232">
        <f>AD17</f>
        <v>33</v>
      </c>
      <c r="S17" s="233"/>
      <c r="T17" s="234"/>
      <c r="U17" s="241">
        <f>O17*R17</f>
        <v>1650000</v>
      </c>
      <c r="V17" s="242"/>
      <c r="W17" s="242"/>
      <c r="X17" s="242"/>
      <c r="Y17" s="243"/>
      <c r="AD17" s="141">
        <v>33</v>
      </c>
    </row>
    <row r="18" spans="1:44" ht="18.75" customHeight="1">
      <c r="B18" s="236" t="s">
        <v>144</v>
      </c>
      <c r="C18" s="237"/>
      <c r="D18" s="237"/>
      <c r="E18" s="237"/>
      <c r="F18" s="237"/>
      <c r="G18" s="237"/>
      <c r="H18" s="237"/>
      <c r="I18" s="237"/>
      <c r="J18" s="237"/>
      <c r="K18" s="237"/>
      <c r="L18" s="237"/>
      <c r="M18" s="237"/>
      <c r="N18" s="237"/>
      <c r="O18" s="237"/>
      <c r="P18" s="237"/>
      <c r="Q18" s="237"/>
      <c r="R18" s="237"/>
      <c r="S18" s="237"/>
      <c r="T18" s="238"/>
      <c r="U18" s="244">
        <f>U17</f>
        <v>1650000</v>
      </c>
      <c r="V18" s="245"/>
      <c r="W18" s="245"/>
      <c r="X18" s="245"/>
      <c r="Y18" s="246"/>
      <c r="AD18" s="166">
        <f>U18</f>
        <v>1650000</v>
      </c>
    </row>
    <row r="19" spans="1:44">
      <c r="B19" s="232" t="str">
        <f>"Bằng chữ: "&amp;AD19</f>
        <v>Bằng chữ: Ba triệu năm trăm ngàn đồng chẵn.</v>
      </c>
      <c r="C19" s="233"/>
      <c r="D19" s="233"/>
      <c r="E19" s="233"/>
      <c r="F19" s="233"/>
      <c r="G19" s="233"/>
      <c r="H19" s="233"/>
      <c r="I19" s="233"/>
      <c r="J19" s="233"/>
      <c r="K19" s="233"/>
      <c r="L19" s="233"/>
      <c r="M19" s="233"/>
      <c r="N19" s="233"/>
      <c r="O19" s="233"/>
      <c r="P19" s="233"/>
      <c r="Q19" s="233"/>
      <c r="R19" s="233"/>
      <c r="S19" s="233"/>
      <c r="T19" s="233"/>
      <c r="U19" s="233"/>
      <c r="V19" s="233"/>
      <c r="W19" s="233"/>
      <c r="X19" s="233"/>
      <c r="Y19" s="234"/>
      <c r="AD19" s="141" t="s">
        <v>242</v>
      </c>
    </row>
    <row r="20" spans="1:44" ht="7.5" customHeight="1"/>
    <row r="21" spans="1:44" ht="18" customHeight="1">
      <c r="B21" s="231" t="s">
        <v>145</v>
      </c>
      <c r="C21" s="231"/>
      <c r="D21" s="231"/>
      <c r="E21" s="231"/>
      <c r="F21" s="231"/>
      <c r="G21" s="231"/>
      <c r="H21" s="231"/>
      <c r="I21" s="231"/>
      <c r="J21" s="231" t="s">
        <v>148</v>
      </c>
      <c r="K21" s="231"/>
      <c r="L21" s="231"/>
      <c r="M21" s="231"/>
      <c r="N21" s="231"/>
      <c r="O21" s="231"/>
      <c r="P21" s="231"/>
      <c r="Q21" s="231"/>
      <c r="R21" s="231"/>
      <c r="S21" s="231"/>
      <c r="T21" s="231"/>
      <c r="U21" s="231"/>
      <c r="V21" s="231"/>
      <c r="W21" s="231"/>
      <c r="X21" s="231"/>
      <c r="Y21" s="231"/>
    </row>
    <row r="22" spans="1:44" ht="18.75" customHeight="1">
      <c r="B22" s="231" t="s">
        <v>146</v>
      </c>
      <c r="C22" s="231"/>
      <c r="D22" s="231"/>
      <c r="E22" s="231"/>
      <c r="F22" s="231"/>
      <c r="G22" s="231"/>
      <c r="H22" s="231"/>
      <c r="I22" s="231"/>
      <c r="J22" s="231" t="s">
        <v>149</v>
      </c>
      <c r="K22" s="231"/>
      <c r="L22" s="231"/>
      <c r="M22" s="231"/>
      <c r="N22" s="231"/>
      <c r="O22" s="231"/>
      <c r="P22" s="231"/>
      <c r="Q22" s="231"/>
      <c r="R22" s="231"/>
      <c r="S22" s="231"/>
      <c r="T22" s="231"/>
      <c r="U22" s="231"/>
      <c r="V22" s="231"/>
      <c r="W22" s="231"/>
      <c r="X22" s="231"/>
      <c r="Y22" s="231"/>
    </row>
    <row r="23" spans="1:44" ht="18" customHeight="1">
      <c r="B23" s="253"/>
      <c r="C23" s="253"/>
      <c r="D23" s="253"/>
      <c r="E23" s="253"/>
      <c r="F23" s="253"/>
      <c r="G23" s="253"/>
      <c r="H23" s="253"/>
      <c r="I23" s="253"/>
      <c r="J23" s="231" t="s">
        <v>231</v>
      </c>
      <c r="K23" s="231"/>
      <c r="L23" s="231"/>
      <c r="M23" s="231"/>
      <c r="N23" s="231"/>
      <c r="O23" s="231"/>
      <c r="P23" s="231"/>
      <c r="Q23" s="231"/>
      <c r="R23" s="231"/>
      <c r="S23" s="231"/>
      <c r="T23" s="231"/>
      <c r="U23" s="231"/>
      <c r="V23" s="231"/>
      <c r="W23" s="231"/>
      <c r="X23" s="231"/>
      <c r="Y23" s="231"/>
    </row>
    <row r="24" spans="1:44" ht="16.5" customHeight="1">
      <c r="B24" s="231" t="s">
        <v>147</v>
      </c>
      <c r="C24" s="231"/>
      <c r="D24" s="231"/>
      <c r="E24" s="231"/>
      <c r="F24" s="231"/>
      <c r="G24" s="231"/>
      <c r="H24" s="231"/>
      <c r="I24" s="231"/>
      <c r="J24" s="231" t="s">
        <v>250</v>
      </c>
      <c r="K24" s="231"/>
      <c r="L24" s="231"/>
      <c r="M24" s="231"/>
      <c r="N24" s="231"/>
      <c r="O24" s="231"/>
      <c r="P24" s="231"/>
      <c r="Q24" s="231"/>
      <c r="R24" s="231"/>
      <c r="S24" s="231"/>
      <c r="T24" s="231"/>
      <c r="U24" s="231"/>
      <c r="V24" s="231"/>
      <c r="W24" s="231"/>
      <c r="X24" s="231"/>
      <c r="Y24" s="231"/>
    </row>
    <row r="25" spans="1:44" ht="17.25" customHeight="1">
      <c r="J25" s="231" t="s">
        <v>150</v>
      </c>
      <c r="K25" s="231"/>
      <c r="L25" s="231"/>
      <c r="M25" s="231"/>
      <c r="N25" s="231"/>
      <c r="O25" s="231"/>
      <c r="P25" s="231"/>
      <c r="Q25" s="231"/>
      <c r="R25" s="231"/>
      <c r="S25" s="231"/>
      <c r="T25" s="231"/>
      <c r="U25" s="231"/>
      <c r="V25" s="231"/>
      <c r="W25" s="231"/>
      <c r="X25" s="231"/>
      <c r="Y25" s="231"/>
    </row>
    <row r="26" spans="1:44" ht="47.25" customHeight="1">
      <c r="A26" s="225" t="s">
        <v>233</v>
      </c>
      <c r="B26" s="225"/>
      <c r="C26" s="225"/>
      <c r="D26" s="225"/>
      <c r="E26" s="225"/>
      <c r="F26" s="225"/>
      <c r="G26" s="225"/>
      <c r="H26" s="225"/>
      <c r="I26" s="225"/>
      <c r="J26" s="225"/>
      <c r="K26" s="225"/>
      <c r="L26" s="225"/>
      <c r="M26" s="225"/>
      <c r="N26" s="225"/>
      <c r="O26" s="225"/>
      <c r="P26" s="225"/>
      <c r="Q26" s="225"/>
      <c r="R26" s="225"/>
      <c r="S26" s="225"/>
      <c r="T26" s="225"/>
      <c r="U26" s="225"/>
      <c r="V26" s="225"/>
      <c r="W26" s="225"/>
      <c r="X26" s="225"/>
      <c r="Y26" s="225"/>
      <c r="Z26" s="225"/>
    </row>
    <row r="27" spans="1:44" ht="14.25" customHeight="1">
      <c r="AD27" s="84"/>
      <c r="AE27" s="84" t="s">
        <v>126</v>
      </c>
      <c r="AF27" s="84"/>
      <c r="AG27" s="141" t="s">
        <v>206</v>
      </c>
      <c r="AI27" s="84" t="s">
        <v>205</v>
      </c>
      <c r="AK27" s="84"/>
      <c r="AL27" s="84"/>
      <c r="AN27" s="84"/>
      <c r="AO27" s="84"/>
      <c r="AP27" s="84"/>
      <c r="AQ27" s="84"/>
      <c r="AR27" s="84"/>
    </row>
    <row r="28" spans="1:44" ht="16.5">
      <c r="A28" s="252" t="s">
        <v>151</v>
      </c>
      <c r="B28" s="252"/>
      <c r="C28" s="252"/>
      <c r="D28" s="252"/>
      <c r="E28" s="252"/>
      <c r="F28" s="252"/>
      <c r="G28" s="252"/>
      <c r="H28" s="252"/>
      <c r="I28" s="252"/>
      <c r="J28" s="252"/>
      <c r="K28" s="252"/>
      <c r="L28" s="252"/>
      <c r="M28" s="252"/>
      <c r="O28" s="224" t="str">
        <f>IF(AD34=0,AG27,IF(AD34=1,AE27,AI27))</f>
        <v>KT. GIÁM ĐỐC</v>
      </c>
      <c r="P28" s="224"/>
      <c r="Q28" s="224"/>
      <c r="R28" s="224"/>
      <c r="S28" s="224"/>
      <c r="T28" s="224"/>
      <c r="U28" s="224"/>
      <c r="V28" s="224"/>
      <c r="W28" s="224"/>
      <c r="X28" s="224"/>
      <c r="Y28" s="224"/>
      <c r="Z28" s="224"/>
      <c r="AD28" s="84"/>
      <c r="AF28" s="84"/>
      <c r="AG28" s="84" t="s">
        <v>203</v>
      </c>
      <c r="AH28" s="84"/>
      <c r="AI28" s="84" t="s">
        <v>158</v>
      </c>
      <c r="AK28" s="84"/>
      <c r="AL28" s="84"/>
      <c r="AN28" s="84"/>
      <c r="AO28" s="84"/>
      <c r="AP28" s="84"/>
      <c r="AQ28" s="84"/>
      <c r="AR28" s="84"/>
    </row>
    <row r="29" spans="1:44">
      <c r="A29" s="144" t="s">
        <v>152</v>
      </c>
      <c r="B29" s="115"/>
      <c r="C29" s="115"/>
      <c r="D29" s="115"/>
      <c r="E29" s="115"/>
      <c r="F29" s="115"/>
      <c r="O29" s="249" t="str">
        <f>IF(AD34=0,AG28,IF(AD34=1,"",AI28))</f>
        <v>PHÓ GIÁM ĐỐC</v>
      </c>
      <c r="P29" s="249"/>
      <c r="Q29" s="249"/>
      <c r="R29" s="249"/>
      <c r="S29" s="249"/>
      <c r="T29" s="249"/>
      <c r="U29" s="249"/>
      <c r="V29" s="249"/>
      <c r="W29" s="249"/>
      <c r="X29" s="249"/>
      <c r="Y29" s="249"/>
      <c r="Z29" s="249"/>
      <c r="AD29" s="84"/>
      <c r="AE29" s="84"/>
      <c r="AF29" s="84"/>
      <c r="AG29" s="84"/>
      <c r="AH29" s="84"/>
      <c r="AI29" s="84"/>
      <c r="AK29" s="84"/>
      <c r="AL29" s="84"/>
      <c r="AM29" s="84"/>
      <c r="AN29" s="84"/>
      <c r="AO29" s="84"/>
      <c r="AP29" s="84"/>
      <c r="AQ29" s="84"/>
      <c r="AR29" s="84"/>
    </row>
    <row r="30" spans="1:44">
      <c r="A30" s="144" t="str">
        <f>IF(AD34=1,AD31,AD30:AD31)</f>
        <v>-    GĐTT (để báo cáo);</v>
      </c>
      <c r="B30" s="115"/>
      <c r="C30" s="115"/>
      <c r="D30" s="115"/>
      <c r="E30" s="115"/>
      <c r="F30" s="115"/>
      <c r="AD30" s="144" t="s">
        <v>207</v>
      </c>
      <c r="AE30" s="84"/>
      <c r="AF30" s="84"/>
      <c r="AG30" s="84"/>
      <c r="AH30" s="84"/>
      <c r="AI30" s="84"/>
      <c r="AK30" s="84"/>
      <c r="AL30" s="84"/>
      <c r="AM30" s="84"/>
      <c r="AN30" s="84"/>
      <c r="AO30" s="84"/>
      <c r="AP30" s="84"/>
      <c r="AQ30" s="84"/>
      <c r="AR30" s="84"/>
    </row>
    <row r="31" spans="1:44" ht="16.5" customHeight="1">
      <c r="A31" s="144" t="str">
        <f>IF(AD34=1,"",AD31)</f>
        <v>-    Lưu: PTH, PKĐ.</v>
      </c>
      <c r="AD31" s="144" t="s">
        <v>240</v>
      </c>
      <c r="AE31" s="84"/>
      <c r="AF31" s="84"/>
      <c r="AG31" s="84"/>
      <c r="AH31" s="84"/>
      <c r="AI31" s="84"/>
      <c r="AK31" s="84"/>
      <c r="AL31" s="84"/>
      <c r="AM31" s="84"/>
      <c r="AN31" s="84"/>
      <c r="AO31" s="84"/>
      <c r="AP31" s="84"/>
      <c r="AQ31" s="84"/>
      <c r="AR31" s="84"/>
    </row>
    <row r="32" spans="1:44" ht="16.5" customHeight="1">
      <c r="AD32" s="84"/>
      <c r="AE32" s="84"/>
      <c r="AF32" s="84"/>
      <c r="AG32" s="84"/>
      <c r="AH32" s="84"/>
      <c r="AI32" s="84"/>
      <c r="AK32" s="84"/>
      <c r="AL32" s="84"/>
      <c r="AM32" s="84"/>
      <c r="AN32" s="84"/>
      <c r="AO32" s="84"/>
      <c r="AP32" s="84"/>
      <c r="AQ32" s="84"/>
      <c r="AR32" s="84"/>
    </row>
    <row r="33" spans="15:44" ht="16.5" customHeight="1">
      <c r="O33" s="145"/>
      <c r="P33" s="145"/>
      <c r="Q33" s="145"/>
      <c r="R33" s="145"/>
      <c r="S33" s="145"/>
      <c r="T33" s="145"/>
      <c r="U33" s="145"/>
      <c r="V33" s="145"/>
      <c r="W33" s="145"/>
      <c r="X33" s="145"/>
      <c r="Y33" s="145"/>
      <c r="Z33" s="145"/>
      <c r="AD33" s="84"/>
      <c r="AE33" s="84"/>
      <c r="AF33" s="84"/>
      <c r="AG33" s="84"/>
      <c r="AH33" s="84"/>
      <c r="AI33" s="84"/>
      <c r="AK33" s="84"/>
      <c r="AL33" s="84"/>
      <c r="AM33" s="84"/>
      <c r="AN33" s="84"/>
      <c r="AO33" s="84"/>
      <c r="AP33" s="84"/>
      <c r="AQ33" s="84"/>
      <c r="AR33" s="84"/>
    </row>
    <row r="34" spans="15:44" ht="16.5" customHeight="1">
      <c r="O34" s="224" t="str">
        <f>IF(AD34=0,AG34,IF(AD34=1,AE34,AI34))</f>
        <v>Trần Công Khanh</v>
      </c>
      <c r="P34" s="224"/>
      <c r="Q34" s="224"/>
      <c r="R34" s="224"/>
      <c r="S34" s="224"/>
      <c r="T34" s="224"/>
      <c r="U34" s="224"/>
      <c r="V34" s="224"/>
      <c r="W34" s="224"/>
      <c r="X34" s="224"/>
      <c r="Y34" s="224"/>
      <c r="Z34" s="224"/>
      <c r="AD34" s="84">
        <v>0</v>
      </c>
      <c r="AE34" s="84" t="s">
        <v>132</v>
      </c>
      <c r="AF34" s="84"/>
      <c r="AG34" s="84" t="s">
        <v>204</v>
      </c>
      <c r="AH34" s="84"/>
      <c r="AI34" s="84" t="s">
        <v>154</v>
      </c>
      <c r="AK34" s="84"/>
      <c r="AL34" s="84"/>
      <c r="AM34" s="84"/>
      <c r="AO34" s="84"/>
      <c r="AP34" s="84"/>
      <c r="AQ34" s="84"/>
      <c r="AR34" s="84"/>
    </row>
  </sheetData>
  <mergeCells count="43">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0"/>
  <sheetViews>
    <sheetView view="pageLayout" workbookViewId="0">
      <selection activeCell="A6" sqref="A6:XFD130"/>
    </sheetView>
  </sheetViews>
  <sheetFormatPr defaultColWidth="9.140625" defaultRowHeight="15"/>
  <cols>
    <col min="1" max="1" width="6.7109375" style="147" customWidth="1"/>
    <col min="2" max="2" width="13" style="147" customWidth="1"/>
    <col min="3" max="3" width="46" style="147" customWidth="1"/>
    <col min="4" max="4" width="19.28515625" style="147" customWidth="1"/>
    <col min="5" max="5" width="3" customWidth="1"/>
    <col min="6" max="6" width="10.28515625" customWidth="1"/>
    <col min="7" max="7" width="10" customWidth="1"/>
    <col min="8" max="9" width="10.28515625" customWidth="1"/>
    <col min="10" max="107" width="3.140625" customWidth="1"/>
  </cols>
  <sheetData>
    <row r="1" spans="1:7" ht="16.5" customHeight="1">
      <c r="A1" s="254" t="s">
        <v>168</v>
      </c>
      <c r="B1" s="254"/>
      <c r="C1" s="254"/>
      <c r="D1" s="254"/>
    </row>
    <row r="2" spans="1:7" ht="15.75" customHeight="1">
      <c r="A2" s="255" t="str">
        <f>"(Kèm theo Giấy báo lệ phí kiểm định số "&amp;LP!AD4&amp;"/LPKĐ-TT2 ngày "&amp;LP!AF4&amp;"/"&amp;LP!AG4&amp;"/"&amp;LP!AH4&amp;" "</f>
        <v xml:space="preserve">(Kèm theo Giấy báo lệ phí kiểm định số 38/LPKĐ-TT2 ngày 11/7/2014 </v>
      </c>
      <c r="B2" s="255"/>
      <c r="C2" s="255"/>
      <c r="D2" s="255"/>
    </row>
    <row r="3" spans="1:7" s="127" customFormat="1" ht="15.75" customHeight="1">
      <c r="A3" s="256" t="s">
        <v>176</v>
      </c>
      <c r="B3" s="256"/>
      <c r="C3" s="256"/>
      <c r="D3" s="256"/>
    </row>
    <row r="4" spans="1:7" ht="30.75" customHeight="1">
      <c r="A4" s="161" t="s">
        <v>0</v>
      </c>
      <c r="B4" s="161" t="s">
        <v>17</v>
      </c>
      <c r="C4" s="161" t="s">
        <v>24</v>
      </c>
      <c r="D4" s="162" t="s">
        <v>169</v>
      </c>
      <c r="G4" s="147"/>
    </row>
    <row r="5" spans="1:7" ht="31.5">
      <c r="A5" s="159">
        <v>1</v>
      </c>
      <c r="B5" s="159" t="s">
        <v>399</v>
      </c>
      <c r="C5" s="160" t="s">
        <v>257</v>
      </c>
      <c r="D5" s="128" t="s">
        <v>511</v>
      </c>
      <c r="F5" s="147"/>
    </row>
    <row r="6" spans="1:7" ht="31.5">
      <c r="A6" s="159">
        <v>2</v>
      </c>
      <c r="B6" s="159" t="s">
        <v>402</v>
      </c>
      <c r="C6" s="160" t="s">
        <v>258</v>
      </c>
      <c r="D6" s="128" t="s">
        <v>512</v>
      </c>
      <c r="F6" s="147"/>
    </row>
    <row r="7" spans="1:7" ht="31.5">
      <c r="A7" s="159">
        <v>3</v>
      </c>
      <c r="B7" s="159" t="s">
        <v>403</v>
      </c>
      <c r="C7" s="160" t="s">
        <v>259</v>
      </c>
      <c r="D7" s="128" t="s">
        <v>513</v>
      </c>
      <c r="F7" s="147"/>
    </row>
    <row r="8" spans="1:7" ht="31.5">
      <c r="A8" s="159">
        <v>4</v>
      </c>
      <c r="B8" s="159" t="s">
        <v>404</v>
      </c>
      <c r="C8" s="160" t="s">
        <v>260</v>
      </c>
      <c r="D8" s="128" t="s">
        <v>514</v>
      </c>
      <c r="F8" s="147"/>
    </row>
    <row r="9" spans="1:7" ht="31.5">
      <c r="A9" s="159">
        <v>5</v>
      </c>
      <c r="B9" s="159" t="s">
        <v>405</v>
      </c>
      <c r="C9" s="160" t="s">
        <v>261</v>
      </c>
      <c r="D9" s="128" t="s">
        <v>515</v>
      </c>
      <c r="F9" s="147"/>
    </row>
    <row r="10" spans="1:7" ht="31.5">
      <c r="A10" s="159">
        <v>6</v>
      </c>
      <c r="B10" s="159" t="s">
        <v>406</v>
      </c>
      <c r="C10" s="160" t="s">
        <v>262</v>
      </c>
      <c r="D10" s="128" t="s">
        <v>516</v>
      </c>
      <c r="F10" s="147"/>
    </row>
    <row r="11" spans="1:7" ht="31.5">
      <c r="A11" s="159">
        <v>7</v>
      </c>
      <c r="B11" s="159" t="s">
        <v>407</v>
      </c>
      <c r="C11" s="160" t="s">
        <v>263</v>
      </c>
      <c r="D11" s="128" t="s">
        <v>517</v>
      </c>
      <c r="F11" s="147"/>
    </row>
    <row r="12" spans="1:7" ht="31.5">
      <c r="A12" s="159">
        <v>8</v>
      </c>
      <c r="B12" s="159" t="s">
        <v>408</v>
      </c>
      <c r="C12" s="160" t="s">
        <v>264</v>
      </c>
      <c r="D12" s="128" t="s">
        <v>518</v>
      </c>
      <c r="F12" s="147"/>
    </row>
    <row r="13" spans="1:7" ht="31.5">
      <c r="A13" s="159">
        <v>9</v>
      </c>
      <c r="B13" s="159" t="s">
        <v>409</v>
      </c>
      <c r="C13" s="160" t="s">
        <v>265</v>
      </c>
      <c r="D13" s="128" t="s">
        <v>519</v>
      </c>
      <c r="F13" s="147"/>
    </row>
    <row r="14" spans="1:7" ht="31.5">
      <c r="A14" s="159">
        <v>10</v>
      </c>
      <c r="B14" s="159" t="s">
        <v>410</v>
      </c>
      <c r="C14" s="160" t="s">
        <v>266</v>
      </c>
      <c r="D14" s="128" t="s">
        <v>520</v>
      </c>
      <c r="F14" s="147"/>
    </row>
    <row r="15" spans="1:7" ht="31.5">
      <c r="A15" s="159">
        <v>11</v>
      </c>
      <c r="B15" s="159" t="s">
        <v>411</v>
      </c>
      <c r="C15" s="160" t="s">
        <v>267</v>
      </c>
      <c r="D15" s="128" t="s">
        <v>521</v>
      </c>
      <c r="F15" s="147"/>
    </row>
    <row r="16" spans="1:7" ht="31.5">
      <c r="A16" s="159">
        <v>12</v>
      </c>
      <c r="B16" s="159" t="s">
        <v>412</v>
      </c>
      <c r="C16" s="160" t="s">
        <v>268</v>
      </c>
      <c r="D16" s="128" t="s">
        <v>522</v>
      </c>
      <c r="F16" s="147"/>
    </row>
    <row r="17" spans="1:6" ht="31.5">
      <c r="A17" s="159">
        <v>13</v>
      </c>
      <c r="B17" s="159" t="s">
        <v>413</v>
      </c>
      <c r="C17" s="160" t="s">
        <v>269</v>
      </c>
      <c r="D17" s="128" t="s">
        <v>523</v>
      </c>
      <c r="F17" s="147"/>
    </row>
    <row r="18" spans="1:6" ht="31.5">
      <c r="A18" s="159">
        <v>14</v>
      </c>
      <c r="B18" s="159" t="s">
        <v>414</v>
      </c>
      <c r="C18" s="160" t="s">
        <v>270</v>
      </c>
      <c r="D18" s="128" t="s">
        <v>524</v>
      </c>
      <c r="F18" s="147"/>
    </row>
    <row r="19" spans="1:6" ht="31.5">
      <c r="A19" s="159">
        <v>15</v>
      </c>
      <c r="B19" s="159" t="s">
        <v>415</v>
      </c>
      <c r="C19" s="160" t="s">
        <v>271</v>
      </c>
      <c r="D19" s="128" t="s">
        <v>525</v>
      </c>
      <c r="F19" s="147"/>
    </row>
    <row r="20" spans="1:6" ht="31.5">
      <c r="A20" s="159">
        <v>16</v>
      </c>
      <c r="B20" s="159" t="s">
        <v>416</v>
      </c>
      <c r="C20" s="160" t="s">
        <v>272</v>
      </c>
      <c r="D20" s="128" t="s">
        <v>526</v>
      </c>
      <c r="F20" s="147"/>
    </row>
    <row r="21" spans="1:6" ht="31.5">
      <c r="A21" s="159">
        <v>17</v>
      </c>
      <c r="B21" s="159" t="s">
        <v>417</v>
      </c>
      <c r="C21" s="160" t="s">
        <v>273</v>
      </c>
      <c r="D21" s="128" t="s">
        <v>527</v>
      </c>
      <c r="F21" s="147"/>
    </row>
    <row r="22" spans="1:6" ht="31.5">
      <c r="A22" s="159">
        <v>18</v>
      </c>
      <c r="B22" s="159" t="s">
        <v>418</v>
      </c>
      <c r="C22" s="160" t="s">
        <v>274</v>
      </c>
      <c r="D22" s="128" t="s">
        <v>528</v>
      </c>
      <c r="F22" s="147"/>
    </row>
    <row r="23" spans="1:6" ht="31.5">
      <c r="A23" s="159">
        <v>19</v>
      </c>
      <c r="B23" s="159" t="s">
        <v>419</v>
      </c>
      <c r="C23" s="160" t="s">
        <v>275</v>
      </c>
      <c r="D23" s="128" t="s">
        <v>529</v>
      </c>
      <c r="F23" s="147"/>
    </row>
    <row r="24" spans="1:6" ht="31.5">
      <c r="A24" s="159">
        <v>20</v>
      </c>
      <c r="B24" s="159" t="s">
        <v>420</v>
      </c>
      <c r="C24" s="160" t="s">
        <v>276</v>
      </c>
      <c r="D24" s="128" t="s">
        <v>530</v>
      </c>
      <c r="F24" s="147"/>
    </row>
    <row r="25" spans="1:6" ht="31.5">
      <c r="A25" s="159">
        <v>21</v>
      </c>
      <c r="B25" s="159" t="s">
        <v>421</v>
      </c>
      <c r="C25" s="160" t="s">
        <v>277</v>
      </c>
      <c r="D25" s="128" t="s">
        <v>531</v>
      </c>
      <c r="F25" s="147"/>
    </row>
    <row r="26" spans="1:6" ht="31.5">
      <c r="A26" s="159">
        <v>22</v>
      </c>
      <c r="B26" s="159" t="s">
        <v>422</v>
      </c>
      <c r="C26" s="160" t="s">
        <v>278</v>
      </c>
      <c r="D26" s="128" t="s">
        <v>532</v>
      </c>
      <c r="F26" s="147"/>
    </row>
    <row r="27" spans="1:6" ht="31.5">
      <c r="A27" s="159">
        <v>23</v>
      </c>
      <c r="B27" s="159" t="s">
        <v>423</v>
      </c>
      <c r="C27" s="160" t="s">
        <v>279</v>
      </c>
      <c r="D27" s="128" t="s">
        <v>533</v>
      </c>
      <c r="F27" s="147"/>
    </row>
    <row r="28" spans="1:6" ht="31.5">
      <c r="A28" s="159">
        <v>24</v>
      </c>
      <c r="B28" s="159" t="s">
        <v>424</v>
      </c>
      <c r="C28" s="160" t="s">
        <v>280</v>
      </c>
      <c r="D28" s="128" t="s">
        <v>534</v>
      </c>
      <c r="F28" s="147"/>
    </row>
    <row r="29" spans="1:6" ht="31.5">
      <c r="A29" s="159">
        <v>25</v>
      </c>
      <c r="B29" s="159" t="s">
        <v>425</v>
      </c>
      <c r="C29" s="160" t="s">
        <v>281</v>
      </c>
      <c r="D29" s="128" t="s">
        <v>535</v>
      </c>
      <c r="F29" s="147"/>
    </row>
    <row r="30" spans="1:6" ht="31.5">
      <c r="A30" s="159">
        <v>26</v>
      </c>
      <c r="B30" s="159" t="s">
        <v>426</v>
      </c>
      <c r="C30" s="160" t="s">
        <v>282</v>
      </c>
      <c r="D30" s="128" t="s">
        <v>536</v>
      </c>
      <c r="F30" s="147"/>
    </row>
    <row r="31" spans="1:6" ht="31.5">
      <c r="A31" s="159">
        <v>27</v>
      </c>
      <c r="B31" s="159" t="s">
        <v>427</v>
      </c>
      <c r="C31" s="160" t="s">
        <v>283</v>
      </c>
      <c r="D31" s="128" t="s">
        <v>537</v>
      </c>
      <c r="F31" s="147"/>
    </row>
    <row r="32" spans="1:6" ht="31.5">
      <c r="A32" s="159">
        <v>28</v>
      </c>
      <c r="B32" s="159" t="s">
        <v>428</v>
      </c>
      <c r="C32" s="160" t="s">
        <v>284</v>
      </c>
      <c r="D32" s="128" t="s">
        <v>538</v>
      </c>
      <c r="F32" s="147"/>
    </row>
    <row r="33" spans="1:6" ht="31.5">
      <c r="A33" s="159">
        <v>29</v>
      </c>
      <c r="B33" s="159" t="s">
        <v>429</v>
      </c>
      <c r="C33" s="160" t="s">
        <v>285</v>
      </c>
      <c r="D33" s="128" t="s">
        <v>539</v>
      </c>
      <c r="F33" s="147"/>
    </row>
    <row r="34" spans="1:6" ht="31.5">
      <c r="A34" s="159">
        <v>30</v>
      </c>
      <c r="B34" s="159" t="s">
        <v>430</v>
      </c>
      <c r="C34" s="160" t="s">
        <v>286</v>
      </c>
      <c r="D34" s="128" t="s">
        <v>540</v>
      </c>
      <c r="F34" s="147"/>
    </row>
    <row r="35" spans="1:6" ht="31.5">
      <c r="A35" s="159">
        <v>31</v>
      </c>
      <c r="B35" s="159" t="s">
        <v>431</v>
      </c>
      <c r="C35" s="160" t="s">
        <v>287</v>
      </c>
      <c r="D35" s="128" t="s">
        <v>541</v>
      </c>
      <c r="F35" s="147"/>
    </row>
    <row r="36" spans="1:6" ht="31.5">
      <c r="A36" s="159">
        <v>32</v>
      </c>
      <c r="B36" s="159" t="s">
        <v>432</v>
      </c>
      <c r="C36" s="160" t="s">
        <v>288</v>
      </c>
      <c r="D36" s="128" t="s">
        <v>542</v>
      </c>
      <c r="F36" s="147"/>
    </row>
    <row r="37" spans="1:6" ht="31.5">
      <c r="A37" s="159">
        <v>33</v>
      </c>
      <c r="B37" s="159" t="s">
        <v>433</v>
      </c>
      <c r="C37" s="160" t="s">
        <v>289</v>
      </c>
      <c r="D37" s="128" t="s">
        <v>543</v>
      </c>
      <c r="F37" s="147"/>
    </row>
    <row r="38" spans="1:6" ht="31.5">
      <c r="A38" s="159">
        <v>34</v>
      </c>
      <c r="B38" s="159" t="s">
        <v>434</v>
      </c>
      <c r="C38" s="160" t="s">
        <v>290</v>
      </c>
      <c r="D38" s="128" t="s">
        <v>544</v>
      </c>
      <c r="F38" s="147"/>
    </row>
    <row r="39" spans="1:6" ht="31.5">
      <c r="A39" s="159">
        <v>35</v>
      </c>
      <c r="B39" s="159" t="s">
        <v>435</v>
      </c>
      <c r="C39" s="160" t="s">
        <v>291</v>
      </c>
      <c r="D39" s="128" t="s">
        <v>545</v>
      </c>
      <c r="F39" s="147"/>
    </row>
    <row r="40" spans="1:6" ht="31.5">
      <c r="A40" s="159">
        <v>36</v>
      </c>
      <c r="B40" s="159" t="s">
        <v>436</v>
      </c>
      <c r="C40" s="160" t="s">
        <v>292</v>
      </c>
      <c r="D40" s="128" t="s">
        <v>546</v>
      </c>
      <c r="F40" s="147"/>
    </row>
    <row r="41" spans="1:6" ht="31.5">
      <c r="A41" s="159">
        <v>37</v>
      </c>
      <c r="B41" s="159" t="s">
        <v>437</v>
      </c>
      <c r="C41" s="160" t="s">
        <v>293</v>
      </c>
      <c r="D41" s="128" t="s">
        <v>547</v>
      </c>
      <c r="F41" s="147"/>
    </row>
    <row r="42" spans="1:6" ht="31.5">
      <c r="A42" s="159">
        <v>38</v>
      </c>
      <c r="B42" s="159" t="s">
        <v>438</v>
      </c>
      <c r="C42" s="160" t="s">
        <v>294</v>
      </c>
      <c r="D42" s="128" t="s">
        <v>548</v>
      </c>
      <c r="F42" s="147"/>
    </row>
    <row r="43" spans="1:6" ht="31.5">
      <c r="A43" s="159">
        <v>39</v>
      </c>
      <c r="B43" s="159" t="s">
        <v>439</v>
      </c>
      <c r="C43" s="160" t="s">
        <v>295</v>
      </c>
      <c r="D43" s="128" t="s">
        <v>549</v>
      </c>
      <c r="F43" s="147"/>
    </row>
    <row r="44" spans="1:6" ht="31.5">
      <c r="A44" s="159">
        <v>40</v>
      </c>
      <c r="B44" s="159" t="s">
        <v>440</v>
      </c>
      <c r="C44" s="160" t="s">
        <v>296</v>
      </c>
      <c r="D44" s="128" t="s">
        <v>550</v>
      </c>
      <c r="F44" s="147"/>
    </row>
    <row r="45" spans="1:6" ht="31.5">
      <c r="A45" s="159">
        <v>41</v>
      </c>
      <c r="B45" s="159" t="s">
        <v>441</v>
      </c>
      <c r="C45" s="160" t="s">
        <v>297</v>
      </c>
      <c r="D45" s="128" t="s">
        <v>551</v>
      </c>
      <c r="F45" s="147"/>
    </row>
    <row r="46" spans="1:6" ht="31.5">
      <c r="A46" s="159">
        <v>42</v>
      </c>
      <c r="B46" s="159" t="s">
        <v>442</v>
      </c>
      <c r="C46" s="160" t="s">
        <v>298</v>
      </c>
      <c r="D46" s="128" t="s">
        <v>552</v>
      </c>
      <c r="F46" s="147"/>
    </row>
    <row r="47" spans="1:6" ht="31.5">
      <c r="A47" s="159">
        <v>43</v>
      </c>
      <c r="B47" s="159" t="s">
        <v>443</v>
      </c>
      <c r="C47" s="160" t="s">
        <v>299</v>
      </c>
      <c r="D47" s="128" t="s">
        <v>553</v>
      </c>
      <c r="F47" s="147"/>
    </row>
    <row r="48" spans="1:6" ht="31.5">
      <c r="A48" s="159">
        <v>44</v>
      </c>
      <c r="B48" s="159" t="s">
        <v>444</v>
      </c>
      <c r="C48" s="160" t="s">
        <v>300</v>
      </c>
      <c r="D48" s="128" t="s">
        <v>554</v>
      </c>
      <c r="F48" s="147"/>
    </row>
    <row r="49" spans="1:6" ht="47.25">
      <c r="A49" s="159">
        <v>45</v>
      </c>
      <c r="B49" s="159" t="s">
        <v>445</v>
      </c>
      <c r="C49" s="160" t="s">
        <v>301</v>
      </c>
      <c r="D49" s="128" t="s">
        <v>555</v>
      </c>
      <c r="F49" s="147"/>
    </row>
    <row r="50" spans="1:6" ht="31.5">
      <c r="A50" s="159">
        <v>46</v>
      </c>
      <c r="B50" s="159" t="s">
        <v>303</v>
      </c>
      <c r="C50" s="160" t="s">
        <v>302</v>
      </c>
      <c r="D50" s="128" t="s">
        <v>556</v>
      </c>
      <c r="F50" s="147"/>
    </row>
    <row r="51" spans="1:6" ht="31.5">
      <c r="A51" s="159">
        <v>47</v>
      </c>
      <c r="B51" s="159" t="s">
        <v>305</v>
      </c>
      <c r="C51" s="160" t="s">
        <v>304</v>
      </c>
      <c r="D51" s="128" t="s">
        <v>557</v>
      </c>
      <c r="F51" s="147"/>
    </row>
    <row r="52" spans="1:6" ht="31.5">
      <c r="A52" s="159">
        <v>48</v>
      </c>
      <c r="B52" s="159" t="s">
        <v>307</v>
      </c>
      <c r="C52" s="160" t="s">
        <v>306</v>
      </c>
      <c r="D52" s="128" t="s">
        <v>558</v>
      </c>
      <c r="F52" s="147"/>
    </row>
    <row r="53" spans="1:6" ht="31.5">
      <c r="A53" s="159">
        <v>49</v>
      </c>
      <c r="B53" s="159" t="s">
        <v>309</v>
      </c>
      <c r="C53" s="160" t="s">
        <v>308</v>
      </c>
      <c r="D53" s="128" t="s">
        <v>559</v>
      </c>
      <c r="F53" s="147"/>
    </row>
    <row r="54" spans="1:6" ht="31.5">
      <c r="A54" s="159">
        <v>50</v>
      </c>
      <c r="B54" s="159" t="s">
        <v>311</v>
      </c>
      <c r="C54" s="160" t="s">
        <v>310</v>
      </c>
      <c r="D54" s="128" t="s">
        <v>560</v>
      </c>
      <c r="F54" s="147"/>
    </row>
    <row r="55" spans="1:6" ht="31.5">
      <c r="A55" s="159">
        <v>51</v>
      </c>
      <c r="B55" s="159" t="s">
        <v>446</v>
      </c>
      <c r="C55" s="160" t="s">
        <v>312</v>
      </c>
      <c r="D55" s="128" t="s">
        <v>561</v>
      </c>
      <c r="F55" s="147"/>
    </row>
    <row r="56" spans="1:6" ht="31.5">
      <c r="A56" s="159">
        <v>52</v>
      </c>
      <c r="B56" s="159" t="s">
        <v>314</v>
      </c>
      <c r="C56" s="160" t="s">
        <v>313</v>
      </c>
      <c r="D56" s="128" t="s">
        <v>562</v>
      </c>
      <c r="F56" s="147"/>
    </row>
    <row r="57" spans="1:6" ht="31.5">
      <c r="A57" s="159">
        <v>53</v>
      </c>
      <c r="B57" s="159" t="s">
        <v>447</v>
      </c>
      <c r="C57" s="160" t="s">
        <v>315</v>
      </c>
      <c r="D57" s="128" t="s">
        <v>563</v>
      </c>
      <c r="F57" s="147"/>
    </row>
    <row r="58" spans="1:6" ht="31.5">
      <c r="A58" s="159">
        <v>54</v>
      </c>
      <c r="B58" s="159" t="s">
        <v>317</v>
      </c>
      <c r="C58" s="160" t="s">
        <v>316</v>
      </c>
      <c r="D58" s="128" t="s">
        <v>564</v>
      </c>
      <c r="F58" s="147"/>
    </row>
    <row r="59" spans="1:6" ht="31.5">
      <c r="A59" s="159">
        <v>55</v>
      </c>
      <c r="B59" s="159" t="s">
        <v>319</v>
      </c>
      <c r="C59" s="160" t="s">
        <v>318</v>
      </c>
      <c r="D59" s="128" t="s">
        <v>565</v>
      </c>
      <c r="F59" s="147"/>
    </row>
    <row r="60" spans="1:6" ht="31.5">
      <c r="A60" s="159">
        <v>56</v>
      </c>
      <c r="B60" s="159" t="s">
        <v>321</v>
      </c>
      <c r="C60" s="160" t="s">
        <v>320</v>
      </c>
      <c r="D60" s="128" t="s">
        <v>566</v>
      </c>
      <c r="F60" s="147"/>
    </row>
    <row r="61" spans="1:6" ht="31.5">
      <c r="A61" s="159">
        <v>57</v>
      </c>
      <c r="B61" s="159" t="s">
        <v>448</v>
      </c>
      <c r="C61" s="160" t="s">
        <v>322</v>
      </c>
      <c r="D61" s="128" t="s">
        <v>567</v>
      </c>
      <c r="F61" s="147"/>
    </row>
    <row r="62" spans="1:6" ht="31.5">
      <c r="A62" s="159">
        <v>58</v>
      </c>
      <c r="B62" s="159" t="s">
        <v>449</v>
      </c>
      <c r="C62" s="160" t="s">
        <v>323</v>
      </c>
      <c r="D62" s="128" t="s">
        <v>568</v>
      </c>
      <c r="F62" s="147"/>
    </row>
    <row r="63" spans="1:6" ht="31.5">
      <c r="A63" s="159">
        <v>59</v>
      </c>
      <c r="B63" s="159" t="s">
        <v>450</v>
      </c>
      <c r="C63" s="160" t="s">
        <v>324</v>
      </c>
      <c r="D63" s="128" t="s">
        <v>569</v>
      </c>
      <c r="F63" s="147"/>
    </row>
    <row r="64" spans="1:6" ht="31.5">
      <c r="A64" s="159">
        <v>60</v>
      </c>
      <c r="B64" s="159" t="s">
        <v>326</v>
      </c>
      <c r="C64" s="160" t="s">
        <v>325</v>
      </c>
      <c r="D64" s="128" t="s">
        <v>570</v>
      </c>
      <c r="F64" s="147"/>
    </row>
    <row r="65" spans="1:6" ht="31.5">
      <c r="A65" s="159">
        <v>61</v>
      </c>
      <c r="B65" s="159" t="s">
        <v>328</v>
      </c>
      <c r="C65" s="160" t="s">
        <v>327</v>
      </c>
      <c r="D65" s="128" t="s">
        <v>571</v>
      </c>
      <c r="F65" s="147"/>
    </row>
    <row r="66" spans="1:6" ht="31.5">
      <c r="A66" s="159">
        <v>62</v>
      </c>
      <c r="B66" s="159" t="s">
        <v>330</v>
      </c>
      <c r="C66" s="160" t="s">
        <v>329</v>
      </c>
      <c r="D66" s="128" t="s">
        <v>572</v>
      </c>
      <c r="F66" s="147"/>
    </row>
    <row r="67" spans="1:6" ht="31.5">
      <c r="A67" s="159">
        <v>63</v>
      </c>
      <c r="B67" s="159" t="s">
        <v>451</v>
      </c>
      <c r="C67" s="160" t="s">
        <v>331</v>
      </c>
      <c r="D67" s="128" t="s">
        <v>573</v>
      </c>
      <c r="F67" s="147"/>
    </row>
    <row r="68" spans="1:6" ht="31.5">
      <c r="A68" s="159">
        <v>64</v>
      </c>
      <c r="B68" s="159" t="s">
        <v>452</v>
      </c>
      <c r="C68" s="160" t="s">
        <v>332</v>
      </c>
      <c r="D68" s="128" t="s">
        <v>574</v>
      </c>
      <c r="F68" s="147"/>
    </row>
    <row r="69" spans="1:6" ht="31.5">
      <c r="A69" s="159">
        <v>65</v>
      </c>
      <c r="B69" s="159" t="s">
        <v>453</v>
      </c>
      <c r="C69" s="160" t="s">
        <v>333</v>
      </c>
      <c r="D69" s="128" t="s">
        <v>575</v>
      </c>
      <c r="F69" s="147"/>
    </row>
    <row r="70" spans="1:6" ht="31.5">
      <c r="A70" s="159">
        <v>66</v>
      </c>
      <c r="B70" s="159" t="s">
        <v>454</v>
      </c>
      <c r="C70" s="160" t="s">
        <v>334</v>
      </c>
      <c r="D70" s="128" t="s">
        <v>576</v>
      </c>
      <c r="F70" s="147"/>
    </row>
    <row r="71" spans="1:6" ht="31.5">
      <c r="A71" s="159">
        <v>67</v>
      </c>
      <c r="B71" s="159" t="s">
        <v>455</v>
      </c>
      <c r="C71" s="160" t="s">
        <v>335</v>
      </c>
      <c r="D71" s="128" t="s">
        <v>577</v>
      </c>
      <c r="F71" s="147"/>
    </row>
    <row r="72" spans="1:6" ht="31.5">
      <c r="A72" s="159">
        <v>68</v>
      </c>
      <c r="B72" s="159" t="s">
        <v>456</v>
      </c>
      <c r="C72" s="160" t="s">
        <v>336</v>
      </c>
      <c r="D72" s="128" t="s">
        <v>578</v>
      </c>
      <c r="F72" s="147"/>
    </row>
    <row r="73" spans="1:6" ht="31.5">
      <c r="A73" s="159">
        <v>69</v>
      </c>
      <c r="B73" s="159" t="s">
        <v>457</v>
      </c>
      <c r="C73" s="160" t="s">
        <v>337</v>
      </c>
      <c r="D73" s="128" t="s">
        <v>579</v>
      </c>
      <c r="F73" s="147"/>
    </row>
    <row r="74" spans="1:6" ht="31.5">
      <c r="A74" s="159">
        <v>70</v>
      </c>
      <c r="B74" s="159" t="s">
        <v>458</v>
      </c>
      <c r="C74" s="160" t="s">
        <v>338</v>
      </c>
      <c r="D74" s="128" t="s">
        <v>580</v>
      </c>
      <c r="F74" s="147"/>
    </row>
    <row r="75" spans="1:6" ht="31.5">
      <c r="A75" s="159">
        <v>71</v>
      </c>
      <c r="B75" s="159" t="s">
        <v>459</v>
      </c>
      <c r="C75" s="160" t="s">
        <v>339</v>
      </c>
      <c r="D75" s="128" t="s">
        <v>581</v>
      </c>
      <c r="F75" s="147"/>
    </row>
    <row r="76" spans="1:6" ht="31.5">
      <c r="A76" s="159">
        <v>72</v>
      </c>
      <c r="B76" s="159" t="s">
        <v>460</v>
      </c>
      <c r="C76" s="160" t="s">
        <v>340</v>
      </c>
      <c r="D76" s="128" t="s">
        <v>582</v>
      </c>
      <c r="F76" s="147"/>
    </row>
    <row r="77" spans="1:6" ht="31.5">
      <c r="A77" s="159">
        <v>73</v>
      </c>
      <c r="B77" s="159" t="s">
        <v>461</v>
      </c>
      <c r="C77" s="160" t="s">
        <v>341</v>
      </c>
      <c r="D77" s="128" t="s">
        <v>583</v>
      </c>
      <c r="F77" s="147"/>
    </row>
    <row r="78" spans="1:6" ht="31.5">
      <c r="A78" s="159">
        <v>74</v>
      </c>
      <c r="B78" s="159" t="s">
        <v>462</v>
      </c>
      <c r="C78" s="160" t="s">
        <v>342</v>
      </c>
      <c r="D78" s="128" t="s">
        <v>584</v>
      </c>
      <c r="F78" s="147"/>
    </row>
    <row r="79" spans="1:6" ht="31.5">
      <c r="A79" s="159">
        <v>75</v>
      </c>
      <c r="B79" s="159" t="s">
        <v>463</v>
      </c>
      <c r="C79" s="160" t="s">
        <v>343</v>
      </c>
      <c r="D79" s="128" t="s">
        <v>585</v>
      </c>
      <c r="F79" s="147"/>
    </row>
    <row r="80" spans="1:6" ht="31.5">
      <c r="A80" s="159">
        <v>76</v>
      </c>
      <c r="B80" s="159" t="s">
        <v>345</v>
      </c>
      <c r="C80" s="160" t="s">
        <v>344</v>
      </c>
      <c r="D80" s="128" t="s">
        <v>586</v>
      </c>
      <c r="F80" s="147"/>
    </row>
    <row r="81" spans="1:6" ht="31.5">
      <c r="A81" s="159">
        <v>77</v>
      </c>
      <c r="B81" s="159" t="s">
        <v>464</v>
      </c>
      <c r="C81" s="160" t="s">
        <v>346</v>
      </c>
      <c r="D81" s="128" t="s">
        <v>587</v>
      </c>
      <c r="F81" s="147"/>
    </row>
    <row r="82" spans="1:6" ht="31.5">
      <c r="A82" s="159">
        <v>78</v>
      </c>
      <c r="B82" s="159" t="s">
        <v>348</v>
      </c>
      <c r="C82" s="160" t="s">
        <v>347</v>
      </c>
      <c r="D82" s="128" t="s">
        <v>588</v>
      </c>
      <c r="F82" s="147"/>
    </row>
    <row r="83" spans="1:6" ht="31.5">
      <c r="A83" s="159">
        <v>79</v>
      </c>
      <c r="B83" s="159" t="s">
        <v>465</v>
      </c>
      <c r="C83" s="160" t="s">
        <v>349</v>
      </c>
      <c r="D83" s="128" t="s">
        <v>589</v>
      </c>
      <c r="F83" s="147"/>
    </row>
    <row r="84" spans="1:6" ht="31.5">
      <c r="A84" s="159">
        <v>80</v>
      </c>
      <c r="B84" s="159" t="s">
        <v>351</v>
      </c>
      <c r="C84" s="160" t="s">
        <v>350</v>
      </c>
      <c r="D84" s="128" t="s">
        <v>590</v>
      </c>
      <c r="F84" s="147"/>
    </row>
    <row r="85" spans="1:6" ht="31.5">
      <c r="A85" s="159">
        <v>81</v>
      </c>
      <c r="B85" s="159" t="s">
        <v>466</v>
      </c>
      <c r="C85" s="160" t="s">
        <v>352</v>
      </c>
      <c r="D85" s="128" t="s">
        <v>591</v>
      </c>
      <c r="F85" s="147"/>
    </row>
    <row r="86" spans="1:6" ht="31.5">
      <c r="A86" s="159">
        <v>82</v>
      </c>
      <c r="B86" s="159" t="s">
        <v>467</v>
      </c>
      <c r="C86" s="160" t="s">
        <v>353</v>
      </c>
      <c r="D86" s="128" t="s">
        <v>592</v>
      </c>
      <c r="F86" s="147"/>
    </row>
    <row r="87" spans="1:6" ht="31.5">
      <c r="A87" s="159">
        <v>83</v>
      </c>
      <c r="B87" s="159" t="s">
        <v>468</v>
      </c>
      <c r="C87" s="160" t="s">
        <v>354</v>
      </c>
      <c r="D87" s="128" t="s">
        <v>593</v>
      </c>
      <c r="F87" s="147"/>
    </row>
    <row r="88" spans="1:6" ht="31.5">
      <c r="A88" s="159">
        <v>84</v>
      </c>
      <c r="B88" s="159" t="s">
        <v>469</v>
      </c>
      <c r="C88" s="160" t="s">
        <v>355</v>
      </c>
      <c r="D88" s="128" t="s">
        <v>594</v>
      </c>
      <c r="F88" s="147"/>
    </row>
    <row r="89" spans="1:6" ht="31.5">
      <c r="A89" s="159">
        <v>85</v>
      </c>
      <c r="B89" s="159" t="s">
        <v>470</v>
      </c>
      <c r="C89" s="160" t="s">
        <v>356</v>
      </c>
      <c r="D89" s="128" t="s">
        <v>595</v>
      </c>
      <c r="F89" s="147"/>
    </row>
    <row r="90" spans="1:6" ht="31.5">
      <c r="A90" s="159">
        <v>86</v>
      </c>
      <c r="B90" s="159" t="s">
        <v>471</v>
      </c>
      <c r="C90" s="160" t="s">
        <v>357</v>
      </c>
      <c r="D90" s="128" t="s">
        <v>596</v>
      </c>
      <c r="F90" s="147"/>
    </row>
    <row r="91" spans="1:6" ht="31.5">
      <c r="A91" s="159">
        <v>87</v>
      </c>
      <c r="B91" s="159" t="s">
        <v>359</v>
      </c>
      <c r="C91" s="160" t="s">
        <v>358</v>
      </c>
      <c r="D91" s="128" t="s">
        <v>597</v>
      </c>
      <c r="F91" s="147"/>
    </row>
    <row r="92" spans="1:6" ht="31.5">
      <c r="A92" s="159">
        <v>88</v>
      </c>
      <c r="B92" s="159" t="s">
        <v>472</v>
      </c>
      <c r="C92" s="160" t="s">
        <v>360</v>
      </c>
      <c r="D92" s="128" t="s">
        <v>598</v>
      </c>
      <c r="F92" s="147"/>
    </row>
    <row r="93" spans="1:6" ht="31.5">
      <c r="A93" s="159">
        <v>89</v>
      </c>
      <c r="B93" s="159" t="s">
        <v>473</v>
      </c>
      <c r="C93" s="160" t="s">
        <v>361</v>
      </c>
      <c r="D93" s="128" t="s">
        <v>599</v>
      </c>
      <c r="F93" s="147"/>
    </row>
    <row r="94" spans="1:6" ht="31.5">
      <c r="A94" s="159">
        <v>90</v>
      </c>
      <c r="B94" s="159" t="s">
        <v>474</v>
      </c>
      <c r="C94" s="160" t="s">
        <v>362</v>
      </c>
      <c r="D94" s="128" t="s">
        <v>600</v>
      </c>
      <c r="F94" s="147"/>
    </row>
    <row r="95" spans="1:6" ht="31.5">
      <c r="A95" s="159">
        <v>91</v>
      </c>
      <c r="B95" s="159" t="s">
        <v>475</v>
      </c>
      <c r="C95" s="160" t="s">
        <v>363</v>
      </c>
      <c r="D95" s="128" t="s">
        <v>601</v>
      </c>
      <c r="F95" s="147"/>
    </row>
    <row r="96" spans="1:6" ht="31.5">
      <c r="A96" s="159">
        <v>92</v>
      </c>
      <c r="B96" s="159" t="s">
        <v>476</v>
      </c>
      <c r="C96" s="160" t="s">
        <v>364</v>
      </c>
      <c r="D96" s="128" t="s">
        <v>602</v>
      </c>
      <c r="F96" s="147"/>
    </row>
    <row r="97" spans="1:6" ht="31.5">
      <c r="A97" s="159">
        <v>93</v>
      </c>
      <c r="B97" s="159" t="s">
        <v>477</v>
      </c>
      <c r="C97" s="160" t="s">
        <v>365</v>
      </c>
      <c r="D97" s="128" t="s">
        <v>603</v>
      </c>
      <c r="F97" s="147"/>
    </row>
    <row r="98" spans="1:6" ht="31.5">
      <c r="A98" s="159">
        <v>94</v>
      </c>
      <c r="B98" s="159" t="s">
        <v>478</v>
      </c>
      <c r="C98" s="160" t="s">
        <v>366</v>
      </c>
      <c r="D98" s="128" t="s">
        <v>604</v>
      </c>
      <c r="F98" s="147"/>
    </row>
    <row r="99" spans="1:6" ht="31.5">
      <c r="A99" s="159">
        <v>95</v>
      </c>
      <c r="B99" s="159" t="s">
        <v>479</v>
      </c>
      <c r="C99" s="160" t="s">
        <v>367</v>
      </c>
      <c r="D99" s="128" t="s">
        <v>605</v>
      </c>
      <c r="F99" s="147"/>
    </row>
    <row r="100" spans="1:6" ht="31.5">
      <c r="A100" s="159">
        <v>96</v>
      </c>
      <c r="B100" s="159" t="s">
        <v>480</v>
      </c>
      <c r="C100" s="160" t="s">
        <v>368</v>
      </c>
      <c r="D100" s="128" t="s">
        <v>606</v>
      </c>
      <c r="F100" s="147"/>
    </row>
    <row r="101" spans="1:6" ht="31.5">
      <c r="A101" s="159">
        <v>97</v>
      </c>
      <c r="B101" s="159" t="s">
        <v>481</v>
      </c>
      <c r="C101" s="160" t="s">
        <v>369</v>
      </c>
      <c r="D101" s="128" t="s">
        <v>607</v>
      </c>
      <c r="F101" s="147"/>
    </row>
    <row r="102" spans="1:6" ht="31.5">
      <c r="A102" s="159">
        <v>98</v>
      </c>
      <c r="B102" s="159" t="s">
        <v>482</v>
      </c>
      <c r="C102" s="160" t="s">
        <v>370</v>
      </c>
      <c r="D102" s="128" t="s">
        <v>608</v>
      </c>
      <c r="F102" s="147"/>
    </row>
    <row r="103" spans="1:6" ht="31.5">
      <c r="A103" s="159">
        <v>99</v>
      </c>
      <c r="B103" s="159" t="s">
        <v>483</v>
      </c>
      <c r="C103" s="160" t="s">
        <v>371</v>
      </c>
      <c r="D103" s="128" t="s">
        <v>609</v>
      </c>
      <c r="F103" s="147"/>
    </row>
    <row r="104" spans="1:6" ht="31.5">
      <c r="A104" s="159">
        <v>100</v>
      </c>
      <c r="B104" s="159" t="s">
        <v>484</v>
      </c>
      <c r="C104" s="160" t="s">
        <v>372</v>
      </c>
      <c r="D104" s="128" t="s">
        <v>610</v>
      </c>
      <c r="F104" s="147"/>
    </row>
    <row r="105" spans="1:6" ht="31.5">
      <c r="A105" s="159">
        <v>101</v>
      </c>
      <c r="B105" s="159" t="s">
        <v>485</v>
      </c>
      <c r="C105" s="160" t="s">
        <v>373</v>
      </c>
      <c r="D105" s="128" t="s">
        <v>611</v>
      </c>
      <c r="F105" s="147"/>
    </row>
    <row r="106" spans="1:6" ht="31.5">
      <c r="A106" s="159">
        <v>102</v>
      </c>
      <c r="B106" s="159" t="s">
        <v>486</v>
      </c>
      <c r="C106" s="160" t="s">
        <v>374</v>
      </c>
      <c r="D106" s="128" t="s">
        <v>612</v>
      </c>
      <c r="F106" s="147"/>
    </row>
    <row r="107" spans="1:6" ht="31.5">
      <c r="A107" s="159">
        <v>103</v>
      </c>
      <c r="B107" s="159" t="s">
        <v>487</v>
      </c>
      <c r="C107" s="160" t="s">
        <v>375</v>
      </c>
      <c r="D107" s="128" t="s">
        <v>613</v>
      </c>
      <c r="F107" s="147"/>
    </row>
    <row r="108" spans="1:6" ht="31.5">
      <c r="A108" s="159">
        <v>104</v>
      </c>
      <c r="B108" s="159" t="s">
        <v>488</v>
      </c>
      <c r="C108" s="160" t="s">
        <v>376</v>
      </c>
      <c r="D108" s="128" t="s">
        <v>614</v>
      </c>
      <c r="F108" s="147"/>
    </row>
    <row r="109" spans="1:6" ht="31.5">
      <c r="A109" s="159">
        <v>105</v>
      </c>
      <c r="B109" s="159" t="s">
        <v>489</v>
      </c>
      <c r="C109" s="160" t="s">
        <v>377</v>
      </c>
      <c r="D109" s="128" t="s">
        <v>615</v>
      </c>
      <c r="F109" s="147"/>
    </row>
    <row r="110" spans="1:6" ht="31.5">
      <c r="A110" s="159">
        <v>106</v>
      </c>
      <c r="B110" s="159" t="s">
        <v>490</v>
      </c>
      <c r="C110" s="160" t="s">
        <v>378</v>
      </c>
      <c r="D110" s="128" t="s">
        <v>616</v>
      </c>
      <c r="F110" s="147"/>
    </row>
    <row r="111" spans="1:6" ht="31.5">
      <c r="A111" s="159">
        <v>107</v>
      </c>
      <c r="B111" s="159" t="s">
        <v>491</v>
      </c>
      <c r="C111" s="160" t="s">
        <v>379</v>
      </c>
      <c r="D111" s="128" t="s">
        <v>617</v>
      </c>
      <c r="F111" s="147"/>
    </row>
    <row r="112" spans="1:6" ht="31.5">
      <c r="A112" s="159">
        <v>108</v>
      </c>
      <c r="B112" s="159" t="s">
        <v>492</v>
      </c>
      <c r="C112" s="160" t="s">
        <v>380</v>
      </c>
      <c r="D112" s="128" t="s">
        <v>618</v>
      </c>
      <c r="F112" s="147"/>
    </row>
    <row r="113" spans="1:6" ht="47.25">
      <c r="A113" s="159">
        <v>109</v>
      </c>
      <c r="B113" s="159" t="s">
        <v>493</v>
      </c>
      <c r="C113" s="160" t="s">
        <v>381</v>
      </c>
      <c r="D113" s="128" t="s">
        <v>619</v>
      </c>
      <c r="F113" s="147"/>
    </row>
    <row r="114" spans="1:6" ht="31.5">
      <c r="A114" s="159">
        <v>110</v>
      </c>
      <c r="B114" s="159" t="s">
        <v>494</v>
      </c>
      <c r="C114" s="160" t="s">
        <v>382</v>
      </c>
      <c r="D114" s="128" t="s">
        <v>620</v>
      </c>
      <c r="F114" s="147"/>
    </row>
    <row r="115" spans="1:6" ht="31.5">
      <c r="A115" s="159">
        <v>111</v>
      </c>
      <c r="B115" s="159" t="s">
        <v>495</v>
      </c>
      <c r="C115" s="160" t="s">
        <v>383</v>
      </c>
      <c r="D115" s="128" t="s">
        <v>621</v>
      </c>
      <c r="F115" s="147"/>
    </row>
    <row r="116" spans="1:6" ht="31.5">
      <c r="A116" s="159">
        <v>112</v>
      </c>
      <c r="B116" s="159" t="s">
        <v>496</v>
      </c>
      <c r="C116" s="160" t="s">
        <v>384</v>
      </c>
      <c r="D116" s="128" t="s">
        <v>622</v>
      </c>
      <c r="F116" s="147"/>
    </row>
    <row r="117" spans="1:6" ht="31.5">
      <c r="A117" s="159">
        <v>113</v>
      </c>
      <c r="B117" s="159" t="s">
        <v>497</v>
      </c>
      <c r="C117" s="160" t="s">
        <v>385</v>
      </c>
      <c r="D117" s="128" t="s">
        <v>623</v>
      </c>
      <c r="F117" s="147"/>
    </row>
    <row r="118" spans="1:6" ht="31.5">
      <c r="A118" s="159">
        <v>114</v>
      </c>
      <c r="B118" s="159" t="s">
        <v>498</v>
      </c>
      <c r="C118" s="160" t="s">
        <v>386</v>
      </c>
      <c r="D118" s="128" t="s">
        <v>624</v>
      </c>
      <c r="F118" s="147"/>
    </row>
    <row r="119" spans="1:6" ht="31.5">
      <c r="A119" s="159">
        <v>115</v>
      </c>
      <c r="B119" s="159" t="s">
        <v>499</v>
      </c>
      <c r="C119" s="160" t="s">
        <v>387</v>
      </c>
      <c r="D119" s="128" t="s">
        <v>625</v>
      </c>
      <c r="F119" s="147"/>
    </row>
    <row r="120" spans="1:6" ht="31.5">
      <c r="A120" s="159">
        <v>116</v>
      </c>
      <c r="B120" s="159" t="s">
        <v>500</v>
      </c>
      <c r="C120" s="160" t="s">
        <v>388</v>
      </c>
      <c r="D120" s="128" t="s">
        <v>626</v>
      </c>
      <c r="F120" s="147"/>
    </row>
    <row r="121" spans="1:6" ht="31.5">
      <c r="A121" s="159">
        <v>117</v>
      </c>
      <c r="B121" s="159" t="s">
        <v>501</v>
      </c>
      <c r="C121" s="160" t="s">
        <v>389</v>
      </c>
      <c r="D121" s="128" t="s">
        <v>627</v>
      </c>
      <c r="F121" s="147"/>
    </row>
    <row r="122" spans="1:6" ht="31.5">
      <c r="A122" s="159">
        <v>118</v>
      </c>
      <c r="B122" s="159" t="s">
        <v>502</v>
      </c>
      <c r="C122" s="160" t="s">
        <v>390</v>
      </c>
      <c r="D122" s="128" t="s">
        <v>628</v>
      </c>
      <c r="F122" s="147"/>
    </row>
    <row r="123" spans="1:6" ht="31.5">
      <c r="A123" s="159">
        <v>119</v>
      </c>
      <c r="B123" s="159" t="s">
        <v>503</v>
      </c>
      <c r="C123" s="160" t="s">
        <v>391</v>
      </c>
      <c r="D123" s="128" t="s">
        <v>629</v>
      </c>
      <c r="F123" s="147"/>
    </row>
    <row r="124" spans="1:6" ht="31.5">
      <c r="A124" s="159">
        <v>120</v>
      </c>
      <c r="B124" s="159" t="s">
        <v>504</v>
      </c>
      <c r="C124" s="160" t="s">
        <v>392</v>
      </c>
      <c r="D124" s="128" t="s">
        <v>630</v>
      </c>
      <c r="F124" s="147"/>
    </row>
    <row r="125" spans="1:6" ht="31.5">
      <c r="A125" s="159">
        <v>121</v>
      </c>
      <c r="B125" s="159" t="s">
        <v>505</v>
      </c>
      <c r="C125" s="160" t="s">
        <v>393</v>
      </c>
      <c r="D125" s="128" t="s">
        <v>631</v>
      </c>
      <c r="F125" s="147"/>
    </row>
    <row r="126" spans="1:6" ht="31.5">
      <c r="A126" s="159">
        <v>122</v>
      </c>
      <c r="B126" s="159" t="s">
        <v>506</v>
      </c>
      <c r="C126" s="160" t="s">
        <v>394</v>
      </c>
      <c r="D126" s="128" t="s">
        <v>632</v>
      </c>
      <c r="F126" s="147"/>
    </row>
    <row r="127" spans="1:6" ht="31.5">
      <c r="A127" s="159">
        <v>123</v>
      </c>
      <c r="B127" s="159" t="s">
        <v>507</v>
      </c>
      <c r="C127" s="160" t="s">
        <v>395</v>
      </c>
      <c r="D127" s="128" t="s">
        <v>633</v>
      </c>
      <c r="F127" s="147"/>
    </row>
    <row r="128" spans="1:6" ht="31.5">
      <c r="A128" s="159">
        <v>124</v>
      </c>
      <c r="B128" s="159" t="s">
        <v>508</v>
      </c>
      <c r="C128" s="160" t="s">
        <v>396</v>
      </c>
      <c r="D128" s="128" t="s">
        <v>634</v>
      </c>
      <c r="F128" s="147"/>
    </row>
    <row r="129" spans="1:6" ht="31.5">
      <c r="A129" s="159">
        <v>125</v>
      </c>
      <c r="B129" s="159" t="s">
        <v>509</v>
      </c>
      <c r="C129" s="160" t="s">
        <v>397</v>
      </c>
      <c r="D129" s="128" t="s">
        <v>635</v>
      </c>
      <c r="F129" s="147"/>
    </row>
    <row r="130" spans="1:6" ht="31.5">
      <c r="A130" s="159">
        <v>126</v>
      </c>
      <c r="B130" s="159" t="s">
        <v>510</v>
      </c>
      <c r="C130" s="160" t="s">
        <v>398</v>
      </c>
      <c r="D130" s="128" t="s">
        <v>636</v>
      </c>
      <c r="F130" s="147"/>
    </row>
  </sheetData>
  <mergeCells count="3">
    <mergeCell ref="A1:D1"/>
    <mergeCell ref="A2:D2"/>
    <mergeCell ref="A3:D3"/>
  </mergeCells>
  <pageMargins left="0.48958333333333331" right="0.38541666666666669" top="0.78740157480314965" bottom="0.78740157480314965" header="0.39370078740157483" footer="0.39370078740157483"/>
  <pageSetup paperSize="9" orientation="portrait" r:id="rId1"/>
  <headerFooter>
    <oddFooter>&amp;C&amp;"Times New Roman,Regular"&amp;P/&amp;N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6"/>
  <sheetViews>
    <sheetView topLeftCell="L1" workbookViewId="0">
      <selection activeCell="T2" sqref="T2"/>
    </sheetView>
  </sheetViews>
  <sheetFormatPr defaultColWidth="9.140625" defaultRowHeight="15"/>
  <cols>
    <col min="1" max="1" width="5.140625" style="112" customWidth="1"/>
    <col min="2" max="2" width="39.140625" style="112" customWidth="1"/>
    <col min="3" max="3" width="13.140625" style="112" customWidth="1"/>
    <col min="4" max="4" width="31.28515625" style="112" customWidth="1"/>
    <col min="5" max="5" width="21.28515625" style="112" customWidth="1"/>
    <col min="6" max="6" width="25.7109375" style="112" customWidth="1"/>
    <col min="7" max="7" width="9.28515625" style="112" customWidth="1"/>
    <col min="8" max="8" width="11" style="112" customWidth="1"/>
    <col min="9" max="9" width="27.42578125" style="112" customWidth="1"/>
    <col min="10" max="10" width="12.140625" style="112" customWidth="1"/>
    <col min="11" max="19" width="9.140625" style="112"/>
    <col min="20" max="20" width="24.140625" style="112" customWidth="1"/>
    <col min="21" max="21" width="11.42578125" style="112" customWidth="1"/>
    <col min="22" max="22" width="26.28515625" style="112" customWidth="1"/>
    <col min="23" max="23" width="45.5703125" style="112" customWidth="1"/>
    <col min="24" max="16384" width="9.140625" style="112"/>
  </cols>
  <sheetData>
    <row r="1" spans="1:23" ht="7.5" customHeight="1">
      <c r="A1" s="178"/>
      <c r="B1" s="178"/>
      <c r="C1" s="178"/>
      <c r="D1" s="178"/>
      <c r="E1" s="179"/>
      <c r="F1" s="179"/>
      <c r="G1" s="179"/>
      <c r="H1" s="179"/>
      <c r="I1" s="179"/>
      <c r="J1" s="179"/>
      <c r="K1" s="179"/>
      <c r="L1" s="179"/>
      <c r="M1" s="179"/>
      <c r="N1" s="179"/>
      <c r="O1" s="179"/>
      <c r="P1" s="179"/>
      <c r="Q1" s="179"/>
      <c r="R1" s="179"/>
      <c r="S1" s="179"/>
      <c r="T1" s="179"/>
      <c r="U1" s="179"/>
      <c r="V1" s="179"/>
    </row>
    <row r="2" spans="1:23" ht="17.25">
      <c r="B2" s="257" t="s">
        <v>193</v>
      </c>
      <c r="C2" s="257"/>
      <c r="D2" s="257"/>
      <c r="E2" s="257"/>
      <c r="F2" s="257"/>
      <c r="O2" s="193" t="s">
        <v>222</v>
      </c>
      <c r="T2" s="193" t="s">
        <v>221</v>
      </c>
    </row>
    <row r="3" spans="1:23" ht="6" customHeight="1">
      <c r="A3" s="180"/>
      <c r="B3" s="180"/>
      <c r="C3" s="180"/>
      <c r="D3" s="180"/>
      <c r="E3" s="180"/>
      <c r="F3" s="180"/>
      <c r="G3" s="180"/>
      <c r="H3" s="180"/>
      <c r="I3" s="180"/>
      <c r="J3" s="180"/>
      <c r="K3" s="180"/>
      <c r="L3" s="180"/>
      <c r="M3" s="180"/>
      <c r="N3" s="180"/>
      <c r="O3" s="180"/>
      <c r="P3" s="180"/>
      <c r="Q3" s="180"/>
      <c r="R3" s="180"/>
      <c r="S3" s="180"/>
      <c r="T3" s="180"/>
      <c r="U3" s="180"/>
      <c r="V3" s="180"/>
    </row>
    <row r="4" spans="1:23" ht="36" customHeight="1">
      <c r="A4" s="182" t="s">
        <v>0</v>
      </c>
      <c r="B4" s="182" t="s">
        <v>24</v>
      </c>
      <c r="C4" s="182" t="s">
        <v>1</v>
      </c>
      <c r="D4" s="183" t="s">
        <v>220</v>
      </c>
      <c r="E4" s="183" t="s">
        <v>14</v>
      </c>
      <c r="F4" s="184" t="s">
        <v>37</v>
      </c>
      <c r="G4" s="184" t="s">
        <v>224</v>
      </c>
      <c r="H4" s="184" t="s">
        <v>102</v>
      </c>
      <c r="I4" s="184" t="s">
        <v>38</v>
      </c>
      <c r="J4" s="184" t="s">
        <v>39</v>
      </c>
      <c r="K4" s="185" t="s">
        <v>210</v>
      </c>
      <c r="L4" s="185" t="s">
        <v>211</v>
      </c>
      <c r="M4" s="185" t="s">
        <v>212</v>
      </c>
      <c r="N4" s="185" t="s">
        <v>213</v>
      </c>
      <c r="O4" s="185" t="s">
        <v>214</v>
      </c>
      <c r="P4" s="184" t="s">
        <v>215</v>
      </c>
      <c r="Q4" s="184" t="s">
        <v>216</v>
      </c>
      <c r="R4" s="184" t="s">
        <v>217</v>
      </c>
      <c r="S4" s="184" t="s">
        <v>218</v>
      </c>
      <c r="T4" s="184" t="s">
        <v>219</v>
      </c>
      <c r="U4" s="184" t="s">
        <v>7</v>
      </c>
      <c r="V4" s="184" t="s">
        <v>48</v>
      </c>
      <c r="W4" s="183" t="s">
        <v>184</v>
      </c>
    </row>
    <row r="5" spans="1:23" s="188" customFormat="1">
      <c r="A5" s="186"/>
      <c r="B5" s="186"/>
      <c r="D5" s="186"/>
      <c r="E5" s="186"/>
      <c r="F5" s="187"/>
      <c r="G5" s="186"/>
      <c r="H5" s="186"/>
      <c r="I5" s="186"/>
      <c r="J5" s="186"/>
      <c r="K5" s="189"/>
      <c r="L5" s="189"/>
      <c r="M5" s="189"/>
      <c r="N5" s="189"/>
      <c r="O5" s="186" t="str">
        <f>IF(J5=1,K5,IF(J5=2,K5&amp;"/"&amp;L5,IF(J5=3,K5&amp;"/"&amp;L5&amp;"/"&amp;M5,IF(J5=4,K5&amp;"/"&amp;L5&amp;"/"&amp;M5&amp;"/"&amp;N5,""))))</f>
        <v/>
      </c>
      <c r="P5" s="189"/>
      <c r="Q5" s="189"/>
      <c r="R5" s="189"/>
      <c r="S5" s="189"/>
      <c r="T5" s="190" t="str">
        <f>IF(J5=1,TEXT(P5,"#,00")&amp;"W",IF(J5=2,TEXT(P5,"#,00")&amp;"W/"&amp;TEXT(Q5,"#,00")&amp;"W",IF(J5=3,TEXT(P5,"#,00")&amp;"W/"&amp;TEXT(Q5,"#,00")&amp;"W/"&amp;TEXT(R5,"#,00")&amp;"W",IF(J5=4,TEXT(P5,"#,00")&amp;"W/"&amp;TEXT(Q5,"#,00")&amp;"W/"&amp;TEXT(R5,"#,00")&amp;"W/"&amp;TEXT(S5,"#,00")&amp;"W",""))))</f>
        <v/>
      </c>
      <c r="U5" s="186"/>
      <c r="V5" s="186"/>
    </row>
    <row r="16" spans="1:23">
      <c r="A16" s="188"/>
      <c r="B16" s="188"/>
      <c r="C16" s="188"/>
      <c r="D16" s="188"/>
    </row>
  </sheetData>
  <mergeCells count="1">
    <mergeCell ref="B2:F2"/>
  </mergeCells>
  <conditionalFormatting sqref="J4:J5">
    <cfRule type="cellIs" dxfId="4" priority="14" stopIfTrue="1" operator="notEqual">
      <formula>3</formula>
    </cfRule>
  </conditionalFormatting>
  <pageMargins left="0.59055118110236227" right="0.39370078740157483" top="0.59055118110236227" bottom="0.59055118110236227" header="0.31496062992125984" footer="0.31496062992125984"/>
  <pageSetup paperSize="9"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workbookViewId="0">
      <selection activeCell="AO29" sqref="AO29:AR29"/>
    </sheetView>
  </sheetViews>
  <sheetFormatPr defaultColWidth="3.140625" defaultRowHeight="12.75"/>
  <cols>
    <col min="1" max="1" width="3.140625" style="84"/>
    <col min="2" max="2" width="2" style="84" customWidth="1"/>
    <col min="3" max="15" width="3.140625" style="84"/>
    <col min="16" max="29" width="3.140625" style="84" customWidth="1"/>
    <col min="30" max="30" width="6" style="84" customWidth="1"/>
    <col min="31" max="31" width="3.140625" style="111" customWidth="1"/>
    <col min="32" max="32" width="3.140625" style="84"/>
    <col min="33" max="33" width="3.5703125" style="84" bestFit="1" customWidth="1"/>
    <col min="34" max="44" width="3.140625" style="84"/>
    <col min="45" max="45" width="5" style="84" bestFit="1" customWidth="1"/>
    <col min="46" max="16384" width="3.140625" style="84"/>
  </cols>
  <sheetData>
    <row r="1" spans="2:45" ht="19.7" customHeight="1">
      <c r="B1" s="293" t="s">
        <v>103</v>
      </c>
      <c r="C1" s="293"/>
      <c r="D1" s="293"/>
      <c r="E1" s="293"/>
      <c r="F1" s="293"/>
      <c r="G1" s="293"/>
      <c r="H1" s="293"/>
      <c r="I1" s="293"/>
      <c r="J1" s="293"/>
      <c r="K1" s="293"/>
      <c r="L1" s="293"/>
      <c r="M1" s="293"/>
      <c r="P1" s="284" t="s">
        <v>104</v>
      </c>
      <c r="Q1" s="284"/>
      <c r="R1" s="284"/>
      <c r="S1" s="284"/>
      <c r="T1" s="284"/>
      <c r="U1" s="284"/>
      <c r="V1" s="284"/>
      <c r="W1" s="284"/>
      <c r="X1" s="284"/>
      <c r="Y1" s="284"/>
      <c r="Z1" s="284"/>
      <c r="AA1" s="284"/>
      <c r="AB1" s="284"/>
      <c r="AC1" s="284"/>
      <c r="AD1" s="284"/>
      <c r="AE1" s="103"/>
    </row>
    <row r="2" spans="2:45" ht="19.7" customHeight="1">
      <c r="C2" s="293" t="s">
        <v>105</v>
      </c>
      <c r="D2" s="293"/>
      <c r="E2" s="293"/>
      <c r="F2" s="293"/>
      <c r="G2" s="293"/>
      <c r="H2" s="293"/>
      <c r="I2" s="293"/>
      <c r="J2" s="293"/>
      <c r="K2" s="293"/>
      <c r="L2" s="293"/>
      <c r="N2" s="86"/>
      <c r="P2" s="285" t="s">
        <v>173</v>
      </c>
      <c r="Q2" s="285"/>
      <c r="R2" s="285"/>
      <c r="S2" s="285"/>
      <c r="T2" s="285"/>
      <c r="U2" s="285"/>
      <c r="V2" s="285"/>
      <c r="W2" s="285"/>
      <c r="X2" s="285"/>
      <c r="Y2" s="285"/>
      <c r="Z2" s="285"/>
      <c r="AA2" s="285"/>
      <c r="AB2" s="285"/>
      <c r="AC2" s="285"/>
      <c r="AD2" s="285"/>
    </row>
    <row r="3" spans="2:45" ht="12" customHeight="1">
      <c r="C3" s="87"/>
      <c r="D3" s="87"/>
      <c r="E3" s="148"/>
      <c r="F3" s="148"/>
      <c r="G3" s="148"/>
      <c r="H3" s="148"/>
      <c r="I3" s="148"/>
      <c r="J3" s="148"/>
      <c r="K3" s="87"/>
      <c r="L3" s="88"/>
      <c r="M3" s="87"/>
      <c r="N3" s="87"/>
      <c r="O3" s="87"/>
      <c r="P3" s="87"/>
      <c r="Q3" s="89"/>
      <c r="R3" s="89"/>
      <c r="S3" s="148"/>
      <c r="T3" s="148"/>
      <c r="U3" s="148"/>
      <c r="V3" s="148"/>
      <c r="W3" s="148"/>
      <c r="X3" s="148"/>
      <c r="Y3" s="148"/>
      <c r="Z3" s="148"/>
      <c r="AA3" s="148"/>
    </row>
    <row r="4" spans="2:45" ht="8.25" customHeight="1">
      <c r="C4" s="90"/>
      <c r="D4" s="90"/>
      <c r="E4" s="91"/>
      <c r="F4" s="91"/>
      <c r="G4" s="91"/>
      <c r="H4" s="91"/>
      <c r="I4" s="91"/>
      <c r="J4" s="91"/>
      <c r="K4" s="91"/>
      <c r="L4" s="92"/>
      <c r="M4" s="92"/>
      <c r="N4" s="92"/>
      <c r="O4" s="92"/>
      <c r="P4" s="91"/>
      <c r="Q4" s="93"/>
      <c r="R4" s="93"/>
      <c r="S4" s="93"/>
      <c r="T4" s="93"/>
      <c r="U4" s="93"/>
      <c r="V4" s="93"/>
      <c r="W4" s="93"/>
      <c r="X4" s="93"/>
      <c r="Y4" s="93"/>
      <c r="Z4" s="93"/>
      <c r="AA4" s="93"/>
      <c r="AB4" s="93"/>
      <c r="AC4" s="93"/>
      <c r="AD4" s="93"/>
    </row>
    <row r="5" spans="2:45" ht="9.75" hidden="1" customHeight="1">
      <c r="C5" s="94"/>
      <c r="D5" s="94"/>
      <c r="E5" s="87"/>
      <c r="F5" s="87"/>
      <c r="G5" s="87"/>
      <c r="H5" s="87"/>
      <c r="I5" s="87"/>
      <c r="J5" s="87"/>
      <c r="K5" s="87"/>
      <c r="L5" s="87"/>
      <c r="M5" s="87"/>
      <c r="N5" s="87"/>
      <c r="O5" s="87"/>
      <c r="P5" s="87"/>
      <c r="Q5" s="87"/>
      <c r="R5" s="87"/>
      <c r="S5" s="87"/>
      <c r="T5" s="87"/>
      <c r="U5" s="87"/>
      <c r="V5" s="87"/>
      <c r="W5" s="87"/>
      <c r="X5" s="87"/>
      <c r="Y5" s="87"/>
      <c r="Z5" s="87"/>
      <c r="AA5" s="87"/>
    </row>
    <row r="6" spans="2:45" ht="19.7" customHeight="1">
      <c r="C6" s="286" t="s">
        <v>106</v>
      </c>
      <c r="D6" s="286"/>
      <c r="E6" s="286"/>
      <c r="F6" s="286"/>
      <c r="G6" s="286"/>
      <c r="H6" s="286"/>
      <c r="I6" s="286"/>
      <c r="J6" s="286"/>
      <c r="K6" s="286"/>
      <c r="L6" s="286"/>
      <c r="M6" s="286"/>
      <c r="N6" s="286"/>
      <c r="O6" s="286"/>
      <c r="P6" s="286"/>
      <c r="Q6" s="286"/>
      <c r="R6" s="286"/>
      <c r="S6" s="286"/>
      <c r="T6" s="286"/>
      <c r="U6" s="286"/>
      <c r="V6" s="286"/>
      <c r="W6" s="286"/>
      <c r="X6" s="286"/>
      <c r="Y6" s="286"/>
      <c r="Z6" s="286"/>
      <c r="AA6" s="286"/>
      <c r="AB6" s="286"/>
      <c r="AC6" s="286"/>
      <c r="AD6" s="286"/>
    </row>
    <row r="7" spans="2:45" ht="19.7" customHeight="1">
      <c r="C7" s="286" t="s">
        <v>107</v>
      </c>
      <c r="D7" s="286"/>
      <c r="E7" s="286"/>
      <c r="F7" s="286"/>
      <c r="G7" s="286"/>
      <c r="H7" s="286"/>
      <c r="I7" s="286"/>
      <c r="J7" s="286"/>
      <c r="K7" s="286"/>
      <c r="L7" s="286"/>
      <c r="M7" s="286"/>
      <c r="N7" s="286"/>
      <c r="O7" s="286"/>
      <c r="P7" s="286"/>
      <c r="Q7" s="286"/>
      <c r="R7" s="286"/>
      <c r="S7" s="286"/>
      <c r="T7" s="286"/>
      <c r="U7" s="286"/>
      <c r="V7" s="286"/>
      <c r="W7" s="286"/>
      <c r="X7" s="286"/>
      <c r="Y7" s="286"/>
      <c r="Z7" s="286"/>
      <c r="AA7" s="286"/>
      <c r="AB7" s="286"/>
      <c r="AC7" s="286"/>
      <c r="AD7" s="286"/>
    </row>
    <row r="8" spans="2:45" ht="10.5" customHeight="1">
      <c r="C8" s="149"/>
      <c r="D8" s="150"/>
      <c r="E8" s="150"/>
      <c r="F8" s="150"/>
      <c r="G8" s="150"/>
      <c r="H8" s="150"/>
      <c r="I8" s="150"/>
      <c r="J8" s="150"/>
      <c r="K8" s="150"/>
      <c r="L8" s="150"/>
      <c r="M8" s="150"/>
      <c r="N8" s="150"/>
      <c r="O8" s="150"/>
      <c r="P8" s="150"/>
      <c r="Q8" s="150"/>
      <c r="R8" s="150"/>
      <c r="S8" s="150"/>
      <c r="T8" s="150"/>
      <c r="U8" s="150"/>
      <c r="V8" s="150"/>
      <c r="W8" s="150"/>
      <c r="X8" s="150"/>
      <c r="Y8" s="150"/>
      <c r="Z8" s="150"/>
      <c r="AA8" s="150"/>
      <c r="AB8" s="85"/>
      <c r="AC8" s="85"/>
      <c r="AD8" s="85"/>
    </row>
    <row r="9" spans="2:45" ht="15.75" customHeight="1">
      <c r="C9" s="294" t="str">
        <f>"Số: "&amp;AG9</f>
        <v>Số: B08600120811TG05</v>
      </c>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G9" s="96" t="s">
        <v>208</v>
      </c>
    </row>
    <row r="10" spans="2:45" ht="11.25" customHeight="1">
      <c r="C10" s="151"/>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85"/>
      <c r="AC10" s="85"/>
      <c r="AD10" s="85"/>
    </row>
    <row r="11" spans="2:45" ht="19.7" customHeight="1">
      <c r="C11" s="286" t="s">
        <v>108</v>
      </c>
      <c r="D11" s="286"/>
      <c r="E11" s="286"/>
      <c r="F11" s="286"/>
      <c r="G11" s="286"/>
      <c r="H11" s="286"/>
      <c r="I11" s="286"/>
      <c r="J11" s="286"/>
      <c r="K11" s="286"/>
      <c r="L11" s="286"/>
      <c r="M11" s="286"/>
      <c r="N11" s="286"/>
      <c r="O11" s="286"/>
      <c r="P11" s="286"/>
      <c r="Q11" s="286"/>
      <c r="R11" s="286"/>
      <c r="S11" s="286"/>
      <c r="T11" s="286"/>
      <c r="U11" s="286"/>
      <c r="V11" s="286"/>
      <c r="W11" s="286"/>
      <c r="X11" s="286"/>
      <c r="Y11" s="286"/>
      <c r="Z11" s="286"/>
      <c r="AA11" s="286"/>
      <c r="AB11" s="286"/>
      <c r="AC11" s="286"/>
      <c r="AD11" s="286"/>
    </row>
    <row r="12" spans="2:45" ht="19.7" customHeight="1">
      <c r="C12" s="286" t="s">
        <v>109</v>
      </c>
      <c r="D12" s="286"/>
      <c r="E12" s="286"/>
      <c r="F12" s="286"/>
      <c r="G12" s="286"/>
      <c r="H12" s="286"/>
      <c r="I12" s="286"/>
      <c r="J12" s="286"/>
      <c r="K12" s="286"/>
      <c r="L12" s="286"/>
      <c r="M12" s="286"/>
      <c r="N12" s="286"/>
      <c r="O12" s="286"/>
      <c r="P12" s="286"/>
      <c r="Q12" s="286"/>
      <c r="R12" s="286"/>
      <c r="S12" s="286"/>
      <c r="T12" s="286"/>
      <c r="U12" s="286"/>
      <c r="V12" s="286"/>
      <c r="W12" s="286"/>
      <c r="X12" s="286"/>
      <c r="Y12" s="286"/>
      <c r="Z12" s="286"/>
      <c r="AA12" s="286"/>
      <c r="AB12" s="286"/>
      <c r="AC12" s="286"/>
      <c r="AD12" s="286"/>
    </row>
    <row r="13" spans="2:45" ht="7.5" customHeight="1">
      <c r="C13" s="117"/>
      <c r="D13" s="87"/>
      <c r="E13" s="87"/>
      <c r="F13" s="87"/>
      <c r="G13" s="87"/>
      <c r="H13" s="87"/>
      <c r="I13" s="87"/>
      <c r="J13" s="87"/>
      <c r="K13" s="87"/>
      <c r="L13" s="87"/>
      <c r="M13" s="87"/>
      <c r="N13" s="87"/>
      <c r="O13" s="87"/>
      <c r="P13" s="87"/>
      <c r="Q13" s="87"/>
      <c r="R13" s="87"/>
      <c r="S13" s="87"/>
      <c r="T13" s="87"/>
      <c r="U13" s="87"/>
      <c r="V13" s="87"/>
      <c r="W13" s="87"/>
      <c r="X13" s="87"/>
      <c r="Y13" s="87"/>
      <c r="Z13" s="87"/>
      <c r="AA13" s="87"/>
    </row>
    <row r="14" spans="2:45" ht="3" hidden="1" customHeight="1">
      <c r="C14" s="95"/>
      <c r="D14" s="87"/>
      <c r="E14" s="87"/>
      <c r="F14" s="87"/>
      <c r="G14" s="87"/>
      <c r="H14" s="87"/>
      <c r="I14" s="87"/>
      <c r="J14" s="87"/>
      <c r="K14" s="87"/>
      <c r="L14" s="87"/>
      <c r="M14" s="87"/>
      <c r="N14" s="87"/>
      <c r="O14" s="87"/>
      <c r="P14" s="87"/>
      <c r="Q14" s="87"/>
      <c r="R14" s="87"/>
      <c r="S14" s="87"/>
      <c r="T14" s="87"/>
      <c r="U14" s="87"/>
      <c r="V14" s="87"/>
      <c r="W14" s="87"/>
      <c r="X14" s="87"/>
      <c r="Y14" s="87"/>
      <c r="Z14" s="87"/>
      <c r="AA14" s="87"/>
    </row>
    <row r="15" spans="2:45" ht="25.5" customHeight="1">
      <c r="C15" s="287" t="s">
        <v>107</v>
      </c>
      <c r="D15" s="288"/>
      <c r="E15" s="288"/>
      <c r="F15" s="288"/>
      <c r="G15" s="288"/>
      <c r="H15" s="288"/>
      <c r="I15" s="288"/>
      <c r="J15" s="288"/>
      <c r="K15" s="288"/>
      <c r="L15" s="288"/>
      <c r="M15" s="288"/>
      <c r="N15" s="288"/>
      <c r="O15" s="288"/>
      <c r="P15" s="288"/>
      <c r="Q15" s="288"/>
      <c r="R15" s="288"/>
      <c r="S15" s="288"/>
      <c r="T15" s="288"/>
      <c r="U15" s="288"/>
      <c r="V15" s="288"/>
      <c r="W15" s="288"/>
      <c r="X15" s="288"/>
      <c r="Y15" s="288"/>
      <c r="Z15" s="288"/>
      <c r="AA15" s="288"/>
      <c r="AB15" s="288"/>
      <c r="AC15" s="288"/>
      <c r="AD15" s="289"/>
      <c r="AE15" s="118"/>
      <c r="AG15" s="98">
        <v>1</v>
      </c>
      <c r="AH15" s="98"/>
      <c r="AI15" s="98"/>
      <c r="AJ15" s="98"/>
      <c r="AK15" s="98">
        <v>2</v>
      </c>
      <c r="AL15" s="98"/>
      <c r="AM15" s="98"/>
      <c r="AN15" s="98"/>
      <c r="AO15" s="98">
        <v>3</v>
      </c>
      <c r="AS15" s="84">
        <v>4</v>
      </c>
    </row>
    <row r="16" spans="2:45" ht="40.5" customHeight="1">
      <c r="C16" s="268" t="s">
        <v>24</v>
      </c>
      <c r="D16" s="269"/>
      <c r="E16" s="269"/>
      <c r="F16" s="269"/>
      <c r="G16" s="269"/>
      <c r="H16" s="269"/>
      <c r="I16" s="269"/>
      <c r="J16" s="269"/>
      <c r="K16" s="269"/>
      <c r="L16" s="270"/>
      <c r="M16" s="295" t="str">
        <f>AG16</f>
        <v>Ấp Bàu Trâu, xã Phước Thạnh, huyện Củ Chi, thành phố Hồ Chí Minh.</v>
      </c>
      <c r="N16" s="296"/>
      <c r="O16" s="296"/>
      <c r="P16" s="296"/>
      <c r="Q16" s="296"/>
      <c r="R16" s="296"/>
      <c r="S16" s="296"/>
      <c r="T16" s="296"/>
      <c r="U16" s="296"/>
      <c r="V16" s="296"/>
      <c r="W16" s="296"/>
      <c r="X16" s="296"/>
      <c r="Y16" s="296"/>
      <c r="Z16" s="296"/>
      <c r="AA16" s="296"/>
      <c r="AB16" s="296"/>
      <c r="AC16" s="296"/>
      <c r="AD16" s="297"/>
      <c r="AE16" s="118"/>
      <c r="AG16" s="194" t="s">
        <v>110</v>
      </c>
    </row>
    <row r="17" spans="3:48" ht="19.5" customHeight="1">
      <c r="C17" s="268" t="s">
        <v>17</v>
      </c>
      <c r="D17" s="269"/>
      <c r="E17" s="269"/>
      <c r="F17" s="269"/>
      <c r="G17" s="269"/>
      <c r="H17" s="269"/>
      <c r="I17" s="269"/>
      <c r="J17" s="269"/>
      <c r="K17" s="269"/>
      <c r="L17" s="270"/>
      <c r="M17" s="263" t="str">
        <f>IF(AG17="","",AG17)</f>
        <v/>
      </c>
      <c r="N17" s="264"/>
      <c r="O17" s="264"/>
      <c r="P17" s="264"/>
      <c r="Q17" s="264"/>
      <c r="R17" s="264"/>
      <c r="S17" s="264"/>
      <c r="T17" s="264"/>
      <c r="U17" s="264"/>
      <c r="V17" s="264"/>
      <c r="W17" s="264"/>
      <c r="X17" s="264"/>
      <c r="Y17" s="264"/>
      <c r="Z17" s="264"/>
      <c r="AA17" s="264"/>
      <c r="AB17" s="264"/>
      <c r="AC17" s="264"/>
      <c r="AD17" s="265"/>
      <c r="AE17" s="118"/>
    </row>
    <row r="18" spans="3:48" ht="33.950000000000003" customHeight="1">
      <c r="C18" s="290" t="s">
        <v>9</v>
      </c>
      <c r="D18" s="291"/>
      <c r="E18" s="291"/>
      <c r="F18" s="291"/>
      <c r="G18" s="291"/>
      <c r="H18" s="291"/>
      <c r="I18" s="291"/>
      <c r="J18" s="291"/>
      <c r="K18" s="291"/>
      <c r="L18" s="292"/>
      <c r="M18" s="263" t="str">
        <f>AG18</f>
        <v>CÔNG TY CỔ PHẦN VIỄN THÔNG DI ĐỘNG TOÀN CẦU</v>
      </c>
      <c r="N18" s="264"/>
      <c r="O18" s="264"/>
      <c r="P18" s="264"/>
      <c r="Q18" s="264"/>
      <c r="R18" s="264"/>
      <c r="S18" s="264"/>
      <c r="T18" s="264"/>
      <c r="U18" s="264"/>
      <c r="V18" s="264"/>
      <c r="W18" s="264"/>
      <c r="X18" s="264"/>
      <c r="Y18" s="264"/>
      <c r="Z18" s="264"/>
      <c r="AA18" s="264"/>
      <c r="AB18" s="264"/>
      <c r="AC18" s="264"/>
      <c r="AD18" s="265"/>
      <c r="AE18" s="118"/>
      <c r="AG18" s="96" t="s">
        <v>155</v>
      </c>
    </row>
    <row r="19" spans="3:48" ht="33.950000000000003" customHeight="1">
      <c r="C19" s="290" t="s">
        <v>16</v>
      </c>
      <c r="D19" s="291"/>
      <c r="E19" s="291"/>
      <c r="F19" s="291"/>
      <c r="G19" s="291"/>
      <c r="H19" s="291"/>
      <c r="I19" s="291"/>
      <c r="J19" s="291"/>
      <c r="K19" s="291"/>
      <c r="L19" s="292"/>
      <c r="M19" s="263" t="str">
        <f>AG19</f>
        <v>CÔNG TY CỔ PHẦN VIỄN THÔNG DI ĐỘNG TOÀN CẦU</v>
      </c>
      <c r="N19" s="264"/>
      <c r="O19" s="264"/>
      <c r="P19" s="264"/>
      <c r="Q19" s="264"/>
      <c r="R19" s="264"/>
      <c r="S19" s="264"/>
      <c r="T19" s="264"/>
      <c r="U19" s="264"/>
      <c r="V19" s="264"/>
      <c r="W19" s="264"/>
      <c r="X19" s="264"/>
      <c r="Y19" s="264"/>
      <c r="Z19" s="264"/>
      <c r="AA19" s="264"/>
      <c r="AB19" s="264"/>
      <c r="AC19" s="264"/>
      <c r="AD19" s="265"/>
      <c r="AE19" s="119"/>
      <c r="AG19" s="96" t="s">
        <v>155</v>
      </c>
    </row>
    <row r="20" spans="3:48" ht="21" customHeight="1">
      <c r="C20" s="277" t="s">
        <v>111</v>
      </c>
      <c r="D20" s="278"/>
      <c r="E20" s="278"/>
      <c r="F20" s="278"/>
      <c r="G20" s="278"/>
      <c r="H20" s="278"/>
      <c r="I20" s="278"/>
      <c r="J20" s="278"/>
      <c r="K20" s="278"/>
      <c r="L20" s="278"/>
      <c r="M20" s="278"/>
      <c r="N20" s="278"/>
      <c r="O20" s="278"/>
      <c r="P20" s="278"/>
      <c r="Q20" s="278"/>
      <c r="R20" s="278"/>
      <c r="S20" s="278"/>
      <c r="T20" s="278"/>
      <c r="U20" s="278"/>
      <c r="V20" s="278"/>
      <c r="W20" s="278"/>
      <c r="X20" s="278"/>
      <c r="Y20" s="278"/>
      <c r="Z20" s="278"/>
      <c r="AA20" s="278"/>
      <c r="AB20" s="278"/>
      <c r="AC20" s="278"/>
      <c r="AD20" s="279"/>
      <c r="AE20" s="120"/>
    </row>
    <row r="21" spans="3:48" ht="33.950000000000003" customHeight="1">
      <c r="C21" s="271" t="s">
        <v>112</v>
      </c>
      <c r="D21" s="271"/>
      <c r="E21" s="271"/>
      <c r="F21" s="271"/>
      <c r="G21" s="271"/>
      <c r="H21" s="271"/>
      <c r="I21" s="271"/>
      <c r="J21" s="271"/>
      <c r="K21" s="271"/>
      <c r="L21" s="271"/>
      <c r="M21" s="263" t="str">
        <f>AG21</f>
        <v>A</v>
      </c>
      <c r="N21" s="264"/>
      <c r="O21" s="264"/>
      <c r="P21" s="264"/>
      <c r="Q21" s="264"/>
      <c r="R21" s="264"/>
      <c r="S21" s="264"/>
      <c r="T21" s="264"/>
      <c r="U21" s="264"/>
      <c r="V21" s="264"/>
      <c r="W21" s="264"/>
      <c r="X21" s="264"/>
      <c r="Y21" s="264"/>
      <c r="Z21" s="264"/>
      <c r="AA21" s="264"/>
      <c r="AB21" s="264"/>
      <c r="AC21" s="264"/>
      <c r="AD21" s="265"/>
      <c r="AE21" s="118"/>
      <c r="AG21" s="96" t="s">
        <v>113</v>
      </c>
      <c r="AK21" s="96" t="s">
        <v>114</v>
      </c>
      <c r="AO21" s="96" t="s">
        <v>115</v>
      </c>
      <c r="AS21" s="96" t="s">
        <v>116</v>
      </c>
    </row>
    <row r="22" spans="3:48" ht="19.7" customHeight="1">
      <c r="C22" s="280" t="s">
        <v>117</v>
      </c>
      <c r="D22" s="281"/>
      <c r="E22" s="281"/>
      <c r="F22" s="281"/>
      <c r="G22" s="281"/>
      <c r="H22" s="281"/>
      <c r="I22" s="281"/>
      <c r="J22" s="281"/>
      <c r="K22" s="281"/>
      <c r="L22" s="282"/>
      <c r="M22" s="263">
        <f>AG22</f>
        <v>4</v>
      </c>
      <c r="N22" s="264"/>
      <c r="O22" s="264"/>
      <c r="P22" s="264"/>
      <c r="Q22" s="264"/>
      <c r="R22" s="264"/>
      <c r="S22" s="264"/>
      <c r="T22" s="264"/>
      <c r="U22" s="264"/>
      <c r="V22" s="264"/>
      <c r="W22" s="264"/>
      <c r="X22" s="264"/>
      <c r="Y22" s="264"/>
      <c r="Z22" s="264"/>
      <c r="AA22" s="264"/>
      <c r="AB22" s="264"/>
      <c r="AC22" s="264"/>
      <c r="AD22" s="265"/>
      <c r="AE22" s="118"/>
      <c r="AG22" s="98">
        <v>4</v>
      </c>
      <c r="AH22" s="98"/>
      <c r="AI22" s="98"/>
      <c r="AJ22" s="98"/>
      <c r="AK22" s="98">
        <v>1</v>
      </c>
      <c r="AL22" s="98"/>
      <c r="AM22" s="98"/>
      <c r="AN22" s="98"/>
      <c r="AO22" s="98">
        <v>3</v>
      </c>
      <c r="AS22" s="84">
        <v>1</v>
      </c>
    </row>
    <row r="23" spans="3:48" ht="19.7" customHeight="1">
      <c r="C23" s="271" t="s">
        <v>118</v>
      </c>
      <c r="D23" s="271"/>
      <c r="E23" s="271"/>
      <c r="F23" s="271"/>
      <c r="G23" s="271"/>
      <c r="H23" s="271"/>
      <c r="I23" s="271"/>
      <c r="J23" s="271"/>
      <c r="K23" s="271"/>
      <c r="L23" s="271"/>
      <c r="M23" s="274" t="str">
        <f>AG23</f>
        <v>4/4/4</v>
      </c>
      <c r="N23" s="275"/>
      <c r="O23" s="275"/>
      <c r="P23" s="275"/>
      <c r="Q23" s="275"/>
      <c r="R23" s="275"/>
      <c r="S23" s="275"/>
      <c r="T23" s="275"/>
      <c r="U23" s="275"/>
      <c r="V23" s="275"/>
      <c r="W23" s="275"/>
      <c r="X23" s="275"/>
      <c r="Y23" s="275"/>
      <c r="Z23" s="275"/>
      <c r="AA23" s="275"/>
      <c r="AB23" s="275"/>
      <c r="AC23" s="275"/>
      <c r="AD23" s="276"/>
      <c r="AE23" s="121"/>
      <c r="AG23" s="100" t="s">
        <v>119</v>
      </c>
      <c r="AH23" s="101"/>
      <c r="AI23" s="101"/>
      <c r="AJ23" s="101"/>
      <c r="AK23" s="100" t="s">
        <v>120</v>
      </c>
      <c r="AL23" s="101"/>
      <c r="AM23" s="101"/>
      <c r="AN23" s="101"/>
      <c r="AO23" s="100" t="s">
        <v>121</v>
      </c>
      <c r="AP23" s="101"/>
      <c r="AQ23" s="101"/>
      <c r="AR23" s="101"/>
      <c r="AS23" s="100" t="s">
        <v>122</v>
      </c>
    </row>
    <row r="24" spans="3:48" ht="19.7" customHeight="1">
      <c r="C24" s="280" t="s">
        <v>156</v>
      </c>
      <c r="D24" s="281"/>
      <c r="E24" s="281"/>
      <c r="F24" s="281"/>
      <c r="G24" s="281"/>
      <c r="H24" s="281"/>
      <c r="I24" s="281"/>
      <c r="J24" s="281"/>
      <c r="K24" s="281"/>
      <c r="L24" s="282"/>
      <c r="M24" s="263" t="str">
        <f>IF(M22=4,AG24&amp;"W/ "&amp;AH24&amp;"W/ "&amp;AI24&amp;"W/ "&amp;AJ24&amp;"W",IF(M22=3,AG24&amp;"W/ "&amp;AH24&amp;"W/ "&amp;AI24&amp;"W",IF(M22=2,AG24&amp;"W/ "&amp;AH24&amp;"W",AG24&amp;"W")))</f>
        <v>20W/ 20W/ 20W/ 20W</v>
      </c>
      <c r="N24" s="264"/>
      <c r="O24" s="264"/>
      <c r="P24" s="264"/>
      <c r="Q24" s="264"/>
      <c r="R24" s="264"/>
      <c r="S24" s="264"/>
      <c r="T24" s="264"/>
      <c r="U24" s="264"/>
      <c r="V24" s="264"/>
      <c r="W24" s="264"/>
      <c r="X24" s="264"/>
      <c r="Y24" s="264"/>
      <c r="Z24" s="264"/>
      <c r="AA24" s="264"/>
      <c r="AB24" s="264"/>
      <c r="AC24" s="264"/>
      <c r="AD24" s="265"/>
      <c r="AE24" s="119"/>
      <c r="AG24" s="84">
        <v>20</v>
      </c>
      <c r="AH24" s="84">
        <v>20</v>
      </c>
      <c r="AI24" s="84">
        <v>20</v>
      </c>
      <c r="AJ24" s="84">
        <v>20</v>
      </c>
      <c r="AK24" s="84">
        <v>40</v>
      </c>
      <c r="AL24" s="84">
        <v>40</v>
      </c>
      <c r="AM24" s="84">
        <v>40</v>
      </c>
      <c r="AN24" s="84">
        <v>20</v>
      </c>
      <c r="AO24" s="84">
        <v>60</v>
      </c>
      <c r="AP24" s="84">
        <v>60</v>
      </c>
      <c r="AQ24" s="84">
        <v>60</v>
      </c>
      <c r="AR24" s="84">
        <v>60</v>
      </c>
      <c r="AS24" s="84">
        <v>80</v>
      </c>
      <c r="AT24" s="84">
        <v>80</v>
      </c>
      <c r="AU24" s="84">
        <v>80</v>
      </c>
      <c r="AV24" s="84">
        <v>80</v>
      </c>
    </row>
    <row r="25" spans="3:48" ht="19.7" customHeight="1">
      <c r="C25" s="271" t="s">
        <v>123</v>
      </c>
      <c r="D25" s="271"/>
      <c r="E25" s="271"/>
      <c r="F25" s="271"/>
      <c r="G25" s="271"/>
      <c r="H25" s="271"/>
      <c r="I25" s="271"/>
      <c r="J25" s="271"/>
      <c r="K25" s="271"/>
      <c r="L25" s="271"/>
      <c r="M25" s="263" t="str">
        <f>IF(AG25="900 &amp; 1800","900MHz &amp; 1800MHz",IF(AG25="900 &amp; 2100","900MHz &amp; 2100MHz",IF(AG25="1800 &amp; 2100","1800MHz &amp; 2100MHz",AG25&amp;"MHz")))</f>
        <v>900MHz</v>
      </c>
      <c r="N25" s="264"/>
      <c r="O25" s="264"/>
      <c r="P25" s="264"/>
      <c r="Q25" s="264"/>
      <c r="R25" s="264"/>
      <c r="S25" s="264"/>
      <c r="T25" s="264"/>
      <c r="U25" s="264"/>
      <c r="V25" s="264"/>
      <c r="W25" s="264"/>
      <c r="X25" s="264"/>
      <c r="Y25" s="264"/>
      <c r="Z25" s="264"/>
      <c r="AA25" s="264"/>
      <c r="AB25" s="264"/>
      <c r="AC25" s="264"/>
      <c r="AD25" s="265"/>
      <c r="AE25" s="118"/>
      <c r="AG25" s="84">
        <v>900</v>
      </c>
      <c r="AK25" s="84">
        <v>1800</v>
      </c>
      <c r="AO25" s="84">
        <v>2100</v>
      </c>
      <c r="AS25" s="96" t="s">
        <v>199</v>
      </c>
    </row>
    <row r="26" spans="3:48" ht="33.950000000000003" customHeight="1">
      <c r="C26" s="271" t="s">
        <v>166</v>
      </c>
      <c r="D26" s="271"/>
      <c r="E26" s="271"/>
      <c r="F26" s="271"/>
      <c r="G26" s="271"/>
      <c r="H26" s="271"/>
      <c r="I26" s="271"/>
      <c r="J26" s="271"/>
      <c r="K26" s="271"/>
      <c r="L26" s="271"/>
      <c r="M26" s="263">
        <f>AG26</f>
        <v>15</v>
      </c>
      <c r="N26" s="264"/>
      <c r="O26" s="264"/>
      <c r="P26" s="264"/>
      <c r="Q26" s="264"/>
      <c r="R26" s="264"/>
      <c r="S26" s="264"/>
      <c r="T26" s="264"/>
      <c r="U26" s="264"/>
      <c r="V26" s="264"/>
      <c r="W26" s="264"/>
      <c r="X26" s="264"/>
      <c r="Y26" s="264"/>
      <c r="Z26" s="264"/>
      <c r="AA26" s="264"/>
      <c r="AB26" s="264"/>
      <c r="AC26" s="264"/>
      <c r="AD26" s="265"/>
      <c r="AE26" s="119"/>
      <c r="AG26" s="84">
        <v>15</v>
      </c>
      <c r="AK26" s="84">
        <v>16</v>
      </c>
      <c r="AO26" s="84">
        <v>17</v>
      </c>
      <c r="AS26" s="84">
        <v>18</v>
      </c>
    </row>
    <row r="27" spans="3:48" ht="25.5" customHeight="1">
      <c r="C27" s="272" t="s">
        <v>125</v>
      </c>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102"/>
      <c r="AC27" s="102"/>
      <c r="AD27" s="102"/>
    </row>
    <row r="28" spans="3:48" ht="24.75" customHeight="1">
      <c r="C28" s="28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83"/>
      <c r="E28" s="283"/>
      <c r="F28" s="283"/>
      <c r="G28" s="283"/>
      <c r="H28" s="283"/>
      <c r="I28" s="283"/>
      <c r="J28" s="283"/>
      <c r="K28" s="283"/>
      <c r="L28" s="283"/>
      <c r="M28" s="283"/>
      <c r="N28" s="283"/>
      <c r="O28" s="283"/>
      <c r="P28" s="283"/>
      <c r="Q28" s="283"/>
      <c r="R28" s="283"/>
      <c r="S28" s="283"/>
      <c r="T28" s="283"/>
      <c r="U28" s="283"/>
      <c r="V28" s="283"/>
      <c r="W28" s="283"/>
      <c r="X28" s="283"/>
      <c r="Y28" s="283"/>
      <c r="Z28" s="283"/>
      <c r="AA28" s="283"/>
      <c r="AB28" s="283"/>
      <c r="AC28" s="283"/>
      <c r="AD28" s="283"/>
      <c r="AG28" s="84">
        <v>30</v>
      </c>
      <c r="AO28" s="84" t="s">
        <v>253</v>
      </c>
    </row>
    <row r="29" spans="3:48" ht="24.75" customHeight="1">
      <c r="C29" s="283"/>
      <c r="D29" s="283"/>
      <c r="E29" s="283"/>
      <c r="F29" s="283"/>
      <c r="G29" s="283"/>
      <c r="H29" s="283"/>
      <c r="I29" s="283"/>
      <c r="J29" s="283"/>
      <c r="K29" s="283"/>
      <c r="L29" s="283"/>
      <c r="M29" s="283"/>
      <c r="N29" s="283"/>
      <c r="O29" s="283"/>
      <c r="P29" s="283"/>
      <c r="Q29" s="283"/>
      <c r="R29" s="283"/>
      <c r="S29" s="283"/>
      <c r="T29" s="283"/>
      <c r="U29" s="283"/>
      <c r="V29" s="283"/>
      <c r="W29" s="283"/>
      <c r="X29" s="283"/>
      <c r="Y29" s="283"/>
      <c r="Z29" s="283"/>
      <c r="AA29" s="283"/>
      <c r="AB29" s="283"/>
      <c r="AC29" s="283"/>
      <c r="AD29" s="283"/>
      <c r="AG29" s="84">
        <v>1</v>
      </c>
      <c r="AO29" s="84"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4" t="s">
        <v>255</v>
      </c>
      <c r="AQ29" s="84" t="str">
        <f>IF(AG28&gt;=0," cao hơn "," thấp hơn ")</f>
        <v xml:space="preserve"> cao hơn </v>
      </c>
      <c r="AR29" s="84" t="s">
        <v>256</v>
      </c>
    </row>
    <row r="30" spans="3:48" ht="16.5" customHeight="1">
      <c r="C30" s="273" t="str">
        <f>IF(AG31=1,AO31,IF(AG31=2,AO30))</f>
        <v>Trạm gốc điện thoại di động mặt đất công cộng này có mức an toàn phơi nhiễm trường điện từ tuân thủ quy chuẩn kỹ thuật trên.</v>
      </c>
      <c r="D30" s="273"/>
      <c r="E30" s="273"/>
      <c r="F30" s="273"/>
      <c r="G30" s="273"/>
      <c r="H30" s="273"/>
      <c r="I30" s="273"/>
      <c r="J30" s="273"/>
      <c r="K30" s="273"/>
      <c r="L30" s="273"/>
      <c r="M30" s="273"/>
      <c r="N30" s="273"/>
      <c r="O30" s="273"/>
      <c r="P30" s="273"/>
      <c r="Q30" s="273"/>
      <c r="R30" s="273"/>
      <c r="S30" s="273"/>
      <c r="T30" s="273"/>
      <c r="U30" s="273"/>
      <c r="V30" s="273"/>
      <c r="W30" s="273"/>
      <c r="X30" s="273"/>
      <c r="Y30" s="273"/>
      <c r="Z30" s="273"/>
      <c r="AA30" s="273"/>
      <c r="AB30" s="273"/>
      <c r="AC30" s="273"/>
      <c r="AD30" s="273"/>
      <c r="AG30" s="84">
        <v>20</v>
      </c>
      <c r="AO30" s="84" t="s">
        <v>167</v>
      </c>
    </row>
    <row r="31" spans="3:48" ht="16.5" customHeight="1">
      <c r="C31" s="273"/>
      <c r="D31" s="273"/>
      <c r="E31" s="273"/>
      <c r="F31" s="273"/>
      <c r="G31" s="273"/>
      <c r="H31" s="273"/>
      <c r="I31" s="273"/>
      <c r="J31" s="273"/>
      <c r="K31" s="273"/>
      <c r="L31" s="273"/>
      <c r="M31" s="273"/>
      <c r="N31" s="273"/>
      <c r="O31" s="273"/>
      <c r="P31" s="273"/>
      <c r="Q31" s="273"/>
      <c r="R31" s="273"/>
      <c r="S31" s="273"/>
      <c r="T31" s="273"/>
      <c r="U31" s="273"/>
      <c r="V31" s="273"/>
      <c r="W31" s="273"/>
      <c r="X31" s="273"/>
      <c r="Y31" s="273"/>
      <c r="Z31" s="273"/>
      <c r="AA31" s="273"/>
      <c r="AB31" s="273"/>
      <c r="AC31" s="273"/>
      <c r="AD31" s="273"/>
      <c r="AG31" s="84">
        <v>2</v>
      </c>
      <c r="AO31" s="157"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262" t="s">
        <v>167</v>
      </c>
      <c r="D32" s="262"/>
      <c r="E32" s="262"/>
      <c r="F32" s="262"/>
      <c r="G32" s="262"/>
      <c r="H32" s="262"/>
      <c r="I32" s="262"/>
      <c r="J32" s="262"/>
      <c r="K32" s="262"/>
      <c r="L32" s="262"/>
      <c r="M32" s="262"/>
      <c r="N32" s="262"/>
      <c r="O32" s="262"/>
      <c r="P32" s="262"/>
      <c r="Q32" s="262"/>
      <c r="R32" s="262"/>
      <c r="S32" s="262"/>
      <c r="T32" s="262"/>
      <c r="U32" s="262"/>
      <c r="V32" s="262"/>
      <c r="W32" s="262"/>
      <c r="X32" s="262"/>
      <c r="Y32" s="262"/>
      <c r="Z32" s="262"/>
      <c r="AA32" s="262"/>
      <c r="AB32" s="262"/>
      <c r="AC32" s="262"/>
      <c r="AD32" s="262"/>
    </row>
    <row r="33" spans="1:48" ht="17.100000000000001" customHeight="1">
      <c r="C33" s="262"/>
      <c r="D33" s="262"/>
      <c r="E33" s="262"/>
      <c r="F33" s="262"/>
      <c r="G33" s="262"/>
      <c r="H33" s="262"/>
      <c r="I33" s="262"/>
      <c r="J33" s="262"/>
      <c r="K33" s="262"/>
      <c r="L33" s="262"/>
      <c r="M33" s="262"/>
      <c r="N33" s="262"/>
      <c r="O33" s="262"/>
      <c r="P33" s="262"/>
      <c r="Q33" s="262"/>
      <c r="R33" s="262"/>
      <c r="S33" s="262"/>
      <c r="T33" s="262"/>
      <c r="U33" s="262"/>
      <c r="V33" s="262"/>
      <c r="W33" s="262"/>
      <c r="X33" s="262"/>
      <c r="Y33" s="262"/>
      <c r="Z33" s="262"/>
      <c r="AA33" s="262"/>
      <c r="AB33" s="262"/>
      <c r="AC33" s="262"/>
      <c r="AD33" s="262"/>
      <c r="AE33" s="126"/>
    </row>
    <row r="34" spans="1:48" ht="17.100000000000001" customHeight="1">
      <c r="C34" s="303"/>
      <c r="D34" s="303"/>
      <c r="E34" s="303"/>
      <c r="F34" s="303"/>
      <c r="G34" s="303"/>
      <c r="H34" s="102"/>
      <c r="I34" s="304"/>
      <c r="J34" s="304"/>
      <c r="K34" s="304"/>
      <c r="L34" s="304"/>
      <c r="M34" s="304"/>
      <c r="N34" s="304"/>
      <c r="O34" s="102"/>
      <c r="P34" s="103"/>
      <c r="Q34" s="103"/>
      <c r="R34" s="103"/>
      <c r="S34" s="103"/>
      <c r="T34" s="298" t="str">
        <f>IF(AI41=0,AN34,IF(AI41=1,AK34,AR34))</f>
        <v>KT. GIÁM ĐỐC</v>
      </c>
      <c r="U34" s="298"/>
      <c r="V34" s="298"/>
      <c r="W34" s="298"/>
      <c r="X34" s="298"/>
      <c r="Y34" s="298"/>
      <c r="Z34" s="298"/>
      <c r="AA34" s="298"/>
      <c r="AB34" s="298"/>
      <c r="AC34" s="298"/>
      <c r="AD34" s="298"/>
      <c r="AE34" s="298"/>
      <c r="AK34" s="84" t="s">
        <v>126</v>
      </c>
      <c r="AN34" s="84" t="s">
        <v>206</v>
      </c>
      <c r="AR34" s="84" t="s">
        <v>205</v>
      </c>
    </row>
    <row r="35" spans="1:48" ht="17.100000000000001" customHeight="1">
      <c r="C35" s="299" t="s">
        <v>127</v>
      </c>
      <c r="D35" s="299"/>
      <c r="E35" s="299"/>
      <c r="F35" s="299"/>
      <c r="G35" s="299"/>
      <c r="H35" s="106" t="s">
        <v>128</v>
      </c>
      <c r="I35" s="301" t="s">
        <v>129</v>
      </c>
      <c r="J35" s="301"/>
      <c r="K35" s="301"/>
      <c r="L35" s="301"/>
      <c r="M35" s="301"/>
      <c r="N35" s="301"/>
      <c r="O35" s="105"/>
      <c r="P35" s="105"/>
      <c r="Q35" s="102"/>
      <c r="R35" s="102"/>
      <c r="S35" s="102"/>
      <c r="T35" s="298" t="str">
        <f>IF(AI41=0,AN35,IF(AI41=1,"",AR35))</f>
        <v>PHÓ GIÁM ĐỐC</v>
      </c>
      <c r="U35" s="298"/>
      <c r="V35" s="298"/>
      <c r="W35" s="298"/>
      <c r="X35" s="298"/>
      <c r="Y35" s="298"/>
      <c r="Z35" s="298"/>
      <c r="AA35" s="298"/>
      <c r="AB35" s="298"/>
      <c r="AC35" s="298"/>
      <c r="AD35" s="298"/>
      <c r="AE35" s="298"/>
      <c r="AN35" s="84" t="s">
        <v>203</v>
      </c>
      <c r="AR35" s="84" t="s">
        <v>158</v>
      </c>
    </row>
    <row r="36" spans="1:48" ht="17.100000000000001" customHeight="1">
      <c r="C36" s="299" t="s">
        <v>130</v>
      </c>
      <c r="D36" s="299"/>
      <c r="E36" s="299"/>
      <c r="F36" s="299"/>
      <c r="G36" s="299"/>
      <c r="H36" s="106" t="s">
        <v>128</v>
      </c>
      <c r="I36" s="300">
        <f>AG36</f>
        <v>40806</v>
      </c>
      <c r="J36" s="301"/>
      <c r="K36" s="301"/>
      <c r="L36" s="301"/>
      <c r="M36" s="301"/>
      <c r="N36" s="107"/>
      <c r="O36" s="107"/>
      <c r="P36" s="107"/>
      <c r="Q36" s="102"/>
      <c r="R36" s="102"/>
      <c r="S36" s="102"/>
      <c r="T36" s="102"/>
      <c r="U36" s="102"/>
      <c r="V36" s="102"/>
      <c r="W36" s="102"/>
      <c r="X36" s="102"/>
      <c r="Y36" s="102"/>
      <c r="Z36" s="102"/>
      <c r="AA36" s="102"/>
      <c r="AB36" s="102"/>
      <c r="AC36" s="102"/>
      <c r="AD36" s="102"/>
      <c r="AG36" s="108">
        <v>40806</v>
      </c>
    </row>
    <row r="37" spans="1:48" ht="17.100000000000001" customHeight="1">
      <c r="C37" s="299" t="s">
        <v>131</v>
      </c>
      <c r="D37" s="299"/>
      <c r="E37" s="299"/>
      <c r="F37" s="299"/>
      <c r="G37" s="299"/>
      <c r="H37" s="106" t="s">
        <v>128</v>
      </c>
      <c r="I37" s="300">
        <f>AG37</f>
        <v>42633</v>
      </c>
      <c r="J37" s="301"/>
      <c r="K37" s="301"/>
      <c r="L37" s="301"/>
      <c r="M37" s="301"/>
      <c r="N37" s="107"/>
      <c r="O37" s="107"/>
      <c r="P37" s="107"/>
      <c r="Q37" s="102"/>
      <c r="R37" s="102"/>
      <c r="S37" s="102"/>
      <c r="T37" s="102"/>
      <c r="U37" s="102"/>
      <c r="V37" s="102"/>
      <c r="W37" s="102"/>
      <c r="X37" s="102"/>
      <c r="Y37" s="102"/>
      <c r="Z37" s="102"/>
      <c r="AA37" s="102"/>
      <c r="AB37" s="102"/>
      <c r="AC37" s="102"/>
      <c r="AD37" s="102"/>
      <c r="AG37" s="108">
        <v>42633</v>
      </c>
    </row>
    <row r="38" spans="1:48" ht="17.100000000000001" customHeight="1">
      <c r="C38" s="109"/>
      <c r="D38" s="109"/>
      <c r="E38" s="109"/>
      <c r="F38" s="94"/>
      <c r="G38" s="87"/>
      <c r="H38" s="87"/>
      <c r="I38" s="87"/>
      <c r="J38" s="87"/>
      <c r="K38" s="87"/>
      <c r="L38" s="87"/>
      <c r="M38" s="87"/>
      <c r="N38" s="87"/>
      <c r="O38" s="87"/>
      <c r="P38" s="87"/>
      <c r="Q38" s="87"/>
      <c r="R38" s="87"/>
      <c r="S38" s="87"/>
      <c r="T38" s="87"/>
      <c r="U38" s="87"/>
      <c r="V38" s="87"/>
      <c r="W38" s="87"/>
      <c r="X38" s="87"/>
      <c r="Y38" s="87"/>
      <c r="Z38" s="87"/>
      <c r="AA38" s="87"/>
      <c r="AB38" s="102"/>
      <c r="AC38" s="102"/>
      <c r="AD38" s="102"/>
    </row>
    <row r="39" spans="1:48" ht="17.100000000000001" customHeight="1">
      <c r="C39" s="109"/>
      <c r="D39" s="109"/>
      <c r="E39" s="109"/>
      <c r="F39" s="94"/>
      <c r="G39" s="87"/>
      <c r="H39" s="87"/>
      <c r="I39" s="87"/>
      <c r="J39" s="87"/>
      <c r="K39" s="87"/>
      <c r="L39" s="87"/>
      <c r="M39" s="87"/>
      <c r="N39" s="87"/>
      <c r="O39" s="87"/>
      <c r="P39" s="87"/>
      <c r="Q39" s="87"/>
      <c r="R39" s="87"/>
      <c r="S39" s="87"/>
      <c r="T39" s="302"/>
      <c r="U39" s="302"/>
      <c r="V39" s="302"/>
      <c r="W39" s="302"/>
      <c r="X39" s="302"/>
      <c r="Y39" s="302"/>
      <c r="Z39" s="302"/>
      <c r="AA39" s="302"/>
      <c r="AB39" s="302"/>
      <c r="AC39" s="302"/>
      <c r="AD39" s="302"/>
      <c r="AE39" s="302"/>
    </row>
    <row r="40" spans="1:48" ht="17.100000000000001" customHeight="1">
      <c r="C40" s="109"/>
      <c r="D40" s="109"/>
      <c r="E40" s="109"/>
      <c r="F40" s="94"/>
      <c r="G40" s="87"/>
      <c r="H40" s="87"/>
      <c r="I40" s="87"/>
      <c r="J40" s="87"/>
      <c r="K40" s="87"/>
      <c r="L40" s="87"/>
      <c r="M40" s="87"/>
      <c r="N40" s="87"/>
      <c r="O40" s="87"/>
      <c r="P40" s="103"/>
      <c r="Q40" s="103"/>
      <c r="R40" s="103"/>
      <c r="S40" s="103"/>
      <c r="T40" s="284"/>
      <c r="U40" s="284"/>
      <c r="V40" s="284"/>
      <c r="W40" s="284"/>
      <c r="X40" s="284"/>
      <c r="Y40" s="284"/>
      <c r="Z40" s="284"/>
      <c r="AA40" s="284"/>
      <c r="AB40" s="284"/>
      <c r="AC40" s="284"/>
      <c r="AD40" s="284"/>
      <c r="AE40" s="284"/>
    </row>
    <row r="41" spans="1:48" ht="17.100000000000001" customHeight="1">
      <c r="C41" s="109"/>
      <c r="D41" s="109"/>
      <c r="E41" s="109"/>
      <c r="F41" s="94"/>
      <c r="G41" s="87"/>
      <c r="H41" s="87"/>
      <c r="I41" s="87"/>
      <c r="J41" s="87"/>
      <c r="K41" s="87"/>
      <c r="L41" s="87"/>
      <c r="M41" s="87"/>
      <c r="N41" s="87"/>
      <c r="O41" s="87"/>
      <c r="P41" s="87"/>
      <c r="Q41" s="87"/>
      <c r="R41" s="87"/>
      <c r="S41" s="87"/>
      <c r="T41" s="284" t="str">
        <f>IF(AI41=0,AO41,IF(AI41=1,AK41,AS41))</f>
        <v>Trần Công Khanh</v>
      </c>
      <c r="U41" s="284"/>
      <c r="V41" s="284"/>
      <c r="W41" s="284"/>
      <c r="X41" s="284"/>
      <c r="Y41" s="284"/>
      <c r="Z41" s="284"/>
      <c r="AA41" s="284"/>
      <c r="AB41" s="284"/>
      <c r="AC41" s="284"/>
      <c r="AD41" s="284"/>
      <c r="AE41" s="284"/>
      <c r="AI41" s="84">
        <v>0</v>
      </c>
      <c r="AK41" s="84" t="s">
        <v>132</v>
      </c>
      <c r="AO41" s="84" t="s">
        <v>204</v>
      </c>
      <c r="AS41" s="84" t="s">
        <v>154</v>
      </c>
    </row>
    <row r="42" spans="1:48" ht="16.5">
      <c r="A42" s="111"/>
      <c r="B42" s="111"/>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110"/>
      <c r="AC42" s="110"/>
      <c r="AD42" s="110"/>
    </row>
    <row r="43" spans="1:48" s="98" customFormat="1" ht="16.5" customHeight="1">
      <c r="A43" s="181"/>
      <c r="B43" s="266" t="s">
        <v>133</v>
      </c>
      <c r="C43" s="266"/>
      <c r="D43" s="266"/>
      <c r="E43" s="266"/>
      <c r="F43" s="266"/>
      <c r="G43" s="266"/>
      <c r="H43" s="267" t="s">
        <v>111</v>
      </c>
      <c r="I43" s="267"/>
      <c r="J43" s="267"/>
      <c r="K43" s="267"/>
      <c r="L43" s="267"/>
      <c r="M43" s="267"/>
      <c r="N43" s="267"/>
      <c r="O43" s="267"/>
      <c r="P43" s="267"/>
      <c r="Q43" s="267"/>
      <c r="R43" s="267"/>
      <c r="S43" s="267"/>
      <c r="T43" s="267"/>
      <c r="U43" s="267"/>
      <c r="V43" s="267"/>
      <c r="W43" s="267"/>
      <c r="X43" s="267"/>
      <c r="Y43" s="267"/>
      <c r="Z43" s="267"/>
      <c r="AA43" s="267"/>
      <c r="AB43" s="267"/>
      <c r="AC43" s="267"/>
      <c r="AD43" s="267"/>
      <c r="AE43" s="192"/>
    </row>
    <row r="44" spans="1:48" ht="16.5" customHeight="1">
      <c r="A44" s="111"/>
      <c r="B44" s="266"/>
      <c r="C44" s="266"/>
      <c r="D44" s="266"/>
      <c r="E44" s="266"/>
      <c r="F44" s="266"/>
      <c r="G44" s="266"/>
      <c r="H44" s="267"/>
      <c r="I44" s="267"/>
      <c r="J44" s="267"/>
      <c r="K44" s="267"/>
      <c r="L44" s="267"/>
      <c r="M44" s="267"/>
      <c r="N44" s="267"/>
      <c r="O44" s="267"/>
      <c r="P44" s="267"/>
      <c r="Q44" s="267"/>
      <c r="R44" s="267"/>
      <c r="S44" s="267"/>
      <c r="T44" s="267"/>
      <c r="U44" s="267"/>
      <c r="V44" s="267"/>
      <c r="W44" s="267"/>
      <c r="X44" s="267"/>
      <c r="Y44" s="267"/>
      <c r="Z44" s="267"/>
      <c r="AA44" s="267"/>
      <c r="AB44" s="267"/>
      <c r="AC44" s="267"/>
      <c r="AD44" s="267"/>
      <c r="AE44" s="192"/>
    </row>
    <row r="45" spans="1:48" ht="16.5" customHeight="1">
      <c r="A45" s="111"/>
      <c r="B45" s="266"/>
      <c r="C45" s="266"/>
      <c r="D45" s="266"/>
      <c r="E45" s="266"/>
      <c r="F45" s="266"/>
      <c r="G45" s="266"/>
      <c r="H45" s="258" t="s">
        <v>3</v>
      </c>
      <c r="I45" s="258"/>
      <c r="J45" s="258"/>
      <c r="K45" s="258"/>
      <c r="L45" s="258" t="s">
        <v>4</v>
      </c>
      <c r="M45" s="258"/>
      <c r="N45" s="258" t="s">
        <v>134</v>
      </c>
      <c r="O45" s="258"/>
      <c r="P45" s="258"/>
      <c r="Q45" s="258" t="s">
        <v>6</v>
      </c>
      <c r="R45" s="258"/>
      <c r="S45" s="258"/>
      <c r="T45" s="258"/>
      <c r="U45" s="258"/>
      <c r="V45" s="258" t="s">
        <v>135</v>
      </c>
      <c r="W45" s="258"/>
      <c r="X45" s="258"/>
      <c r="Y45" s="258" t="s">
        <v>136</v>
      </c>
      <c r="Z45" s="258"/>
      <c r="AA45" s="258"/>
      <c r="AB45" s="258"/>
      <c r="AC45" s="258"/>
      <c r="AD45" s="258"/>
      <c r="AE45" s="191"/>
    </row>
    <row r="46" spans="1:48" ht="16.5" customHeight="1">
      <c r="A46" s="111"/>
      <c r="B46" s="266"/>
      <c r="C46" s="266"/>
      <c r="D46" s="266"/>
      <c r="E46" s="266"/>
      <c r="F46" s="266"/>
      <c r="G46" s="266"/>
      <c r="H46" s="258"/>
      <c r="I46" s="258"/>
      <c r="J46" s="258"/>
      <c r="K46" s="258"/>
      <c r="L46" s="258"/>
      <c r="M46" s="258"/>
      <c r="N46" s="258"/>
      <c r="O46" s="258"/>
      <c r="P46" s="258"/>
      <c r="Q46" s="258"/>
      <c r="R46" s="258"/>
      <c r="S46" s="258"/>
      <c r="T46" s="258"/>
      <c r="U46" s="258"/>
      <c r="V46" s="258"/>
      <c r="W46" s="258"/>
      <c r="X46" s="258"/>
      <c r="Y46" s="258"/>
      <c r="Z46" s="258"/>
      <c r="AA46" s="258"/>
      <c r="AB46" s="258"/>
      <c r="AC46" s="258"/>
      <c r="AD46" s="258"/>
      <c r="AE46" s="191"/>
    </row>
    <row r="47" spans="1:48" ht="16.5" customHeight="1">
      <c r="A47" s="111"/>
      <c r="B47" s="266"/>
      <c r="C47" s="266"/>
      <c r="D47" s="266"/>
      <c r="E47" s="266"/>
      <c r="F47" s="266"/>
      <c r="G47" s="266"/>
      <c r="H47" s="258"/>
      <c r="I47" s="258"/>
      <c r="J47" s="258"/>
      <c r="K47" s="258"/>
      <c r="L47" s="258"/>
      <c r="M47" s="258"/>
      <c r="N47" s="258"/>
      <c r="O47" s="258"/>
      <c r="P47" s="258"/>
      <c r="Q47" s="258"/>
      <c r="R47" s="258"/>
      <c r="S47" s="258"/>
      <c r="T47" s="258"/>
      <c r="U47" s="258"/>
      <c r="V47" s="258"/>
      <c r="W47" s="258"/>
      <c r="X47" s="258"/>
      <c r="Y47" s="258"/>
      <c r="Z47" s="258"/>
      <c r="AA47" s="258"/>
      <c r="AB47" s="258"/>
      <c r="AC47" s="258"/>
      <c r="AD47" s="258"/>
      <c r="AE47" s="191"/>
    </row>
    <row r="48" spans="1:48" ht="16.5" customHeight="1">
      <c r="A48" s="111"/>
      <c r="B48" s="266"/>
      <c r="C48" s="266"/>
      <c r="D48" s="266"/>
      <c r="E48" s="266"/>
      <c r="F48" s="266"/>
      <c r="G48" s="266"/>
      <c r="H48" s="258"/>
      <c r="I48" s="258"/>
      <c r="J48" s="258"/>
      <c r="K48" s="258"/>
      <c r="L48" s="258"/>
      <c r="M48" s="258"/>
      <c r="N48" s="258"/>
      <c r="O48" s="258"/>
      <c r="P48" s="258"/>
      <c r="Q48" s="258"/>
      <c r="R48" s="258"/>
      <c r="S48" s="258"/>
      <c r="T48" s="258"/>
      <c r="U48" s="258"/>
      <c r="V48" s="258"/>
      <c r="W48" s="258"/>
      <c r="X48" s="258"/>
      <c r="Y48" s="258"/>
      <c r="Z48" s="258"/>
      <c r="AA48" s="258"/>
      <c r="AB48" s="258"/>
      <c r="AC48" s="258"/>
      <c r="AD48" s="258"/>
      <c r="AE48" s="191"/>
      <c r="AG48" s="84">
        <v>33</v>
      </c>
      <c r="AI48" s="84">
        <v>35</v>
      </c>
      <c r="AL48" s="84">
        <v>38</v>
      </c>
      <c r="AO48" s="84">
        <v>41</v>
      </c>
      <c r="AP48" s="84">
        <v>42</v>
      </c>
      <c r="AQ48" s="84">
        <v>43</v>
      </c>
      <c r="AR48" s="84">
        <v>44</v>
      </c>
      <c r="AS48" s="84">
        <v>45</v>
      </c>
      <c r="AT48" s="84">
        <v>46</v>
      </c>
      <c r="AU48" s="84">
        <v>47</v>
      </c>
      <c r="AV48" s="84">
        <v>48</v>
      </c>
    </row>
    <row r="49" spans="1:46" ht="18.75" customHeight="1">
      <c r="A49" s="111"/>
      <c r="B49" s="258" t="str">
        <f>AG49</f>
        <v>CÔNG TY CỔ PHẦN VIỄN THÔNG DI ĐỘNG TOÀN CẦU</v>
      </c>
      <c r="C49" s="258"/>
      <c r="D49" s="258"/>
      <c r="E49" s="258"/>
      <c r="F49" s="258"/>
      <c r="G49" s="258"/>
      <c r="H49" s="259" t="str">
        <f>AI49</f>
        <v>TB1</v>
      </c>
      <c r="I49" s="259"/>
      <c r="J49" s="259"/>
      <c r="K49" s="259"/>
      <c r="L49" s="260">
        <v>2</v>
      </c>
      <c r="M49" s="260"/>
      <c r="N49" s="261" t="str">
        <f>AL49</f>
        <v>4/4/4</v>
      </c>
      <c r="O49" s="261"/>
      <c r="P49" s="261"/>
      <c r="Q49" s="258" t="str">
        <f>IF(L49=4,AO49&amp;"W/ "&amp;AP49&amp;"W/ "&amp;AQ49&amp;"W/ "&amp;AR49&amp;"W",IF(L49=3,AO49&amp;"W/ "&amp;AP49&amp;"W/ "&amp;AQ49&amp;"W",IF(L49=2,AO49&amp;"W/ "&amp;AP49&amp;"W",AO49&amp;"W")))</f>
        <v>20W/ 30W</v>
      </c>
      <c r="R49" s="258"/>
      <c r="S49" s="258"/>
      <c r="T49" s="258"/>
      <c r="U49" s="258"/>
      <c r="V49" s="258" t="str">
        <f>IF(AS49="900 &amp; 1800","900MHz &amp; 1800MHz",IF(AS49="900 &amp; 2100","900MHz &amp; 2100MHz",IF(AS49="1800 &amp; 2100","1800MHz &amp; 2100MHz",AS49&amp;"MHz")))</f>
        <v>900MHz</v>
      </c>
      <c r="W49" s="258"/>
      <c r="X49" s="258"/>
      <c r="Y49" s="258">
        <f>AT49</f>
        <v>15</v>
      </c>
      <c r="Z49" s="258"/>
      <c r="AA49" s="258"/>
      <c r="AB49" s="258"/>
      <c r="AC49" s="258"/>
      <c r="AD49" s="258"/>
      <c r="AE49" s="191"/>
      <c r="AG49" s="96" t="s">
        <v>155</v>
      </c>
      <c r="AI49" s="96" t="s">
        <v>137</v>
      </c>
      <c r="AJ49" s="96"/>
      <c r="AL49" s="100" t="s">
        <v>119</v>
      </c>
      <c r="AO49" s="84">
        <v>20</v>
      </c>
      <c r="AP49" s="84">
        <v>30</v>
      </c>
      <c r="AQ49" s="84">
        <v>40</v>
      </c>
      <c r="AR49" s="84">
        <v>50</v>
      </c>
      <c r="AS49" s="84">
        <v>900</v>
      </c>
      <c r="AT49" s="84">
        <v>15</v>
      </c>
    </row>
    <row r="50" spans="1:46" ht="18.75" customHeight="1">
      <c r="A50" s="111"/>
      <c r="B50" s="258"/>
      <c r="C50" s="258"/>
      <c r="D50" s="258"/>
      <c r="E50" s="258"/>
      <c r="F50" s="258"/>
      <c r="G50" s="258"/>
      <c r="H50" s="259"/>
      <c r="I50" s="259"/>
      <c r="J50" s="259"/>
      <c r="K50" s="259"/>
      <c r="L50" s="260"/>
      <c r="M50" s="260"/>
      <c r="N50" s="261"/>
      <c r="O50" s="261"/>
      <c r="P50" s="261"/>
      <c r="Q50" s="258"/>
      <c r="R50" s="258"/>
      <c r="S50" s="258"/>
      <c r="T50" s="258"/>
      <c r="U50" s="258"/>
      <c r="V50" s="258"/>
      <c r="W50" s="258"/>
      <c r="X50" s="258"/>
      <c r="Y50" s="258"/>
      <c r="Z50" s="258"/>
      <c r="AA50" s="258"/>
      <c r="AB50" s="258"/>
      <c r="AC50" s="258"/>
      <c r="AD50" s="258"/>
      <c r="AE50" s="191"/>
    </row>
    <row r="51" spans="1:46" ht="18.75" customHeight="1">
      <c r="A51" s="111"/>
      <c r="B51" s="258"/>
      <c r="C51" s="258"/>
      <c r="D51" s="258"/>
      <c r="E51" s="258"/>
      <c r="F51" s="258"/>
      <c r="G51" s="258"/>
      <c r="H51" s="259"/>
      <c r="I51" s="259"/>
      <c r="J51" s="259"/>
      <c r="K51" s="259"/>
      <c r="L51" s="260"/>
      <c r="M51" s="260"/>
      <c r="N51" s="261"/>
      <c r="O51" s="261"/>
      <c r="P51" s="261"/>
      <c r="Q51" s="258"/>
      <c r="R51" s="258"/>
      <c r="S51" s="258"/>
      <c r="T51" s="258"/>
      <c r="U51" s="258"/>
      <c r="V51" s="258"/>
      <c r="W51" s="258"/>
      <c r="X51" s="258"/>
      <c r="Y51" s="258"/>
      <c r="Z51" s="258"/>
      <c r="AA51" s="258"/>
      <c r="AB51" s="258"/>
      <c r="AC51" s="258"/>
      <c r="AD51" s="258"/>
      <c r="AE51" s="191"/>
    </row>
    <row r="52" spans="1:46" ht="18.75" customHeight="1">
      <c r="A52" s="111"/>
      <c r="B52" s="258"/>
      <c r="C52" s="258"/>
      <c r="D52" s="258"/>
      <c r="E52" s="258"/>
      <c r="F52" s="258"/>
      <c r="G52" s="258"/>
      <c r="H52" s="259"/>
      <c r="I52" s="259"/>
      <c r="J52" s="259"/>
      <c r="K52" s="259"/>
      <c r="L52" s="260"/>
      <c r="M52" s="260"/>
      <c r="N52" s="261"/>
      <c r="O52" s="261"/>
      <c r="P52" s="261"/>
      <c r="Q52" s="258"/>
      <c r="R52" s="258"/>
      <c r="S52" s="258"/>
      <c r="T52" s="258"/>
      <c r="U52" s="258"/>
      <c r="V52" s="258"/>
      <c r="W52" s="258"/>
      <c r="X52" s="258"/>
      <c r="Y52" s="258"/>
      <c r="Z52" s="258"/>
      <c r="AA52" s="258"/>
      <c r="AB52" s="258"/>
      <c r="AC52" s="258"/>
      <c r="AD52" s="258"/>
      <c r="AE52" s="191"/>
    </row>
    <row r="53" spans="1:46" ht="18.75" customHeight="1">
      <c r="A53" s="111"/>
      <c r="B53" s="258" t="str">
        <f t="shared" ref="B53" si="0">AG53</f>
        <v>CÔNG TY CỔ PHẦN VIỄN THÔNG DI ĐỘNG TOÀN CẦU</v>
      </c>
      <c r="C53" s="258"/>
      <c r="D53" s="258"/>
      <c r="E53" s="258"/>
      <c r="F53" s="258"/>
      <c r="G53" s="258"/>
      <c r="H53" s="259" t="str">
        <f>AI53</f>
        <v>TB1</v>
      </c>
      <c r="I53" s="259"/>
      <c r="J53" s="259"/>
      <c r="K53" s="259"/>
      <c r="L53" s="260">
        <v>4</v>
      </c>
      <c r="M53" s="260"/>
      <c r="N53" s="261" t="str">
        <f>AL53</f>
        <v>4/4/4</v>
      </c>
      <c r="O53" s="261"/>
      <c r="P53" s="261"/>
      <c r="Q53" s="258" t="str">
        <f>IF(L53=4,AO53&amp;"W/ "&amp;AP53&amp;"W/ "&amp;AQ53&amp;"W/ "&amp;AR53&amp;"W",IF(L53=3,AO53&amp;"W/ "&amp;AP53&amp;"W/ "&amp;AQ53&amp;"W",IF(L53=2,AO53&amp;"W/ "&amp;AP53&amp;"W",AO53&amp;"W")))</f>
        <v>20W/ 30W/ 40W/ 50W</v>
      </c>
      <c r="R53" s="258"/>
      <c r="S53" s="258"/>
      <c r="T53" s="258"/>
      <c r="U53" s="258"/>
      <c r="V53" s="258" t="str">
        <f>IF(AS53="900 &amp; 1800","900MHz &amp; 1800MHz",IF(AS53="900 &amp; 2100","900MHz &amp; 2100MHz",IF(AS53="1800 &amp; 2100","1800MHz &amp; 2100MHz",AS53&amp;"MHz")))</f>
        <v>1800MHz</v>
      </c>
      <c r="W53" s="258"/>
      <c r="X53" s="258"/>
      <c r="Y53" s="258">
        <f>AT53</f>
        <v>15</v>
      </c>
      <c r="Z53" s="258"/>
      <c r="AA53" s="258"/>
      <c r="AB53" s="258"/>
      <c r="AC53" s="258"/>
      <c r="AD53" s="258"/>
      <c r="AE53" s="191"/>
      <c r="AG53" s="96" t="s">
        <v>155</v>
      </c>
      <c r="AI53" s="96" t="s">
        <v>137</v>
      </c>
      <c r="AJ53" s="96"/>
      <c r="AL53" s="100" t="s">
        <v>119</v>
      </c>
      <c r="AO53" s="84">
        <v>20</v>
      </c>
      <c r="AP53" s="84">
        <v>30</v>
      </c>
      <c r="AQ53" s="84">
        <v>40</v>
      </c>
      <c r="AR53" s="84">
        <v>50</v>
      </c>
      <c r="AS53" s="84">
        <v>1800</v>
      </c>
      <c r="AT53" s="84">
        <v>15</v>
      </c>
    </row>
    <row r="54" spans="1:46" ht="18.75" customHeight="1">
      <c r="A54" s="111"/>
      <c r="B54" s="258"/>
      <c r="C54" s="258"/>
      <c r="D54" s="258"/>
      <c r="E54" s="258"/>
      <c r="F54" s="258"/>
      <c r="G54" s="258"/>
      <c r="H54" s="259"/>
      <c r="I54" s="259"/>
      <c r="J54" s="259"/>
      <c r="K54" s="259"/>
      <c r="L54" s="260"/>
      <c r="M54" s="260"/>
      <c r="N54" s="261"/>
      <c r="O54" s="261"/>
      <c r="P54" s="261"/>
      <c r="Q54" s="258"/>
      <c r="R54" s="258"/>
      <c r="S54" s="258"/>
      <c r="T54" s="258"/>
      <c r="U54" s="258"/>
      <c r="V54" s="258"/>
      <c r="W54" s="258"/>
      <c r="X54" s="258"/>
      <c r="Y54" s="258"/>
      <c r="Z54" s="258"/>
      <c r="AA54" s="258"/>
      <c r="AB54" s="258"/>
      <c r="AC54" s="258"/>
      <c r="AD54" s="258"/>
      <c r="AE54" s="191"/>
      <c r="AG54" s="96"/>
      <c r="AI54" s="96"/>
      <c r="AJ54" s="96"/>
      <c r="AL54" s="100"/>
    </row>
    <row r="55" spans="1:46" ht="18.75" customHeight="1">
      <c r="A55" s="111"/>
      <c r="B55" s="258"/>
      <c r="C55" s="258"/>
      <c r="D55" s="258"/>
      <c r="E55" s="258"/>
      <c r="F55" s="258"/>
      <c r="G55" s="258"/>
      <c r="H55" s="259"/>
      <c r="I55" s="259"/>
      <c r="J55" s="259"/>
      <c r="K55" s="259"/>
      <c r="L55" s="260"/>
      <c r="M55" s="260"/>
      <c r="N55" s="261"/>
      <c r="O55" s="261"/>
      <c r="P55" s="261"/>
      <c r="Q55" s="258"/>
      <c r="R55" s="258"/>
      <c r="S55" s="258"/>
      <c r="T55" s="258"/>
      <c r="U55" s="258"/>
      <c r="V55" s="258"/>
      <c r="W55" s="258"/>
      <c r="X55" s="258"/>
      <c r="Y55" s="258"/>
      <c r="Z55" s="258"/>
      <c r="AA55" s="258"/>
      <c r="AB55" s="258"/>
      <c r="AC55" s="258"/>
      <c r="AD55" s="258"/>
      <c r="AE55" s="191"/>
    </row>
    <row r="56" spans="1:46" ht="18.75" customHeight="1">
      <c r="A56" s="111"/>
      <c r="B56" s="258"/>
      <c r="C56" s="258"/>
      <c r="D56" s="258"/>
      <c r="E56" s="258"/>
      <c r="F56" s="258"/>
      <c r="G56" s="258"/>
      <c r="H56" s="259"/>
      <c r="I56" s="259"/>
      <c r="J56" s="259"/>
      <c r="K56" s="259"/>
      <c r="L56" s="260"/>
      <c r="M56" s="260"/>
      <c r="N56" s="261"/>
      <c r="O56" s="261"/>
      <c r="P56" s="261"/>
      <c r="Q56" s="258"/>
      <c r="R56" s="258"/>
      <c r="S56" s="258"/>
      <c r="T56" s="258"/>
      <c r="U56" s="258"/>
      <c r="V56" s="258"/>
      <c r="W56" s="258"/>
      <c r="X56" s="258"/>
      <c r="Y56" s="258"/>
      <c r="Z56" s="258"/>
      <c r="AA56" s="258"/>
      <c r="AB56" s="258"/>
      <c r="AC56" s="258"/>
      <c r="AD56" s="258"/>
      <c r="AE56" s="191"/>
    </row>
    <row r="57" spans="1:46" ht="18.75" customHeight="1">
      <c r="A57" s="111"/>
      <c r="B57" s="258" t="str">
        <f t="shared" ref="B57" si="1">AG57</f>
        <v>CÔNG TY CỔ PHẦN VIỄN THÔNG DI ĐỘNG TOÀN CẦU</v>
      </c>
      <c r="C57" s="258"/>
      <c r="D57" s="258"/>
      <c r="E57" s="258"/>
      <c r="F57" s="258"/>
      <c r="G57" s="258"/>
      <c r="H57" s="259" t="str">
        <f>AI57</f>
        <v>TB1</v>
      </c>
      <c r="I57" s="259"/>
      <c r="J57" s="259"/>
      <c r="K57" s="259"/>
      <c r="L57" s="260">
        <v>3</v>
      </c>
      <c r="M57" s="260"/>
      <c r="N57" s="261" t="str">
        <f t="shared" ref="N57" si="2">AL57</f>
        <v>4/4/4</v>
      </c>
      <c r="O57" s="261"/>
      <c r="P57" s="261"/>
      <c r="Q57" s="258" t="str">
        <f>IF(L57=4,AO57&amp;"W/ "&amp;AP57&amp;"W/ "&amp;AQ57&amp;"W/ "&amp;AR57&amp;"W",IF(L57=3,AO57&amp;"W/ "&amp;AP57&amp;"W/ "&amp;AQ57&amp;"W",IF(L57=2,AO57&amp;"W/ "&amp;AP57&amp;"W",AO57&amp;"W")))</f>
        <v>20W/ 30W/ 40W</v>
      </c>
      <c r="R57" s="258"/>
      <c r="S57" s="258"/>
      <c r="T57" s="258"/>
      <c r="U57" s="258"/>
      <c r="V57" s="258" t="str">
        <f>IF(AS57="900 &amp; 1800","900MHz &amp; 1800MHz",IF(AS57="900 &amp; 2100","900MHz &amp; 2100MHz",IF(AS57="1800 &amp; 2100","1800MHz &amp; 2100MHz",AS57&amp;"MHz")))</f>
        <v>9000 &amp; 1800MHz</v>
      </c>
      <c r="W57" s="258"/>
      <c r="X57" s="258"/>
      <c r="Y57" s="258">
        <f>AT57</f>
        <v>15</v>
      </c>
      <c r="Z57" s="258"/>
      <c r="AA57" s="258"/>
      <c r="AB57" s="258"/>
      <c r="AC57" s="258"/>
      <c r="AD57" s="258"/>
      <c r="AE57" s="191"/>
      <c r="AG57" s="96" t="s">
        <v>155</v>
      </c>
      <c r="AI57" s="96" t="s">
        <v>137</v>
      </c>
      <c r="AJ57" s="96"/>
      <c r="AL57" s="100" t="s">
        <v>119</v>
      </c>
      <c r="AO57" s="84">
        <v>20</v>
      </c>
      <c r="AP57" s="84">
        <v>30</v>
      </c>
      <c r="AQ57" s="84">
        <v>40</v>
      </c>
      <c r="AR57" s="84">
        <v>50</v>
      </c>
      <c r="AS57" s="84" t="s">
        <v>200</v>
      </c>
      <c r="AT57" s="84">
        <v>15</v>
      </c>
    </row>
    <row r="58" spans="1:46" ht="18.75" customHeight="1">
      <c r="A58" s="111"/>
      <c r="B58" s="258"/>
      <c r="C58" s="258"/>
      <c r="D58" s="258"/>
      <c r="E58" s="258"/>
      <c r="F58" s="258"/>
      <c r="G58" s="258"/>
      <c r="H58" s="259"/>
      <c r="I58" s="259"/>
      <c r="J58" s="259"/>
      <c r="K58" s="259"/>
      <c r="L58" s="260"/>
      <c r="M58" s="260"/>
      <c r="N58" s="261"/>
      <c r="O58" s="261"/>
      <c r="P58" s="261"/>
      <c r="Q58" s="258"/>
      <c r="R58" s="258"/>
      <c r="S58" s="258"/>
      <c r="T58" s="258"/>
      <c r="U58" s="258"/>
      <c r="V58" s="258"/>
      <c r="W58" s="258"/>
      <c r="X58" s="258"/>
      <c r="Y58" s="258"/>
      <c r="Z58" s="258"/>
      <c r="AA58" s="258"/>
      <c r="AB58" s="258"/>
      <c r="AC58" s="258"/>
      <c r="AD58" s="258"/>
      <c r="AE58" s="191"/>
      <c r="AG58" s="96"/>
      <c r="AI58" s="96"/>
      <c r="AJ58" s="96"/>
      <c r="AL58" s="100"/>
    </row>
    <row r="59" spans="1:46" ht="18.75" customHeight="1">
      <c r="A59" s="111"/>
      <c r="B59" s="258"/>
      <c r="C59" s="258"/>
      <c r="D59" s="258"/>
      <c r="E59" s="258"/>
      <c r="F59" s="258"/>
      <c r="G59" s="258"/>
      <c r="H59" s="259"/>
      <c r="I59" s="259"/>
      <c r="J59" s="259"/>
      <c r="K59" s="259"/>
      <c r="L59" s="260"/>
      <c r="M59" s="260"/>
      <c r="N59" s="261"/>
      <c r="O59" s="261"/>
      <c r="P59" s="261"/>
      <c r="Q59" s="258"/>
      <c r="R59" s="258"/>
      <c r="S59" s="258"/>
      <c r="T59" s="258"/>
      <c r="U59" s="258"/>
      <c r="V59" s="258"/>
      <c r="W59" s="258"/>
      <c r="X59" s="258"/>
      <c r="Y59" s="258"/>
      <c r="Z59" s="258"/>
      <c r="AA59" s="258"/>
      <c r="AB59" s="258"/>
      <c r="AC59" s="258"/>
      <c r="AD59" s="258"/>
      <c r="AE59" s="191"/>
    </row>
    <row r="60" spans="1:46" ht="18.75" customHeight="1">
      <c r="A60" s="111"/>
      <c r="B60" s="258"/>
      <c r="C60" s="258"/>
      <c r="D60" s="258"/>
      <c r="E60" s="258"/>
      <c r="F60" s="258"/>
      <c r="G60" s="258"/>
      <c r="H60" s="259"/>
      <c r="I60" s="259"/>
      <c r="J60" s="259"/>
      <c r="K60" s="259"/>
      <c r="L60" s="260"/>
      <c r="M60" s="260"/>
      <c r="N60" s="261"/>
      <c r="O60" s="261"/>
      <c r="P60" s="261"/>
      <c r="Q60" s="258"/>
      <c r="R60" s="258"/>
      <c r="S60" s="258"/>
      <c r="T60" s="258"/>
      <c r="U60" s="258"/>
      <c r="V60" s="258"/>
      <c r="W60" s="258"/>
      <c r="X60" s="258"/>
      <c r="Y60" s="258"/>
      <c r="Z60" s="258"/>
      <c r="AA60" s="258"/>
      <c r="AB60" s="258"/>
      <c r="AC60" s="258"/>
      <c r="AD60" s="258"/>
      <c r="AE60" s="191"/>
    </row>
    <row r="61" spans="1:46" ht="18.75" customHeight="1">
      <c r="A61" s="111"/>
      <c r="B61" s="258" t="str">
        <f t="shared" ref="B61" si="3">AG61</f>
        <v>CÔNG TY CỔ PHẦN VIỄN THÔNG DI ĐỘNG TOÀN CẦU</v>
      </c>
      <c r="C61" s="258"/>
      <c r="D61" s="258"/>
      <c r="E61" s="258"/>
      <c r="F61" s="258"/>
      <c r="G61" s="258"/>
      <c r="H61" s="259" t="str">
        <f>AI61</f>
        <v>TB1</v>
      </c>
      <c r="I61" s="259"/>
      <c r="J61" s="259"/>
      <c r="K61" s="259"/>
      <c r="L61" s="260">
        <v>2</v>
      </c>
      <c r="M61" s="260"/>
      <c r="N61" s="261" t="str">
        <f t="shared" ref="N61" si="4">AL61</f>
        <v>4/4/4</v>
      </c>
      <c r="O61" s="261"/>
      <c r="P61" s="261"/>
      <c r="Q61" s="258" t="str">
        <f>IF(L61=4,AO61&amp;"W/ "&amp;AP61&amp;"W/ "&amp;AQ61&amp;"W/ "&amp;AR61&amp;"W",IF(L61=3,AO61&amp;"W/ "&amp;AP61&amp;"W/ "&amp;AQ61&amp;"W",IF(L61=2,AO61&amp;"W/ "&amp;AP61&amp;"W",AO61&amp;"W")))</f>
        <v>20W/ 30W</v>
      </c>
      <c r="R61" s="258"/>
      <c r="S61" s="258"/>
      <c r="T61" s="258"/>
      <c r="U61" s="258"/>
      <c r="V61" s="258" t="str">
        <f>IF(AS61="900 &amp; 1800","900MHz &amp; 1800MHz",IF(AS61="900 &amp; 2100","900MHz &amp; 2100MHz",IF(AS61="1800 &amp; 2100","1800MHz &amp; 2100MHz",AS61&amp;"MHz")))</f>
        <v>9000 &amp; 2100MHz</v>
      </c>
      <c r="W61" s="258"/>
      <c r="X61" s="258"/>
      <c r="Y61" s="258">
        <f>AT61</f>
        <v>15</v>
      </c>
      <c r="Z61" s="258"/>
      <c r="AA61" s="258"/>
      <c r="AB61" s="258"/>
      <c r="AC61" s="258"/>
      <c r="AD61" s="258"/>
      <c r="AE61" s="191"/>
      <c r="AG61" s="96" t="s">
        <v>155</v>
      </c>
      <c r="AI61" s="96" t="s">
        <v>137</v>
      </c>
      <c r="AJ61" s="96"/>
      <c r="AL61" s="100" t="s">
        <v>119</v>
      </c>
      <c r="AO61" s="84">
        <v>20</v>
      </c>
      <c r="AP61" s="84">
        <v>30</v>
      </c>
      <c r="AQ61" s="84">
        <v>40</v>
      </c>
      <c r="AR61" s="84">
        <v>50</v>
      </c>
      <c r="AS61" s="84" t="s">
        <v>201</v>
      </c>
      <c r="AT61" s="84">
        <v>15</v>
      </c>
    </row>
    <row r="62" spans="1:46" ht="18.75" customHeight="1">
      <c r="A62" s="111"/>
      <c r="B62" s="258"/>
      <c r="C62" s="258"/>
      <c r="D62" s="258"/>
      <c r="E62" s="258"/>
      <c r="F62" s="258"/>
      <c r="G62" s="258"/>
      <c r="H62" s="259"/>
      <c r="I62" s="259"/>
      <c r="J62" s="259"/>
      <c r="K62" s="259"/>
      <c r="L62" s="260"/>
      <c r="M62" s="260"/>
      <c r="N62" s="261"/>
      <c r="O62" s="261"/>
      <c r="P62" s="261"/>
      <c r="Q62" s="258"/>
      <c r="R62" s="258"/>
      <c r="S62" s="258"/>
      <c r="T62" s="258"/>
      <c r="U62" s="258"/>
      <c r="V62" s="258"/>
      <c r="W62" s="258"/>
      <c r="X62" s="258"/>
      <c r="Y62" s="258"/>
      <c r="Z62" s="258"/>
      <c r="AA62" s="258"/>
      <c r="AB62" s="258"/>
      <c r="AC62" s="258"/>
      <c r="AD62" s="258"/>
      <c r="AE62" s="191"/>
      <c r="AG62" s="96"/>
      <c r="AI62" s="96"/>
      <c r="AJ62" s="96"/>
      <c r="AL62" s="100"/>
    </row>
    <row r="63" spans="1:46" ht="18.75" customHeight="1">
      <c r="A63" s="111"/>
      <c r="B63" s="258"/>
      <c r="C63" s="258"/>
      <c r="D63" s="258"/>
      <c r="E63" s="258"/>
      <c r="F63" s="258"/>
      <c r="G63" s="258"/>
      <c r="H63" s="259"/>
      <c r="I63" s="259"/>
      <c r="J63" s="259"/>
      <c r="K63" s="259"/>
      <c r="L63" s="260"/>
      <c r="M63" s="260"/>
      <c r="N63" s="261"/>
      <c r="O63" s="261"/>
      <c r="P63" s="261"/>
      <c r="Q63" s="258"/>
      <c r="R63" s="258"/>
      <c r="S63" s="258"/>
      <c r="T63" s="258"/>
      <c r="U63" s="258"/>
      <c r="V63" s="258"/>
      <c r="W63" s="258"/>
      <c r="X63" s="258"/>
      <c r="Y63" s="258"/>
      <c r="Z63" s="258"/>
      <c r="AA63" s="258"/>
      <c r="AB63" s="258"/>
      <c r="AC63" s="258"/>
      <c r="AD63" s="258"/>
      <c r="AE63" s="191"/>
    </row>
    <row r="64" spans="1:46" ht="18.75" customHeight="1">
      <c r="A64" s="111"/>
      <c r="B64" s="258"/>
      <c r="C64" s="258"/>
      <c r="D64" s="258"/>
      <c r="E64" s="258"/>
      <c r="F64" s="258"/>
      <c r="G64" s="258"/>
      <c r="H64" s="259"/>
      <c r="I64" s="259"/>
      <c r="J64" s="259"/>
      <c r="K64" s="259"/>
      <c r="L64" s="260"/>
      <c r="M64" s="260"/>
      <c r="N64" s="261"/>
      <c r="O64" s="261"/>
      <c r="P64" s="261"/>
      <c r="Q64" s="258"/>
      <c r="R64" s="258"/>
      <c r="S64" s="258"/>
      <c r="T64" s="258"/>
      <c r="U64" s="258"/>
      <c r="V64" s="258"/>
      <c r="W64" s="258"/>
      <c r="X64" s="258"/>
      <c r="Y64" s="258"/>
      <c r="Z64" s="258"/>
      <c r="AA64" s="258"/>
      <c r="AB64" s="258"/>
      <c r="AC64" s="258"/>
      <c r="AD64" s="258"/>
      <c r="AE64" s="191"/>
    </row>
    <row r="65" spans="1:48" ht="18.75" customHeight="1">
      <c r="A65" s="111"/>
      <c r="B65" s="258" t="str">
        <f t="shared" ref="B65" si="5">AG65</f>
        <v>CÔNG TY CỔ PHẦN VIỄN THÔNG DI ĐỘNG TOÀN CẦU</v>
      </c>
      <c r="C65" s="258"/>
      <c r="D65" s="258"/>
      <c r="E65" s="258"/>
      <c r="F65" s="258"/>
      <c r="G65" s="258"/>
      <c r="H65" s="259" t="str">
        <f>AI65</f>
        <v>TB1</v>
      </c>
      <c r="I65" s="259"/>
      <c r="J65" s="259"/>
      <c r="K65" s="259"/>
      <c r="L65" s="260">
        <v>1</v>
      </c>
      <c r="M65" s="260"/>
      <c r="N65" s="261" t="str">
        <f t="shared" ref="N65" si="6">AL65</f>
        <v>4/4/4</v>
      </c>
      <c r="O65" s="261"/>
      <c r="P65" s="261"/>
      <c r="Q65" s="258" t="str">
        <f>IF(L65=4,AO65&amp;"W/ "&amp;AP65&amp;"W/ "&amp;AQ65&amp;"W/ "&amp;AR65&amp;"W",IF(L65=3,AO65&amp;"W/ "&amp;AP65&amp;"W/ "&amp;AQ65&amp;"W",IF(L65=2,AO65&amp;"W/ "&amp;AP65&amp;"W",AO65&amp;"W")))</f>
        <v>20W</v>
      </c>
      <c r="R65" s="258"/>
      <c r="S65" s="258"/>
      <c r="T65" s="258"/>
      <c r="U65" s="258"/>
      <c r="V65" s="258" t="str">
        <f>IF(AS65="900 &amp; 1800","900MHz &amp; 1800MHz",IF(AS65="900 &amp; 2100","900MHz &amp; 2100MHz",IF(AS65="1800 &amp; 2100","1800MHz &amp; 2100MHz",AS65&amp;"MHz")))</f>
        <v>1800MHz &amp; 2100MHz</v>
      </c>
      <c r="W65" s="258"/>
      <c r="X65" s="258"/>
      <c r="Y65" s="258">
        <f>AT65</f>
        <v>15</v>
      </c>
      <c r="Z65" s="258"/>
      <c r="AA65" s="258"/>
      <c r="AB65" s="258"/>
      <c r="AC65" s="258"/>
      <c r="AD65" s="258"/>
      <c r="AE65" s="191"/>
      <c r="AG65" s="96" t="s">
        <v>155</v>
      </c>
      <c r="AI65" s="96" t="s">
        <v>137</v>
      </c>
      <c r="AJ65" s="96"/>
      <c r="AL65" s="100" t="s">
        <v>119</v>
      </c>
      <c r="AO65" s="84">
        <v>20</v>
      </c>
      <c r="AP65" s="84">
        <v>30</v>
      </c>
      <c r="AQ65" s="84">
        <v>40</v>
      </c>
      <c r="AR65" s="84">
        <v>50</v>
      </c>
      <c r="AS65" s="84" t="s">
        <v>202</v>
      </c>
      <c r="AT65" s="84">
        <v>15</v>
      </c>
      <c r="AU65" s="84">
        <v>16</v>
      </c>
      <c r="AV65" s="84">
        <v>17</v>
      </c>
    </row>
    <row r="66" spans="1:48" ht="18.75" customHeight="1">
      <c r="A66" s="111"/>
      <c r="B66" s="258"/>
      <c r="C66" s="258"/>
      <c r="D66" s="258"/>
      <c r="E66" s="258"/>
      <c r="F66" s="258"/>
      <c r="G66" s="258"/>
      <c r="H66" s="259"/>
      <c r="I66" s="259"/>
      <c r="J66" s="259"/>
      <c r="K66" s="259"/>
      <c r="L66" s="260"/>
      <c r="M66" s="260"/>
      <c r="N66" s="261"/>
      <c r="O66" s="261"/>
      <c r="P66" s="261"/>
      <c r="Q66" s="258"/>
      <c r="R66" s="258"/>
      <c r="S66" s="258"/>
      <c r="T66" s="258"/>
      <c r="U66" s="258"/>
      <c r="V66" s="258"/>
      <c r="W66" s="258"/>
      <c r="X66" s="258"/>
      <c r="Y66" s="258"/>
      <c r="Z66" s="258"/>
      <c r="AA66" s="258"/>
      <c r="AB66" s="258"/>
      <c r="AC66" s="258"/>
      <c r="AD66" s="258"/>
      <c r="AE66" s="191"/>
      <c r="AG66" s="96"/>
      <c r="AI66" s="96"/>
      <c r="AJ66" s="96"/>
      <c r="AL66" s="100"/>
    </row>
    <row r="67" spans="1:48" ht="18.75" customHeight="1">
      <c r="A67" s="111"/>
      <c r="B67" s="258"/>
      <c r="C67" s="258"/>
      <c r="D67" s="258"/>
      <c r="E67" s="258"/>
      <c r="F67" s="258"/>
      <c r="G67" s="258"/>
      <c r="H67" s="259"/>
      <c r="I67" s="259"/>
      <c r="J67" s="259"/>
      <c r="K67" s="259"/>
      <c r="L67" s="260"/>
      <c r="M67" s="260"/>
      <c r="N67" s="261"/>
      <c r="O67" s="261"/>
      <c r="P67" s="261"/>
      <c r="Q67" s="258"/>
      <c r="R67" s="258"/>
      <c r="S67" s="258"/>
      <c r="T67" s="258"/>
      <c r="U67" s="258"/>
      <c r="V67" s="258"/>
      <c r="W67" s="258"/>
      <c r="X67" s="258"/>
      <c r="Y67" s="258"/>
      <c r="Z67" s="258"/>
      <c r="AA67" s="258"/>
      <c r="AB67" s="258"/>
      <c r="AC67" s="258"/>
      <c r="AD67" s="258"/>
      <c r="AE67" s="191"/>
    </row>
    <row r="68" spans="1:48" ht="18.75" customHeight="1">
      <c r="A68" s="111"/>
      <c r="B68" s="258"/>
      <c r="C68" s="258"/>
      <c r="D68" s="258"/>
      <c r="E68" s="258"/>
      <c r="F68" s="258"/>
      <c r="G68" s="258"/>
      <c r="H68" s="259"/>
      <c r="I68" s="259"/>
      <c r="J68" s="259"/>
      <c r="K68" s="259"/>
      <c r="L68" s="260"/>
      <c r="M68" s="260"/>
      <c r="N68" s="261"/>
      <c r="O68" s="261"/>
      <c r="P68" s="261"/>
      <c r="Q68" s="258"/>
      <c r="R68" s="258"/>
      <c r="S68" s="258"/>
      <c r="T68" s="258"/>
      <c r="U68" s="258"/>
      <c r="V68" s="258"/>
      <c r="W68" s="258"/>
      <c r="X68" s="258"/>
      <c r="Y68" s="258"/>
      <c r="Z68" s="258"/>
      <c r="AA68" s="258"/>
      <c r="AB68" s="258"/>
      <c r="AC68" s="258"/>
      <c r="AD68" s="258"/>
      <c r="AE68" s="191"/>
    </row>
    <row r="69" spans="1:48" ht="18.75" customHeight="1">
      <c r="A69" s="111"/>
      <c r="B69" s="11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row>
    <row r="70" spans="1:48" ht="18.75" customHeight="1">
      <c r="A70" s="111"/>
      <c r="B70" s="11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row>
    <row r="71" spans="1:48" ht="18.75" customHeight="1">
      <c r="A71" s="111"/>
      <c r="B71" s="11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row>
    <row r="72" spans="1:48" ht="18.75" customHeight="1">
      <c r="A72" s="111"/>
      <c r="B72" s="11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row>
    <row r="73" spans="1:48" ht="18.75" customHeight="1">
      <c r="A73" s="111"/>
      <c r="B73" s="11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row>
    <row r="74" spans="1:48" ht="18.75" customHeight="1">
      <c r="A74" s="111"/>
      <c r="B74" s="11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row>
    <row r="75" spans="1:48" ht="18.75" customHeight="1">
      <c r="A75" s="111"/>
      <c r="B75" s="11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row>
    <row r="76" spans="1:48" ht="18.75" customHeight="1">
      <c r="A76" s="111"/>
      <c r="B76" s="11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row>
    <row r="77" spans="1:48" ht="18.75" customHeight="1">
      <c r="A77" s="111"/>
      <c r="B77" s="11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row>
    <row r="78" spans="1:48" ht="18.75" customHeight="1">
      <c r="A78" s="111"/>
      <c r="B78" s="11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row>
    <row r="79" spans="1:48" ht="18.75" customHeight="1">
      <c r="A79" s="111"/>
      <c r="B79" s="11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row>
    <row r="80" spans="1:48" ht="18.75" customHeight="1">
      <c r="A80" s="111"/>
      <c r="B80" s="11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row>
    <row r="81" spans="1:30" ht="18.75" customHeight="1">
      <c r="A81" s="111"/>
      <c r="B81" s="11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row>
    <row r="82" spans="1:30" ht="18.75" customHeight="1">
      <c r="A82" s="111"/>
      <c r="B82" s="11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row>
    <row r="83" spans="1:30" ht="18.75" customHeight="1">
      <c r="A83" s="111"/>
      <c r="B83" s="11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row>
    <row r="84" spans="1:30" ht="18.75" customHeight="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row>
    <row r="85" spans="1:30" ht="18.75" customHeight="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row>
    <row r="86" spans="1:30" ht="18.75" customHeight="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row>
    <row r="87" spans="1:30" ht="18.75" customHeight="1">
      <c r="C87" s="111"/>
      <c r="D87" s="111"/>
      <c r="E87" s="111"/>
      <c r="F87" s="111"/>
      <c r="G87" s="111"/>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row>
    <row r="88" spans="1:30" ht="18.75" customHeight="1">
      <c r="C88" s="111"/>
      <c r="D88" s="111"/>
      <c r="E88" s="111"/>
      <c r="F88" s="111"/>
      <c r="G88" s="111"/>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row>
    <row r="89" spans="1:30" ht="18.75" customHeight="1">
      <c r="C89" s="111"/>
      <c r="D89" s="111"/>
      <c r="E89" s="111"/>
      <c r="F89" s="111"/>
      <c r="G89" s="111"/>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row>
    <row r="90" spans="1:30" ht="18.75" customHeight="1">
      <c r="C90" s="111"/>
      <c r="D90" s="111"/>
      <c r="E90" s="111"/>
      <c r="F90" s="111"/>
      <c r="G90" s="111"/>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row>
    <row r="91" spans="1:30" ht="18.75" customHeight="1">
      <c r="C91" s="111"/>
      <c r="D91" s="111"/>
      <c r="E91" s="111"/>
      <c r="F91" s="111"/>
      <c r="G91" s="111"/>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row>
    <row r="92" spans="1:30">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row>
    <row r="93" spans="1:30">
      <c r="C93" s="111"/>
      <c r="D93" s="111"/>
      <c r="E93" s="111"/>
      <c r="F93" s="111"/>
      <c r="G93" s="111"/>
      <c r="H93" s="111"/>
      <c r="I93" s="111"/>
      <c r="J93" s="111"/>
      <c r="K93" s="111"/>
      <c r="L93" s="111"/>
      <c r="M93" s="111"/>
      <c r="N93" s="111"/>
      <c r="O93" s="111"/>
      <c r="P93" s="111"/>
      <c r="Q93" s="111"/>
      <c r="R93" s="111"/>
      <c r="S93" s="111"/>
      <c r="T93" s="111"/>
      <c r="U93" s="111"/>
      <c r="V93" s="111"/>
      <c r="W93" s="111"/>
      <c r="X93" s="111"/>
      <c r="Y93" s="111"/>
      <c r="Z93" s="111"/>
      <c r="AA93" s="111"/>
      <c r="AB93" s="111"/>
      <c r="AC93" s="111"/>
      <c r="AD93" s="111"/>
    </row>
    <row r="94" spans="1:30">
      <c r="C94" s="111"/>
      <c r="D94" s="111"/>
      <c r="E94" s="111"/>
      <c r="F94" s="111"/>
      <c r="G94" s="111"/>
      <c r="H94" s="111"/>
      <c r="I94" s="111"/>
      <c r="J94" s="111"/>
      <c r="K94" s="111"/>
      <c r="L94" s="111"/>
      <c r="M94" s="111"/>
      <c r="N94" s="111"/>
      <c r="O94" s="111"/>
      <c r="P94" s="111"/>
      <c r="Q94" s="111"/>
      <c r="R94" s="111"/>
      <c r="S94" s="111"/>
      <c r="T94" s="111"/>
      <c r="U94" s="111"/>
      <c r="V94" s="111"/>
      <c r="W94" s="111"/>
      <c r="X94" s="111"/>
      <c r="Y94" s="111"/>
      <c r="Z94" s="111"/>
      <c r="AA94" s="111"/>
      <c r="AB94" s="111"/>
      <c r="AC94" s="111"/>
      <c r="AD94" s="111"/>
    </row>
    <row r="95" spans="1:30">
      <c r="C95" s="111"/>
      <c r="D95" s="111"/>
      <c r="E95" s="111"/>
      <c r="F95" s="111"/>
      <c r="G95" s="111"/>
      <c r="H95" s="111"/>
      <c r="I95" s="111"/>
      <c r="J95" s="111"/>
      <c r="K95" s="111"/>
      <c r="L95" s="111"/>
      <c r="M95" s="111"/>
      <c r="N95" s="111"/>
      <c r="O95" s="111"/>
      <c r="P95" s="111"/>
      <c r="Q95" s="111"/>
      <c r="R95" s="111"/>
      <c r="S95" s="111"/>
      <c r="T95" s="111"/>
      <c r="U95" s="111"/>
      <c r="V95" s="111"/>
      <c r="W95" s="111"/>
      <c r="X95" s="111"/>
      <c r="Y95" s="111"/>
      <c r="Z95" s="111"/>
      <c r="AA95" s="111"/>
      <c r="AB95" s="111"/>
      <c r="AC95" s="111"/>
      <c r="AD95" s="111"/>
    </row>
    <row r="96" spans="1:30">
      <c r="C96" s="111"/>
      <c r="D96" s="111"/>
      <c r="E96" s="111"/>
      <c r="F96" s="111"/>
      <c r="G96" s="111"/>
      <c r="H96" s="111"/>
      <c r="I96" s="111"/>
      <c r="J96" s="111"/>
      <c r="K96" s="111"/>
      <c r="L96" s="111"/>
      <c r="M96" s="111"/>
      <c r="N96" s="111"/>
      <c r="O96" s="111"/>
      <c r="P96" s="111"/>
      <c r="Q96" s="111"/>
      <c r="R96" s="111"/>
      <c r="S96" s="111"/>
      <c r="T96" s="111"/>
      <c r="U96" s="111"/>
      <c r="V96" s="111"/>
      <c r="W96" s="111"/>
      <c r="X96" s="111"/>
      <c r="Y96" s="111"/>
      <c r="Z96" s="111"/>
      <c r="AA96" s="111"/>
      <c r="AB96" s="111"/>
      <c r="AC96" s="111"/>
      <c r="AD96" s="111"/>
    </row>
    <row r="97" spans="3:30">
      <c r="C97" s="111"/>
      <c r="D97" s="111"/>
      <c r="E97" s="111"/>
      <c r="F97" s="111"/>
      <c r="G97" s="111"/>
      <c r="H97" s="111"/>
      <c r="I97" s="111"/>
      <c r="J97" s="111"/>
      <c r="K97" s="111"/>
      <c r="L97" s="111"/>
      <c r="M97" s="111"/>
      <c r="N97" s="111"/>
      <c r="O97" s="111"/>
      <c r="P97" s="111"/>
      <c r="Q97" s="111"/>
      <c r="R97" s="111"/>
      <c r="S97" s="111"/>
      <c r="T97" s="111"/>
      <c r="U97" s="111"/>
      <c r="V97" s="111"/>
      <c r="W97" s="111"/>
      <c r="X97" s="111"/>
      <c r="Y97" s="111"/>
      <c r="Z97" s="111"/>
      <c r="AA97" s="111"/>
      <c r="AB97" s="111"/>
      <c r="AC97" s="111"/>
      <c r="AD97" s="111"/>
    </row>
    <row r="98" spans="3:30">
      <c r="C98" s="111"/>
      <c r="D98" s="111"/>
      <c r="E98" s="111"/>
      <c r="F98" s="111"/>
      <c r="G98" s="111"/>
      <c r="H98" s="111"/>
      <c r="I98" s="111"/>
      <c r="J98" s="111"/>
      <c r="K98" s="111"/>
      <c r="L98" s="111"/>
      <c r="M98" s="111"/>
      <c r="N98" s="111"/>
      <c r="O98" s="111"/>
      <c r="P98" s="111"/>
      <c r="Q98" s="111"/>
      <c r="R98" s="111"/>
      <c r="S98" s="111"/>
      <c r="T98" s="111"/>
      <c r="U98" s="111"/>
      <c r="V98" s="111"/>
      <c r="W98" s="111"/>
      <c r="X98" s="111"/>
      <c r="Y98" s="111"/>
      <c r="Z98" s="111"/>
      <c r="AA98" s="111"/>
      <c r="AB98" s="111"/>
      <c r="AC98" s="111"/>
      <c r="AD98" s="111"/>
    </row>
  </sheetData>
  <mergeCells count="91">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22" workbookViewId="0">
      <selection activeCell="AO29" sqref="AO29:AR29"/>
    </sheetView>
  </sheetViews>
  <sheetFormatPr defaultColWidth="9.140625" defaultRowHeight="12.75"/>
  <cols>
    <col min="1" max="15" width="3.140625" style="84" customWidth="1"/>
    <col min="16" max="30" width="3.28515625" style="84" customWidth="1"/>
    <col min="31" max="31" width="3.28515625" style="111" customWidth="1"/>
    <col min="32" max="146" width="3.140625" style="84" customWidth="1"/>
    <col min="147" max="16384" width="9.140625" style="84"/>
  </cols>
  <sheetData>
    <row r="1" spans="2:45" ht="19.7" customHeight="1">
      <c r="B1" s="293" t="s">
        <v>103</v>
      </c>
      <c r="C1" s="293"/>
      <c r="D1" s="293"/>
      <c r="E1" s="293"/>
      <c r="F1" s="293"/>
      <c r="G1" s="293"/>
      <c r="H1" s="293"/>
      <c r="I1" s="293"/>
      <c r="J1" s="293"/>
      <c r="K1" s="293"/>
      <c r="L1" s="293"/>
      <c r="M1" s="293"/>
      <c r="N1" s="85"/>
      <c r="O1" s="85"/>
      <c r="P1" s="284" t="s">
        <v>104</v>
      </c>
      <c r="Q1" s="284"/>
      <c r="R1" s="284"/>
      <c r="S1" s="284"/>
      <c r="T1" s="284"/>
      <c r="U1" s="284"/>
      <c r="V1" s="284"/>
      <c r="W1" s="284"/>
      <c r="X1" s="284"/>
      <c r="Y1" s="284"/>
      <c r="Z1" s="284"/>
      <c r="AA1" s="284"/>
      <c r="AB1" s="284"/>
      <c r="AC1" s="284"/>
      <c r="AD1" s="284"/>
      <c r="AE1" s="103"/>
    </row>
    <row r="2" spans="2:45" ht="19.7" customHeight="1">
      <c r="C2" s="293" t="s">
        <v>105</v>
      </c>
      <c r="D2" s="293"/>
      <c r="E2" s="293"/>
      <c r="F2" s="293"/>
      <c r="G2" s="293"/>
      <c r="H2" s="293"/>
      <c r="I2" s="293"/>
      <c r="J2" s="293"/>
      <c r="K2" s="293"/>
      <c r="L2" s="293"/>
      <c r="M2" s="85"/>
      <c r="N2" s="152"/>
      <c r="O2" s="85"/>
      <c r="P2" s="294" t="s">
        <v>173</v>
      </c>
      <c r="Q2" s="294"/>
      <c r="R2" s="294"/>
      <c r="S2" s="294"/>
      <c r="T2" s="294"/>
      <c r="U2" s="294"/>
      <c r="V2" s="294"/>
      <c r="W2" s="294"/>
      <c r="X2" s="294"/>
      <c r="Y2" s="294"/>
      <c r="Z2" s="294"/>
      <c r="AA2" s="294"/>
      <c r="AB2" s="294"/>
      <c r="AC2" s="294"/>
      <c r="AD2" s="294"/>
    </row>
    <row r="3" spans="2:45" ht="12" customHeight="1">
      <c r="C3" s="150"/>
      <c r="D3" s="150"/>
      <c r="E3" s="154"/>
      <c r="F3" s="154"/>
      <c r="G3" s="154"/>
      <c r="H3" s="154"/>
      <c r="I3" s="154"/>
      <c r="J3" s="154"/>
      <c r="K3" s="150"/>
      <c r="L3" s="149"/>
      <c r="M3" s="150"/>
      <c r="N3" s="150"/>
      <c r="O3" s="150"/>
      <c r="P3" s="150"/>
      <c r="Q3" s="92"/>
      <c r="R3" s="92"/>
      <c r="S3" s="154"/>
      <c r="T3" s="154"/>
      <c r="U3" s="154"/>
      <c r="V3" s="154"/>
      <c r="W3" s="154"/>
      <c r="X3" s="154"/>
      <c r="Y3" s="154"/>
      <c r="Z3" s="154"/>
      <c r="AA3" s="154"/>
      <c r="AB3" s="85"/>
      <c r="AC3" s="85"/>
      <c r="AD3" s="85"/>
    </row>
    <row r="4" spans="2:45" ht="6.75" customHeight="1">
      <c r="C4" s="90"/>
      <c r="D4" s="90"/>
      <c r="E4" s="91"/>
      <c r="F4" s="91"/>
      <c r="G4" s="91"/>
      <c r="H4" s="91"/>
      <c r="I4" s="91"/>
      <c r="J4" s="91"/>
      <c r="K4" s="91"/>
      <c r="L4" s="92"/>
      <c r="M4" s="92"/>
      <c r="N4" s="92"/>
      <c r="O4" s="92"/>
      <c r="P4" s="91"/>
      <c r="Q4" s="152"/>
      <c r="R4" s="152"/>
      <c r="S4" s="152"/>
      <c r="T4" s="152"/>
      <c r="U4" s="152"/>
      <c r="V4" s="152"/>
      <c r="W4" s="152"/>
      <c r="X4" s="152"/>
      <c r="Y4" s="152"/>
      <c r="Z4" s="152"/>
      <c r="AA4" s="152"/>
      <c r="AB4" s="152"/>
      <c r="AC4" s="152"/>
      <c r="AD4" s="152"/>
    </row>
    <row r="5" spans="2:45" ht="0.75" customHeight="1">
      <c r="C5" s="153"/>
      <c r="D5" s="153"/>
      <c r="E5" s="150"/>
      <c r="F5" s="150"/>
      <c r="G5" s="150"/>
      <c r="H5" s="150"/>
      <c r="I5" s="150"/>
      <c r="J5" s="150"/>
      <c r="K5" s="150"/>
      <c r="L5" s="150"/>
      <c r="M5" s="150"/>
      <c r="N5" s="150"/>
      <c r="O5" s="150"/>
      <c r="P5" s="150"/>
      <c r="Q5" s="150"/>
      <c r="R5" s="150"/>
      <c r="S5" s="150"/>
      <c r="T5" s="150"/>
      <c r="U5" s="150"/>
      <c r="V5" s="150"/>
      <c r="W5" s="150"/>
      <c r="X5" s="150"/>
      <c r="Y5" s="150"/>
      <c r="Z5" s="150"/>
      <c r="AA5" s="150"/>
      <c r="AB5" s="85"/>
      <c r="AC5" s="85"/>
      <c r="AD5" s="85"/>
    </row>
    <row r="6" spans="2:45" ht="19.7" customHeight="1">
      <c r="C6" s="286" t="s">
        <v>106</v>
      </c>
      <c r="D6" s="286"/>
      <c r="E6" s="286"/>
      <c r="F6" s="286"/>
      <c r="G6" s="286"/>
      <c r="H6" s="286"/>
      <c r="I6" s="286"/>
      <c r="J6" s="286"/>
      <c r="K6" s="286"/>
      <c r="L6" s="286"/>
      <c r="M6" s="286"/>
      <c r="N6" s="286"/>
      <c r="O6" s="286"/>
      <c r="P6" s="286"/>
      <c r="Q6" s="286"/>
      <c r="R6" s="286"/>
      <c r="S6" s="286"/>
      <c r="T6" s="286"/>
      <c r="U6" s="286"/>
      <c r="V6" s="286"/>
      <c r="W6" s="286"/>
      <c r="X6" s="286"/>
      <c r="Y6" s="286"/>
      <c r="Z6" s="286"/>
      <c r="AA6" s="286"/>
      <c r="AB6" s="286"/>
      <c r="AC6" s="286"/>
      <c r="AD6" s="286"/>
    </row>
    <row r="7" spans="2:45" ht="19.7" customHeight="1">
      <c r="C7" s="286" t="s">
        <v>107</v>
      </c>
      <c r="D7" s="286"/>
      <c r="E7" s="286"/>
      <c r="F7" s="286"/>
      <c r="G7" s="286"/>
      <c r="H7" s="286"/>
      <c r="I7" s="286"/>
      <c r="J7" s="286"/>
      <c r="K7" s="286"/>
      <c r="L7" s="286"/>
      <c r="M7" s="286"/>
      <c r="N7" s="286"/>
      <c r="O7" s="286"/>
      <c r="P7" s="286"/>
      <c r="Q7" s="286"/>
      <c r="R7" s="286"/>
      <c r="S7" s="286"/>
      <c r="T7" s="286"/>
      <c r="U7" s="286"/>
      <c r="V7" s="286"/>
      <c r="W7" s="286"/>
      <c r="X7" s="286"/>
      <c r="Y7" s="286"/>
      <c r="Z7" s="286"/>
      <c r="AA7" s="286"/>
      <c r="AB7" s="286"/>
      <c r="AC7" s="286"/>
      <c r="AD7" s="286"/>
    </row>
    <row r="8" spans="2:45" ht="12.75" customHeight="1">
      <c r="C8" s="149"/>
      <c r="D8" s="150"/>
      <c r="E8" s="150"/>
      <c r="F8" s="150"/>
      <c r="G8" s="150"/>
      <c r="H8" s="150"/>
      <c r="I8" s="150"/>
      <c r="J8" s="150"/>
      <c r="K8" s="150"/>
      <c r="L8" s="150"/>
      <c r="M8" s="150"/>
      <c r="N8" s="150"/>
      <c r="O8" s="150"/>
      <c r="P8" s="150"/>
      <c r="Q8" s="150"/>
      <c r="R8" s="150"/>
      <c r="S8" s="150"/>
      <c r="T8" s="150"/>
      <c r="U8" s="150"/>
      <c r="V8" s="150"/>
      <c r="W8" s="150"/>
      <c r="X8" s="150"/>
      <c r="Y8" s="150"/>
      <c r="Z8" s="150"/>
      <c r="AA8" s="150"/>
      <c r="AB8" s="85"/>
      <c r="AC8" s="85"/>
      <c r="AD8" s="85"/>
    </row>
    <row r="9" spans="2:45" ht="15.75" customHeight="1">
      <c r="C9" s="294" t="str">
        <f>"Số: "&amp;AG9</f>
        <v>Số: B08600120811TG05</v>
      </c>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G9" s="96" t="s">
        <v>208</v>
      </c>
    </row>
    <row r="10" spans="2:45" ht="10.5" customHeight="1">
      <c r="C10" s="151"/>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85"/>
      <c r="AC10" s="85"/>
      <c r="AD10" s="85"/>
    </row>
    <row r="11" spans="2:45" ht="19.7" customHeight="1">
      <c r="C11" s="286" t="s">
        <v>108</v>
      </c>
      <c r="D11" s="286"/>
      <c r="E11" s="286"/>
      <c r="F11" s="286"/>
      <c r="G11" s="286"/>
      <c r="H11" s="286"/>
      <c r="I11" s="286"/>
      <c r="J11" s="286"/>
      <c r="K11" s="286"/>
      <c r="L11" s="286"/>
      <c r="M11" s="286"/>
      <c r="N11" s="286"/>
      <c r="O11" s="286"/>
      <c r="P11" s="286"/>
      <c r="Q11" s="286"/>
      <c r="R11" s="286"/>
      <c r="S11" s="286"/>
      <c r="T11" s="286"/>
      <c r="U11" s="286"/>
      <c r="V11" s="286"/>
      <c r="W11" s="286"/>
      <c r="X11" s="286"/>
      <c r="Y11" s="286"/>
      <c r="Z11" s="286"/>
      <c r="AA11" s="286"/>
      <c r="AB11" s="286"/>
      <c r="AC11" s="286"/>
      <c r="AD11" s="286"/>
    </row>
    <row r="12" spans="2:45" ht="19.7" customHeight="1">
      <c r="C12" s="286" t="s">
        <v>109</v>
      </c>
      <c r="D12" s="286"/>
      <c r="E12" s="286"/>
      <c r="F12" s="286"/>
      <c r="G12" s="286"/>
      <c r="H12" s="286"/>
      <c r="I12" s="286"/>
      <c r="J12" s="286"/>
      <c r="K12" s="286"/>
      <c r="L12" s="286"/>
      <c r="M12" s="286"/>
      <c r="N12" s="286"/>
      <c r="O12" s="286"/>
      <c r="P12" s="286"/>
      <c r="Q12" s="286"/>
      <c r="R12" s="286"/>
      <c r="S12" s="286"/>
      <c r="T12" s="286"/>
      <c r="U12" s="286"/>
      <c r="V12" s="286"/>
      <c r="W12" s="286"/>
      <c r="X12" s="286"/>
      <c r="Y12" s="286"/>
      <c r="Z12" s="286"/>
      <c r="AA12" s="286"/>
      <c r="AB12" s="286"/>
      <c r="AC12" s="286"/>
      <c r="AD12" s="286"/>
    </row>
    <row r="13" spans="2:45" ht="7.5" customHeight="1">
      <c r="C13" s="97"/>
      <c r="D13" s="87"/>
      <c r="E13" s="87"/>
      <c r="F13" s="87"/>
      <c r="G13" s="87"/>
      <c r="H13" s="87"/>
      <c r="I13" s="87"/>
      <c r="J13" s="87"/>
      <c r="K13" s="87"/>
      <c r="L13" s="87"/>
      <c r="M13" s="87"/>
      <c r="N13" s="87"/>
      <c r="O13" s="87"/>
      <c r="P13" s="87"/>
      <c r="Q13" s="87"/>
      <c r="R13" s="87"/>
      <c r="S13" s="87"/>
      <c r="T13" s="87"/>
      <c r="U13" s="87"/>
      <c r="V13" s="87"/>
      <c r="W13" s="87"/>
      <c r="X13" s="87"/>
      <c r="Y13" s="87"/>
      <c r="Z13" s="87"/>
      <c r="AA13" s="87"/>
    </row>
    <row r="14" spans="2:45" ht="3" customHeight="1">
      <c r="C14" s="95"/>
      <c r="D14" s="87"/>
      <c r="E14" s="87"/>
      <c r="F14" s="87"/>
      <c r="G14" s="87"/>
      <c r="H14" s="87"/>
      <c r="I14" s="87"/>
      <c r="J14" s="87"/>
      <c r="K14" s="87"/>
      <c r="L14" s="87"/>
      <c r="M14" s="87"/>
      <c r="N14" s="87"/>
      <c r="O14" s="87"/>
      <c r="P14" s="87"/>
      <c r="Q14" s="87"/>
      <c r="R14" s="87"/>
      <c r="S14" s="87"/>
      <c r="T14" s="87"/>
      <c r="U14" s="87"/>
      <c r="V14" s="87"/>
      <c r="W14" s="87"/>
      <c r="X14" s="87"/>
      <c r="Y14" s="87"/>
      <c r="Z14" s="87"/>
      <c r="AA14" s="87"/>
    </row>
    <row r="15" spans="2:45" ht="23.25" customHeight="1">
      <c r="C15" s="287" t="s">
        <v>107</v>
      </c>
      <c r="D15" s="288"/>
      <c r="E15" s="288"/>
      <c r="F15" s="288"/>
      <c r="G15" s="288"/>
      <c r="H15" s="288"/>
      <c r="I15" s="288"/>
      <c r="J15" s="288"/>
      <c r="K15" s="288"/>
      <c r="L15" s="288"/>
      <c r="M15" s="288"/>
      <c r="N15" s="288"/>
      <c r="O15" s="288"/>
      <c r="P15" s="288"/>
      <c r="Q15" s="288"/>
      <c r="R15" s="288"/>
      <c r="S15" s="288"/>
      <c r="T15" s="288"/>
      <c r="U15" s="288"/>
      <c r="V15" s="288"/>
      <c r="W15" s="288"/>
      <c r="X15" s="288"/>
      <c r="Y15" s="288"/>
      <c r="Z15" s="288"/>
      <c r="AA15" s="288"/>
      <c r="AB15" s="288"/>
      <c r="AC15" s="288"/>
      <c r="AD15" s="289"/>
      <c r="AE15" s="118"/>
      <c r="AG15" s="98">
        <v>1</v>
      </c>
      <c r="AH15" s="98"/>
      <c r="AI15" s="98"/>
      <c r="AJ15" s="98"/>
      <c r="AK15" s="98">
        <v>2</v>
      </c>
      <c r="AL15" s="98"/>
      <c r="AM15" s="98"/>
      <c r="AN15" s="98"/>
      <c r="AO15" s="98">
        <v>3</v>
      </c>
      <c r="AS15" s="84">
        <v>4</v>
      </c>
    </row>
    <row r="16" spans="2:45" ht="38.25" customHeight="1">
      <c r="C16" s="306" t="s">
        <v>24</v>
      </c>
      <c r="D16" s="307"/>
      <c r="E16" s="307"/>
      <c r="F16" s="307"/>
      <c r="G16" s="307"/>
      <c r="H16" s="307"/>
      <c r="I16" s="307"/>
      <c r="J16" s="307"/>
      <c r="K16" s="307"/>
      <c r="L16" s="308"/>
      <c r="M16" s="295" t="str">
        <f>AG16</f>
        <v>Ấp Bàu Trâu, xã Phước Thạnh, huyện Củ Chi, thành phố Hồ Chí Minh.</v>
      </c>
      <c r="N16" s="296"/>
      <c r="O16" s="296"/>
      <c r="P16" s="296"/>
      <c r="Q16" s="296"/>
      <c r="R16" s="296"/>
      <c r="S16" s="296"/>
      <c r="T16" s="296"/>
      <c r="U16" s="296"/>
      <c r="V16" s="296"/>
      <c r="W16" s="296"/>
      <c r="X16" s="296"/>
      <c r="Y16" s="296"/>
      <c r="Z16" s="296"/>
      <c r="AA16" s="296"/>
      <c r="AB16" s="296"/>
      <c r="AC16" s="296"/>
      <c r="AD16" s="297"/>
      <c r="AE16" s="118"/>
      <c r="AG16" s="99" t="s">
        <v>110</v>
      </c>
    </row>
    <row r="17" spans="3:47" ht="21" customHeight="1">
      <c r="C17" s="268" t="s">
        <v>17</v>
      </c>
      <c r="D17" s="269"/>
      <c r="E17" s="269"/>
      <c r="F17" s="269"/>
      <c r="G17" s="269"/>
      <c r="H17" s="269"/>
      <c r="I17" s="269"/>
      <c r="J17" s="269"/>
      <c r="K17" s="269"/>
      <c r="L17" s="270"/>
      <c r="M17" s="287" t="str">
        <f>IF(AG17="","",AG17)</f>
        <v/>
      </c>
      <c r="N17" s="288"/>
      <c r="O17" s="288"/>
      <c r="P17" s="288"/>
      <c r="Q17" s="288"/>
      <c r="R17" s="288"/>
      <c r="S17" s="288"/>
      <c r="T17" s="288"/>
      <c r="U17" s="288"/>
      <c r="V17" s="288"/>
      <c r="W17" s="288"/>
      <c r="X17" s="288"/>
      <c r="Y17" s="288"/>
      <c r="Z17" s="288"/>
      <c r="AA17" s="288"/>
      <c r="AB17" s="288"/>
      <c r="AC17" s="288"/>
      <c r="AD17" s="289"/>
      <c r="AE17" s="118"/>
    </row>
    <row r="18" spans="3:47" ht="33.950000000000003" customHeight="1">
      <c r="C18" s="290" t="s">
        <v>9</v>
      </c>
      <c r="D18" s="291"/>
      <c r="E18" s="291"/>
      <c r="F18" s="291"/>
      <c r="G18" s="291"/>
      <c r="H18" s="291"/>
      <c r="I18" s="291"/>
      <c r="J18" s="291"/>
      <c r="K18" s="291"/>
      <c r="L18" s="292"/>
      <c r="M18" s="263" t="str">
        <f>AG18</f>
        <v>CÔNG TY CỔ PHẦN VIỄN THÔNG DI ĐỘNG TOÀN CẦU</v>
      </c>
      <c r="N18" s="264"/>
      <c r="O18" s="264"/>
      <c r="P18" s="264"/>
      <c r="Q18" s="264"/>
      <c r="R18" s="264"/>
      <c r="S18" s="264"/>
      <c r="T18" s="264"/>
      <c r="U18" s="264"/>
      <c r="V18" s="264"/>
      <c r="W18" s="264"/>
      <c r="X18" s="264"/>
      <c r="Y18" s="264"/>
      <c r="Z18" s="264"/>
      <c r="AA18" s="264"/>
      <c r="AB18" s="264"/>
      <c r="AC18" s="264"/>
      <c r="AD18" s="265"/>
      <c r="AE18" s="118"/>
      <c r="AG18" s="96" t="s">
        <v>155</v>
      </c>
    </row>
    <row r="19" spans="3:47" ht="33.950000000000003" customHeight="1">
      <c r="C19" s="290" t="s">
        <v>16</v>
      </c>
      <c r="D19" s="291"/>
      <c r="E19" s="291"/>
      <c r="F19" s="291"/>
      <c r="G19" s="291"/>
      <c r="H19" s="291"/>
      <c r="I19" s="291"/>
      <c r="J19" s="291"/>
      <c r="K19" s="291"/>
      <c r="L19" s="292"/>
      <c r="M19" s="263" t="str">
        <f>AG19</f>
        <v>CÔNG TY CỔ PHẦN VIỄN THÔNG DI ĐỘNG TOÀN CẦU</v>
      </c>
      <c r="N19" s="264"/>
      <c r="O19" s="264"/>
      <c r="P19" s="264"/>
      <c r="Q19" s="264"/>
      <c r="R19" s="264"/>
      <c r="S19" s="264"/>
      <c r="T19" s="264"/>
      <c r="U19" s="264"/>
      <c r="V19" s="264"/>
      <c r="W19" s="264"/>
      <c r="X19" s="264"/>
      <c r="Y19" s="264"/>
      <c r="Z19" s="264"/>
      <c r="AA19" s="264"/>
      <c r="AB19" s="264"/>
      <c r="AC19" s="264"/>
      <c r="AD19" s="265"/>
      <c r="AE19" s="119"/>
      <c r="AG19" s="96" t="s">
        <v>155</v>
      </c>
    </row>
    <row r="20" spans="3:47" ht="21" customHeight="1">
      <c r="C20" s="277" t="s">
        <v>111</v>
      </c>
      <c r="D20" s="278"/>
      <c r="E20" s="278"/>
      <c r="F20" s="278"/>
      <c r="G20" s="278"/>
      <c r="H20" s="278"/>
      <c r="I20" s="278"/>
      <c r="J20" s="278"/>
      <c r="K20" s="278"/>
      <c r="L20" s="278"/>
      <c r="M20" s="278"/>
      <c r="N20" s="278"/>
      <c r="O20" s="278"/>
      <c r="P20" s="278"/>
      <c r="Q20" s="278"/>
      <c r="R20" s="278"/>
      <c r="S20" s="278"/>
      <c r="T20" s="278"/>
      <c r="U20" s="278"/>
      <c r="V20" s="278"/>
      <c r="W20" s="278"/>
      <c r="X20" s="278"/>
      <c r="Y20" s="278"/>
      <c r="Z20" s="278"/>
      <c r="AA20" s="278"/>
      <c r="AB20" s="278"/>
      <c r="AC20" s="278"/>
      <c r="AD20" s="279"/>
      <c r="AE20" s="120"/>
    </row>
    <row r="21" spans="3:47" ht="33.950000000000003" customHeight="1">
      <c r="C21" s="271" t="s">
        <v>112</v>
      </c>
      <c r="D21" s="271"/>
      <c r="E21" s="271"/>
      <c r="F21" s="271"/>
      <c r="G21" s="271"/>
      <c r="H21" s="271"/>
      <c r="I21" s="271"/>
      <c r="J21" s="271"/>
      <c r="K21" s="271"/>
      <c r="L21" s="271"/>
      <c r="M21" s="305" t="str">
        <f>AG21</f>
        <v>MOTOROLA HORIZON II MACRO</v>
      </c>
      <c r="N21" s="305"/>
      <c r="O21" s="305"/>
      <c r="P21" s="305"/>
      <c r="Q21" s="305"/>
      <c r="R21" s="305"/>
      <c r="S21" s="305"/>
      <c r="T21" s="305"/>
      <c r="U21" s="305"/>
      <c r="V21" s="305" t="str">
        <f>AK21</f>
        <v>MOTOROLA HORIZON II MACRO</v>
      </c>
      <c r="W21" s="305"/>
      <c r="X21" s="305"/>
      <c r="Y21" s="305"/>
      <c r="Z21" s="305"/>
      <c r="AA21" s="305"/>
      <c r="AB21" s="305"/>
      <c r="AC21" s="305"/>
      <c r="AD21" s="305"/>
      <c r="AE21" s="118"/>
      <c r="AG21" s="96" t="s">
        <v>179</v>
      </c>
      <c r="AK21" s="96" t="s">
        <v>179</v>
      </c>
      <c r="AO21" s="96" t="s">
        <v>115</v>
      </c>
      <c r="AS21" s="96" t="s">
        <v>116</v>
      </c>
    </row>
    <row r="22" spans="3:47" ht="19.7" customHeight="1">
      <c r="C22" s="280" t="s">
        <v>117</v>
      </c>
      <c r="D22" s="281"/>
      <c r="E22" s="281"/>
      <c r="F22" s="281"/>
      <c r="G22" s="281"/>
      <c r="H22" s="281"/>
      <c r="I22" s="281"/>
      <c r="J22" s="281"/>
      <c r="K22" s="281"/>
      <c r="L22" s="282"/>
      <c r="M22" s="263">
        <f>AG22</f>
        <v>3</v>
      </c>
      <c r="N22" s="264"/>
      <c r="O22" s="264"/>
      <c r="P22" s="264"/>
      <c r="Q22" s="264"/>
      <c r="R22" s="264"/>
      <c r="S22" s="264"/>
      <c r="T22" s="264"/>
      <c r="U22" s="265"/>
      <c r="V22" s="263">
        <f>AK22</f>
        <v>3</v>
      </c>
      <c r="W22" s="264"/>
      <c r="X22" s="264"/>
      <c r="Y22" s="264"/>
      <c r="Z22" s="264"/>
      <c r="AA22" s="264"/>
      <c r="AB22" s="264"/>
      <c r="AC22" s="264"/>
      <c r="AD22" s="265"/>
      <c r="AE22" s="118"/>
      <c r="AG22" s="98">
        <v>3</v>
      </c>
      <c r="AH22" s="98"/>
      <c r="AI22" s="98"/>
      <c r="AJ22" s="98"/>
      <c r="AK22" s="98">
        <v>3</v>
      </c>
      <c r="AL22" s="98"/>
      <c r="AM22" s="98"/>
      <c r="AN22" s="98"/>
      <c r="AO22" s="98">
        <v>3</v>
      </c>
      <c r="AS22" s="84">
        <v>1</v>
      </c>
    </row>
    <row r="23" spans="3:47" ht="19.7" customHeight="1">
      <c r="C23" s="271" t="s">
        <v>118</v>
      </c>
      <c r="D23" s="271"/>
      <c r="E23" s="271"/>
      <c r="F23" s="271"/>
      <c r="G23" s="271"/>
      <c r="H23" s="271"/>
      <c r="I23" s="271"/>
      <c r="J23" s="271"/>
      <c r="K23" s="271"/>
      <c r="L23" s="271"/>
      <c r="M23" s="311" t="str">
        <f>AG23</f>
        <v>4/4/4</v>
      </c>
      <c r="N23" s="312"/>
      <c r="O23" s="312"/>
      <c r="P23" s="312"/>
      <c r="Q23" s="312"/>
      <c r="R23" s="312"/>
      <c r="S23" s="312"/>
      <c r="T23" s="312"/>
      <c r="U23" s="312"/>
      <c r="V23" s="275" t="str">
        <f>AK23</f>
        <v>2/2/2</v>
      </c>
      <c r="W23" s="309"/>
      <c r="X23" s="309"/>
      <c r="Y23" s="309"/>
      <c r="Z23" s="309"/>
      <c r="AA23" s="309"/>
      <c r="AB23" s="309"/>
      <c r="AC23" s="309"/>
      <c r="AD23" s="310"/>
      <c r="AE23" s="121"/>
      <c r="AG23" s="100" t="s">
        <v>119</v>
      </c>
      <c r="AH23" s="101"/>
      <c r="AI23" s="101"/>
      <c r="AJ23" s="101"/>
      <c r="AK23" s="100" t="s">
        <v>120</v>
      </c>
      <c r="AL23" s="101"/>
      <c r="AM23" s="101"/>
      <c r="AN23" s="101"/>
      <c r="AO23" s="100" t="s">
        <v>121</v>
      </c>
      <c r="AP23" s="101"/>
      <c r="AQ23" s="101"/>
      <c r="AR23" s="101"/>
      <c r="AS23" s="100" t="s">
        <v>122</v>
      </c>
    </row>
    <row r="24" spans="3:47" ht="18.75" customHeight="1">
      <c r="C24" s="280" t="s">
        <v>156</v>
      </c>
      <c r="D24" s="281"/>
      <c r="E24" s="281"/>
      <c r="F24" s="281"/>
      <c r="G24" s="281"/>
      <c r="H24" s="281"/>
      <c r="I24" s="281"/>
      <c r="J24" s="281"/>
      <c r="K24" s="281"/>
      <c r="L24" s="282"/>
      <c r="M24" s="263" t="str">
        <f>IF(M22=4,AG24&amp;"W/ "&amp;AH24&amp;"W/ "&amp;AI24&amp;"W/ "&amp;AJ24&amp;"W",IF(M22=3,AG24&amp;"W/ "&amp;AH24&amp;"W/ "&amp;AI24&amp;"W",IF(M22=2,AG24&amp;"W/ "&amp;AH24&amp;"W",AG24&amp;"W")))</f>
        <v>100,45W/ 100,45W/ 100,45W</v>
      </c>
      <c r="N24" s="264"/>
      <c r="O24" s="264"/>
      <c r="P24" s="264"/>
      <c r="Q24" s="264"/>
      <c r="R24" s="264"/>
      <c r="S24" s="264"/>
      <c r="T24" s="264"/>
      <c r="U24" s="265"/>
      <c r="V24" s="263" t="str">
        <f>IF(V22=4,AK24&amp;"W/ "&amp;AL24&amp;"W/ "&amp;AM24&amp;"W/ "&amp;AN24&amp;"W",IF(V22=3,AK24&amp;"W/ "&amp;AL24&amp;"W/ "&amp;AM24&amp;"W",IF(V22=2,AK24&amp;"W/"&amp;AL24&amp;"W",AK24&amp;"W")))</f>
        <v>40W/ 40W/ 40W</v>
      </c>
      <c r="W24" s="264"/>
      <c r="X24" s="264"/>
      <c r="Y24" s="264"/>
      <c r="Z24" s="264"/>
      <c r="AA24" s="264"/>
      <c r="AB24" s="264"/>
      <c r="AC24" s="264"/>
      <c r="AD24" s="265"/>
      <c r="AE24" s="119"/>
      <c r="AG24" s="84" t="s">
        <v>178</v>
      </c>
      <c r="AH24" s="84" t="s">
        <v>178</v>
      </c>
      <c r="AI24" s="84" t="s">
        <v>178</v>
      </c>
      <c r="AJ24" s="84" t="s">
        <v>178</v>
      </c>
      <c r="AK24" s="84">
        <v>40</v>
      </c>
      <c r="AL24" s="84">
        <v>40</v>
      </c>
      <c r="AM24" s="84">
        <v>40</v>
      </c>
      <c r="AN24" s="84">
        <v>40</v>
      </c>
      <c r="AO24" s="84">
        <v>60</v>
      </c>
      <c r="AP24" s="84">
        <v>60</v>
      </c>
      <c r="AQ24" s="84">
        <v>60</v>
      </c>
      <c r="AS24" s="84">
        <v>80</v>
      </c>
      <c r="AT24" s="84">
        <v>80</v>
      </c>
      <c r="AU24" s="84">
        <v>80</v>
      </c>
    </row>
    <row r="25" spans="3:47" ht="19.7" customHeight="1">
      <c r="C25" s="271" t="s">
        <v>123</v>
      </c>
      <c r="D25" s="271"/>
      <c r="E25" s="271"/>
      <c r="F25" s="271"/>
      <c r="G25" s="271"/>
      <c r="H25" s="271"/>
      <c r="I25" s="271"/>
      <c r="J25" s="271"/>
      <c r="K25" s="271"/>
      <c r="L25" s="271"/>
      <c r="M25" s="305" t="str">
        <f>IF(AG25="900 &amp; 1800","900MHz &amp; 1800MHz",IF(AG25="900 &amp; 2100","900MHz &amp; 2100MHz",IF(AG25="1800 &amp; 2100","1800MHz &amp; 2100MHz",AG25&amp;"MHz")))</f>
        <v>1800MHz</v>
      </c>
      <c r="N25" s="305"/>
      <c r="O25" s="305"/>
      <c r="P25" s="305"/>
      <c r="Q25" s="305"/>
      <c r="R25" s="305"/>
      <c r="S25" s="305"/>
      <c r="T25" s="305"/>
      <c r="U25" s="305"/>
      <c r="V25" s="305" t="str">
        <f>IF(AK25="900 &amp; 1800","900MHz &amp; 1800MHz",IF(AK25="900 &amp; 2100","900MHz &amp; 2100MHz",AK25&amp;"MHz"))</f>
        <v>1800MHz</v>
      </c>
      <c r="W25" s="305"/>
      <c r="X25" s="305"/>
      <c r="Y25" s="305"/>
      <c r="Z25" s="305"/>
      <c r="AA25" s="305"/>
      <c r="AB25" s="305"/>
      <c r="AC25" s="305"/>
      <c r="AD25" s="305"/>
      <c r="AE25" s="118"/>
      <c r="AG25" s="84">
        <v>1800</v>
      </c>
      <c r="AK25" s="84">
        <v>1800</v>
      </c>
      <c r="AO25" s="84">
        <v>2100</v>
      </c>
      <c r="AS25" s="96" t="s">
        <v>124</v>
      </c>
    </row>
    <row r="26" spans="3:47" ht="33.950000000000003" customHeight="1">
      <c r="C26" s="271" t="s">
        <v>165</v>
      </c>
      <c r="D26" s="271"/>
      <c r="E26" s="271"/>
      <c r="F26" s="271"/>
      <c r="G26" s="271"/>
      <c r="H26" s="271"/>
      <c r="I26" s="271"/>
      <c r="J26" s="271"/>
      <c r="K26" s="271"/>
      <c r="L26" s="271"/>
      <c r="M26" s="305">
        <f>AG26</f>
        <v>15</v>
      </c>
      <c r="N26" s="305"/>
      <c r="O26" s="305"/>
      <c r="P26" s="305"/>
      <c r="Q26" s="305"/>
      <c r="R26" s="305"/>
      <c r="S26" s="305"/>
      <c r="T26" s="305"/>
      <c r="U26" s="305"/>
      <c r="V26" s="305">
        <f>AK26</f>
        <v>16</v>
      </c>
      <c r="W26" s="305"/>
      <c r="X26" s="305"/>
      <c r="Y26" s="305"/>
      <c r="Z26" s="305"/>
      <c r="AA26" s="305"/>
      <c r="AB26" s="305"/>
      <c r="AC26" s="305"/>
      <c r="AD26" s="305"/>
      <c r="AE26" s="119"/>
      <c r="AG26" s="84">
        <v>15</v>
      </c>
      <c r="AK26" s="84">
        <v>16</v>
      </c>
      <c r="AO26" s="84">
        <v>17</v>
      </c>
      <c r="AS26" s="84">
        <v>18</v>
      </c>
    </row>
    <row r="27" spans="3:47" ht="25.5" customHeight="1">
      <c r="C27" s="272" t="s">
        <v>125</v>
      </c>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102"/>
      <c r="AC27" s="102"/>
      <c r="AD27" s="102"/>
    </row>
    <row r="28" spans="3:47" ht="24.75" customHeight="1">
      <c r="C28" s="28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83"/>
      <c r="E28" s="283"/>
      <c r="F28" s="283"/>
      <c r="G28" s="283"/>
      <c r="H28" s="283"/>
      <c r="I28" s="283"/>
      <c r="J28" s="283"/>
      <c r="K28" s="283"/>
      <c r="L28" s="283"/>
      <c r="M28" s="283"/>
      <c r="N28" s="283"/>
      <c r="O28" s="283"/>
      <c r="P28" s="283"/>
      <c r="Q28" s="283"/>
      <c r="R28" s="283"/>
      <c r="S28" s="283"/>
      <c r="T28" s="283"/>
      <c r="U28" s="283"/>
      <c r="V28" s="283"/>
      <c r="W28" s="283"/>
      <c r="X28" s="283"/>
      <c r="Y28" s="283"/>
      <c r="Z28" s="283"/>
      <c r="AA28" s="283"/>
      <c r="AB28" s="283"/>
      <c r="AC28" s="283"/>
      <c r="AD28" s="283"/>
      <c r="AG28" s="84">
        <v>30</v>
      </c>
      <c r="AO28" s="84" t="s">
        <v>253</v>
      </c>
    </row>
    <row r="29" spans="3:47" ht="24.75" customHeight="1">
      <c r="C29" s="283"/>
      <c r="D29" s="283"/>
      <c r="E29" s="283"/>
      <c r="F29" s="283"/>
      <c r="G29" s="283"/>
      <c r="H29" s="283"/>
      <c r="I29" s="283"/>
      <c r="J29" s="283"/>
      <c r="K29" s="283"/>
      <c r="L29" s="283"/>
      <c r="M29" s="283"/>
      <c r="N29" s="283"/>
      <c r="O29" s="283"/>
      <c r="P29" s="283"/>
      <c r="Q29" s="283"/>
      <c r="R29" s="283"/>
      <c r="S29" s="283"/>
      <c r="T29" s="283"/>
      <c r="U29" s="283"/>
      <c r="V29" s="283"/>
      <c r="W29" s="283"/>
      <c r="X29" s="283"/>
      <c r="Y29" s="283"/>
      <c r="Z29" s="283"/>
      <c r="AA29" s="283"/>
      <c r="AB29" s="283"/>
      <c r="AC29" s="283"/>
      <c r="AD29" s="283"/>
      <c r="AG29" s="84">
        <v>1</v>
      </c>
      <c r="AO29" s="84"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4" t="s">
        <v>255</v>
      </c>
      <c r="AQ29" s="84" t="str">
        <f>IF(AG28&gt;=0," cao hơn "," thấp hơn ")</f>
        <v xml:space="preserve"> cao hơn </v>
      </c>
      <c r="AR29" s="84" t="s">
        <v>256</v>
      </c>
    </row>
    <row r="30" spans="3:47" ht="16.5" customHeight="1">
      <c r="C30" s="273" t="str">
        <f>IF(AG31=1,AO31,IF(AG31=2,AO30))</f>
        <v>Trạm gốc điện thoại di động mặt đất công cộng này có mức an toàn phơi nhiễm trường điện từ tuân thủ quy chuẩn kỹ thuật trên.</v>
      </c>
      <c r="D30" s="273"/>
      <c r="E30" s="273"/>
      <c r="F30" s="273"/>
      <c r="G30" s="273"/>
      <c r="H30" s="273"/>
      <c r="I30" s="273"/>
      <c r="J30" s="273"/>
      <c r="K30" s="273"/>
      <c r="L30" s="273"/>
      <c r="M30" s="273"/>
      <c r="N30" s="273"/>
      <c r="O30" s="273"/>
      <c r="P30" s="273"/>
      <c r="Q30" s="273"/>
      <c r="R30" s="273"/>
      <c r="S30" s="273"/>
      <c r="T30" s="273"/>
      <c r="U30" s="273"/>
      <c r="V30" s="273"/>
      <c r="W30" s="273"/>
      <c r="X30" s="273"/>
      <c r="Y30" s="273"/>
      <c r="Z30" s="273"/>
      <c r="AA30" s="273"/>
      <c r="AB30" s="273"/>
      <c r="AC30" s="273"/>
      <c r="AD30" s="273"/>
      <c r="AG30" s="84">
        <v>20</v>
      </c>
      <c r="AO30" s="84" t="s">
        <v>167</v>
      </c>
    </row>
    <row r="31" spans="3:47" ht="16.5" customHeight="1">
      <c r="C31" s="273"/>
      <c r="D31" s="273"/>
      <c r="E31" s="273"/>
      <c r="F31" s="273"/>
      <c r="G31" s="273"/>
      <c r="H31" s="273"/>
      <c r="I31" s="273"/>
      <c r="J31" s="273"/>
      <c r="K31" s="273"/>
      <c r="L31" s="273"/>
      <c r="M31" s="273"/>
      <c r="N31" s="273"/>
      <c r="O31" s="273"/>
      <c r="P31" s="273"/>
      <c r="Q31" s="273"/>
      <c r="R31" s="273"/>
      <c r="S31" s="273"/>
      <c r="T31" s="273"/>
      <c r="U31" s="273"/>
      <c r="V31" s="273"/>
      <c r="W31" s="273"/>
      <c r="X31" s="273"/>
      <c r="Y31" s="273"/>
      <c r="Z31" s="273"/>
      <c r="AA31" s="273"/>
      <c r="AB31" s="273"/>
      <c r="AC31" s="273"/>
      <c r="AD31" s="273"/>
      <c r="AG31" s="84">
        <v>2</v>
      </c>
      <c r="AO31" s="157"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262" t="s">
        <v>167</v>
      </c>
      <c r="D32" s="262"/>
      <c r="E32" s="262"/>
      <c r="F32" s="262"/>
      <c r="G32" s="262"/>
      <c r="H32" s="262"/>
      <c r="I32" s="262"/>
      <c r="J32" s="262"/>
      <c r="K32" s="262"/>
      <c r="L32" s="262"/>
      <c r="M32" s="262"/>
      <c r="N32" s="262"/>
      <c r="O32" s="262"/>
      <c r="P32" s="262"/>
      <c r="Q32" s="262"/>
      <c r="R32" s="262"/>
      <c r="S32" s="262"/>
      <c r="T32" s="262"/>
      <c r="U32" s="262"/>
      <c r="V32" s="262"/>
      <c r="W32" s="262"/>
      <c r="X32" s="262"/>
      <c r="Y32" s="262"/>
      <c r="Z32" s="262"/>
      <c r="AA32" s="262"/>
      <c r="AB32" s="262"/>
      <c r="AC32" s="262"/>
      <c r="AD32" s="262"/>
    </row>
    <row r="33" spans="2:48" ht="17.100000000000001" customHeight="1">
      <c r="C33" s="262"/>
      <c r="D33" s="262"/>
      <c r="E33" s="262"/>
      <c r="F33" s="262"/>
      <c r="G33" s="262"/>
      <c r="H33" s="262"/>
      <c r="I33" s="262"/>
      <c r="J33" s="262"/>
      <c r="K33" s="262"/>
      <c r="L33" s="262"/>
      <c r="M33" s="262"/>
      <c r="N33" s="262"/>
      <c r="O33" s="262"/>
      <c r="P33" s="262"/>
      <c r="Q33" s="262"/>
      <c r="R33" s="262"/>
      <c r="S33" s="262"/>
      <c r="T33" s="262"/>
      <c r="U33" s="262"/>
      <c r="V33" s="262"/>
      <c r="W33" s="262"/>
      <c r="X33" s="262"/>
      <c r="Y33" s="262"/>
      <c r="Z33" s="262"/>
      <c r="AA33" s="262"/>
      <c r="AB33" s="262"/>
      <c r="AC33" s="262"/>
      <c r="AD33" s="262"/>
      <c r="AE33" s="126"/>
    </row>
    <row r="34" spans="2:48" ht="17.100000000000001" customHeight="1">
      <c r="C34" s="303"/>
      <c r="D34" s="303"/>
      <c r="E34" s="303"/>
      <c r="F34" s="303"/>
      <c r="G34" s="303"/>
      <c r="H34" s="102"/>
      <c r="I34" s="304"/>
      <c r="J34" s="304"/>
      <c r="K34" s="304"/>
      <c r="L34" s="304"/>
      <c r="M34" s="304"/>
      <c r="N34" s="304"/>
      <c r="O34" s="102"/>
      <c r="P34" s="103"/>
      <c r="Q34" s="103"/>
      <c r="R34" s="103"/>
      <c r="S34" s="103"/>
      <c r="T34" s="298" t="str">
        <f>IF(AI41=0,AO34,IF(AI41=1,AK34,AS34))</f>
        <v>KT. GIÁM ĐỐC</v>
      </c>
      <c r="U34" s="298"/>
      <c r="V34" s="298"/>
      <c r="W34" s="298"/>
      <c r="X34" s="298"/>
      <c r="Y34" s="298"/>
      <c r="Z34" s="298"/>
      <c r="AA34" s="298"/>
      <c r="AB34" s="298"/>
      <c r="AC34" s="298"/>
      <c r="AD34" s="298"/>
      <c r="AE34" s="298"/>
      <c r="AK34" s="84" t="s">
        <v>126</v>
      </c>
      <c r="AO34" s="84" t="s">
        <v>206</v>
      </c>
      <c r="AS34" s="84" t="s">
        <v>205</v>
      </c>
    </row>
    <row r="35" spans="2:48" ht="17.100000000000001" customHeight="1">
      <c r="C35" s="299" t="s">
        <v>127</v>
      </c>
      <c r="D35" s="299"/>
      <c r="E35" s="299"/>
      <c r="F35" s="299"/>
      <c r="G35" s="299"/>
      <c r="H35" s="106" t="s">
        <v>128</v>
      </c>
      <c r="I35" s="301" t="s">
        <v>129</v>
      </c>
      <c r="J35" s="301"/>
      <c r="K35" s="301"/>
      <c r="L35" s="301"/>
      <c r="M35" s="301"/>
      <c r="N35" s="301"/>
      <c r="O35" s="105"/>
      <c r="P35" s="105"/>
      <c r="Q35" s="102"/>
      <c r="R35" s="102"/>
      <c r="S35" s="102"/>
      <c r="T35" s="298" t="str">
        <f>IF(AI41=0,AO35,IF(AI41=1,"",AS35))</f>
        <v>PHÓ GIÁM ĐỐC</v>
      </c>
      <c r="U35" s="298"/>
      <c r="V35" s="298"/>
      <c r="W35" s="298"/>
      <c r="X35" s="298"/>
      <c r="Y35" s="298"/>
      <c r="Z35" s="298"/>
      <c r="AA35" s="298"/>
      <c r="AB35" s="298"/>
      <c r="AC35" s="298"/>
      <c r="AD35" s="298"/>
      <c r="AE35" s="298"/>
      <c r="AO35" s="84" t="s">
        <v>203</v>
      </c>
      <c r="AS35" s="84" t="s">
        <v>158</v>
      </c>
    </row>
    <row r="36" spans="2:48" ht="17.100000000000001" customHeight="1">
      <c r="C36" s="299" t="s">
        <v>130</v>
      </c>
      <c r="D36" s="299"/>
      <c r="E36" s="299"/>
      <c r="F36" s="299"/>
      <c r="G36" s="299"/>
      <c r="H36" s="106" t="s">
        <v>128</v>
      </c>
      <c r="I36" s="300">
        <f>AG36</f>
        <v>40806</v>
      </c>
      <c r="J36" s="301"/>
      <c r="K36" s="301"/>
      <c r="L36" s="301"/>
      <c r="M36" s="301"/>
      <c r="N36" s="107"/>
      <c r="O36" s="107"/>
      <c r="P36" s="107"/>
      <c r="Q36" s="102"/>
      <c r="R36" s="102"/>
      <c r="S36" s="102"/>
      <c r="T36" s="102"/>
      <c r="U36" s="102"/>
      <c r="V36" s="102"/>
      <c r="W36" s="102"/>
      <c r="X36" s="102"/>
      <c r="Y36" s="102"/>
      <c r="Z36" s="102"/>
      <c r="AA36" s="102"/>
      <c r="AB36" s="102"/>
      <c r="AC36" s="102"/>
      <c r="AD36" s="102"/>
      <c r="AG36" s="108">
        <v>40806</v>
      </c>
    </row>
    <row r="37" spans="2:48" ht="17.100000000000001" customHeight="1">
      <c r="C37" s="299" t="s">
        <v>131</v>
      </c>
      <c r="D37" s="299"/>
      <c r="E37" s="299"/>
      <c r="F37" s="299"/>
      <c r="G37" s="299"/>
      <c r="H37" s="106" t="s">
        <v>128</v>
      </c>
      <c r="I37" s="300">
        <f>AG37</f>
        <v>42633</v>
      </c>
      <c r="J37" s="301"/>
      <c r="K37" s="301"/>
      <c r="L37" s="301"/>
      <c r="M37" s="301"/>
      <c r="N37" s="107"/>
      <c r="O37" s="107"/>
      <c r="P37" s="107"/>
      <c r="Q37" s="102"/>
      <c r="R37" s="102"/>
      <c r="S37" s="102"/>
      <c r="T37" s="102"/>
      <c r="U37" s="102"/>
      <c r="V37" s="102"/>
      <c r="W37" s="102"/>
      <c r="X37" s="102"/>
      <c r="Y37" s="102"/>
      <c r="Z37" s="102"/>
      <c r="AA37" s="102"/>
      <c r="AB37" s="102"/>
      <c r="AC37" s="102"/>
      <c r="AD37" s="102"/>
      <c r="AG37" s="108">
        <v>42633</v>
      </c>
    </row>
    <row r="38" spans="2:48" ht="17.100000000000001" customHeight="1">
      <c r="C38" s="109"/>
      <c r="D38" s="109"/>
      <c r="E38" s="109"/>
      <c r="F38" s="94"/>
      <c r="G38" s="87"/>
      <c r="H38" s="87"/>
      <c r="I38" s="87"/>
      <c r="J38" s="87"/>
      <c r="K38" s="87"/>
      <c r="L38" s="87"/>
      <c r="M38" s="87"/>
      <c r="N38" s="87"/>
      <c r="O38" s="87"/>
      <c r="P38" s="87"/>
      <c r="Q38" s="87"/>
      <c r="R38" s="87"/>
      <c r="S38" s="87"/>
      <c r="T38" s="87"/>
      <c r="U38" s="87"/>
      <c r="V38" s="87"/>
      <c r="W38" s="87"/>
      <c r="X38" s="87"/>
      <c r="Y38" s="87"/>
      <c r="Z38" s="87"/>
      <c r="AA38" s="87"/>
      <c r="AB38" s="102"/>
      <c r="AC38" s="102"/>
      <c r="AD38" s="102"/>
    </row>
    <row r="39" spans="2:48" ht="17.100000000000001" customHeight="1">
      <c r="C39" s="109"/>
      <c r="D39" s="109"/>
      <c r="E39" s="109"/>
      <c r="F39" s="94"/>
      <c r="G39" s="87"/>
      <c r="H39" s="87"/>
      <c r="I39" s="87"/>
      <c r="J39" s="87"/>
      <c r="K39" s="87"/>
      <c r="L39" s="87"/>
      <c r="M39" s="87"/>
      <c r="N39" s="87"/>
      <c r="O39" s="87"/>
      <c r="P39" s="87"/>
      <c r="Q39" s="87"/>
      <c r="R39" s="87"/>
      <c r="S39" s="87"/>
      <c r="T39" s="302"/>
      <c r="U39" s="302"/>
      <c r="V39" s="302"/>
      <c r="W39" s="302"/>
      <c r="X39" s="302"/>
      <c r="Y39" s="302"/>
      <c r="Z39" s="302"/>
      <c r="AA39" s="302"/>
      <c r="AB39" s="302"/>
      <c r="AC39" s="302"/>
      <c r="AD39" s="302"/>
      <c r="AE39" s="302"/>
    </row>
    <row r="40" spans="2:48" ht="17.100000000000001" customHeight="1">
      <c r="C40" s="109"/>
      <c r="D40" s="109"/>
      <c r="E40" s="109"/>
      <c r="F40" s="94"/>
      <c r="G40" s="87"/>
      <c r="H40" s="87"/>
      <c r="I40" s="87"/>
      <c r="J40" s="87"/>
      <c r="K40" s="87"/>
      <c r="L40" s="87"/>
      <c r="M40" s="87"/>
      <c r="N40" s="87"/>
      <c r="O40" s="87"/>
      <c r="P40" s="103"/>
      <c r="Q40" s="103"/>
      <c r="R40" s="103"/>
      <c r="S40" s="103"/>
      <c r="T40" s="284"/>
      <c r="U40" s="284"/>
      <c r="V40" s="284"/>
      <c r="W40" s="284"/>
      <c r="X40" s="284"/>
      <c r="Y40" s="284"/>
      <c r="Z40" s="284"/>
      <c r="AA40" s="284"/>
      <c r="AB40" s="284"/>
      <c r="AC40" s="284"/>
      <c r="AD40" s="284"/>
      <c r="AE40" s="284"/>
    </row>
    <row r="41" spans="2:48" ht="17.100000000000001" customHeight="1">
      <c r="C41" s="109"/>
      <c r="D41" s="109"/>
      <c r="E41" s="109"/>
      <c r="F41" s="94"/>
      <c r="G41" s="87"/>
      <c r="H41" s="87"/>
      <c r="I41" s="87"/>
      <c r="J41" s="87"/>
      <c r="K41" s="87"/>
      <c r="L41" s="87"/>
      <c r="M41" s="87"/>
      <c r="N41" s="87"/>
      <c r="O41" s="87"/>
      <c r="P41" s="87"/>
      <c r="Q41" s="87"/>
      <c r="R41" s="87"/>
      <c r="S41" s="87"/>
      <c r="T41" s="284" t="str">
        <f>IF(AI41=0,AO41,IF(AI41=1,AK41,AT41))</f>
        <v>Trần Công Khanh</v>
      </c>
      <c r="U41" s="284"/>
      <c r="V41" s="284"/>
      <c r="W41" s="284"/>
      <c r="X41" s="284"/>
      <c r="Y41" s="284"/>
      <c r="Z41" s="284"/>
      <c r="AA41" s="284"/>
      <c r="AB41" s="284"/>
      <c r="AC41" s="284"/>
      <c r="AD41" s="284"/>
      <c r="AE41" s="284"/>
      <c r="AI41" s="84">
        <v>0</v>
      </c>
      <c r="AK41" s="84" t="s">
        <v>132</v>
      </c>
      <c r="AO41" s="84" t="s">
        <v>204</v>
      </c>
      <c r="AT41" s="84" t="s">
        <v>154</v>
      </c>
    </row>
    <row r="42" spans="2:48" ht="16.5">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110"/>
      <c r="AC42" s="110"/>
      <c r="AD42" s="110"/>
    </row>
    <row r="43" spans="2:48" ht="16.5" customHeight="1">
      <c r="B43" s="266" t="s">
        <v>133</v>
      </c>
      <c r="C43" s="266"/>
      <c r="D43" s="266"/>
      <c r="E43" s="266"/>
      <c r="F43" s="266"/>
      <c r="G43" s="266"/>
      <c r="H43" s="267" t="s">
        <v>111</v>
      </c>
      <c r="I43" s="267"/>
      <c r="J43" s="267"/>
      <c r="K43" s="267"/>
      <c r="L43" s="267"/>
      <c r="M43" s="267"/>
      <c r="N43" s="267"/>
      <c r="O43" s="267"/>
      <c r="P43" s="267"/>
      <c r="Q43" s="267"/>
      <c r="R43" s="267"/>
      <c r="S43" s="267"/>
      <c r="T43" s="267"/>
      <c r="U43" s="267"/>
      <c r="V43" s="267"/>
      <c r="W43" s="267"/>
      <c r="X43" s="267"/>
      <c r="Y43" s="267"/>
      <c r="Z43" s="267"/>
      <c r="AA43" s="267"/>
      <c r="AB43" s="267"/>
      <c r="AC43" s="267"/>
      <c r="AD43" s="267"/>
    </row>
    <row r="44" spans="2:48" ht="16.5" customHeight="1">
      <c r="B44" s="266"/>
      <c r="C44" s="266"/>
      <c r="D44" s="266"/>
      <c r="E44" s="266"/>
      <c r="F44" s="266"/>
      <c r="G44" s="266"/>
      <c r="H44" s="267"/>
      <c r="I44" s="267"/>
      <c r="J44" s="267"/>
      <c r="K44" s="267"/>
      <c r="L44" s="267"/>
      <c r="M44" s="267"/>
      <c r="N44" s="267"/>
      <c r="O44" s="267"/>
      <c r="P44" s="267"/>
      <c r="Q44" s="267"/>
      <c r="R44" s="267"/>
      <c r="S44" s="267"/>
      <c r="T44" s="267"/>
      <c r="U44" s="267"/>
      <c r="V44" s="267"/>
      <c r="W44" s="267"/>
      <c r="X44" s="267"/>
      <c r="Y44" s="267"/>
      <c r="Z44" s="267"/>
      <c r="AA44" s="267"/>
      <c r="AB44" s="267"/>
      <c r="AC44" s="267"/>
      <c r="AD44" s="267"/>
    </row>
    <row r="45" spans="2:48" ht="16.5" customHeight="1">
      <c r="B45" s="266"/>
      <c r="C45" s="266"/>
      <c r="D45" s="266"/>
      <c r="E45" s="266"/>
      <c r="F45" s="266"/>
      <c r="G45" s="266"/>
      <c r="H45" s="258" t="s">
        <v>3</v>
      </c>
      <c r="I45" s="258"/>
      <c r="J45" s="258"/>
      <c r="K45" s="258"/>
      <c r="L45" s="258" t="s">
        <v>4</v>
      </c>
      <c r="M45" s="258"/>
      <c r="N45" s="258" t="s">
        <v>134</v>
      </c>
      <c r="O45" s="258"/>
      <c r="P45" s="258"/>
      <c r="Q45" s="258" t="s">
        <v>6</v>
      </c>
      <c r="R45" s="258"/>
      <c r="S45" s="258"/>
      <c r="T45" s="258"/>
      <c r="U45" s="258"/>
      <c r="V45" s="258" t="s">
        <v>135</v>
      </c>
      <c r="W45" s="258"/>
      <c r="X45" s="258"/>
      <c r="Y45" s="258" t="s">
        <v>136</v>
      </c>
      <c r="Z45" s="258"/>
      <c r="AA45" s="258"/>
      <c r="AB45" s="258"/>
      <c r="AC45" s="258"/>
      <c r="AD45" s="258"/>
    </row>
    <row r="46" spans="2:48" ht="16.5" customHeight="1">
      <c r="B46" s="266"/>
      <c r="C46" s="266"/>
      <c r="D46" s="266"/>
      <c r="E46" s="266"/>
      <c r="F46" s="266"/>
      <c r="G46" s="266"/>
      <c r="H46" s="258"/>
      <c r="I46" s="258"/>
      <c r="J46" s="258"/>
      <c r="K46" s="258"/>
      <c r="L46" s="258"/>
      <c r="M46" s="258"/>
      <c r="N46" s="258"/>
      <c r="O46" s="258"/>
      <c r="P46" s="258"/>
      <c r="Q46" s="258"/>
      <c r="R46" s="258"/>
      <c r="S46" s="258"/>
      <c r="T46" s="258"/>
      <c r="U46" s="258"/>
      <c r="V46" s="258"/>
      <c r="W46" s="258"/>
      <c r="X46" s="258"/>
      <c r="Y46" s="258"/>
      <c r="Z46" s="258"/>
      <c r="AA46" s="258"/>
      <c r="AB46" s="258"/>
      <c r="AC46" s="258"/>
      <c r="AD46" s="258"/>
    </row>
    <row r="47" spans="2:48" ht="16.5" customHeight="1">
      <c r="B47" s="266"/>
      <c r="C47" s="266"/>
      <c r="D47" s="266"/>
      <c r="E47" s="266"/>
      <c r="F47" s="266"/>
      <c r="G47" s="266"/>
      <c r="H47" s="258"/>
      <c r="I47" s="258"/>
      <c r="J47" s="258"/>
      <c r="K47" s="258"/>
      <c r="L47" s="258"/>
      <c r="M47" s="258"/>
      <c r="N47" s="258"/>
      <c r="O47" s="258"/>
      <c r="P47" s="258"/>
      <c r="Q47" s="258"/>
      <c r="R47" s="258"/>
      <c r="S47" s="258"/>
      <c r="T47" s="258"/>
      <c r="U47" s="258"/>
      <c r="V47" s="258"/>
      <c r="W47" s="258"/>
      <c r="X47" s="258"/>
      <c r="Y47" s="258"/>
      <c r="Z47" s="258"/>
      <c r="AA47" s="258"/>
      <c r="AB47" s="258"/>
      <c r="AC47" s="258"/>
      <c r="AD47" s="258"/>
    </row>
    <row r="48" spans="2:48" ht="16.5" customHeight="1">
      <c r="B48" s="266"/>
      <c r="C48" s="266"/>
      <c r="D48" s="266"/>
      <c r="E48" s="266"/>
      <c r="F48" s="266"/>
      <c r="G48" s="266"/>
      <c r="H48" s="258"/>
      <c r="I48" s="258"/>
      <c r="J48" s="258"/>
      <c r="K48" s="258"/>
      <c r="L48" s="258"/>
      <c r="M48" s="258"/>
      <c r="N48" s="258"/>
      <c r="O48" s="258"/>
      <c r="P48" s="258"/>
      <c r="Q48" s="258"/>
      <c r="R48" s="258"/>
      <c r="S48" s="258"/>
      <c r="T48" s="258"/>
      <c r="U48" s="258"/>
      <c r="V48" s="258"/>
      <c r="W48" s="258"/>
      <c r="X48" s="258"/>
      <c r="Y48" s="258"/>
      <c r="Z48" s="258"/>
      <c r="AA48" s="258"/>
      <c r="AB48" s="258"/>
      <c r="AC48" s="258"/>
      <c r="AD48" s="258"/>
      <c r="AG48" s="84">
        <v>33</v>
      </c>
      <c r="AI48" s="84">
        <v>35</v>
      </c>
      <c r="AL48" s="84">
        <v>37</v>
      </c>
      <c r="AO48" s="84">
        <v>39</v>
      </c>
      <c r="AP48" s="84">
        <v>40</v>
      </c>
      <c r="AQ48" s="84">
        <v>41</v>
      </c>
      <c r="AS48" s="84">
        <v>42</v>
      </c>
      <c r="AT48" s="84">
        <v>43</v>
      </c>
      <c r="AU48" s="84">
        <v>44</v>
      </c>
      <c r="AV48" s="84">
        <v>45</v>
      </c>
    </row>
    <row r="49" spans="2:48" ht="18.75" customHeight="1">
      <c r="B49" s="258" t="str">
        <f>AG49</f>
        <v>CÔNG TY CỔ PHẦN VIỄN THÔNG DI ĐỘNG TOÀN CẦU</v>
      </c>
      <c r="C49" s="258"/>
      <c r="D49" s="258"/>
      <c r="E49" s="258"/>
      <c r="F49" s="258"/>
      <c r="G49" s="258"/>
      <c r="H49" s="259" t="str">
        <f>AI49</f>
        <v>TB1</v>
      </c>
      <c r="I49" s="259"/>
      <c r="J49" s="259"/>
      <c r="K49" s="259"/>
      <c r="L49" s="260">
        <v>2</v>
      </c>
      <c r="M49" s="260"/>
      <c r="N49" s="261" t="str">
        <f>AL49</f>
        <v>4/4/4</v>
      </c>
      <c r="O49" s="261"/>
      <c r="P49" s="261"/>
      <c r="Q49" s="258" t="str">
        <f>IF(L49=4,AO49&amp;"W/ "&amp;AP49&amp;"W/ "&amp;AQ49&amp;"W/ "&amp;AR49&amp;"W",IF(L49=3,AO49&amp;"W/ "&amp;AP49&amp;"W/ "&amp;AQ49&amp;"W",IF(L49=2,AO49&amp;"W/ "&amp;AP49&amp;"W",AO49&amp;"W")))</f>
        <v>20W/ 30W</v>
      </c>
      <c r="R49" s="258"/>
      <c r="S49" s="258"/>
      <c r="T49" s="258"/>
      <c r="U49" s="258"/>
      <c r="V49" s="258" t="str">
        <f>IF(AS49="900 &amp; 1800","900MHz &amp; 1800MHz",IF(AS49="900 &amp; 2100","900MHz &amp; 2100MHz",IF(AS49="1800 &amp; 2100","1800MHz &amp; 2100MHz",AS49&amp;"MHz")))</f>
        <v>900MHz</v>
      </c>
      <c r="W49" s="258"/>
      <c r="X49" s="258"/>
      <c r="Y49" s="258">
        <f>AT49</f>
        <v>15</v>
      </c>
      <c r="Z49" s="258"/>
      <c r="AA49" s="258"/>
      <c r="AB49" s="258"/>
      <c r="AC49" s="258"/>
      <c r="AD49" s="258"/>
      <c r="AG49" s="96" t="s">
        <v>155</v>
      </c>
      <c r="AI49" s="96" t="s">
        <v>137</v>
      </c>
      <c r="AJ49" s="96"/>
      <c r="AL49" s="100" t="s">
        <v>119</v>
      </c>
      <c r="AO49" s="84">
        <v>20</v>
      </c>
      <c r="AP49" s="84">
        <v>30</v>
      </c>
      <c r="AQ49" s="84">
        <v>40</v>
      </c>
      <c r="AS49" s="84">
        <v>900</v>
      </c>
      <c r="AT49" s="84">
        <v>15</v>
      </c>
      <c r="AU49" s="84">
        <v>16</v>
      </c>
      <c r="AV49" s="84">
        <v>17</v>
      </c>
    </row>
    <row r="50" spans="2:48" ht="18.75" customHeight="1">
      <c r="B50" s="258"/>
      <c r="C50" s="258"/>
      <c r="D50" s="258"/>
      <c r="E50" s="258"/>
      <c r="F50" s="258"/>
      <c r="G50" s="258"/>
      <c r="H50" s="259"/>
      <c r="I50" s="259"/>
      <c r="J50" s="259"/>
      <c r="K50" s="259"/>
      <c r="L50" s="260"/>
      <c r="M50" s="260"/>
      <c r="N50" s="261"/>
      <c r="O50" s="261"/>
      <c r="P50" s="261"/>
      <c r="Q50" s="258"/>
      <c r="R50" s="258"/>
      <c r="S50" s="258"/>
      <c r="T50" s="258"/>
      <c r="U50" s="258"/>
      <c r="V50" s="258"/>
      <c r="W50" s="258"/>
      <c r="X50" s="258"/>
      <c r="Y50" s="258"/>
      <c r="Z50" s="258"/>
      <c r="AA50" s="258"/>
      <c r="AB50" s="258"/>
      <c r="AC50" s="258"/>
      <c r="AD50" s="258"/>
    </row>
    <row r="51" spans="2:48" ht="18.75" customHeight="1">
      <c r="B51" s="258"/>
      <c r="C51" s="258"/>
      <c r="D51" s="258"/>
      <c r="E51" s="258"/>
      <c r="F51" s="258"/>
      <c r="G51" s="258"/>
      <c r="H51" s="259"/>
      <c r="I51" s="259"/>
      <c r="J51" s="259"/>
      <c r="K51" s="259"/>
      <c r="L51" s="260"/>
      <c r="M51" s="260"/>
      <c r="N51" s="261"/>
      <c r="O51" s="261"/>
      <c r="P51" s="261"/>
      <c r="Q51" s="258"/>
      <c r="R51" s="258"/>
      <c r="S51" s="258"/>
      <c r="T51" s="258"/>
      <c r="U51" s="258"/>
      <c r="V51" s="258"/>
      <c r="W51" s="258"/>
      <c r="X51" s="258"/>
      <c r="Y51" s="258"/>
      <c r="Z51" s="258"/>
      <c r="AA51" s="258"/>
      <c r="AB51" s="258"/>
      <c r="AC51" s="258"/>
      <c r="AD51" s="258"/>
    </row>
    <row r="52" spans="2:48" ht="18.75" customHeight="1">
      <c r="B52" s="258"/>
      <c r="C52" s="258"/>
      <c r="D52" s="258"/>
      <c r="E52" s="258"/>
      <c r="F52" s="258"/>
      <c r="G52" s="258"/>
      <c r="H52" s="259"/>
      <c r="I52" s="259"/>
      <c r="J52" s="259"/>
      <c r="K52" s="259"/>
      <c r="L52" s="260"/>
      <c r="M52" s="260"/>
      <c r="N52" s="261"/>
      <c r="O52" s="261"/>
      <c r="P52" s="261"/>
      <c r="Q52" s="258"/>
      <c r="R52" s="258"/>
      <c r="S52" s="258"/>
      <c r="T52" s="258"/>
      <c r="U52" s="258"/>
      <c r="V52" s="258"/>
      <c r="W52" s="258"/>
      <c r="X52" s="258"/>
      <c r="Y52" s="258"/>
      <c r="Z52" s="258"/>
      <c r="AA52" s="258"/>
      <c r="AB52" s="258"/>
      <c r="AC52" s="258"/>
      <c r="AD52" s="258"/>
    </row>
    <row r="53" spans="2:48" ht="18.75" customHeight="1">
      <c r="B53" s="258" t="str">
        <f t="shared" ref="B53" si="0">AG53</f>
        <v>CÔNG TY CỔ PHẦN VIỄN THÔNG DI ĐỘNG TOÀN CẦU</v>
      </c>
      <c r="C53" s="258"/>
      <c r="D53" s="258"/>
      <c r="E53" s="258"/>
      <c r="F53" s="258"/>
      <c r="G53" s="258"/>
      <c r="H53" s="259" t="str">
        <f>AI53</f>
        <v>TB1</v>
      </c>
      <c r="I53" s="259"/>
      <c r="J53" s="259"/>
      <c r="K53" s="259"/>
      <c r="L53" s="260">
        <v>4</v>
      </c>
      <c r="M53" s="260"/>
      <c r="N53" s="261" t="str">
        <f>AL53</f>
        <v>4/4/4</v>
      </c>
      <c r="O53" s="261"/>
      <c r="P53" s="261"/>
      <c r="Q53" s="258" t="str">
        <f>IF(L53=4,AO53&amp;"W/ "&amp;AP53&amp;"W/ "&amp;AQ53&amp;"W/ "&amp;AR53&amp;"W",IF(L53=3,AO53&amp;"W/ "&amp;AP53&amp;"W/ "&amp;AQ53&amp;"W",IF(L53=2,AO53&amp;"W/ "&amp;AP53&amp;"W",AO53&amp;"W")))</f>
        <v>20W/ 30W/ 40W/ W</v>
      </c>
      <c r="R53" s="258"/>
      <c r="S53" s="258"/>
      <c r="T53" s="258"/>
      <c r="U53" s="258"/>
      <c r="V53" s="258" t="str">
        <f>IF(AS53="900 &amp; 1800","900MHz &amp; 1800MHz",IF(AS53="900 &amp; 2100","900MHz &amp; 2100MHz",IF(AS53="1800 &amp; 2100","1800MHz &amp; 2100MHz",AS53&amp;"MHz")))</f>
        <v>1800MHz</v>
      </c>
      <c r="W53" s="258"/>
      <c r="X53" s="258"/>
      <c r="Y53" s="258">
        <f>AT53</f>
        <v>15</v>
      </c>
      <c r="Z53" s="258"/>
      <c r="AA53" s="258"/>
      <c r="AB53" s="258"/>
      <c r="AC53" s="258"/>
      <c r="AD53" s="258"/>
      <c r="AG53" s="96" t="s">
        <v>155</v>
      </c>
      <c r="AI53" s="96" t="s">
        <v>137</v>
      </c>
      <c r="AJ53" s="96"/>
      <c r="AL53" s="100" t="s">
        <v>119</v>
      </c>
      <c r="AO53" s="84">
        <v>20</v>
      </c>
      <c r="AP53" s="84">
        <v>30</v>
      </c>
      <c r="AQ53" s="84">
        <v>40</v>
      </c>
      <c r="AS53" s="84">
        <v>1800</v>
      </c>
      <c r="AT53" s="84">
        <v>15</v>
      </c>
      <c r="AU53" s="84">
        <v>16</v>
      </c>
      <c r="AV53" s="84">
        <v>17</v>
      </c>
    </row>
    <row r="54" spans="2:48" ht="18.75" customHeight="1">
      <c r="B54" s="258"/>
      <c r="C54" s="258"/>
      <c r="D54" s="258"/>
      <c r="E54" s="258"/>
      <c r="F54" s="258"/>
      <c r="G54" s="258"/>
      <c r="H54" s="259"/>
      <c r="I54" s="259"/>
      <c r="J54" s="259"/>
      <c r="K54" s="259"/>
      <c r="L54" s="260"/>
      <c r="M54" s="260"/>
      <c r="N54" s="261"/>
      <c r="O54" s="261"/>
      <c r="P54" s="261"/>
      <c r="Q54" s="258"/>
      <c r="R54" s="258"/>
      <c r="S54" s="258"/>
      <c r="T54" s="258"/>
      <c r="U54" s="258"/>
      <c r="V54" s="258"/>
      <c r="W54" s="258"/>
      <c r="X54" s="258"/>
      <c r="Y54" s="258"/>
      <c r="Z54" s="258"/>
      <c r="AA54" s="258"/>
      <c r="AB54" s="258"/>
      <c r="AC54" s="258"/>
      <c r="AD54" s="258"/>
      <c r="AG54" s="96"/>
      <c r="AI54" s="96"/>
      <c r="AJ54" s="96"/>
      <c r="AL54" s="100"/>
    </row>
    <row r="55" spans="2:48" ht="18.75" customHeight="1">
      <c r="B55" s="258"/>
      <c r="C55" s="258"/>
      <c r="D55" s="258"/>
      <c r="E55" s="258"/>
      <c r="F55" s="258"/>
      <c r="G55" s="258"/>
      <c r="H55" s="259"/>
      <c r="I55" s="259"/>
      <c r="J55" s="259"/>
      <c r="K55" s="259"/>
      <c r="L55" s="260"/>
      <c r="M55" s="260"/>
      <c r="N55" s="261"/>
      <c r="O55" s="261"/>
      <c r="P55" s="261"/>
      <c r="Q55" s="258"/>
      <c r="R55" s="258"/>
      <c r="S55" s="258"/>
      <c r="T55" s="258"/>
      <c r="U55" s="258"/>
      <c r="V55" s="258"/>
      <c r="W55" s="258"/>
      <c r="X55" s="258"/>
      <c r="Y55" s="258"/>
      <c r="Z55" s="258"/>
      <c r="AA55" s="258"/>
      <c r="AB55" s="258"/>
      <c r="AC55" s="258"/>
      <c r="AD55" s="258"/>
    </row>
    <row r="56" spans="2:48" ht="18.75" customHeight="1">
      <c r="B56" s="258"/>
      <c r="C56" s="258"/>
      <c r="D56" s="258"/>
      <c r="E56" s="258"/>
      <c r="F56" s="258"/>
      <c r="G56" s="258"/>
      <c r="H56" s="259"/>
      <c r="I56" s="259"/>
      <c r="J56" s="259"/>
      <c r="K56" s="259"/>
      <c r="L56" s="260"/>
      <c r="M56" s="260"/>
      <c r="N56" s="261"/>
      <c r="O56" s="261"/>
      <c r="P56" s="261"/>
      <c r="Q56" s="258"/>
      <c r="R56" s="258"/>
      <c r="S56" s="258"/>
      <c r="T56" s="258"/>
      <c r="U56" s="258"/>
      <c r="V56" s="258"/>
      <c r="W56" s="258"/>
      <c r="X56" s="258"/>
      <c r="Y56" s="258"/>
      <c r="Z56" s="258"/>
      <c r="AA56" s="258"/>
      <c r="AB56" s="258"/>
      <c r="AC56" s="258"/>
      <c r="AD56" s="258"/>
    </row>
    <row r="57" spans="2:48" ht="18.75" customHeight="1">
      <c r="B57" s="258" t="str">
        <f t="shared" ref="B57" si="1">AG57</f>
        <v>CÔNG TY CỔ PHẦN VIỄN THÔNG DI ĐỘNG TOÀN CẦU</v>
      </c>
      <c r="C57" s="258"/>
      <c r="D57" s="258"/>
      <c r="E57" s="258"/>
      <c r="F57" s="258"/>
      <c r="G57" s="258"/>
      <c r="H57" s="259" t="str">
        <f>AI57</f>
        <v>TB1</v>
      </c>
      <c r="I57" s="259"/>
      <c r="J57" s="259"/>
      <c r="K57" s="259"/>
      <c r="L57" s="260">
        <v>3</v>
      </c>
      <c r="M57" s="260"/>
      <c r="N57" s="261" t="str">
        <f t="shared" ref="N57" si="2">AL57</f>
        <v>4/4/4</v>
      </c>
      <c r="O57" s="261"/>
      <c r="P57" s="261"/>
      <c r="Q57" s="258" t="str">
        <f>IF(L57=4,AO57&amp;"W/ "&amp;AP57&amp;"W/ "&amp;AQ57&amp;"W/ "&amp;AR57&amp;"W",IF(L57=3,AO57&amp;"W/ "&amp;AP57&amp;"W/ "&amp;AQ57&amp;"W",IF(L57=2,AO57&amp;"W/ "&amp;AP57&amp;"W",AO57&amp;"W")))</f>
        <v>20W/ 30W/ 40W</v>
      </c>
      <c r="R57" s="258"/>
      <c r="S57" s="258"/>
      <c r="T57" s="258"/>
      <c r="U57" s="258"/>
      <c r="V57" s="258" t="str">
        <f>IF(AS57="900 &amp; 1800","900MHz &amp; 1800MHz",IF(AS57="900 &amp; 2100","900MHz &amp; 2100MHz",IF(AS57="1800 &amp; 2100","1800MHz &amp; 2100MHz",AS57&amp;"MHz")))</f>
        <v>900MHz &amp; 1800MHz</v>
      </c>
      <c r="W57" s="258"/>
      <c r="X57" s="258"/>
      <c r="Y57" s="258">
        <f>AT57</f>
        <v>15</v>
      </c>
      <c r="Z57" s="258"/>
      <c r="AA57" s="258"/>
      <c r="AB57" s="258"/>
      <c r="AC57" s="258"/>
      <c r="AD57" s="258"/>
      <c r="AG57" s="96" t="s">
        <v>155</v>
      </c>
      <c r="AI57" s="96" t="s">
        <v>137</v>
      </c>
      <c r="AJ57" s="96"/>
      <c r="AL57" s="100" t="s">
        <v>119</v>
      </c>
      <c r="AO57" s="84">
        <v>20</v>
      </c>
      <c r="AP57" s="84">
        <v>30</v>
      </c>
      <c r="AQ57" s="84">
        <v>40</v>
      </c>
      <c r="AS57" s="84" t="s">
        <v>199</v>
      </c>
      <c r="AT57" s="84">
        <v>15</v>
      </c>
      <c r="AU57" s="84">
        <v>16</v>
      </c>
      <c r="AV57" s="84">
        <v>17</v>
      </c>
    </row>
    <row r="58" spans="2:48" ht="18.75" customHeight="1">
      <c r="B58" s="258"/>
      <c r="C58" s="258"/>
      <c r="D58" s="258"/>
      <c r="E58" s="258"/>
      <c r="F58" s="258"/>
      <c r="G58" s="258"/>
      <c r="H58" s="259"/>
      <c r="I58" s="259"/>
      <c r="J58" s="259"/>
      <c r="K58" s="259"/>
      <c r="L58" s="260"/>
      <c r="M58" s="260"/>
      <c r="N58" s="261"/>
      <c r="O58" s="261"/>
      <c r="P58" s="261"/>
      <c r="Q58" s="258"/>
      <c r="R58" s="258"/>
      <c r="S58" s="258"/>
      <c r="T58" s="258"/>
      <c r="U58" s="258"/>
      <c r="V58" s="258"/>
      <c r="W58" s="258"/>
      <c r="X58" s="258"/>
      <c r="Y58" s="258"/>
      <c r="Z58" s="258"/>
      <c r="AA58" s="258"/>
      <c r="AB58" s="258"/>
      <c r="AC58" s="258"/>
      <c r="AD58" s="258"/>
      <c r="AG58" s="96"/>
      <c r="AI58" s="96"/>
      <c r="AJ58" s="96"/>
      <c r="AL58" s="100"/>
    </row>
    <row r="59" spans="2:48" ht="18.75" customHeight="1">
      <c r="B59" s="258"/>
      <c r="C59" s="258"/>
      <c r="D59" s="258"/>
      <c r="E59" s="258"/>
      <c r="F59" s="258"/>
      <c r="G59" s="258"/>
      <c r="H59" s="259"/>
      <c r="I59" s="259"/>
      <c r="J59" s="259"/>
      <c r="K59" s="259"/>
      <c r="L59" s="260"/>
      <c r="M59" s="260"/>
      <c r="N59" s="261"/>
      <c r="O59" s="261"/>
      <c r="P59" s="261"/>
      <c r="Q59" s="258"/>
      <c r="R59" s="258"/>
      <c r="S59" s="258"/>
      <c r="T59" s="258"/>
      <c r="U59" s="258"/>
      <c r="V59" s="258"/>
      <c r="W59" s="258"/>
      <c r="X59" s="258"/>
      <c r="Y59" s="258"/>
      <c r="Z59" s="258"/>
      <c r="AA59" s="258"/>
      <c r="AB59" s="258"/>
      <c r="AC59" s="258"/>
      <c r="AD59" s="258"/>
    </row>
    <row r="60" spans="2:48" ht="18.75" customHeight="1">
      <c r="B60" s="258"/>
      <c r="C60" s="258"/>
      <c r="D60" s="258"/>
      <c r="E60" s="258"/>
      <c r="F60" s="258"/>
      <c r="G60" s="258"/>
      <c r="H60" s="259"/>
      <c r="I60" s="259"/>
      <c r="J60" s="259"/>
      <c r="K60" s="259"/>
      <c r="L60" s="260"/>
      <c r="M60" s="260"/>
      <c r="N60" s="261"/>
      <c r="O60" s="261"/>
      <c r="P60" s="261"/>
      <c r="Q60" s="258"/>
      <c r="R60" s="258"/>
      <c r="S60" s="258"/>
      <c r="T60" s="258"/>
      <c r="U60" s="258"/>
      <c r="V60" s="258"/>
      <c r="W60" s="258"/>
      <c r="X60" s="258"/>
      <c r="Y60" s="258"/>
      <c r="Z60" s="258"/>
      <c r="AA60" s="258"/>
      <c r="AB60" s="258"/>
      <c r="AC60" s="258"/>
      <c r="AD60" s="258"/>
    </row>
    <row r="61" spans="2:48" ht="18.75" customHeight="1">
      <c r="B61" s="258" t="str">
        <f t="shared" ref="B61" si="3">AG61</f>
        <v>CÔNG TY CỔ PHẦN VIỄN THÔNG DI ĐỘNG TOÀN CẦU</v>
      </c>
      <c r="C61" s="258"/>
      <c r="D61" s="258"/>
      <c r="E61" s="258"/>
      <c r="F61" s="258"/>
      <c r="G61" s="258"/>
      <c r="H61" s="259" t="str">
        <f>AI61</f>
        <v>TB1</v>
      </c>
      <c r="I61" s="259"/>
      <c r="J61" s="259"/>
      <c r="K61" s="259"/>
      <c r="L61" s="260">
        <v>2</v>
      </c>
      <c r="M61" s="260"/>
      <c r="N61" s="261" t="str">
        <f t="shared" ref="N61" si="4">AL61</f>
        <v>4/4/4</v>
      </c>
      <c r="O61" s="261"/>
      <c r="P61" s="261"/>
      <c r="Q61" s="258" t="str">
        <f>IF(L61=4,AO61&amp;"W/ "&amp;AP61&amp;"W/ "&amp;AQ61&amp;"W/ "&amp;AR61&amp;"W",IF(L61=3,AO61&amp;"W/ "&amp;AP61&amp;"W/ "&amp;AQ61&amp;"W",IF(L61=2,AO61&amp;"W/ "&amp;AP61&amp;"W",AO61&amp;"W")))</f>
        <v>20W/ 30W</v>
      </c>
      <c r="R61" s="258"/>
      <c r="S61" s="258"/>
      <c r="T61" s="258"/>
      <c r="U61" s="258"/>
      <c r="V61" s="258" t="str">
        <f>IF(AS61="900 &amp; 1800","900MHz &amp; 1800MHz",IF(AS61="900 &amp; 2100","900MHz &amp; 2100MHz",IF(AS61="1800 &amp; 2100","1800MHz &amp; 2100MHz",AS61&amp;"MHz")))</f>
        <v>9000 &amp; 2100MHz</v>
      </c>
      <c r="W61" s="258"/>
      <c r="X61" s="258"/>
      <c r="Y61" s="258">
        <f>AT61</f>
        <v>15</v>
      </c>
      <c r="Z61" s="258"/>
      <c r="AA61" s="258"/>
      <c r="AB61" s="258"/>
      <c r="AC61" s="258"/>
      <c r="AD61" s="258"/>
      <c r="AG61" s="96" t="s">
        <v>155</v>
      </c>
      <c r="AI61" s="96" t="s">
        <v>137</v>
      </c>
      <c r="AJ61" s="96"/>
      <c r="AL61" s="100" t="s">
        <v>119</v>
      </c>
      <c r="AO61" s="84">
        <v>20</v>
      </c>
      <c r="AP61" s="84">
        <v>30</v>
      </c>
      <c r="AQ61" s="84">
        <v>40</v>
      </c>
      <c r="AS61" s="84" t="s">
        <v>201</v>
      </c>
      <c r="AT61" s="84">
        <v>15</v>
      </c>
      <c r="AU61" s="84">
        <v>16</v>
      </c>
      <c r="AV61" s="84">
        <v>17</v>
      </c>
    </row>
    <row r="62" spans="2:48" ht="18.75" customHeight="1">
      <c r="B62" s="258"/>
      <c r="C62" s="258"/>
      <c r="D62" s="258"/>
      <c r="E62" s="258"/>
      <c r="F62" s="258"/>
      <c r="G62" s="258"/>
      <c r="H62" s="259"/>
      <c r="I62" s="259"/>
      <c r="J62" s="259"/>
      <c r="K62" s="259"/>
      <c r="L62" s="260"/>
      <c r="M62" s="260"/>
      <c r="N62" s="261"/>
      <c r="O62" s="261"/>
      <c r="P62" s="261"/>
      <c r="Q62" s="258"/>
      <c r="R62" s="258"/>
      <c r="S62" s="258"/>
      <c r="T62" s="258"/>
      <c r="U62" s="258"/>
      <c r="V62" s="258"/>
      <c r="W62" s="258"/>
      <c r="X62" s="258"/>
      <c r="Y62" s="258"/>
      <c r="Z62" s="258"/>
      <c r="AA62" s="258"/>
      <c r="AB62" s="258"/>
      <c r="AC62" s="258"/>
      <c r="AD62" s="258"/>
      <c r="AG62" s="96"/>
      <c r="AI62" s="96"/>
      <c r="AJ62" s="96"/>
      <c r="AL62" s="100"/>
    </row>
    <row r="63" spans="2:48" ht="18.75" customHeight="1">
      <c r="B63" s="258"/>
      <c r="C63" s="258"/>
      <c r="D63" s="258"/>
      <c r="E63" s="258"/>
      <c r="F63" s="258"/>
      <c r="G63" s="258"/>
      <c r="H63" s="259"/>
      <c r="I63" s="259"/>
      <c r="J63" s="259"/>
      <c r="K63" s="259"/>
      <c r="L63" s="260"/>
      <c r="M63" s="260"/>
      <c r="N63" s="261"/>
      <c r="O63" s="261"/>
      <c r="P63" s="261"/>
      <c r="Q63" s="258"/>
      <c r="R63" s="258"/>
      <c r="S63" s="258"/>
      <c r="T63" s="258"/>
      <c r="U63" s="258"/>
      <c r="V63" s="258"/>
      <c r="W63" s="258"/>
      <c r="X63" s="258"/>
      <c r="Y63" s="258"/>
      <c r="Z63" s="258"/>
      <c r="AA63" s="258"/>
      <c r="AB63" s="258"/>
      <c r="AC63" s="258"/>
      <c r="AD63" s="258"/>
    </row>
    <row r="64" spans="2:48" ht="18.75" customHeight="1">
      <c r="B64" s="258"/>
      <c r="C64" s="258"/>
      <c r="D64" s="258"/>
      <c r="E64" s="258"/>
      <c r="F64" s="258"/>
      <c r="G64" s="258"/>
      <c r="H64" s="259"/>
      <c r="I64" s="259"/>
      <c r="J64" s="259"/>
      <c r="K64" s="259"/>
      <c r="L64" s="260"/>
      <c r="M64" s="260"/>
      <c r="N64" s="261"/>
      <c r="O64" s="261"/>
      <c r="P64" s="261"/>
      <c r="Q64" s="258"/>
      <c r="R64" s="258"/>
      <c r="S64" s="258"/>
      <c r="T64" s="258"/>
      <c r="U64" s="258"/>
      <c r="V64" s="258"/>
      <c r="W64" s="258"/>
      <c r="X64" s="258"/>
      <c r="Y64" s="258"/>
      <c r="Z64" s="258"/>
      <c r="AA64" s="258"/>
      <c r="AB64" s="258"/>
      <c r="AC64" s="258"/>
      <c r="AD64" s="258"/>
    </row>
    <row r="65" spans="2:48" ht="18.75" customHeight="1">
      <c r="B65" s="258" t="str">
        <f t="shared" ref="B65" si="5">AG65</f>
        <v>CÔNG TY CỔ PHẦN VIỄN THÔNG DI ĐỘNG TOÀN CẦU</v>
      </c>
      <c r="C65" s="258"/>
      <c r="D65" s="258"/>
      <c r="E65" s="258"/>
      <c r="F65" s="258"/>
      <c r="G65" s="258"/>
      <c r="H65" s="259" t="str">
        <f>AI65</f>
        <v>TB1</v>
      </c>
      <c r="I65" s="259"/>
      <c r="J65" s="259"/>
      <c r="K65" s="259"/>
      <c r="L65" s="260">
        <v>1</v>
      </c>
      <c r="M65" s="260"/>
      <c r="N65" s="261" t="str">
        <f t="shared" ref="N65" si="6">AL65</f>
        <v>4/4/4</v>
      </c>
      <c r="O65" s="261"/>
      <c r="P65" s="261"/>
      <c r="Q65" s="258" t="str">
        <f>IF(L65=4,AO65&amp;"W/ "&amp;AP65&amp;"W/ "&amp;AQ65&amp;"W/ "&amp;AR65&amp;"W",IF(L65=3,AO65&amp;"W/ "&amp;AP65&amp;"W/ "&amp;AQ65&amp;"W",IF(L65=2,AO65&amp;"W/ "&amp;AP65&amp;"W",AO65&amp;"W")))</f>
        <v>20W</v>
      </c>
      <c r="R65" s="258"/>
      <c r="S65" s="258"/>
      <c r="T65" s="258"/>
      <c r="U65" s="258"/>
      <c r="V65" s="258" t="str">
        <f>IF(AS65="900 &amp; 1800","900MHz &amp; 1800MHz",IF(AS65="900 &amp; 2100","900MHz &amp; 2100MHz",IF(AS65="1800 &amp; 2100","1800MHz &amp; 2100MHz",AS65&amp;"MHz")))</f>
        <v>1800MHz &amp; 2100MHz</v>
      </c>
      <c r="W65" s="258"/>
      <c r="X65" s="258"/>
      <c r="Y65" s="258">
        <f>AT65</f>
        <v>15</v>
      </c>
      <c r="Z65" s="258"/>
      <c r="AA65" s="258"/>
      <c r="AB65" s="258"/>
      <c r="AC65" s="258"/>
      <c r="AD65" s="258"/>
      <c r="AG65" s="96" t="s">
        <v>155</v>
      </c>
      <c r="AI65" s="96" t="s">
        <v>137</v>
      </c>
      <c r="AJ65" s="96"/>
      <c r="AL65" s="100" t="s">
        <v>119</v>
      </c>
      <c r="AO65" s="84">
        <v>20</v>
      </c>
      <c r="AP65" s="84">
        <v>30</v>
      </c>
      <c r="AQ65" s="84">
        <v>40</v>
      </c>
      <c r="AS65" s="84" t="s">
        <v>202</v>
      </c>
      <c r="AT65" s="84">
        <v>15</v>
      </c>
      <c r="AU65" s="84">
        <v>16</v>
      </c>
      <c r="AV65" s="84">
        <v>17</v>
      </c>
    </row>
    <row r="66" spans="2:48" ht="18.75" customHeight="1">
      <c r="B66" s="258"/>
      <c r="C66" s="258"/>
      <c r="D66" s="258"/>
      <c r="E66" s="258"/>
      <c r="F66" s="258"/>
      <c r="G66" s="258"/>
      <c r="H66" s="259"/>
      <c r="I66" s="259"/>
      <c r="J66" s="259"/>
      <c r="K66" s="259"/>
      <c r="L66" s="260"/>
      <c r="M66" s="260"/>
      <c r="N66" s="261"/>
      <c r="O66" s="261"/>
      <c r="P66" s="261"/>
      <c r="Q66" s="258"/>
      <c r="R66" s="258"/>
      <c r="S66" s="258"/>
      <c r="T66" s="258"/>
      <c r="U66" s="258"/>
      <c r="V66" s="258"/>
      <c r="W66" s="258"/>
      <c r="X66" s="258"/>
      <c r="Y66" s="258"/>
      <c r="Z66" s="258"/>
      <c r="AA66" s="258"/>
      <c r="AB66" s="258"/>
      <c r="AC66" s="258"/>
      <c r="AD66" s="258"/>
    </row>
    <row r="67" spans="2:48" ht="18.75" customHeight="1">
      <c r="B67" s="258"/>
      <c r="C67" s="258"/>
      <c r="D67" s="258"/>
      <c r="E67" s="258"/>
      <c r="F67" s="258"/>
      <c r="G67" s="258"/>
      <c r="H67" s="259"/>
      <c r="I67" s="259"/>
      <c r="J67" s="259"/>
      <c r="K67" s="259"/>
      <c r="L67" s="260"/>
      <c r="M67" s="260"/>
      <c r="N67" s="261"/>
      <c r="O67" s="261"/>
      <c r="P67" s="261"/>
      <c r="Q67" s="258"/>
      <c r="R67" s="258"/>
      <c r="S67" s="258"/>
      <c r="T67" s="258"/>
      <c r="U67" s="258"/>
      <c r="V67" s="258"/>
      <c r="W67" s="258"/>
      <c r="X67" s="258"/>
      <c r="Y67" s="258"/>
      <c r="Z67" s="258"/>
      <c r="AA67" s="258"/>
      <c r="AB67" s="258"/>
      <c r="AC67" s="258"/>
      <c r="AD67" s="258"/>
    </row>
    <row r="68" spans="2:48" ht="18.75" customHeight="1">
      <c r="B68" s="258"/>
      <c r="C68" s="258"/>
      <c r="D68" s="258"/>
      <c r="E68" s="258"/>
      <c r="F68" s="258"/>
      <c r="G68" s="258"/>
      <c r="H68" s="259"/>
      <c r="I68" s="259"/>
      <c r="J68" s="259"/>
      <c r="K68" s="259"/>
      <c r="L68" s="260"/>
      <c r="M68" s="260"/>
      <c r="N68" s="261"/>
      <c r="O68" s="261"/>
      <c r="P68" s="261"/>
      <c r="Q68" s="258"/>
      <c r="R68" s="258"/>
      <c r="S68" s="258"/>
      <c r="T68" s="258"/>
      <c r="U68" s="258"/>
      <c r="V68" s="258"/>
      <c r="W68" s="258"/>
      <c r="X68" s="258"/>
      <c r="Y68" s="258"/>
      <c r="Z68" s="258"/>
      <c r="AA68" s="258"/>
      <c r="AB68" s="258"/>
      <c r="AC68" s="258"/>
      <c r="AD68" s="258"/>
    </row>
    <row r="69" spans="2:48" ht="18.75" customHeight="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row>
    <row r="70" spans="2:48" ht="18.75" customHeight="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row>
    <row r="71" spans="2:48" ht="18.75" customHeight="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row>
    <row r="72" spans="2:48" ht="18.75" customHeight="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row>
    <row r="73" spans="2:48" ht="18.75" customHeight="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row>
    <row r="74" spans="2:48" ht="18.75" customHeight="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row>
    <row r="75" spans="2:48" ht="18.75" customHeight="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row>
    <row r="76" spans="2:48" ht="18.75" customHeight="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row>
    <row r="77" spans="2:48" ht="18.75" customHeight="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row>
    <row r="78" spans="2:48" ht="18.75" customHeight="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row>
    <row r="79" spans="2:48" ht="18.75" customHeight="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row>
    <row r="80" spans="2:48" ht="18.75" customHeight="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row>
    <row r="81" spans="3:30" ht="18.75" customHeight="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row>
    <row r="82" spans="3:30" ht="18.75" customHeight="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row>
    <row r="83" spans="3:30" ht="18.75" customHeight="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row>
    <row r="84" spans="3:30" ht="18.75" customHeight="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row>
    <row r="85" spans="3:30" ht="18.75" customHeight="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row>
    <row r="86" spans="3:30" ht="18.75" customHeight="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row>
    <row r="87" spans="3:30" ht="18.75" customHeight="1">
      <c r="C87" s="111"/>
      <c r="D87" s="111"/>
      <c r="E87" s="111"/>
      <c r="F87" s="111"/>
      <c r="G87" s="111"/>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row>
    <row r="88" spans="3:30" ht="18.75" customHeight="1">
      <c r="C88" s="111"/>
      <c r="D88" s="111"/>
      <c r="E88" s="111"/>
      <c r="F88" s="111"/>
      <c r="G88" s="111"/>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row>
    <row r="89" spans="3:30" ht="18.75" customHeight="1">
      <c r="C89" s="111"/>
      <c r="D89" s="111"/>
      <c r="E89" s="111"/>
      <c r="F89" s="111"/>
      <c r="G89" s="111"/>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row>
    <row r="90" spans="3:30" ht="18.75" customHeight="1">
      <c r="C90" s="111"/>
      <c r="D90" s="111"/>
      <c r="E90" s="111"/>
      <c r="F90" s="111"/>
      <c r="G90" s="111"/>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row>
    <row r="91" spans="3:30" ht="18.75" customHeight="1">
      <c r="C91" s="111"/>
      <c r="D91" s="111"/>
      <c r="E91" s="111"/>
      <c r="F91" s="111"/>
      <c r="G91" s="111"/>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row>
    <row r="92" spans="3:30">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row>
    <row r="93" spans="3:30">
      <c r="C93" s="111"/>
      <c r="D93" s="111"/>
      <c r="E93" s="111"/>
      <c r="F93" s="111"/>
      <c r="G93" s="111"/>
      <c r="H93" s="111"/>
      <c r="I93" s="111"/>
      <c r="J93" s="111"/>
      <c r="K93" s="111"/>
      <c r="L93" s="111"/>
      <c r="M93" s="111"/>
      <c r="N93" s="111"/>
      <c r="O93" s="111"/>
      <c r="P93" s="111"/>
      <c r="Q93" s="111"/>
      <c r="R93" s="111"/>
      <c r="S93" s="111"/>
      <c r="T93" s="111"/>
      <c r="U93" s="111"/>
      <c r="V93" s="111"/>
      <c r="W93" s="111"/>
      <c r="X93" s="111"/>
      <c r="Y93" s="111"/>
      <c r="Z93" s="111"/>
      <c r="AA93" s="111"/>
      <c r="AB93" s="111"/>
      <c r="AC93" s="111"/>
      <c r="AD93" s="111"/>
    </row>
    <row r="94" spans="3:30">
      <c r="C94" s="111"/>
      <c r="D94" s="111"/>
      <c r="E94" s="111"/>
      <c r="F94" s="111"/>
      <c r="G94" s="111"/>
      <c r="H94" s="111"/>
      <c r="I94" s="111"/>
      <c r="J94" s="111"/>
      <c r="K94" s="111"/>
      <c r="L94" s="111"/>
      <c r="M94" s="111"/>
      <c r="N94" s="111"/>
      <c r="O94" s="111"/>
      <c r="P94" s="111"/>
      <c r="Q94" s="111"/>
      <c r="R94" s="111"/>
      <c r="S94" s="111"/>
      <c r="T94" s="111"/>
      <c r="U94" s="111"/>
      <c r="V94" s="111"/>
      <c r="W94" s="111"/>
      <c r="X94" s="111"/>
      <c r="Y94" s="111"/>
      <c r="Z94" s="111"/>
      <c r="AA94" s="111"/>
      <c r="AB94" s="111"/>
      <c r="AC94" s="111"/>
      <c r="AD94" s="111"/>
    </row>
    <row r="95" spans="3:30">
      <c r="C95" s="111"/>
      <c r="D95" s="111"/>
      <c r="E95" s="111"/>
      <c r="F95" s="111"/>
      <c r="G95" s="111"/>
      <c r="H95" s="111"/>
      <c r="I95" s="111"/>
      <c r="J95" s="111"/>
      <c r="K95" s="111"/>
      <c r="L95" s="111"/>
      <c r="M95" s="111"/>
      <c r="N95" s="111"/>
      <c r="O95" s="111"/>
      <c r="P95" s="111"/>
      <c r="Q95" s="111"/>
      <c r="R95" s="111"/>
      <c r="S95" s="111"/>
      <c r="T95" s="111"/>
      <c r="U95" s="111"/>
      <c r="V95" s="111"/>
      <c r="W95" s="111"/>
      <c r="X95" s="111"/>
      <c r="Y95" s="111"/>
      <c r="Z95" s="111"/>
      <c r="AA95" s="111"/>
      <c r="AB95" s="111"/>
      <c r="AC95" s="111"/>
      <c r="AD95" s="111"/>
    </row>
    <row r="96" spans="3:30">
      <c r="C96" s="111"/>
      <c r="D96" s="111"/>
      <c r="E96" s="111"/>
      <c r="F96" s="111"/>
      <c r="G96" s="111"/>
      <c r="H96" s="111"/>
      <c r="I96" s="111"/>
      <c r="J96" s="111"/>
      <c r="K96" s="111"/>
      <c r="L96" s="111"/>
      <c r="M96" s="111"/>
      <c r="N96" s="111"/>
      <c r="O96" s="111"/>
      <c r="P96" s="111"/>
      <c r="Q96" s="111"/>
      <c r="R96" s="111"/>
      <c r="S96" s="111"/>
      <c r="T96" s="111"/>
      <c r="U96" s="111"/>
      <c r="V96" s="111"/>
      <c r="W96" s="111"/>
      <c r="X96" s="111"/>
      <c r="Y96" s="111"/>
      <c r="Z96" s="111"/>
      <c r="AA96" s="111"/>
      <c r="AB96" s="111"/>
      <c r="AC96" s="111"/>
      <c r="AD96" s="111"/>
    </row>
    <row r="97" spans="3:30">
      <c r="C97" s="111"/>
      <c r="D97" s="111"/>
      <c r="E97" s="111"/>
      <c r="F97" s="111"/>
      <c r="G97" s="111"/>
      <c r="H97" s="111"/>
      <c r="I97" s="111"/>
      <c r="J97" s="111"/>
      <c r="K97" s="111"/>
      <c r="L97" s="111"/>
      <c r="M97" s="111"/>
      <c r="N97" s="111"/>
      <c r="O97" s="111"/>
      <c r="P97" s="111"/>
      <c r="Q97" s="111"/>
      <c r="R97" s="111"/>
      <c r="S97" s="111"/>
      <c r="T97" s="111"/>
      <c r="U97" s="111"/>
      <c r="V97" s="111"/>
      <c r="W97" s="111"/>
      <c r="X97" s="111"/>
      <c r="Y97" s="111"/>
      <c r="Z97" s="111"/>
      <c r="AA97" s="111"/>
      <c r="AB97" s="111"/>
      <c r="AC97" s="111"/>
      <c r="AD97" s="111"/>
    </row>
    <row r="98" spans="3:30">
      <c r="C98" s="111"/>
      <c r="D98" s="111"/>
      <c r="E98" s="111"/>
      <c r="F98" s="111"/>
      <c r="G98" s="111"/>
      <c r="H98" s="111"/>
      <c r="I98" s="111"/>
      <c r="J98" s="111"/>
      <c r="K98" s="111"/>
      <c r="L98" s="111"/>
      <c r="M98" s="111"/>
      <c r="N98" s="111"/>
      <c r="O98" s="111"/>
      <c r="P98" s="111"/>
      <c r="Q98" s="111"/>
      <c r="R98" s="111"/>
      <c r="S98" s="111"/>
      <c r="T98" s="111"/>
      <c r="U98" s="111"/>
      <c r="V98" s="111"/>
      <c r="W98" s="111"/>
      <c r="X98" s="111"/>
      <c r="Y98" s="111"/>
      <c r="Z98" s="111"/>
      <c r="AA98" s="111"/>
      <c r="AB98" s="111"/>
      <c r="AC98" s="111"/>
      <c r="AD98" s="111"/>
    </row>
  </sheetData>
  <mergeCells count="97">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19" workbookViewId="0">
      <selection activeCell="AO29" sqref="AO29:AR29"/>
    </sheetView>
  </sheetViews>
  <sheetFormatPr defaultColWidth="9.140625" defaultRowHeight="12.75"/>
  <cols>
    <col min="1" max="12" width="3.140625" style="84" customWidth="1"/>
    <col min="13" max="30" width="3.28515625" style="84" customWidth="1"/>
    <col min="31" max="31" width="3.140625" style="111" customWidth="1"/>
    <col min="32" max="117" width="3.140625" style="84" customWidth="1"/>
    <col min="118" max="16384" width="9.140625" style="84"/>
  </cols>
  <sheetData>
    <row r="1" spans="2:49" ht="19.7" customHeight="1">
      <c r="B1" s="293" t="s">
        <v>103</v>
      </c>
      <c r="C1" s="293"/>
      <c r="D1" s="293"/>
      <c r="E1" s="293"/>
      <c r="F1" s="293"/>
      <c r="G1" s="293"/>
      <c r="H1" s="293"/>
      <c r="I1" s="293"/>
      <c r="J1" s="293"/>
      <c r="K1" s="293"/>
      <c r="L1" s="293"/>
      <c r="M1" s="293"/>
      <c r="N1" s="85"/>
      <c r="O1" s="85"/>
      <c r="P1" s="284" t="s">
        <v>104</v>
      </c>
      <c r="Q1" s="284"/>
      <c r="R1" s="284"/>
      <c r="S1" s="284"/>
      <c r="T1" s="284"/>
      <c r="U1" s="284"/>
      <c r="V1" s="284"/>
      <c r="W1" s="284"/>
      <c r="X1" s="284"/>
      <c r="Y1" s="284"/>
      <c r="Z1" s="284"/>
      <c r="AA1" s="284"/>
      <c r="AB1" s="284"/>
      <c r="AC1" s="284"/>
      <c r="AD1" s="284"/>
      <c r="AE1" s="103"/>
    </row>
    <row r="2" spans="2:49" ht="19.7" customHeight="1">
      <c r="C2" s="293" t="s">
        <v>105</v>
      </c>
      <c r="D2" s="293"/>
      <c r="E2" s="293"/>
      <c r="F2" s="293"/>
      <c r="G2" s="293"/>
      <c r="H2" s="293"/>
      <c r="I2" s="293"/>
      <c r="J2" s="293"/>
      <c r="K2" s="293"/>
      <c r="L2" s="293"/>
      <c r="M2" s="85"/>
      <c r="N2" s="152"/>
      <c r="O2" s="85"/>
      <c r="P2" s="294" t="s">
        <v>173</v>
      </c>
      <c r="Q2" s="294"/>
      <c r="R2" s="294"/>
      <c r="S2" s="294"/>
      <c r="T2" s="294"/>
      <c r="U2" s="294"/>
      <c r="V2" s="294"/>
      <c r="W2" s="294"/>
      <c r="X2" s="294"/>
      <c r="Y2" s="294"/>
      <c r="Z2" s="294"/>
      <c r="AA2" s="294"/>
      <c r="AB2" s="294"/>
      <c r="AC2" s="294"/>
      <c r="AD2" s="294"/>
    </row>
    <row r="3" spans="2:49" ht="8.4499999999999993" customHeight="1">
      <c r="C3" s="150"/>
      <c r="D3" s="150"/>
      <c r="E3" s="154"/>
      <c r="F3" s="154"/>
      <c r="G3" s="154"/>
      <c r="H3" s="154"/>
      <c r="I3" s="154"/>
      <c r="J3" s="154"/>
      <c r="K3" s="150"/>
      <c r="L3" s="149"/>
      <c r="M3" s="150"/>
      <c r="N3" s="150"/>
      <c r="O3" s="150"/>
      <c r="P3" s="150"/>
      <c r="Q3" s="92"/>
      <c r="R3" s="92"/>
      <c r="S3" s="154"/>
      <c r="T3" s="154"/>
      <c r="U3" s="154"/>
      <c r="V3" s="154"/>
      <c r="W3" s="154"/>
      <c r="X3" s="154"/>
      <c r="Y3" s="154"/>
      <c r="Z3" s="154"/>
      <c r="AA3" s="154"/>
      <c r="AB3" s="85"/>
      <c r="AC3" s="85"/>
      <c r="AD3" s="85"/>
    </row>
    <row r="4" spans="2:49" ht="8.4499999999999993" customHeight="1">
      <c r="C4" s="90"/>
      <c r="D4" s="90"/>
      <c r="E4" s="91"/>
      <c r="F4" s="91"/>
      <c r="G4" s="91"/>
      <c r="H4" s="91"/>
      <c r="I4" s="91"/>
      <c r="J4" s="91"/>
      <c r="K4" s="91"/>
      <c r="L4" s="92"/>
      <c r="M4" s="92"/>
      <c r="N4" s="92"/>
      <c r="O4" s="92"/>
      <c r="P4" s="91"/>
      <c r="Q4" s="152"/>
      <c r="R4" s="152"/>
      <c r="S4" s="152"/>
      <c r="T4" s="152"/>
      <c r="U4" s="152"/>
      <c r="V4" s="152"/>
      <c r="W4" s="152"/>
      <c r="X4" s="152"/>
      <c r="Y4" s="152"/>
      <c r="Z4" s="152"/>
      <c r="AA4" s="152"/>
      <c r="AB4" s="152"/>
      <c r="AC4" s="152"/>
      <c r="AD4" s="152"/>
    </row>
    <row r="5" spans="2:49" ht="0.75" customHeight="1">
      <c r="C5" s="153"/>
      <c r="D5" s="153"/>
      <c r="E5" s="150"/>
      <c r="F5" s="150"/>
      <c r="G5" s="150"/>
      <c r="H5" s="150"/>
      <c r="I5" s="150"/>
      <c r="J5" s="150"/>
      <c r="K5" s="150"/>
      <c r="L5" s="150"/>
      <c r="M5" s="150"/>
      <c r="N5" s="150"/>
      <c r="O5" s="150"/>
      <c r="P5" s="150"/>
      <c r="Q5" s="150"/>
      <c r="R5" s="150"/>
      <c r="S5" s="150"/>
      <c r="T5" s="150"/>
      <c r="U5" s="150"/>
      <c r="V5" s="150"/>
      <c r="W5" s="150"/>
      <c r="X5" s="150"/>
      <c r="Y5" s="150"/>
      <c r="Z5" s="150"/>
      <c r="AA5" s="150"/>
      <c r="AB5" s="85"/>
      <c r="AC5" s="85"/>
      <c r="AD5" s="85"/>
    </row>
    <row r="6" spans="2:49" ht="19.7" customHeight="1">
      <c r="C6" s="286" t="s">
        <v>106</v>
      </c>
      <c r="D6" s="286"/>
      <c r="E6" s="286"/>
      <c r="F6" s="286"/>
      <c r="G6" s="286"/>
      <c r="H6" s="286"/>
      <c r="I6" s="286"/>
      <c r="J6" s="286"/>
      <c r="K6" s="286"/>
      <c r="L6" s="286"/>
      <c r="M6" s="286"/>
      <c r="N6" s="286"/>
      <c r="O6" s="286"/>
      <c r="P6" s="286"/>
      <c r="Q6" s="286"/>
      <c r="R6" s="286"/>
      <c r="S6" s="286"/>
      <c r="T6" s="286"/>
      <c r="U6" s="286"/>
      <c r="V6" s="286"/>
      <c r="W6" s="286"/>
      <c r="X6" s="286"/>
      <c r="Y6" s="286"/>
      <c r="Z6" s="286"/>
      <c r="AA6" s="286"/>
      <c r="AB6" s="286"/>
      <c r="AC6" s="286"/>
      <c r="AD6" s="286"/>
    </row>
    <row r="7" spans="2:49" ht="19.7" customHeight="1">
      <c r="C7" s="286" t="s">
        <v>107</v>
      </c>
      <c r="D7" s="286"/>
      <c r="E7" s="286"/>
      <c r="F7" s="286"/>
      <c r="G7" s="286"/>
      <c r="H7" s="286"/>
      <c r="I7" s="286"/>
      <c r="J7" s="286"/>
      <c r="K7" s="286"/>
      <c r="L7" s="286"/>
      <c r="M7" s="286"/>
      <c r="N7" s="286"/>
      <c r="O7" s="286"/>
      <c r="P7" s="286"/>
      <c r="Q7" s="286"/>
      <c r="R7" s="286"/>
      <c r="S7" s="286"/>
      <c r="T7" s="286"/>
      <c r="U7" s="286"/>
      <c r="V7" s="286"/>
      <c r="W7" s="286"/>
      <c r="X7" s="286"/>
      <c r="Y7" s="286"/>
      <c r="Z7" s="286"/>
      <c r="AA7" s="286"/>
      <c r="AB7" s="286"/>
      <c r="AC7" s="286"/>
      <c r="AD7" s="286"/>
    </row>
    <row r="8" spans="2:49" ht="11.25" customHeight="1">
      <c r="C8" s="149"/>
      <c r="D8" s="150"/>
      <c r="E8" s="150"/>
      <c r="F8" s="150"/>
      <c r="G8" s="150"/>
      <c r="H8" s="150"/>
      <c r="I8" s="150"/>
      <c r="J8" s="150"/>
      <c r="K8" s="150"/>
      <c r="L8" s="150"/>
      <c r="M8" s="150"/>
      <c r="N8" s="150"/>
      <c r="O8" s="150"/>
      <c r="P8" s="150"/>
      <c r="Q8" s="150"/>
      <c r="R8" s="150"/>
      <c r="S8" s="150"/>
      <c r="T8" s="150"/>
      <c r="U8" s="150"/>
      <c r="V8" s="150"/>
      <c r="W8" s="150"/>
      <c r="X8" s="150"/>
      <c r="Y8" s="150"/>
      <c r="Z8" s="150"/>
      <c r="AA8" s="150"/>
      <c r="AB8" s="85"/>
      <c r="AC8" s="85"/>
      <c r="AD8" s="85"/>
    </row>
    <row r="9" spans="2:49" ht="19.7" customHeight="1">
      <c r="C9" s="294" t="str">
        <f>"Số: "&amp;AG9</f>
        <v>Số: B08600120811TG05</v>
      </c>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G9" s="96" t="s">
        <v>208</v>
      </c>
    </row>
    <row r="10" spans="2:49" ht="12" customHeight="1">
      <c r="C10" s="151"/>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85"/>
      <c r="AC10" s="85"/>
      <c r="AD10" s="85"/>
    </row>
    <row r="11" spans="2:49" ht="19.7" customHeight="1">
      <c r="C11" s="286" t="s">
        <v>108</v>
      </c>
      <c r="D11" s="286"/>
      <c r="E11" s="286"/>
      <c r="F11" s="286"/>
      <c r="G11" s="286"/>
      <c r="H11" s="286"/>
      <c r="I11" s="286"/>
      <c r="J11" s="286"/>
      <c r="K11" s="286"/>
      <c r="L11" s="286"/>
      <c r="M11" s="286"/>
      <c r="N11" s="286"/>
      <c r="O11" s="286"/>
      <c r="P11" s="286"/>
      <c r="Q11" s="286"/>
      <c r="R11" s="286"/>
      <c r="S11" s="286"/>
      <c r="T11" s="286"/>
      <c r="U11" s="286"/>
      <c r="V11" s="286"/>
      <c r="W11" s="286"/>
      <c r="X11" s="286"/>
      <c r="Y11" s="286"/>
      <c r="Z11" s="286"/>
      <c r="AA11" s="286"/>
      <c r="AB11" s="286"/>
      <c r="AC11" s="286"/>
      <c r="AD11" s="286"/>
    </row>
    <row r="12" spans="2:49" ht="19.7" customHeight="1">
      <c r="C12" s="286" t="s">
        <v>109</v>
      </c>
      <c r="D12" s="286"/>
      <c r="E12" s="286"/>
      <c r="F12" s="286"/>
      <c r="G12" s="286"/>
      <c r="H12" s="286"/>
      <c r="I12" s="286"/>
      <c r="J12" s="286"/>
      <c r="K12" s="286"/>
      <c r="L12" s="286"/>
      <c r="M12" s="286"/>
      <c r="N12" s="286"/>
      <c r="O12" s="286"/>
      <c r="P12" s="286"/>
      <c r="Q12" s="286"/>
      <c r="R12" s="286"/>
      <c r="S12" s="286"/>
      <c r="T12" s="286"/>
      <c r="U12" s="286"/>
      <c r="V12" s="286"/>
      <c r="W12" s="286"/>
      <c r="X12" s="286"/>
      <c r="Y12" s="286"/>
      <c r="Z12" s="286"/>
      <c r="AA12" s="286"/>
      <c r="AB12" s="286"/>
      <c r="AC12" s="286"/>
      <c r="AD12" s="286"/>
    </row>
    <row r="13" spans="2:49" ht="8.4499999999999993" customHeight="1">
      <c r="C13" s="117"/>
      <c r="D13" s="87"/>
      <c r="E13" s="87"/>
      <c r="F13" s="87"/>
      <c r="G13" s="87"/>
      <c r="H13" s="87"/>
      <c r="I13" s="87"/>
      <c r="J13" s="87"/>
      <c r="K13" s="87"/>
      <c r="L13" s="87"/>
      <c r="M13" s="87"/>
      <c r="N13" s="87"/>
      <c r="O13" s="87"/>
      <c r="P13" s="87"/>
      <c r="Q13" s="87"/>
      <c r="R13" s="87"/>
      <c r="S13" s="87"/>
      <c r="T13" s="87"/>
      <c r="U13" s="87"/>
      <c r="V13" s="87"/>
      <c r="W13" s="87"/>
      <c r="X13" s="87"/>
      <c r="Y13" s="87"/>
      <c r="Z13" s="87"/>
      <c r="AA13" s="87"/>
    </row>
    <row r="14" spans="2:49" ht="3.75" customHeight="1">
      <c r="C14" s="95"/>
      <c r="D14" s="87"/>
      <c r="E14" s="87"/>
      <c r="F14" s="87"/>
      <c r="G14" s="87"/>
      <c r="H14" s="87"/>
      <c r="I14" s="87"/>
      <c r="J14" s="87"/>
      <c r="K14" s="87"/>
      <c r="L14" s="87"/>
      <c r="M14" s="87"/>
      <c r="N14" s="87"/>
      <c r="O14" s="87"/>
      <c r="P14" s="87"/>
      <c r="Q14" s="87"/>
      <c r="R14" s="87"/>
      <c r="S14" s="87"/>
      <c r="T14" s="87"/>
      <c r="U14" s="87"/>
      <c r="V14" s="87"/>
      <c r="W14" s="87"/>
      <c r="X14" s="87"/>
      <c r="Y14" s="87"/>
      <c r="Z14" s="87"/>
      <c r="AA14" s="87"/>
    </row>
    <row r="15" spans="2:49" ht="21.75" customHeight="1">
      <c r="C15" s="320" t="s">
        <v>107</v>
      </c>
      <c r="D15" s="321"/>
      <c r="E15" s="321"/>
      <c r="F15" s="321"/>
      <c r="G15" s="321"/>
      <c r="H15" s="321"/>
      <c r="I15" s="321"/>
      <c r="J15" s="321"/>
      <c r="K15" s="321"/>
      <c r="L15" s="321"/>
      <c r="M15" s="321"/>
      <c r="N15" s="321"/>
      <c r="O15" s="321"/>
      <c r="P15" s="321"/>
      <c r="Q15" s="321"/>
      <c r="R15" s="321"/>
      <c r="S15" s="321"/>
      <c r="T15" s="321"/>
      <c r="U15" s="321"/>
      <c r="V15" s="321"/>
      <c r="W15" s="321"/>
      <c r="X15" s="321"/>
      <c r="Y15" s="321"/>
      <c r="Z15" s="321"/>
      <c r="AA15" s="321"/>
      <c r="AB15" s="321"/>
      <c r="AC15" s="321"/>
      <c r="AD15" s="322"/>
      <c r="AE15" s="118"/>
      <c r="AG15" s="98">
        <v>1</v>
      </c>
      <c r="AH15" s="98"/>
      <c r="AI15" s="98"/>
      <c r="AJ15" s="98"/>
      <c r="AK15" s="98">
        <v>2</v>
      </c>
      <c r="AL15" s="98"/>
      <c r="AM15" s="98"/>
      <c r="AN15" s="98"/>
      <c r="AO15" s="98">
        <v>3</v>
      </c>
      <c r="AS15" s="84">
        <v>4</v>
      </c>
    </row>
    <row r="16" spans="2:49" ht="36" customHeight="1">
      <c r="C16" s="332" t="s">
        <v>24</v>
      </c>
      <c r="D16" s="333"/>
      <c r="E16" s="333"/>
      <c r="F16" s="333"/>
      <c r="G16" s="333"/>
      <c r="H16" s="333"/>
      <c r="I16" s="333"/>
      <c r="J16" s="333"/>
      <c r="K16" s="333"/>
      <c r="L16" s="334"/>
      <c r="M16" s="335" t="str">
        <f>AG16</f>
        <v>Ấp Bàu Trâu, xã Phước Thạnh, huyện Củ Chi, thành phố Hồ Chí Minh.</v>
      </c>
      <c r="N16" s="336"/>
      <c r="O16" s="336"/>
      <c r="P16" s="336"/>
      <c r="Q16" s="336"/>
      <c r="R16" s="336"/>
      <c r="S16" s="336"/>
      <c r="T16" s="336"/>
      <c r="U16" s="336"/>
      <c r="V16" s="336"/>
      <c r="W16" s="336"/>
      <c r="X16" s="336"/>
      <c r="Y16" s="336"/>
      <c r="Z16" s="336"/>
      <c r="AA16" s="336"/>
      <c r="AB16" s="336"/>
      <c r="AC16" s="336"/>
      <c r="AD16" s="337"/>
      <c r="AE16" s="118"/>
      <c r="AG16" s="338" t="s">
        <v>110</v>
      </c>
      <c r="AH16" s="338"/>
      <c r="AI16" s="338"/>
      <c r="AJ16" s="338"/>
      <c r="AK16" s="338"/>
      <c r="AL16" s="338"/>
      <c r="AM16" s="338"/>
      <c r="AN16" s="338"/>
      <c r="AO16" s="338"/>
      <c r="AP16" s="338"/>
      <c r="AQ16" s="338"/>
      <c r="AR16" s="338"/>
      <c r="AS16" s="338"/>
      <c r="AT16" s="338"/>
      <c r="AU16" s="338"/>
      <c r="AV16" s="338"/>
      <c r="AW16" s="338"/>
    </row>
    <row r="17" spans="3:47" ht="23.25" customHeight="1">
      <c r="C17" s="332" t="s">
        <v>17</v>
      </c>
      <c r="D17" s="333"/>
      <c r="E17" s="333"/>
      <c r="F17" s="333"/>
      <c r="G17" s="333"/>
      <c r="H17" s="333"/>
      <c r="I17" s="333"/>
      <c r="J17" s="333"/>
      <c r="K17" s="333"/>
      <c r="L17" s="334"/>
      <c r="M17" s="320" t="str">
        <f>IF(AG17="","",AG17)</f>
        <v/>
      </c>
      <c r="N17" s="321"/>
      <c r="O17" s="321"/>
      <c r="P17" s="321"/>
      <c r="Q17" s="321"/>
      <c r="R17" s="321"/>
      <c r="S17" s="321"/>
      <c r="T17" s="321"/>
      <c r="U17" s="321"/>
      <c r="V17" s="321"/>
      <c r="W17" s="321"/>
      <c r="X17" s="321"/>
      <c r="Y17" s="321"/>
      <c r="Z17" s="321"/>
      <c r="AA17" s="321"/>
      <c r="AB17" s="321"/>
      <c r="AC17" s="321"/>
      <c r="AD17" s="322"/>
      <c r="AE17" s="118"/>
    </row>
    <row r="18" spans="3:47" ht="31.35" customHeight="1">
      <c r="C18" s="314" t="s">
        <v>9</v>
      </c>
      <c r="D18" s="315"/>
      <c r="E18" s="315"/>
      <c r="F18" s="315"/>
      <c r="G18" s="315"/>
      <c r="H18" s="315"/>
      <c r="I18" s="315"/>
      <c r="J18" s="315"/>
      <c r="K18" s="315"/>
      <c r="L18" s="316"/>
      <c r="M18" s="317" t="str">
        <f>AG18</f>
        <v>CÔNG TY CỔ PHẦN VIỄN THÔNG DI ĐỘNG TOÀN CẦU
GTEL</v>
      </c>
      <c r="N18" s="318"/>
      <c r="O18" s="318"/>
      <c r="P18" s="318"/>
      <c r="Q18" s="318"/>
      <c r="R18" s="318"/>
      <c r="S18" s="318"/>
      <c r="T18" s="318"/>
      <c r="U18" s="318"/>
      <c r="V18" s="318"/>
      <c r="W18" s="318"/>
      <c r="X18" s="318"/>
      <c r="Y18" s="318"/>
      <c r="Z18" s="318"/>
      <c r="AA18" s="318"/>
      <c r="AB18" s="318"/>
      <c r="AC18" s="318"/>
      <c r="AD18" s="319"/>
      <c r="AE18" s="118"/>
      <c r="AG18" s="158" t="s">
        <v>180</v>
      </c>
    </row>
    <row r="19" spans="3:47" ht="31.35" customHeight="1">
      <c r="C19" s="314" t="s">
        <v>16</v>
      </c>
      <c r="D19" s="315"/>
      <c r="E19" s="315"/>
      <c r="F19" s="315"/>
      <c r="G19" s="315"/>
      <c r="H19" s="315"/>
      <c r="I19" s="315"/>
      <c r="J19" s="315"/>
      <c r="K19" s="315"/>
      <c r="L19" s="316"/>
      <c r="M19" s="317" t="str">
        <f>AG19</f>
        <v>CÔNG TY CỔ PHẦN VIỄN THÔNG DI ĐỘNG TOÀN CẦU</v>
      </c>
      <c r="N19" s="318"/>
      <c r="O19" s="318"/>
      <c r="P19" s="318"/>
      <c r="Q19" s="318"/>
      <c r="R19" s="318"/>
      <c r="S19" s="318"/>
      <c r="T19" s="318"/>
      <c r="U19" s="318"/>
      <c r="V19" s="318"/>
      <c r="W19" s="318"/>
      <c r="X19" s="318"/>
      <c r="Y19" s="318"/>
      <c r="Z19" s="318"/>
      <c r="AA19" s="318"/>
      <c r="AB19" s="318"/>
      <c r="AC19" s="318"/>
      <c r="AD19" s="319"/>
      <c r="AE19" s="119"/>
      <c r="AG19" s="96" t="s">
        <v>155</v>
      </c>
    </row>
    <row r="20" spans="3:47" ht="20.25" customHeight="1">
      <c r="C20" s="329" t="s">
        <v>111</v>
      </c>
      <c r="D20" s="330"/>
      <c r="E20" s="330"/>
      <c r="F20" s="330"/>
      <c r="G20" s="330"/>
      <c r="H20" s="330"/>
      <c r="I20" s="330"/>
      <c r="J20" s="330"/>
      <c r="K20" s="330"/>
      <c r="L20" s="330"/>
      <c r="M20" s="330"/>
      <c r="N20" s="330"/>
      <c r="O20" s="330"/>
      <c r="P20" s="330"/>
      <c r="Q20" s="330"/>
      <c r="R20" s="330"/>
      <c r="S20" s="330"/>
      <c r="T20" s="330"/>
      <c r="U20" s="330"/>
      <c r="V20" s="330"/>
      <c r="W20" s="330"/>
      <c r="X20" s="330"/>
      <c r="Y20" s="330"/>
      <c r="Z20" s="330"/>
      <c r="AA20" s="330"/>
      <c r="AB20" s="330"/>
      <c r="AC20" s="330"/>
      <c r="AD20" s="331"/>
      <c r="AE20" s="120"/>
    </row>
    <row r="21" spans="3:47" ht="31.5" customHeight="1">
      <c r="C21" s="328" t="s">
        <v>112</v>
      </c>
      <c r="D21" s="328"/>
      <c r="E21" s="328"/>
      <c r="F21" s="328"/>
      <c r="G21" s="328"/>
      <c r="H21" s="328"/>
      <c r="I21" s="328"/>
      <c r="J21" s="328"/>
      <c r="K21" s="328"/>
      <c r="L21" s="328"/>
      <c r="M21" s="323" t="str">
        <f>AG21</f>
        <v>MOTOROLA HORIZON II MACRO</v>
      </c>
      <c r="N21" s="323"/>
      <c r="O21" s="323"/>
      <c r="P21" s="323"/>
      <c r="Q21" s="323"/>
      <c r="R21" s="323"/>
      <c r="S21" s="323" t="str">
        <f>AK21</f>
        <v>B</v>
      </c>
      <c r="T21" s="323"/>
      <c r="U21" s="323"/>
      <c r="V21" s="323"/>
      <c r="W21" s="323"/>
      <c r="X21" s="323"/>
      <c r="Y21" s="323" t="str">
        <f>AO21</f>
        <v>C</v>
      </c>
      <c r="Z21" s="323"/>
      <c r="AA21" s="323"/>
      <c r="AB21" s="323"/>
      <c r="AC21" s="323"/>
      <c r="AD21" s="323"/>
      <c r="AE21" s="118"/>
      <c r="AG21" s="96" t="s">
        <v>179</v>
      </c>
      <c r="AK21" s="96" t="s">
        <v>114</v>
      </c>
      <c r="AO21" s="96" t="s">
        <v>115</v>
      </c>
      <c r="AS21" s="96" t="s">
        <v>116</v>
      </c>
    </row>
    <row r="22" spans="3:47" ht="19.7" customHeight="1">
      <c r="C22" s="324" t="s">
        <v>117</v>
      </c>
      <c r="D22" s="325"/>
      <c r="E22" s="325"/>
      <c r="F22" s="325"/>
      <c r="G22" s="325"/>
      <c r="H22" s="325"/>
      <c r="I22" s="325"/>
      <c r="J22" s="325"/>
      <c r="K22" s="325"/>
      <c r="L22" s="326"/>
      <c r="M22" s="323">
        <f>AG22</f>
        <v>3</v>
      </c>
      <c r="N22" s="323"/>
      <c r="O22" s="323"/>
      <c r="P22" s="323"/>
      <c r="Q22" s="323"/>
      <c r="R22" s="323"/>
      <c r="S22" s="323">
        <f>AK22</f>
        <v>3</v>
      </c>
      <c r="T22" s="323"/>
      <c r="U22" s="323"/>
      <c r="V22" s="323"/>
      <c r="W22" s="323"/>
      <c r="X22" s="323"/>
      <c r="Y22" s="323">
        <f>AO22</f>
        <v>3</v>
      </c>
      <c r="Z22" s="323"/>
      <c r="AA22" s="323"/>
      <c r="AB22" s="323"/>
      <c r="AC22" s="323"/>
      <c r="AD22" s="323"/>
      <c r="AE22" s="118"/>
      <c r="AG22" s="98">
        <v>3</v>
      </c>
      <c r="AH22" s="98"/>
      <c r="AI22" s="98"/>
      <c r="AJ22" s="98"/>
      <c r="AK22" s="98">
        <v>3</v>
      </c>
      <c r="AL22" s="98"/>
      <c r="AM22" s="98"/>
      <c r="AN22" s="98"/>
      <c r="AO22" s="98">
        <v>3</v>
      </c>
      <c r="AS22" s="84">
        <v>1</v>
      </c>
    </row>
    <row r="23" spans="3:47" ht="19.7" customHeight="1">
      <c r="C23" s="328" t="s">
        <v>118</v>
      </c>
      <c r="D23" s="328"/>
      <c r="E23" s="328"/>
      <c r="F23" s="328"/>
      <c r="G23" s="328"/>
      <c r="H23" s="328"/>
      <c r="I23" s="328"/>
      <c r="J23" s="328"/>
      <c r="K23" s="328"/>
      <c r="L23" s="328"/>
      <c r="M23" s="327" t="str">
        <f>AG23</f>
        <v>4/4/4</v>
      </c>
      <c r="N23" s="327"/>
      <c r="O23" s="327"/>
      <c r="P23" s="327"/>
      <c r="Q23" s="327"/>
      <c r="R23" s="327"/>
      <c r="S23" s="327" t="str">
        <f>AK23</f>
        <v>2/2/2</v>
      </c>
      <c r="T23" s="327"/>
      <c r="U23" s="327"/>
      <c r="V23" s="327"/>
      <c r="W23" s="327"/>
      <c r="X23" s="327"/>
      <c r="Y23" s="327" t="str">
        <f>AO23</f>
        <v>5/5/5</v>
      </c>
      <c r="Z23" s="323"/>
      <c r="AA23" s="323"/>
      <c r="AB23" s="323"/>
      <c r="AC23" s="323"/>
      <c r="AD23" s="323"/>
      <c r="AE23" s="121"/>
      <c r="AG23" s="100" t="s">
        <v>119</v>
      </c>
      <c r="AH23" s="101"/>
      <c r="AI23" s="101"/>
      <c r="AJ23" s="101"/>
      <c r="AK23" s="100" t="s">
        <v>120</v>
      </c>
      <c r="AL23" s="101"/>
      <c r="AM23" s="101"/>
      <c r="AN23" s="101"/>
      <c r="AO23" s="100" t="s">
        <v>121</v>
      </c>
      <c r="AP23" s="101"/>
      <c r="AQ23" s="101"/>
      <c r="AR23" s="101"/>
      <c r="AS23" s="100" t="s">
        <v>122</v>
      </c>
    </row>
    <row r="24" spans="3:47" ht="31.35" customHeight="1">
      <c r="C24" s="324" t="s">
        <v>156</v>
      </c>
      <c r="D24" s="325"/>
      <c r="E24" s="325"/>
      <c r="F24" s="325"/>
      <c r="G24" s="325"/>
      <c r="H24" s="325"/>
      <c r="I24" s="325"/>
      <c r="J24" s="325"/>
      <c r="K24" s="325"/>
      <c r="L24" s="326"/>
      <c r="M24" s="313" t="str">
        <f>IF(M22=4,AG24&amp;"W/ "&amp;AH24&amp;"W/ "&amp;AI24&amp;"W/ "&amp;AK24&amp;"W",IF(M22=3,AG24&amp;"W/ "&amp;AH24&amp;"W/ "&amp;AI24&amp;"W",IF(M22=2,AG24&amp;"W/ "&amp;AH24&amp;"W",AG24&amp;"W")))</f>
        <v>20W/ 20W/ 20W</v>
      </c>
      <c r="N24" s="313"/>
      <c r="O24" s="313"/>
      <c r="P24" s="313"/>
      <c r="Q24" s="313"/>
      <c r="R24" s="313"/>
      <c r="S24" s="313" t="str">
        <f>IF(S22=4,AK24&amp;"W/ "&amp;AL24&amp;"W/ "&amp;AM24&amp;"W/ "&amp;AN24&amp;"W",IF(S22=3,AK24&amp;"W/ "&amp;AL24&amp;"W/ "&amp;AM24&amp;"W",IF(S22=2,AK24&amp;"W/ "&amp;AL24&amp;"W",AK24&amp;"W")))</f>
        <v>40W/ 40W/ 40W</v>
      </c>
      <c r="T24" s="313"/>
      <c r="U24" s="313"/>
      <c r="V24" s="313"/>
      <c r="W24" s="313"/>
      <c r="X24" s="313"/>
      <c r="Y24" s="313" t="str">
        <f>IF(Y22=4,AO24&amp;"W/ "&amp;AP24&amp;"W/ "&amp;AQ24&amp;"W/ "&amp;AR24&amp;"W",IF(Y22=3,AO24&amp;"W/ "&amp;AP24&amp;"W/ "&amp;AQ24&amp;"W",IF(Y22=2,AO24&amp;"W/ "&amp;AP24&amp;"W",AO24&amp;"W")))</f>
        <v>60W/ 60W/ 60W</v>
      </c>
      <c r="Z24" s="313"/>
      <c r="AA24" s="313"/>
      <c r="AB24" s="313"/>
      <c r="AC24" s="313"/>
      <c r="AD24" s="313"/>
      <c r="AE24" s="119"/>
      <c r="AG24" s="84">
        <v>20</v>
      </c>
      <c r="AH24" s="84">
        <v>20</v>
      </c>
      <c r="AI24" s="84">
        <v>20</v>
      </c>
      <c r="AK24" s="84">
        <v>40</v>
      </c>
      <c r="AL24" s="84">
        <v>40</v>
      </c>
      <c r="AM24" s="84">
        <v>40</v>
      </c>
      <c r="AO24" s="84">
        <v>60</v>
      </c>
      <c r="AP24" s="84">
        <v>60</v>
      </c>
      <c r="AQ24" s="84">
        <v>60</v>
      </c>
      <c r="AS24" s="84">
        <v>80</v>
      </c>
      <c r="AT24" s="84">
        <v>80</v>
      </c>
      <c r="AU24" s="84">
        <v>80</v>
      </c>
    </row>
    <row r="25" spans="3:47" ht="19.7" customHeight="1">
      <c r="C25" s="328" t="s">
        <v>123</v>
      </c>
      <c r="D25" s="328"/>
      <c r="E25" s="328"/>
      <c r="F25" s="328"/>
      <c r="G25" s="328"/>
      <c r="H25" s="328"/>
      <c r="I25" s="328"/>
      <c r="J25" s="328"/>
      <c r="K25" s="328"/>
      <c r="L25" s="328"/>
      <c r="M25" s="323" t="str">
        <f>IF(AG25="900 &amp; 1800","900MHz &amp; 1800MHz",IF(AG25="900 &amp; 2100","900MHz &amp; 2100MHz",AG25&amp;"MHz"))</f>
        <v>900MHz</v>
      </c>
      <c r="N25" s="323"/>
      <c r="O25" s="323"/>
      <c r="P25" s="323"/>
      <c r="Q25" s="323"/>
      <c r="R25" s="323"/>
      <c r="S25" s="323" t="str">
        <f>IF(AK25="900 &amp; 1800","900MHz &amp; 1800MHz",IF(AK25="900 &amp; 2100","900MHz &amp; 2100MHz",AK25&amp;"MHz"))</f>
        <v>1800MHz</v>
      </c>
      <c r="T25" s="323"/>
      <c r="U25" s="323"/>
      <c r="V25" s="323"/>
      <c r="W25" s="323"/>
      <c r="X25" s="323"/>
      <c r="Y25" s="323" t="str">
        <f>IF(AO25="900 &amp; 1800","900MHz &amp; 1800MHz",IF(AO25="900 &amp; 2100","900MHz &amp; 2100MHz",AO25&amp;"MHz"))</f>
        <v>2100MHz</v>
      </c>
      <c r="Z25" s="323"/>
      <c r="AA25" s="323"/>
      <c r="AB25" s="323"/>
      <c r="AC25" s="323"/>
      <c r="AD25" s="323"/>
      <c r="AE25" s="118"/>
      <c r="AG25" s="84">
        <v>900</v>
      </c>
      <c r="AK25" s="84">
        <v>1800</v>
      </c>
      <c r="AO25" s="84">
        <v>2100</v>
      </c>
      <c r="AS25" s="96" t="s">
        <v>124</v>
      </c>
    </row>
    <row r="26" spans="3:47" ht="31.35" customHeight="1">
      <c r="C26" s="328" t="s">
        <v>157</v>
      </c>
      <c r="D26" s="328"/>
      <c r="E26" s="328"/>
      <c r="F26" s="328"/>
      <c r="G26" s="328"/>
      <c r="H26" s="328"/>
      <c r="I26" s="328"/>
      <c r="J26" s="328"/>
      <c r="K26" s="328"/>
      <c r="L26" s="328"/>
      <c r="M26" s="323">
        <f>AG26</f>
        <v>15</v>
      </c>
      <c r="N26" s="323"/>
      <c r="O26" s="323"/>
      <c r="P26" s="323"/>
      <c r="Q26" s="323"/>
      <c r="R26" s="323"/>
      <c r="S26" s="323">
        <f>AK26</f>
        <v>16</v>
      </c>
      <c r="T26" s="323"/>
      <c r="U26" s="323"/>
      <c r="V26" s="323"/>
      <c r="W26" s="323"/>
      <c r="X26" s="323"/>
      <c r="Y26" s="323">
        <f>AO26</f>
        <v>17</v>
      </c>
      <c r="Z26" s="323"/>
      <c r="AA26" s="323"/>
      <c r="AB26" s="323"/>
      <c r="AC26" s="323"/>
      <c r="AD26" s="323"/>
      <c r="AE26" s="119"/>
      <c r="AG26" s="84">
        <v>15</v>
      </c>
      <c r="AK26" s="84">
        <v>16</v>
      </c>
      <c r="AO26" s="84">
        <v>17</v>
      </c>
      <c r="AS26" s="84">
        <v>18</v>
      </c>
    </row>
    <row r="27" spans="3:47" ht="25.5" customHeight="1">
      <c r="C27" s="272" t="s">
        <v>125</v>
      </c>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102"/>
      <c r="AC27" s="102"/>
      <c r="AD27" s="102"/>
    </row>
    <row r="28" spans="3:47" ht="25.5" customHeight="1">
      <c r="C28" s="28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83"/>
      <c r="E28" s="283"/>
      <c r="F28" s="283"/>
      <c r="G28" s="283"/>
      <c r="H28" s="283"/>
      <c r="I28" s="283"/>
      <c r="J28" s="283"/>
      <c r="K28" s="283"/>
      <c r="L28" s="283"/>
      <c r="M28" s="283"/>
      <c r="N28" s="283"/>
      <c r="O28" s="283"/>
      <c r="P28" s="283"/>
      <c r="Q28" s="283"/>
      <c r="R28" s="283"/>
      <c r="S28" s="283"/>
      <c r="T28" s="283"/>
      <c r="U28" s="283"/>
      <c r="V28" s="283"/>
      <c r="W28" s="283"/>
      <c r="X28" s="283"/>
      <c r="Y28" s="283"/>
      <c r="Z28" s="283"/>
      <c r="AA28" s="283"/>
      <c r="AB28" s="283"/>
      <c r="AC28" s="283"/>
      <c r="AD28" s="283"/>
      <c r="AG28" s="84">
        <v>30</v>
      </c>
      <c r="AO28" s="84" t="s">
        <v>253</v>
      </c>
    </row>
    <row r="29" spans="3:47" ht="25.5" customHeight="1">
      <c r="C29" s="283"/>
      <c r="D29" s="283"/>
      <c r="E29" s="283"/>
      <c r="F29" s="283"/>
      <c r="G29" s="283"/>
      <c r="H29" s="283"/>
      <c r="I29" s="283"/>
      <c r="J29" s="283"/>
      <c r="K29" s="283"/>
      <c r="L29" s="283"/>
      <c r="M29" s="283"/>
      <c r="N29" s="283"/>
      <c r="O29" s="283"/>
      <c r="P29" s="283"/>
      <c r="Q29" s="283"/>
      <c r="R29" s="283"/>
      <c r="S29" s="283"/>
      <c r="T29" s="283"/>
      <c r="U29" s="283"/>
      <c r="V29" s="283"/>
      <c r="W29" s="283"/>
      <c r="X29" s="283"/>
      <c r="Y29" s="283"/>
      <c r="Z29" s="283"/>
      <c r="AA29" s="283"/>
      <c r="AB29" s="283"/>
      <c r="AC29" s="283"/>
      <c r="AD29" s="283"/>
      <c r="AG29" s="84">
        <v>1</v>
      </c>
      <c r="AO29" s="84"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4" t="s">
        <v>255</v>
      </c>
      <c r="AQ29" s="84" t="str">
        <f>IF(AG28&gt;=0," cao hơn "," thấp hơn ")</f>
        <v xml:space="preserve"> cao hơn </v>
      </c>
      <c r="AR29" s="84" t="s">
        <v>256</v>
      </c>
    </row>
    <row r="30" spans="3:47" ht="15.75" customHeight="1">
      <c r="C30" s="273" t="str">
        <f>IF(AG31=1,AO31,IF(AG31=2,AO30))</f>
        <v>Giới hạn an toàn: là khoảng chiều cao trên cột anten tính từ điểm có độ cao 20m so với mặt đất trở lên.</v>
      </c>
      <c r="D30" s="273"/>
      <c r="E30" s="273"/>
      <c r="F30" s="273"/>
      <c r="G30" s="273"/>
      <c r="H30" s="273"/>
      <c r="I30" s="273"/>
      <c r="J30" s="273"/>
      <c r="K30" s="273"/>
      <c r="L30" s="273"/>
      <c r="M30" s="273"/>
      <c r="N30" s="273"/>
      <c r="O30" s="273"/>
      <c r="P30" s="273"/>
      <c r="Q30" s="273"/>
      <c r="R30" s="273"/>
      <c r="S30" s="273"/>
      <c r="T30" s="273"/>
      <c r="U30" s="273"/>
      <c r="V30" s="273"/>
      <c r="W30" s="273"/>
      <c r="X30" s="273"/>
      <c r="Y30" s="273"/>
      <c r="Z30" s="273"/>
      <c r="AA30" s="273"/>
      <c r="AB30" s="273"/>
      <c r="AC30" s="273"/>
      <c r="AD30" s="273"/>
      <c r="AG30" s="84">
        <v>20</v>
      </c>
      <c r="AO30" s="84" t="s">
        <v>167</v>
      </c>
    </row>
    <row r="31" spans="3:47" ht="15.75" customHeight="1">
      <c r="C31" s="273"/>
      <c r="D31" s="273"/>
      <c r="E31" s="273"/>
      <c r="F31" s="273"/>
      <c r="G31" s="273"/>
      <c r="H31" s="273"/>
      <c r="I31" s="273"/>
      <c r="J31" s="273"/>
      <c r="K31" s="273"/>
      <c r="L31" s="273"/>
      <c r="M31" s="273"/>
      <c r="N31" s="273"/>
      <c r="O31" s="273"/>
      <c r="P31" s="273"/>
      <c r="Q31" s="273"/>
      <c r="R31" s="273"/>
      <c r="S31" s="273"/>
      <c r="T31" s="273"/>
      <c r="U31" s="273"/>
      <c r="V31" s="273"/>
      <c r="W31" s="273"/>
      <c r="X31" s="273"/>
      <c r="Y31" s="273"/>
      <c r="Z31" s="273"/>
      <c r="AA31" s="273"/>
      <c r="AB31" s="273"/>
      <c r="AC31" s="273"/>
      <c r="AD31" s="273"/>
      <c r="AG31" s="84">
        <v>1</v>
      </c>
      <c r="AO31" s="157"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262" t="s">
        <v>167</v>
      </c>
      <c r="D32" s="262"/>
      <c r="E32" s="262"/>
      <c r="F32" s="262"/>
      <c r="G32" s="262"/>
      <c r="H32" s="262"/>
      <c r="I32" s="262"/>
      <c r="J32" s="262"/>
      <c r="K32" s="262"/>
      <c r="L32" s="262"/>
      <c r="M32" s="262"/>
      <c r="N32" s="262"/>
      <c r="O32" s="262"/>
      <c r="P32" s="262"/>
      <c r="Q32" s="262"/>
      <c r="R32" s="262"/>
      <c r="S32" s="262"/>
      <c r="T32" s="262"/>
      <c r="U32" s="262"/>
      <c r="V32" s="262"/>
      <c r="W32" s="262"/>
      <c r="X32" s="262"/>
      <c r="Y32" s="262"/>
      <c r="Z32" s="262"/>
      <c r="AA32" s="262"/>
      <c r="AB32" s="262"/>
      <c r="AC32" s="262"/>
      <c r="AD32" s="262"/>
    </row>
    <row r="33" spans="2:48" ht="17.100000000000001" customHeight="1">
      <c r="C33" s="262"/>
      <c r="D33" s="262"/>
      <c r="E33" s="262"/>
      <c r="F33" s="262"/>
      <c r="G33" s="262"/>
      <c r="H33" s="262"/>
      <c r="I33" s="262"/>
      <c r="J33" s="262"/>
      <c r="K33" s="262"/>
      <c r="L33" s="262"/>
      <c r="M33" s="262"/>
      <c r="N33" s="262"/>
      <c r="O33" s="262"/>
      <c r="P33" s="262"/>
      <c r="Q33" s="262"/>
      <c r="R33" s="262"/>
      <c r="S33" s="262"/>
      <c r="T33" s="262"/>
      <c r="U33" s="262"/>
      <c r="V33" s="262"/>
      <c r="W33" s="262"/>
      <c r="X33" s="262"/>
      <c r="Y33" s="262"/>
      <c r="Z33" s="262"/>
      <c r="AA33" s="262"/>
      <c r="AB33" s="262"/>
      <c r="AC33" s="262"/>
      <c r="AD33" s="262"/>
      <c r="AE33" s="126"/>
    </row>
    <row r="34" spans="2:48" ht="17.100000000000001" customHeight="1">
      <c r="C34" s="303"/>
      <c r="D34" s="303"/>
      <c r="E34" s="303"/>
      <c r="F34" s="303"/>
      <c r="G34" s="303"/>
      <c r="H34" s="102"/>
      <c r="I34" s="304"/>
      <c r="J34" s="304"/>
      <c r="K34" s="304"/>
      <c r="L34" s="304"/>
      <c r="M34" s="304"/>
      <c r="N34" s="304"/>
      <c r="O34" s="102"/>
      <c r="P34" s="103"/>
      <c r="Q34" s="103"/>
      <c r="R34" s="103"/>
      <c r="S34" s="103"/>
      <c r="T34" s="298" t="str">
        <f>IF(AI41=0,AO34,IF(AI41=1,AK34,AS34))</f>
        <v>KT. GIÁM ĐỐC</v>
      </c>
      <c r="U34" s="298"/>
      <c r="V34" s="298"/>
      <c r="W34" s="298"/>
      <c r="X34" s="298"/>
      <c r="Y34" s="298"/>
      <c r="Z34" s="298"/>
      <c r="AA34" s="298"/>
      <c r="AB34" s="298"/>
      <c r="AC34" s="298"/>
      <c r="AD34" s="298"/>
      <c r="AE34" s="298"/>
      <c r="AK34" s="84" t="s">
        <v>126</v>
      </c>
      <c r="AO34" s="84" t="s">
        <v>206</v>
      </c>
      <c r="AS34" s="84" t="s">
        <v>205</v>
      </c>
    </row>
    <row r="35" spans="2:48" ht="17.100000000000001" customHeight="1">
      <c r="C35" s="299" t="s">
        <v>127</v>
      </c>
      <c r="D35" s="299"/>
      <c r="E35" s="299"/>
      <c r="F35" s="299"/>
      <c r="G35" s="299"/>
      <c r="H35" s="104" t="s">
        <v>128</v>
      </c>
      <c r="I35" s="301" t="s">
        <v>129</v>
      </c>
      <c r="J35" s="301"/>
      <c r="K35" s="301"/>
      <c r="L35" s="301"/>
      <c r="M35" s="301"/>
      <c r="N35" s="301"/>
      <c r="O35" s="105"/>
      <c r="P35" s="105"/>
      <c r="Q35" s="102"/>
      <c r="R35" s="102"/>
      <c r="S35" s="102"/>
      <c r="T35" s="298" t="str">
        <f>IF(AI41=0,AO35,IF(AI41=1,"",AS35))</f>
        <v>PHÓ GIÁM ĐỐC</v>
      </c>
      <c r="U35" s="298"/>
      <c r="V35" s="298"/>
      <c r="W35" s="298"/>
      <c r="X35" s="298"/>
      <c r="Y35" s="298"/>
      <c r="Z35" s="298"/>
      <c r="AA35" s="298"/>
      <c r="AB35" s="298"/>
      <c r="AC35" s="298"/>
      <c r="AD35" s="298"/>
      <c r="AE35" s="298"/>
      <c r="AO35" s="84" t="s">
        <v>203</v>
      </c>
      <c r="AS35" s="84" t="s">
        <v>158</v>
      </c>
    </row>
    <row r="36" spans="2:48" ht="17.100000000000001" customHeight="1">
      <c r="C36" s="299" t="s">
        <v>130</v>
      </c>
      <c r="D36" s="299"/>
      <c r="E36" s="299"/>
      <c r="F36" s="299"/>
      <c r="G36" s="299"/>
      <c r="H36" s="106" t="s">
        <v>128</v>
      </c>
      <c r="I36" s="300">
        <f>AG36</f>
        <v>40806</v>
      </c>
      <c r="J36" s="301"/>
      <c r="K36" s="301"/>
      <c r="L36" s="301"/>
      <c r="M36" s="301"/>
      <c r="N36" s="107"/>
      <c r="O36" s="107"/>
      <c r="P36" s="107"/>
      <c r="Q36" s="102"/>
      <c r="R36" s="102"/>
      <c r="S36" s="102"/>
      <c r="T36" s="102"/>
      <c r="U36" s="102"/>
      <c r="V36" s="102"/>
      <c r="W36" s="102"/>
      <c r="X36" s="102"/>
      <c r="Y36" s="102"/>
      <c r="Z36" s="102"/>
      <c r="AA36" s="102"/>
      <c r="AB36" s="102"/>
      <c r="AC36" s="102"/>
      <c r="AD36" s="102"/>
      <c r="AG36" s="108">
        <v>40806</v>
      </c>
    </row>
    <row r="37" spans="2:48" ht="17.100000000000001" customHeight="1">
      <c r="C37" s="299" t="s">
        <v>131</v>
      </c>
      <c r="D37" s="299"/>
      <c r="E37" s="299"/>
      <c r="F37" s="299"/>
      <c r="G37" s="299"/>
      <c r="H37" s="106" t="s">
        <v>128</v>
      </c>
      <c r="I37" s="300">
        <f>AG37</f>
        <v>42633</v>
      </c>
      <c r="J37" s="301"/>
      <c r="K37" s="301"/>
      <c r="L37" s="301"/>
      <c r="M37" s="301"/>
      <c r="N37" s="107"/>
      <c r="O37" s="107"/>
      <c r="P37" s="107"/>
      <c r="Q37" s="102"/>
      <c r="R37" s="102"/>
      <c r="S37" s="102"/>
      <c r="T37" s="102"/>
      <c r="U37" s="102"/>
      <c r="V37" s="102"/>
      <c r="W37" s="102"/>
      <c r="X37" s="102"/>
      <c r="Y37" s="102"/>
      <c r="Z37" s="102"/>
      <c r="AA37" s="102"/>
      <c r="AB37" s="102"/>
      <c r="AC37" s="102"/>
      <c r="AD37" s="102"/>
      <c r="AG37" s="108">
        <v>42633</v>
      </c>
    </row>
    <row r="38" spans="2:48" ht="19.5" customHeight="1">
      <c r="C38" s="109"/>
      <c r="D38" s="109"/>
      <c r="E38" s="109"/>
      <c r="F38" s="94"/>
      <c r="G38" s="87"/>
      <c r="H38" s="87"/>
      <c r="I38" s="87"/>
      <c r="J38" s="87"/>
      <c r="K38" s="87"/>
      <c r="L38" s="87"/>
      <c r="M38" s="87"/>
      <c r="N38" s="87"/>
      <c r="O38" s="87"/>
      <c r="P38" s="87"/>
      <c r="Q38" s="87"/>
      <c r="R38" s="87"/>
      <c r="S38" s="87"/>
      <c r="T38" s="87"/>
      <c r="U38" s="87"/>
      <c r="V38" s="87"/>
      <c r="W38" s="87"/>
      <c r="X38" s="87"/>
      <c r="Y38" s="87"/>
      <c r="Z38" s="87"/>
      <c r="AA38" s="87"/>
      <c r="AB38" s="102"/>
      <c r="AC38" s="102"/>
      <c r="AD38" s="102"/>
    </row>
    <row r="39" spans="2:48" ht="17.100000000000001" customHeight="1">
      <c r="C39" s="109"/>
      <c r="D39" s="109"/>
      <c r="E39" s="109"/>
      <c r="F39" s="94"/>
      <c r="G39" s="87"/>
      <c r="H39" s="87"/>
      <c r="I39" s="87"/>
      <c r="J39" s="87"/>
      <c r="K39" s="87"/>
      <c r="L39" s="87"/>
      <c r="M39" s="87"/>
      <c r="N39" s="87"/>
      <c r="O39" s="87"/>
      <c r="P39" s="87"/>
      <c r="Q39" s="87"/>
      <c r="R39" s="87"/>
      <c r="S39" s="87"/>
      <c r="T39" s="302"/>
      <c r="U39" s="302"/>
      <c r="V39" s="302"/>
      <c r="W39" s="302"/>
      <c r="X39" s="302"/>
      <c r="Y39" s="302"/>
      <c r="Z39" s="302"/>
      <c r="AA39" s="302"/>
      <c r="AB39" s="302"/>
      <c r="AC39" s="302"/>
      <c r="AD39" s="302"/>
      <c r="AE39" s="302"/>
    </row>
    <row r="40" spans="2:48" ht="17.100000000000001" customHeight="1">
      <c r="C40" s="109"/>
      <c r="D40" s="109"/>
      <c r="E40" s="109"/>
      <c r="F40" s="94"/>
      <c r="G40" s="87"/>
      <c r="H40" s="87"/>
      <c r="I40" s="87"/>
      <c r="J40" s="87"/>
      <c r="K40" s="87"/>
      <c r="L40" s="87"/>
      <c r="M40" s="87"/>
      <c r="N40" s="87"/>
      <c r="O40" s="87"/>
      <c r="P40" s="103"/>
      <c r="Q40" s="103"/>
      <c r="R40" s="103"/>
      <c r="S40" s="103"/>
      <c r="T40" s="284"/>
      <c r="U40" s="284"/>
      <c r="V40" s="284"/>
      <c r="W40" s="284"/>
      <c r="X40" s="284"/>
      <c r="Y40" s="284"/>
      <c r="Z40" s="284"/>
      <c r="AA40" s="284"/>
      <c r="AB40" s="284"/>
      <c r="AC40" s="284"/>
      <c r="AD40" s="284"/>
      <c r="AE40" s="284"/>
    </row>
    <row r="41" spans="2:48" ht="17.100000000000001" customHeight="1">
      <c r="C41" s="109"/>
      <c r="D41" s="109"/>
      <c r="E41" s="109"/>
      <c r="F41" s="94"/>
      <c r="G41" s="87"/>
      <c r="H41" s="87"/>
      <c r="I41" s="87"/>
      <c r="J41" s="87"/>
      <c r="K41" s="87"/>
      <c r="L41" s="87"/>
      <c r="M41" s="87"/>
      <c r="N41" s="87"/>
      <c r="O41" s="87"/>
      <c r="P41" s="87"/>
      <c r="Q41" s="87"/>
      <c r="R41" s="87"/>
      <c r="S41" s="87"/>
      <c r="T41" s="284" t="str">
        <f>IF(AI41=0,AO41,IF(AI41=1,AK41,AT41))</f>
        <v>Trần Công Khanh</v>
      </c>
      <c r="U41" s="284"/>
      <c r="V41" s="284"/>
      <c r="W41" s="284"/>
      <c r="X41" s="284"/>
      <c r="Y41" s="284"/>
      <c r="Z41" s="284"/>
      <c r="AA41" s="284"/>
      <c r="AB41" s="284"/>
      <c r="AC41" s="284"/>
      <c r="AD41" s="284"/>
      <c r="AE41" s="284"/>
      <c r="AI41" s="84">
        <v>0</v>
      </c>
      <c r="AK41" s="84" t="s">
        <v>132</v>
      </c>
      <c r="AO41" s="84" t="s">
        <v>204</v>
      </c>
      <c r="AT41" s="84" t="s">
        <v>154</v>
      </c>
    </row>
    <row r="42" spans="2:48" ht="16.5">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110"/>
      <c r="AC42" s="110"/>
      <c r="AD42" s="110"/>
    </row>
    <row r="43" spans="2:48" ht="16.5" customHeight="1">
      <c r="B43" s="266" t="s">
        <v>133</v>
      </c>
      <c r="C43" s="266"/>
      <c r="D43" s="266"/>
      <c r="E43" s="266"/>
      <c r="F43" s="266"/>
      <c r="G43" s="266"/>
      <c r="H43" s="267" t="s">
        <v>111</v>
      </c>
      <c r="I43" s="267"/>
      <c r="J43" s="267"/>
      <c r="K43" s="267"/>
      <c r="L43" s="267"/>
      <c r="M43" s="267"/>
      <c r="N43" s="267"/>
      <c r="O43" s="267"/>
      <c r="P43" s="267"/>
      <c r="Q43" s="267"/>
      <c r="R43" s="267"/>
      <c r="S43" s="267"/>
      <c r="T43" s="267"/>
      <c r="U43" s="267"/>
      <c r="V43" s="267"/>
      <c r="W43" s="267"/>
      <c r="X43" s="267"/>
      <c r="Y43" s="267"/>
      <c r="Z43" s="267"/>
      <c r="AA43" s="267"/>
      <c r="AB43" s="267"/>
      <c r="AC43" s="267"/>
      <c r="AD43" s="267"/>
    </row>
    <row r="44" spans="2:48" ht="16.5" customHeight="1">
      <c r="B44" s="266"/>
      <c r="C44" s="266"/>
      <c r="D44" s="266"/>
      <c r="E44" s="266"/>
      <c r="F44" s="266"/>
      <c r="G44" s="266"/>
      <c r="H44" s="267"/>
      <c r="I44" s="267"/>
      <c r="J44" s="267"/>
      <c r="K44" s="267"/>
      <c r="L44" s="267"/>
      <c r="M44" s="267"/>
      <c r="N44" s="267"/>
      <c r="O44" s="267"/>
      <c r="P44" s="267"/>
      <c r="Q44" s="267"/>
      <c r="R44" s="267"/>
      <c r="S44" s="267"/>
      <c r="T44" s="267"/>
      <c r="U44" s="267"/>
      <c r="V44" s="267"/>
      <c r="W44" s="267"/>
      <c r="X44" s="267"/>
      <c r="Y44" s="267"/>
      <c r="Z44" s="267"/>
      <c r="AA44" s="267"/>
      <c r="AB44" s="267"/>
      <c r="AC44" s="267"/>
      <c r="AD44" s="267"/>
    </row>
    <row r="45" spans="2:48" ht="16.5" customHeight="1">
      <c r="B45" s="266"/>
      <c r="C45" s="266"/>
      <c r="D45" s="266"/>
      <c r="E45" s="266"/>
      <c r="F45" s="266"/>
      <c r="G45" s="266"/>
      <c r="H45" s="258" t="s">
        <v>3</v>
      </c>
      <c r="I45" s="258"/>
      <c r="J45" s="258"/>
      <c r="K45" s="258"/>
      <c r="L45" s="258" t="s">
        <v>4</v>
      </c>
      <c r="M45" s="258"/>
      <c r="N45" s="258" t="s">
        <v>134</v>
      </c>
      <c r="O45" s="258"/>
      <c r="P45" s="258"/>
      <c r="Q45" s="258" t="s">
        <v>6</v>
      </c>
      <c r="R45" s="258"/>
      <c r="S45" s="258"/>
      <c r="T45" s="258"/>
      <c r="U45" s="258"/>
      <c r="V45" s="258" t="s">
        <v>135</v>
      </c>
      <c r="W45" s="258"/>
      <c r="X45" s="258"/>
      <c r="Y45" s="258" t="s">
        <v>136</v>
      </c>
      <c r="Z45" s="258"/>
      <c r="AA45" s="258"/>
      <c r="AB45" s="258"/>
      <c r="AC45" s="258"/>
      <c r="AD45" s="258"/>
    </row>
    <row r="46" spans="2:48" ht="16.5" customHeight="1">
      <c r="B46" s="266"/>
      <c r="C46" s="266"/>
      <c r="D46" s="266"/>
      <c r="E46" s="266"/>
      <c r="F46" s="266"/>
      <c r="G46" s="266"/>
      <c r="H46" s="258"/>
      <c r="I46" s="258"/>
      <c r="J46" s="258"/>
      <c r="K46" s="258"/>
      <c r="L46" s="258"/>
      <c r="M46" s="258"/>
      <c r="N46" s="258"/>
      <c r="O46" s="258"/>
      <c r="P46" s="258"/>
      <c r="Q46" s="258"/>
      <c r="R46" s="258"/>
      <c r="S46" s="258"/>
      <c r="T46" s="258"/>
      <c r="U46" s="258"/>
      <c r="V46" s="258"/>
      <c r="W46" s="258"/>
      <c r="X46" s="258"/>
      <c r="Y46" s="258"/>
      <c r="Z46" s="258"/>
      <c r="AA46" s="258"/>
      <c r="AB46" s="258"/>
      <c r="AC46" s="258"/>
      <c r="AD46" s="258"/>
    </row>
    <row r="47" spans="2:48" ht="16.5" customHeight="1">
      <c r="B47" s="266"/>
      <c r="C47" s="266"/>
      <c r="D47" s="266"/>
      <c r="E47" s="266"/>
      <c r="F47" s="266"/>
      <c r="G47" s="266"/>
      <c r="H47" s="258"/>
      <c r="I47" s="258"/>
      <c r="J47" s="258"/>
      <c r="K47" s="258"/>
      <c r="L47" s="258"/>
      <c r="M47" s="258"/>
      <c r="N47" s="258"/>
      <c r="O47" s="258"/>
      <c r="P47" s="258"/>
      <c r="Q47" s="258"/>
      <c r="R47" s="258"/>
      <c r="S47" s="258"/>
      <c r="T47" s="258"/>
      <c r="U47" s="258"/>
      <c r="V47" s="258"/>
      <c r="W47" s="258"/>
      <c r="X47" s="258"/>
      <c r="Y47" s="258"/>
      <c r="Z47" s="258"/>
      <c r="AA47" s="258"/>
      <c r="AB47" s="258"/>
      <c r="AC47" s="258"/>
      <c r="AD47" s="258"/>
    </row>
    <row r="48" spans="2:48" ht="16.5" customHeight="1">
      <c r="B48" s="266"/>
      <c r="C48" s="266"/>
      <c r="D48" s="266"/>
      <c r="E48" s="266"/>
      <c r="F48" s="266"/>
      <c r="G48" s="266"/>
      <c r="H48" s="258"/>
      <c r="I48" s="258"/>
      <c r="J48" s="258"/>
      <c r="K48" s="258"/>
      <c r="L48" s="258"/>
      <c r="M48" s="258"/>
      <c r="N48" s="258"/>
      <c r="O48" s="258"/>
      <c r="P48" s="258"/>
      <c r="Q48" s="258"/>
      <c r="R48" s="258"/>
      <c r="S48" s="258"/>
      <c r="T48" s="258"/>
      <c r="U48" s="258"/>
      <c r="V48" s="258"/>
      <c r="W48" s="258"/>
      <c r="X48" s="258"/>
      <c r="Y48" s="258"/>
      <c r="Z48" s="258"/>
      <c r="AA48" s="258"/>
      <c r="AB48" s="258"/>
      <c r="AC48" s="258"/>
      <c r="AD48" s="258"/>
      <c r="AG48" s="84">
        <v>33</v>
      </c>
      <c r="AI48" s="84">
        <v>35</v>
      </c>
      <c r="AL48" s="84">
        <v>37</v>
      </c>
      <c r="AO48" s="84">
        <v>39</v>
      </c>
      <c r="AP48" s="84">
        <v>40</v>
      </c>
      <c r="AQ48" s="84">
        <v>41</v>
      </c>
      <c r="AS48" s="84">
        <v>42</v>
      </c>
      <c r="AT48" s="84">
        <v>43</v>
      </c>
      <c r="AU48" s="84">
        <v>44</v>
      </c>
      <c r="AV48" s="84">
        <v>45</v>
      </c>
    </row>
    <row r="49" spans="2:48" ht="18.75" customHeight="1">
      <c r="B49" s="258" t="str">
        <f>AG49</f>
        <v>CÔNG TY CỔ PHẦN VIỄN THÔNG DI ĐỘNG TOÀN CẦU</v>
      </c>
      <c r="C49" s="258"/>
      <c r="D49" s="258"/>
      <c r="E49" s="258"/>
      <c r="F49" s="258"/>
      <c r="G49" s="258"/>
      <c r="H49" s="259" t="str">
        <f>AI49</f>
        <v>TB1</v>
      </c>
      <c r="I49" s="259"/>
      <c r="J49" s="259"/>
      <c r="K49" s="259"/>
      <c r="L49" s="260">
        <v>3</v>
      </c>
      <c r="M49" s="260"/>
      <c r="N49" s="261" t="str">
        <f>AL49</f>
        <v>4/4/4</v>
      </c>
      <c r="O49" s="261"/>
      <c r="P49" s="261"/>
      <c r="Q49" s="258" t="str">
        <f>IF(L49=3,AO49&amp;"W/ "&amp;AP49&amp;"W/ "&amp;AQ49&amp;"W",IF(L49=2,AO49&amp;"W/ "&amp;AP49&amp;"W",AO49&amp;"W"))</f>
        <v>20W/ 30W/ 40W</v>
      </c>
      <c r="R49" s="258"/>
      <c r="S49" s="258"/>
      <c r="T49" s="258"/>
      <c r="U49" s="258"/>
      <c r="V49" s="258" t="str">
        <f>IF(AS49="900 &amp; 1800","900MHz &amp; 1800MHz",IF(AS49="900 &amp; 2100","900MHz &amp; 2100MHz",IF(AS49="1800 &amp; 2100","1800MHz &amp; 2100MHz",AS49&amp;"MHz")))</f>
        <v>900MHz</v>
      </c>
      <c r="W49" s="258"/>
      <c r="X49" s="258"/>
      <c r="Y49" s="258">
        <f>AT49</f>
        <v>15</v>
      </c>
      <c r="Z49" s="258"/>
      <c r="AA49" s="258"/>
      <c r="AB49" s="258"/>
      <c r="AC49" s="258"/>
      <c r="AD49" s="258"/>
      <c r="AG49" s="96" t="s">
        <v>155</v>
      </c>
      <c r="AI49" s="96" t="s">
        <v>137</v>
      </c>
      <c r="AJ49" s="96"/>
      <c r="AL49" s="100" t="s">
        <v>119</v>
      </c>
      <c r="AO49" s="84">
        <v>20</v>
      </c>
      <c r="AP49" s="84">
        <v>30</v>
      </c>
      <c r="AQ49" s="84">
        <v>40</v>
      </c>
      <c r="AS49" s="84">
        <v>900</v>
      </c>
      <c r="AT49" s="84">
        <v>15</v>
      </c>
      <c r="AU49" s="84">
        <v>16</v>
      </c>
      <c r="AV49" s="84">
        <v>17</v>
      </c>
    </row>
    <row r="50" spans="2:48" ht="18.75" customHeight="1">
      <c r="B50" s="258"/>
      <c r="C50" s="258"/>
      <c r="D50" s="258"/>
      <c r="E50" s="258"/>
      <c r="F50" s="258"/>
      <c r="G50" s="258"/>
      <c r="H50" s="259"/>
      <c r="I50" s="259"/>
      <c r="J50" s="259"/>
      <c r="K50" s="259"/>
      <c r="L50" s="260"/>
      <c r="M50" s="260"/>
      <c r="N50" s="261"/>
      <c r="O50" s="261"/>
      <c r="P50" s="261"/>
      <c r="Q50" s="258"/>
      <c r="R50" s="258"/>
      <c r="S50" s="258"/>
      <c r="T50" s="258"/>
      <c r="U50" s="258"/>
      <c r="V50" s="258"/>
      <c r="W50" s="258"/>
      <c r="X50" s="258"/>
      <c r="Y50" s="258"/>
      <c r="Z50" s="258"/>
      <c r="AA50" s="258"/>
      <c r="AB50" s="258"/>
      <c r="AC50" s="258"/>
      <c r="AD50" s="258"/>
    </row>
    <row r="51" spans="2:48" ht="18.75" customHeight="1">
      <c r="B51" s="258"/>
      <c r="C51" s="258"/>
      <c r="D51" s="258"/>
      <c r="E51" s="258"/>
      <c r="F51" s="258"/>
      <c r="G51" s="258"/>
      <c r="H51" s="259"/>
      <c r="I51" s="259"/>
      <c r="J51" s="259"/>
      <c r="K51" s="259"/>
      <c r="L51" s="260"/>
      <c r="M51" s="260"/>
      <c r="N51" s="261"/>
      <c r="O51" s="261"/>
      <c r="P51" s="261"/>
      <c r="Q51" s="258"/>
      <c r="R51" s="258"/>
      <c r="S51" s="258"/>
      <c r="T51" s="258"/>
      <c r="U51" s="258"/>
      <c r="V51" s="258"/>
      <c r="W51" s="258"/>
      <c r="X51" s="258"/>
      <c r="Y51" s="258"/>
      <c r="Z51" s="258"/>
      <c r="AA51" s="258"/>
      <c r="AB51" s="258"/>
      <c r="AC51" s="258"/>
      <c r="AD51" s="258"/>
    </row>
    <row r="52" spans="2:48" ht="18.75" customHeight="1">
      <c r="B52" s="258"/>
      <c r="C52" s="258"/>
      <c r="D52" s="258"/>
      <c r="E52" s="258"/>
      <c r="F52" s="258"/>
      <c r="G52" s="258"/>
      <c r="H52" s="259"/>
      <c r="I52" s="259"/>
      <c r="J52" s="259"/>
      <c r="K52" s="259"/>
      <c r="L52" s="260"/>
      <c r="M52" s="260"/>
      <c r="N52" s="261"/>
      <c r="O52" s="261"/>
      <c r="P52" s="261"/>
      <c r="Q52" s="258"/>
      <c r="R52" s="258"/>
      <c r="S52" s="258"/>
      <c r="T52" s="258"/>
      <c r="U52" s="258"/>
      <c r="V52" s="258"/>
      <c r="W52" s="258"/>
      <c r="X52" s="258"/>
      <c r="Y52" s="258"/>
      <c r="Z52" s="258"/>
      <c r="AA52" s="258"/>
      <c r="AB52" s="258"/>
      <c r="AC52" s="258"/>
      <c r="AD52" s="258"/>
    </row>
    <row r="53" spans="2:48" ht="18.75" customHeight="1">
      <c r="B53" s="258" t="str">
        <f t="shared" ref="B53" si="0">AG53</f>
        <v>CÔNG TY CỔ PHẦN VIỄN THÔNG DI ĐỘNG TOÀN CẦU</v>
      </c>
      <c r="C53" s="258"/>
      <c r="D53" s="258"/>
      <c r="E53" s="258"/>
      <c r="F53" s="258"/>
      <c r="G53" s="258"/>
      <c r="H53" s="259" t="str">
        <f>AI53</f>
        <v>TB1</v>
      </c>
      <c r="I53" s="259"/>
      <c r="J53" s="259"/>
      <c r="K53" s="259"/>
      <c r="L53" s="260">
        <v>2</v>
      </c>
      <c r="M53" s="260"/>
      <c r="N53" s="261" t="str">
        <f>AL53</f>
        <v>4/4/4</v>
      </c>
      <c r="O53" s="261"/>
      <c r="P53" s="261"/>
      <c r="Q53" s="258" t="str">
        <f t="shared" ref="Q53" si="1">IF(L53=3,AO53&amp;"W/ "&amp;AP53&amp;"W/ "&amp;AQ53&amp;"W",IF(L53=2,AO53&amp;"W/ "&amp;AP53&amp;"W",AO53&amp;"W"))</f>
        <v>20W/ 30W</v>
      </c>
      <c r="R53" s="258"/>
      <c r="S53" s="258"/>
      <c r="T53" s="258"/>
      <c r="U53" s="258"/>
      <c r="V53" s="258" t="str">
        <f>IF(AS53="900 &amp; 1800","900MHz &amp; 1800MHz",IF(AS53="900 &amp; 2100","900MHz &amp; 2100MHz",IF(AS53="1800 &amp; 2100","1800MHz &amp; 2100MHz",AS53&amp;"MHz")))</f>
        <v>1800MHz</v>
      </c>
      <c r="W53" s="258"/>
      <c r="X53" s="258"/>
      <c r="Y53" s="258">
        <f>AT53</f>
        <v>15</v>
      </c>
      <c r="Z53" s="258"/>
      <c r="AA53" s="258"/>
      <c r="AB53" s="258"/>
      <c r="AC53" s="258"/>
      <c r="AD53" s="258"/>
      <c r="AG53" s="96" t="s">
        <v>155</v>
      </c>
      <c r="AI53" s="96" t="s">
        <v>137</v>
      </c>
      <c r="AJ53" s="96"/>
      <c r="AL53" s="100" t="s">
        <v>119</v>
      </c>
      <c r="AO53" s="84">
        <v>20</v>
      </c>
      <c r="AP53" s="84">
        <v>30</v>
      </c>
      <c r="AQ53" s="84">
        <v>40</v>
      </c>
      <c r="AS53" s="84">
        <v>1800</v>
      </c>
      <c r="AT53" s="84">
        <v>15</v>
      </c>
      <c r="AU53" s="84">
        <v>16</v>
      </c>
      <c r="AV53" s="84">
        <v>17</v>
      </c>
    </row>
    <row r="54" spans="2:48" ht="18.75" customHeight="1">
      <c r="B54" s="258"/>
      <c r="C54" s="258"/>
      <c r="D54" s="258"/>
      <c r="E54" s="258"/>
      <c r="F54" s="258"/>
      <c r="G54" s="258"/>
      <c r="H54" s="259"/>
      <c r="I54" s="259"/>
      <c r="J54" s="259"/>
      <c r="K54" s="259"/>
      <c r="L54" s="260"/>
      <c r="M54" s="260"/>
      <c r="N54" s="261"/>
      <c r="O54" s="261"/>
      <c r="P54" s="261"/>
      <c r="Q54" s="258"/>
      <c r="R54" s="258"/>
      <c r="S54" s="258"/>
      <c r="T54" s="258"/>
      <c r="U54" s="258"/>
      <c r="V54" s="258"/>
      <c r="W54" s="258"/>
      <c r="X54" s="258"/>
      <c r="Y54" s="258"/>
      <c r="Z54" s="258"/>
      <c r="AA54" s="258"/>
      <c r="AB54" s="258"/>
      <c r="AC54" s="258"/>
      <c r="AD54" s="258"/>
      <c r="AG54" s="96"/>
      <c r="AI54" s="96"/>
      <c r="AJ54" s="96"/>
      <c r="AL54" s="100"/>
    </row>
    <row r="55" spans="2:48" ht="18.75" customHeight="1">
      <c r="B55" s="258"/>
      <c r="C55" s="258"/>
      <c r="D55" s="258"/>
      <c r="E55" s="258"/>
      <c r="F55" s="258"/>
      <c r="G55" s="258"/>
      <c r="H55" s="259"/>
      <c r="I55" s="259"/>
      <c r="J55" s="259"/>
      <c r="K55" s="259"/>
      <c r="L55" s="260"/>
      <c r="M55" s="260"/>
      <c r="N55" s="261"/>
      <c r="O55" s="261"/>
      <c r="P55" s="261"/>
      <c r="Q55" s="258"/>
      <c r="R55" s="258"/>
      <c r="S55" s="258"/>
      <c r="T55" s="258"/>
      <c r="U55" s="258"/>
      <c r="V55" s="258"/>
      <c r="W55" s="258"/>
      <c r="X55" s="258"/>
      <c r="Y55" s="258"/>
      <c r="Z55" s="258"/>
      <c r="AA55" s="258"/>
      <c r="AB55" s="258"/>
      <c r="AC55" s="258"/>
      <c r="AD55" s="258"/>
    </row>
    <row r="56" spans="2:48" ht="18.75" customHeight="1">
      <c r="B56" s="258"/>
      <c r="C56" s="258"/>
      <c r="D56" s="258"/>
      <c r="E56" s="258"/>
      <c r="F56" s="258"/>
      <c r="G56" s="258"/>
      <c r="H56" s="259"/>
      <c r="I56" s="259"/>
      <c r="J56" s="259"/>
      <c r="K56" s="259"/>
      <c r="L56" s="260"/>
      <c r="M56" s="260"/>
      <c r="N56" s="261"/>
      <c r="O56" s="261"/>
      <c r="P56" s="261"/>
      <c r="Q56" s="258"/>
      <c r="R56" s="258"/>
      <c r="S56" s="258"/>
      <c r="T56" s="258"/>
      <c r="U56" s="258"/>
      <c r="V56" s="258"/>
      <c r="W56" s="258"/>
      <c r="X56" s="258"/>
      <c r="Y56" s="258"/>
      <c r="Z56" s="258"/>
      <c r="AA56" s="258"/>
      <c r="AB56" s="258"/>
      <c r="AC56" s="258"/>
      <c r="AD56" s="258"/>
    </row>
    <row r="57" spans="2:48" ht="18.75" customHeight="1">
      <c r="B57" s="258" t="str">
        <f t="shared" ref="B57" si="2">AG57</f>
        <v>CÔNG TY CỔ PHẦN VIỄN THÔNG DI ĐỘNG TOÀN CẦU</v>
      </c>
      <c r="C57" s="258"/>
      <c r="D57" s="258"/>
      <c r="E57" s="258"/>
      <c r="F57" s="258"/>
      <c r="G57" s="258"/>
      <c r="H57" s="259" t="str">
        <f>AI57</f>
        <v>TB1</v>
      </c>
      <c r="I57" s="259"/>
      <c r="J57" s="259"/>
      <c r="K57" s="259"/>
      <c r="L57" s="260">
        <v>2</v>
      </c>
      <c r="M57" s="260"/>
      <c r="N57" s="261" t="str">
        <f t="shared" ref="N57" si="3">AL57</f>
        <v>4/4/4</v>
      </c>
      <c r="O57" s="261"/>
      <c r="P57" s="261"/>
      <c r="Q57" s="258" t="str">
        <f t="shared" ref="Q57" si="4">IF(L57=3,AO57&amp;"W/ "&amp;AP57&amp;"W/ "&amp;AQ57&amp;"W",IF(L57=2,AO57&amp;"W/ "&amp;AP57&amp;"W",AO57&amp;"W"))</f>
        <v>20W/ 30W</v>
      </c>
      <c r="R57" s="258"/>
      <c r="S57" s="258"/>
      <c r="T57" s="258"/>
      <c r="U57" s="258"/>
      <c r="V57" s="258" t="str">
        <f>IF(AS57="900 &amp; 1800","900MHz &amp; 1800MHz",IF(AS57="900 &amp; 2100","900MHz &amp; 2100MHz",IF(AS57="1800 &amp; 2100","1800MHz &amp; 2100MHz",AS57&amp;"MHz")))</f>
        <v>9000 &amp; 1800MHz</v>
      </c>
      <c r="W57" s="258"/>
      <c r="X57" s="258"/>
      <c r="Y57" s="258">
        <f>AT57</f>
        <v>15</v>
      </c>
      <c r="Z57" s="258"/>
      <c r="AA57" s="258"/>
      <c r="AB57" s="258"/>
      <c r="AC57" s="258"/>
      <c r="AD57" s="258"/>
      <c r="AG57" s="96" t="s">
        <v>155</v>
      </c>
      <c r="AI57" s="96" t="s">
        <v>137</v>
      </c>
      <c r="AJ57" s="96"/>
      <c r="AL57" s="100" t="s">
        <v>119</v>
      </c>
      <c r="AO57" s="84">
        <v>20</v>
      </c>
      <c r="AP57" s="84">
        <v>30</v>
      </c>
      <c r="AQ57" s="84">
        <v>40</v>
      </c>
      <c r="AS57" s="84" t="s">
        <v>200</v>
      </c>
      <c r="AT57" s="84">
        <v>15</v>
      </c>
      <c r="AU57" s="84">
        <v>16</v>
      </c>
      <c r="AV57" s="84">
        <v>17</v>
      </c>
    </row>
    <row r="58" spans="2:48" ht="18.75" customHeight="1">
      <c r="B58" s="258"/>
      <c r="C58" s="258"/>
      <c r="D58" s="258"/>
      <c r="E58" s="258"/>
      <c r="F58" s="258"/>
      <c r="G58" s="258"/>
      <c r="H58" s="259"/>
      <c r="I58" s="259"/>
      <c r="J58" s="259"/>
      <c r="K58" s="259"/>
      <c r="L58" s="260"/>
      <c r="M58" s="260"/>
      <c r="N58" s="261"/>
      <c r="O58" s="261"/>
      <c r="P58" s="261"/>
      <c r="Q58" s="258"/>
      <c r="R58" s="258"/>
      <c r="S58" s="258"/>
      <c r="T58" s="258"/>
      <c r="U58" s="258"/>
      <c r="V58" s="258"/>
      <c r="W58" s="258"/>
      <c r="X58" s="258"/>
      <c r="Y58" s="258"/>
      <c r="Z58" s="258"/>
      <c r="AA58" s="258"/>
      <c r="AB58" s="258"/>
      <c r="AC58" s="258"/>
      <c r="AD58" s="258"/>
      <c r="AG58" s="96"/>
      <c r="AI58" s="96"/>
      <c r="AJ58" s="96"/>
      <c r="AL58" s="100"/>
    </row>
    <row r="59" spans="2:48" ht="18.75" customHeight="1">
      <c r="B59" s="258"/>
      <c r="C59" s="258"/>
      <c r="D59" s="258"/>
      <c r="E59" s="258"/>
      <c r="F59" s="258"/>
      <c r="G59" s="258"/>
      <c r="H59" s="259"/>
      <c r="I59" s="259"/>
      <c r="J59" s="259"/>
      <c r="K59" s="259"/>
      <c r="L59" s="260"/>
      <c r="M59" s="260"/>
      <c r="N59" s="261"/>
      <c r="O59" s="261"/>
      <c r="P59" s="261"/>
      <c r="Q59" s="258"/>
      <c r="R59" s="258"/>
      <c r="S59" s="258"/>
      <c r="T59" s="258"/>
      <c r="U59" s="258"/>
      <c r="V59" s="258"/>
      <c r="W59" s="258"/>
      <c r="X59" s="258"/>
      <c r="Y59" s="258"/>
      <c r="Z59" s="258"/>
      <c r="AA59" s="258"/>
      <c r="AB59" s="258"/>
      <c r="AC59" s="258"/>
      <c r="AD59" s="258"/>
    </row>
    <row r="60" spans="2:48" ht="18.75" customHeight="1">
      <c r="B60" s="258"/>
      <c r="C60" s="258"/>
      <c r="D60" s="258"/>
      <c r="E60" s="258"/>
      <c r="F60" s="258"/>
      <c r="G60" s="258"/>
      <c r="H60" s="259"/>
      <c r="I60" s="259"/>
      <c r="J60" s="259"/>
      <c r="K60" s="259"/>
      <c r="L60" s="260"/>
      <c r="M60" s="260"/>
      <c r="N60" s="261"/>
      <c r="O60" s="261"/>
      <c r="P60" s="261"/>
      <c r="Q60" s="258"/>
      <c r="R60" s="258"/>
      <c r="S60" s="258"/>
      <c r="T60" s="258"/>
      <c r="U60" s="258"/>
      <c r="V60" s="258"/>
      <c r="W60" s="258"/>
      <c r="X60" s="258"/>
      <c r="Y60" s="258"/>
      <c r="Z60" s="258"/>
      <c r="AA60" s="258"/>
      <c r="AB60" s="258"/>
      <c r="AC60" s="258"/>
      <c r="AD60" s="258"/>
    </row>
    <row r="61" spans="2:48" ht="18.75" customHeight="1">
      <c r="B61" s="258" t="str">
        <f t="shared" ref="B61" si="5">AG61</f>
        <v>CÔNG TY CỔ PHẦN VIỄN THÔNG DI ĐỘNG TOÀN CẦU</v>
      </c>
      <c r="C61" s="258"/>
      <c r="D61" s="258"/>
      <c r="E61" s="258"/>
      <c r="F61" s="258"/>
      <c r="G61" s="258"/>
      <c r="H61" s="259" t="str">
        <f>AI61</f>
        <v>TB1</v>
      </c>
      <c r="I61" s="259"/>
      <c r="J61" s="259"/>
      <c r="K61" s="259"/>
      <c r="L61" s="260">
        <v>3</v>
      </c>
      <c r="M61" s="260"/>
      <c r="N61" s="261" t="str">
        <f t="shared" ref="N61" si="6">AL61</f>
        <v>4/4/4</v>
      </c>
      <c r="O61" s="261"/>
      <c r="P61" s="261"/>
      <c r="Q61" s="258" t="str">
        <f>IF(L61=3,AO61&amp;"W/ "&amp;AP61&amp;"W/ "&amp;AQ61&amp;"W",IF(L61=2,AO61&amp;"W/ "&amp;AP61&amp;"W",AO61&amp;"W"))</f>
        <v>20W/ 30W/ 40W</v>
      </c>
      <c r="R61" s="258"/>
      <c r="S61" s="258"/>
      <c r="T61" s="258"/>
      <c r="U61" s="258"/>
      <c r="V61" s="258" t="str">
        <f>IF(AS61="900 &amp; 1800","900MHz &amp; 1800MHz",IF(AS61="900 &amp; 2100","900MHz &amp; 2100MHz",IF(AS61="1800 &amp; 2100","1800MHz &amp; 2100MHz",AS61&amp;"MHz")))</f>
        <v>9000 &amp; 2100MHz</v>
      </c>
      <c r="W61" s="258"/>
      <c r="X61" s="258"/>
      <c r="Y61" s="258">
        <f>AT61</f>
        <v>15</v>
      </c>
      <c r="Z61" s="258"/>
      <c r="AA61" s="258"/>
      <c r="AB61" s="258"/>
      <c r="AC61" s="258"/>
      <c r="AD61" s="258"/>
      <c r="AG61" s="96" t="s">
        <v>155</v>
      </c>
      <c r="AI61" s="96" t="s">
        <v>137</v>
      </c>
      <c r="AJ61" s="96"/>
      <c r="AL61" s="100" t="s">
        <v>119</v>
      </c>
      <c r="AO61" s="84">
        <v>20</v>
      </c>
      <c r="AP61" s="84">
        <v>30</v>
      </c>
      <c r="AQ61" s="84">
        <v>40</v>
      </c>
      <c r="AS61" s="84" t="s">
        <v>201</v>
      </c>
      <c r="AT61" s="84">
        <v>15</v>
      </c>
      <c r="AU61" s="84">
        <v>16</v>
      </c>
      <c r="AV61" s="84">
        <v>17</v>
      </c>
    </row>
    <row r="62" spans="2:48" ht="18.75" customHeight="1">
      <c r="B62" s="258"/>
      <c r="C62" s="258"/>
      <c r="D62" s="258"/>
      <c r="E62" s="258"/>
      <c r="F62" s="258"/>
      <c r="G62" s="258"/>
      <c r="H62" s="259"/>
      <c r="I62" s="259"/>
      <c r="J62" s="259"/>
      <c r="K62" s="259"/>
      <c r="L62" s="260"/>
      <c r="M62" s="260"/>
      <c r="N62" s="261"/>
      <c r="O62" s="261"/>
      <c r="P62" s="261"/>
      <c r="Q62" s="258"/>
      <c r="R62" s="258"/>
      <c r="S62" s="258"/>
      <c r="T62" s="258"/>
      <c r="U62" s="258"/>
      <c r="V62" s="258"/>
      <c r="W62" s="258"/>
      <c r="X62" s="258"/>
      <c r="Y62" s="258"/>
      <c r="Z62" s="258"/>
      <c r="AA62" s="258"/>
      <c r="AB62" s="258"/>
      <c r="AC62" s="258"/>
      <c r="AD62" s="258"/>
      <c r="AG62" s="96"/>
      <c r="AI62" s="96"/>
      <c r="AJ62" s="96"/>
      <c r="AL62" s="100"/>
    </row>
    <row r="63" spans="2:48" ht="18.75" customHeight="1">
      <c r="B63" s="258"/>
      <c r="C63" s="258"/>
      <c r="D63" s="258"/>
      <c r="E63" s="258"/>
      <c r="F63" s="258"/>
      <c r="G63" s="258"/>
      <c r="H63" s="259"/>
      <c r="I63" s="259"/>
      <c r="J63" s="259"/>
      <c r="K63" s="259"/>
      <c r="L63" s="260"/>
      <c r="M63" s="260"/>
      <c r="N63" s="261"/>
      <c r="O63" s="261"/>
      <c r="P63" s="261"/>
      <c r="Q63" s="258"/>
      <c r="R63" s="258"/>
      <c r="S63" s="258"/>
      <c r="T63" s="258"/>
      <c r="U63" s="258"/>
      <c r="V63" s="258"/>
      <c r="W63" s="258"/>
      <c r="X63" s="258"/>
      <c r="Y63" s="258"/>
      <c r="Z63" s="258"/>
      <c r="AA63" s="258"/>
      <c r="AB63" s="258"/>
      <c r="AC63" s="258"/>
      <c r="AD63" s="258"/>
    </row>
    <row r="64" spans="2:48" ht="18.75" customHeight="1">
      <c r="B64" s="258"/>
      <c r="C64" s="258"/>
      <c r="D64" s="258"/>
      <c r="E64" s="258"/>
      <c r="F64" s="258"/>
      <c r="G64" s="258"/>
      <c r="H64" s="259"/>
      <c r="I64" s="259"/>
      <c r="J64" s="259"/>
      <c r="K64" s="259"/>
      <c r="L64" s="260"/>
      <c r="M64" s="260"/>
      <c r="N64" s="261"/>
      <c r="O64" s="261"/>
      <c r="P64" s="261"/>
      <c r="Q64" s="258"/>
      <c r="R64" s="258"/>
      <c r="S64" s="258"/>
      <c r="T64" s="258"/>
      <c r="U64" s="258"/>
      <c r="V64" s="258"/>
      <c r="W64" s="258"/>
      <c r="X64" s="258"/>
      <c r="Y64" s="258"/>
      <c r="Z64" s="258"/>
      <c r="AA64" s="258"/>
      <c r="AB64" s="258"/>
      <c r="AC64" s="258"/>
      <c r="AD64" s="258"/>
    </row>
    <row r="65" spans="2:48" ht="18.75" customHeight="1">
      <c r="B65" s="258" t="str">
        <f t="shared" ref="B65" si="7">AG65</f>
        <v>CÔNG TY CỔ PHẦN VIỄN THÔNG DI ĐỘNG TOÀN CẦU</v>
      </c>
      <c r="C65" s="258"/>
      <c r="D65" s="258"/>
      <c r="E65" s="258"/>
      <c r="F65" s="258"/>
      <c r="G65" s="258"/>
      <c r="H65" s="259" t="str">
        <f>AI65</f>
        <v>TB1</v>
      </c>
      <c r="I65" s="259"/>
      <c r="J65" s="259"/>
      <c r="K65" s="259"/>
      <c r="L65" s="260">
        <v>1</v>
      </c>
      <c r="M65" s="260"/>
      <c r="N65" s="261" t="str">
        <f t="shared" ref="N65" si="8">AL65</f>
        <v>4/4/4</v>
      </c>
      <c r="O65" s="261"/>
      <c r="P65" s="261"/>
      <c r="Q65" s="258" t="str">
        <f t="shared" ref="Q65" si="9">IF(L65=3,AO65&amp;"W/ "&amp;AP65&amp;"W/ "&amp;AQ65&amp;"W",IF(L65=2,AO65&amp;"W/ "&amp;AP65&amp;"W",AO65&amp;"W"))</f>
        <v>20W</v>
      </c>
      <c r="R65" s="258"/>
      <c r="S65" s="258"/>
      <c r="T65" s="258"/>
      <c r="U65" s="258"/>
      <c r="V65" s="258" t="str">
        <f>IF(AS65="900 &amp; 1800","900MHz &amp; 1800MHz",IF(AS65="900 &amp; 2100","900MHz &amp; 2100MHz",IF(AS65="1800 &amp; 2100","1800MHz &amp; 2100MHz",AS65&amp;"MHz")))</f>
        <v>1800MHz &amp; 2100MHz</v>
      </c>
      <c r="W65" s="258"/>
      <c r="X65" s="258"/>
      <c r="Y65" s="258">
        <f>AT65</f>
        <v>15</v>
      </c>
      <c r="Z65" s="258"/>
      <c r="AA65" s="258"/>
      <c r="AB65" s="258"/>
      <c r="AC65" s="258"/>
      <c r="AD65" s="258"/>
      <c r="AG65" s="96" t="s">
        <v>155</v>
      </c>
      <c r="AI65" s="96" t="s">
        <v>137</v>
      </c>
      <c r="AJ65" s="96"/>
      <c r="AL65" s="100" t="s">
        <v>119</v>
      </c>
      <c r="AO65" s="84">
        <v>20</v>
      </c>
      <c r="AP65" s="84">
        <v>30</v>
      </c>
      <c r="AQ65" s="84">
        <v>40</v>
      </c>
      <c r="AS65" s="84" t="s">
        <v>202</v>
      </c>
      <c r="AT65" s="84">
        <v>15</v>
      </c>
      <c r="AU65" s="84">
        <v>16</v>
      </c>
      <c r="AV65" s="84">
        <v>17</v>
      </c>
    </row>
    <row r="66" spans="2:48" ht="18.75" customHeight="1">
      <c r="B66" s="258"/>
      <c r="C66" s="258"/>
      <c r="D66" s="258"/>
      <c r="E66" s="258"/>
      <c r="F66" s="258"/>
      <c r="G66" s="258"/>
      <c r="H66" s="259"/>
      <c r="I66" s="259"/>
      <c r="J66" s="259"/>
      <c r="K66" s="259"/>
      <c r="L66" s="260"/>
      <c r="M66" s="260"/>
      <c r="N66" s="261"/>
      <c r="O66" s="261"/>
      <c r="P66" s="261"/>
      <c r="Q66" s="258"/>
      <c r="R66" s="258"/>
      <c r="S66" s="258"/>
      <c r="T66" s="258"/>
      <c r="U66" s="258"/>
      <c r="V66" s="258"/>
      <c r="W66" s="258"/>
      <c r="X66" s="258"/>
      <c r="Y66" s="258"/>
      <c r="Z66" s="258"/>
      <c r="AA66" s="258"/>
      <c r="AB66" s="258"/>
      <c r="AC66" s="258"/>
      <c r="AD66" s="258"/>
    </row>
    <row r="67" spans="2:48" ht="18.75" customHeight="1">
      <c r="B67" s="258"/>
      <c r="C67" s="258"/>
      <c r="D67" s="258"/>
      <c r="E67" s="258"/>
      <c r="F67" s="258"/>
      <c r="G67" s="258"/>
      <c r="H67" s="259"/>
      <c r="I67" s="259"/>
      <c r="J67" s="259"/>
      <c r="K67" s="259"/>
      <c r="L67" s="260"/>
      <c r="M67" s="260"/>
      <c r="N67" s="261"/>
      <c r="O67" s="261"/>
      <c r="P67" s="261"/>
      <c r="Q67" s="258"/>
      <c r="R67" s="258"/>
      <c r="S67" s="258"/>
      <c r="T67" s="258"/>
      <c r="U67" s="258"/>
      <c r="V67" s="258"/>
      <c r="W67" s="258"/>
      <c r="X67" s="258"/>
      <c r="Y67" s="258"/>
      <c r="Z67" s="258"/>
      <c r="AA67" s="258"/>
      <c r="AB67" s="258"/>
      <c r="AC67" s="258"/>
      <c r="AD67" s="258"/>
    </row>
    <row r="68" spans="2:48" ht="18.75" customHeight="1">
      <c r="B68" s="258"/>
      <c r="C68" s="258"/>
      <c r="D68" s="258"/>
      <c r="E68" s="258"/>
      <c r="F68" s="258"/>
      <c r="G68" s="258"/>
      <c r="H68" s="259"/>
      <c r="I68" s="259"/>
      <c r="J68" s="259"/>
      <c r="K68" s="259"/>
      <c r="L68" s="260"/>
      <c r="M68" s="260"/>
      <c r="N68" s="261"/>
      <c r="O68" s="261"/>
      <c r="P68" s="261"/>
      <c r="Q68" s="258"/>
      <c r="R68" s="258"/>
      <c r="S68" s="258"/>
      <c r="T68" s="258"/>
      <c r="U68" s="258"/>
      <c r="V68" s="258"/>
      <c r="W68" s="258"/>
      <c r="X68" s="258"/>
      <c r="Y68" s="258"/>
      <c r="Z68" s="258"/>
      <c r="AA68" s="258"/>
      <c r="AB68" s="258"/>
      <c r="AC68" s="258"/>
      <c r="AD68" s="258"/>
    </row>
    <row r="69" spans="2:48" ht="18.75" customHeight="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row>
    <row r="70" spans="2:48" ht="18.75" customHeight="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row>
    <row r="71" spans="2:48" ht="18.75" customHeight="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row>
    <row r="72" spans="2:48" ht="18.75" customHeight="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row>
    <row r="73" spans="2:48" ht="18.75" customHeight="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row>
    <row r="74" spans="2:48" ht="18.75" customHeight="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row>
    <row r="75" spans="2:48" ht="18.75" customHeight="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row>
    <row r="76" spans="2:48" ht="18.75" customHeight="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row>
    <row r="77" spans="2:48" ht="18.75" customHeight="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row>
    <row r="78" spans="2:48" ht="18.75" customHeight="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row>
    <row r="79" spans="2:48" ht="18.75" customHeight="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row>
    <row r="80" spans="2:48" ht="18.75" customHeight="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row>
    <row r="81" spans="3:30" ht="18.75" customHeight="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row>
    <row r="82" spans="3:30" ht="18.75" customHeight="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row>
    <row r="83" spans="3:30" ht="18.75" customHeight="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row>
    <row r="84" spans="3:30" ht="18.75" customHeight="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row>
    <row r="85" spans="3:30" ht="18.75" customHeight="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row>
    <row r="86" spans="3:30" ht="18.75" customHeight="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row>
    <row r="87" spans="3:30" ht="18.75" customHeight="1">
      <c r="C87" s="111"/>
      <c r="D87" s="111"/>
      <c r="E87" s="111"/>
      <c r="F87" s="111"/>
      <c r="G87" s="111"/>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row>
    <row r="88" spans="3:30" ht="18.75" customHeight="1">
      <c r="C88" s="111"/>
      <c r="D88" s="111"/>
      <c r="E88" s="111"/>
      <c r="F88" s="111"/>
      <c r="G88" s="111"/>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row>
    <row r="89" spans="3:30" ht="18.75" customHeight="1">
      <c r="C89" s="111"/>
      <c r="D89" s="111"/>
      <c r="E89" s="111"/>
      <c r="F89" s="111"/>
      <c r="G89" s="111"/>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row>
    <row r="90" spans="3:30" ht="18.75" customHeight="1">
      <c r="C90" s="111"/>
      <c r="D90" s="111"/>
      <c r="E90" s="111"/>
      <c r="F90" s="111"/>
      <c r="G90" s="111"/>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row>
    <row r="91" spans="3:30" ht="18.75" customHeight="1">
      <c r="C91" s="111"/>
      <c r="D91" s="111"/>
      <c r="E91" s="111"/>
      <c r="F91" s="111"/>
      <c r="G91" s="111"/>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row>
    <row r="92" spans="3:30">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row>
    <row r="93" spans="3:30">
      <c r="C93" s="111"/>
      <c r="D93" s="111"/>
      <c r="E93" s="111"/>
      <c r="F93" s="111"/>
      <c r="G93" s="111"/>
      <c r="H93" s="111"/>
      <c r="I93" s="111"/>
      <c r="J93" s="111"/>
      <c r="K93" s="111"/>
      <c r="L93" s="111"/>
      <c r="M93" s="111"/>
      <c r="N93" s="111"/>
      <c r="O93" s="111"/>
      <c r="P93" s="111"/>
      <c r="Q93" s="111"/>
      <c r="R93" s="111"/>
      <c r="S93" s="111"/>
      <c r="T93" s="111"/>
      <c r="U93" s="111"/>
      <c r="V93" s="111"/>
      <c r="W93" s="111"/>
      <c r="X93" s="111"/>
      <c r="Y93" s="111"/>
      <c r="Z93" s="111"/>
      <c r="AA93" s="111"/>
      <c r="AB93" s="111"/>
      <c r="AC93" s="111"/>
      <c r="AD93" s="111"/>
    </row>
    <row r="94" spans="3:30">
      <c r="C94" s="111"/>
      <c r="D94" s="111"/>
      <c r="E94" s="111"/>
      <c r="F94" s="111"/>
      <c r="G94" s="111"/>
      <c r="H94" s="111"/>
      <c r="I94" s="111"/>
      <c r="J94" s="111"/>
      <c r="K94" s="111"/>
      <c r="L94" s="111"/>
      <c r="M94" s="111"/>
      <c r="N94" s="111"/>
      <c r="O94" s="111"/>
      <c r="P94" s="111"/>
      <c r="Q94" s="111"/>
      <c r="R94" s="111"/>
      <c r="S94" s="111"/>
      <c r="T94" s="111"/>
      <c r="U94" s="111"/>
      <c r="V94" s="111"/>
      <c r="W94" s="111"/>
      <c r="X94" s="111"/>
      <c r="Y94" s="111"/>
      <c r="Z94" s="111"/>
      <c r="AA94" s="111"/>
      <c r="AB94" s="111"/>
      <c r="AC94" s="111"/>
      <c r="AD94" s="111"/>
    </row>
    <row r="95" spans="3:30">
      <c r="C95" s="111"/>
      <c r="D95" s="111"/>
      <c r="E95" s="111"/>
      <c r="F95" s="111"/>
      <c r="G95" s="111"/>
      <c r="H95" s="111"/>
      <c r="I95" s="111"/>
      <c r="J95" s="111"/>
      <c r="K95" s="111"/>
      <c r="L95" s="111"/>
      <c r="M95" s="111"/>
      <c r="N95" s="111"/>
      <c r="O95" s="111"/>
      <c r="P95" s="111"/>
      <c r="Q95" s="111"/>
      <c r="R95" s="111"/>
      <c r="S95" s="111"/>
      <c r="T95" s="111"/>
      <c r="U95" s="111"/>
      <c r="V95" s="111"/>
      <c r="W95" s="111"/>
      <c r="X95" s="111"/>
      <c r="Y95" s="111"/>
      <c r="Z95" s="111"/>
      <c r="AA95" s="111"/>
      <c r="AB95" s="111"/>
      <c r="AC95" s="111"/>
      <c r="AD95" s="111"/>
    </row>
    <row r="96" spans="3:30">
      <c r="C96" s="111"/>
      <c r="D96" s="111"/>
      <c r="E96" s="111"/>
      <c r="F96" s="111"/>
      <c r="G96" s="111"/>
      <c r="H96" s="111"/>
      <c r="I96" s="111"/>
      <c r="J96" s="111"/>
      <c r="K96" s="111"/>
      <c r="L96" s="111"/>
      <c r="M96" s="111"/>
      <c r="N96" s="111"/>
      <c r="O96" s="111"/>
      <c r="P96" s="111"/>
      <c r="Q96" s="111"/>
      <c r="R96" s="111"/>
      <c r="S96" s="111"/>
      <c r="T96" s="111"/>
      <c r="U96" s="111"/>
      <c r="V96" s="111"/>
      <c r="W96" s="111"/>
      <c r="X96" s="111"/>
      <c r="Y96" s="111"/>
      <c r="Z96" s="111"/>
      <c r="AA96" s="111"/>
      <c r="AB96" s="111"/>
      <c r="AC96" s="111"/>
      <c r="AD96" s="111"/>
    </row>
    <row r="97" spans="3:30">
      <c r="C97" s="111"/>
      <c r="D97" s="111"/>
      <c r="E97" s="111"/>
      <c r="F97" s="111"/>
      <c r="G97" s="111"/>
      <c r="H97" s="111"/>
      <c r="I97" s="111"/>
      <c r="J97" s="111"/>
      <c r="K97" s="111"/>
      <c r="L97" s="111"/>
      <c r="M97" s="111"/>
      <c r="N97" s="111"/>
      <c r="O97" s="111"/>
      <c r="P97" s="111"/>
      <c r="Q97" s="111"/>
      <c r="R97" s="111"/>
      <c r="S97" s="111"/>
      <c r="T97" s="111"/>
      <c r="U97" s="111"/>
      <c r="V97" s="111"/>
      <c r="W97" s="111"/>
      <c r="X97" s="111"/>
      <c r="Y97" s="111"/>
      <c r="Z97" s="111"/>
      <c r="AA97" s="111"/>
      <c r="AB97" s="111"/>
      <c r="AC97" s="111"/>
      <c r="AD97" s="111"/>
    </row>
    <row r="98" spans="3:30">
      <c r="C98" s="111"/>
      <c r="D98" s="111"/>
      <c r="E98" s="111"/>
      <c r="F98" s="111"/>
      <c r="G98" s="111"/>
      <c r="H98" s="111"/>
      <c r="I98" s="111"/>
      <c r="J98" s="111"/>
      <c r="K98" s="111"/>
      <c r="L98" s="111"/>
      <c r="M98" s="111"/>
      <c r="N98" s="111"/>
      <c r="O98" s="111"/>
      <c r="P98" s="111"/>
      <c r="Q98" s="111"/>
      <c r="R98" s="111"/>
      <c r="S98" s="111"/>
      <c r="T98" s="111"/>
      <c r="U98" s="111"/>
      <c r="V98" s="111"/>
      <c r="W98" s="111"/>
      <c r="X98" s="111"/>
      <c r="Y98" s="111"/>
      <c r="Z98" s="111"/>
      <c r="AA98" s="111"/>
      <c r="AB98" s="111"/>
      <c r="AC98" s="111"/>
      <c r="AD98" s="111"/>
    </row>
  </sheetData>
  <mergeCells count="104">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2" workbookViewId="0">
      <selection activeCell="AI29" sqref="AI29"/>
    </sheetView>
  </sheetViews>
  <sheetFormatPr defaultColWidth="9.140625" defaultRowHeight="12.75"/>
  <cols>
    <col min="1" max="30" width="3" style="84" customWidth="1"/>
    <col min="31" max="31" width="3" style="111" customWidth="1"/>
    <col min="32" max="33" width="3" style="84" customWidth="1"/>
    <col min="34" max="123" width="3.140625" style="84" customWidth="1"/>
    <col min="124" max="16384" width="9.140625" style="84"/>
  </cols>
  <sheetData>
    <row r="1" spans="2:47" ht="19.7" customHeight="1">
      <c r="B1" s="293" t="s">
        <v>103</v>
      </c>
      <c r="C1" s="293"/>
      <c r="D1" s="293"/>
      <c r="E1" s="293"/>
      <c r="F1" s="293"/>
      <c r="G1" s="293"/>
      <c r="H1" s="293"/>
      <c r="I1" s="293"/>
      <c r="J1" s="293"/>
      <c r="K1" s="293"/>
      <c r="L1" s="293"/>
      <c r="M1" s="293"/>
      <c r="N1" s="293"/>
      <c r="O1" s="85"/>
      <c r="P1" s="284" t="s">
        <v>177</v>
      </c>
      <c r="Q1" s="284"/>
      <c r="R1" s="284"/>
      <c r="S1" s="284"/>
      <c r="T1" s="284"/>
      <c r="U1" s="284"/>
      <c r="V1" s="284"/>
      <c r="W1" s="284"/>
      <c r="X1" s="284"/>
      <c r="Y1" s="284"/>
      <c r="Z1" s="284"/>
      <c r="AA1" s="284"/>
      <c r="AB1" s="284"/>
      <c r="AC1" s="284"/>
      <c r="AD1" s="284"/>
      <c r="AE1" s="284"/>
    </row>
    <row r="2" spans="2:47" ht="19.7" customHeight="1">
      <c r="C2" s="293" t="s">
        <v>105</v>
      </c>
      <c r="D2" s="293"/>
      <c r="E2" s="293"/>
      <c r="F2" s="293"/>
      <c r="G2" s="293"/>
      <c r="H2" s="293"/>
      <c r="I2" s="293"/>
      <c r="J2" s="293"/>
      <c r="K2" s="293"/>
      <c r="L2" s="293"/>
      <c r="M2" s="293"/>
      <c r="N2" s="152"/>
      <c r="O2" s="85"/>
      <c r="P2" s="294" t="s">
        <v>172</v>
      </c>
      <c r="Q2" s="294"/>
      <c r="R2" s="294"/>
      <c r="S2" s="294"/>
      <c r="T2" s="294"/>
      <c r="U2" s="294"/>
      <c r="V2" s="294"/>
      <c r="W2" s="294"/>
      <c r="X2" s="294"/>
      <c r="Y2" s="294"/>
      <c r="Z2" s="294"/>
      <c r="AA2" s="294"/>
      <c r="AB2" s="294"/>
      <c r="AC2" s="294"/>
      <c r="AD2" s="294"/>
      <c r="AE2" s="294"/>
    </row>
    <row r="3" spans="2:47" ht="8.4499999999999993" customHeight="1">
      <c r="C3" s="150"/>
      <c r="D3" s="150"/>
      <c r="E3" s="92"/>
      <c r="F3" s="92"/>
      <c r="G3" s="92"/>
      <c r="H3" s="92"/>
      <c r="I3" s="92"/>
      <c r="J3" s="92"/>
      <c r="K3" s="150"/>
      <c r="L3" s="149"/>
      <c r="M3" s="150"/>
      <c r="N3" s="150"/>
      <c r="O3" s="150"/>
      <c r="P3" s="150"/>
      <c r="Q3" s="92"/>
      <c r="R3" s="92"/>
      <c r="S3" s="154"/>
      <c r="T3" s="154"/>
      <c r="U3" s="154"/>
      <c r="V3" s="154"/>
      <c r="W3" s="154"/>
      <c r="X3" s="154"/>
      <c r="Y3" s="154"/>
      <c r="Z3" s="154"/>
      <c r="AA3" s="154"/>
      <c r="AB3" s="156"/>
      <c r="AC3" s="85"/>
      <c r="AD3" s="85"/>
      <c r="AE3" s="155"/>
    </row>
    <row r="4" spans="2:47" ht="2.25" customHeight="1">
      <c r="C4" s="90"/>
      <c r="D4" s="90"/>
      <c r="E4" s="91"/>
      <c r="F4" s="91"/>
      <c r="G4" s="91"/>
      <c r="H4" s="91"/>
      <c r="I4" s="91"/>
      <c r="J4" s="91"/>
      <c r="K4" s="91"/>
      <c r="L4" s="92"/>
      <c r="M4" s="92"/>
      <c r="N4" s="92"/>
      <c r="O4" s="92"/>
      <c r="P4" s="91"/>
      <c r="Q4" s="152"/>
      <c r="R4" s="152"/>
      <c r="S4" s="152"/>
      <c r="T4" s="152"/>
      <c r="U4" s="152"/>
      <c r="V4" s="152"/>
      <c r="W4" s="152"/>
      <c r="X4" s="152"/>
      <c r="Y4" s="152"/>
      <c r="Z4" s="152"/>
      <c r="AA4" s="152"/>
      <c r="AB4" s="152"/>
      <c r="AC4" s="152"/>
      <c r="AD4" s="152"/>
      <c r="AE4" s="155"/>
    </row>
    <row r="5" spans="2:47" ht="1.5" hidden="1" customHeight="1">
      <c r="C5" s="153"/>
      <c r="D5" s="153"/>
      <c r="E5" s="150"/>
      <c r="F5" s="150"/>
      <c r="G5" s="150"/>
      <c r="H5" s="150"/>
      <c r="I5" s="150"/>
      <c r="J5" s="150"/>
      <c r="K5" s="150"/>
      <c r="L5" s="150"/>
      <c r="M5" s="150"/>
      <c r="N5" s="150"/>
      <c r="O5" s="150"/>
      <c r="P5" s="150"/>
      <c r="Q5" s="150"/>
      <c r="R5" s="150"/>
      <c r="S5" s="150"/>
      <c r="T5" s="150"/>
      <c r="U5" s="150"/>
      <c r="V5" s="150"/>
      <c r="W5" s="150"/>
      <c r="X5" s="150"/>
      <c r="Y5" s="150"/>
      <c r="Z5" s="150"/>
      <c r="AA5" s="150"/>
      <c r="AB5" s="85"/>
      <c r="AC5" s="85"/>
      <c r="AD5" s="85"/>
      <c r="AE5" s="155"/>
    </row>
    <row r="6" spans="2:47" ht="19.7" customHeight="1">
      <c r="C6" s="286" t="s">
        <v>106</v>
      </c>
      <c r="D6" s="286"/>
      <c r="E6" s="286"/>
      <c r="F6" s="286"/>
      <c r="G6" s="286"/>
      <c r="H6" s="286"/>
      <c r="I6" s="286"/>
      <c r="J6" s="286"/>
      <c r="K6" s="286"/>
      <c r="L6" s="286"/>
      <c r="M6" s="286"/>
      <c r="N6" s="286"/>
      <c r="O6" s="286"/>
      <c r="P6" s="286"/>
      <c r="Q6" s="286"/>
      <c r="R6" s="286"/>
      <c r="S6" s="286"/>
      <c r="T6" s="286"/>
      <c r="U6" s="286"/>
      <c r="V6" s="286"/>
      <c r="W6" s="286"/>
      <c r="X6" s="286"/>
      <c r="Y6" s="286"/>
      <c r="Z6" s="286"/>
      <c r="AA6" s="286"/>
      <c r="AB6" s="286"/>
      <c r="AC6" s="286"/>
      <c r="AD6" s="286"/>
      <c r="AE6" s="286"/>
    </row>
    <row r="7" spans="2:47" ht="19.7" customHeight="1">
      <c r="C7" s="286" t="s">
        <v>107</v>
      </c>
      <c r="D7" s="286"/>
      <c r="E7" s="286"/>
      <c r="F7" s="286"/>
      <c r="G7" s="286"/>
      <c r="H7" s="286"/>
      <c r="I7" s="286"/>
      <c r="J7" s="286"/>
      <c r="K7" s="286"/>
      <c r="L7" s="286"/>
      <c r="M7" s="286"/>
      <c r="N7" s="286"/>
      <c r="O7" s="286"/>
      <c r="P7" s="286"/>
      <c r="Q7" s="286"/>
      <c r="R7" s="286"/>
      <c r="S7" s="286"/>
      <c r="T7" s="286"/>
      <c r="U7" s="286"/>
      <c r="V7" s="286"/>
      <c r="W7" s="286"/>
      <c r="X7" s="286"/>
      <c r="Y7" s="286"/>
      <c r="Z7" s="286"/>
      <c r="AA7" s="286"/>
      <c r="AB7" s="286"/>
      <c r="AC7" s="286"/>
      <c r="AD7" s="286"/>
      <c r="AE7" s="286"/>
    </row>
    <row r="8" spans="2:47" ht="9" customHeight="1">
      <c r="C8" s="149"/>
      <c r="D8" s="150"/>
      <c r="E8" s="150"/>
      <c r="F8" s="150"/>
      <c r="G8" s="150"/>
      <c r="H8" s="150"/>
      <c r="I8" s="150"/>
      <c r="J8" s="150"/>
      <c r="K8" s="150"/>
      <c r="L8" s="150"/>
      <c r="M8" s="150"/>
      <c r="N8" s="150"/>
      <c r="O8" s="150"/>
      <c r="P8" s="150"/>
      <c r="Q8" s="150"/>
      <c r="R8" s="150"/>
      <c r="S8" s="150"/>
      <c r="T8" s="150"/>
      <c r="U8" s="150"/>
      <c r="V8" s="150"/>
      <c r="W8" s="150"/>
      <c r="X8" s="150"/>
      <c r="Y8" s="150"/>
      <c r="Z8" s="150"/>
      <c r="AA8" s="150"/>
      <c r="AB8" s="85"/>
      <c r="AC8" s="85"/>
      <c r="AD8" s="85"/>
      <c r="AE8" s="155"/>
    </row>
    <row r="9" spans="2:47" ht="19.7" customHeight="1">
      <c r="C9" s="294" t="str">
        <f>"Số: "&amp;AI9</f>
        <v>Số: B08600120811TG05</v>
      </c>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I9" s="96" t="s">
        <v>208</v>
      </c>
    </row>
    <row r="10" spans="2:47" ht="6" customHeight="1">
      <c r="C10" s="151"/>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85"/>
      <c r="AC10" s="85"/>
      <c r="AD10" s="85"/>
      <c r="AE10" s="155"/>
    </row>
    <row r="11" spans="2:47" ht="19.7" customHeight="1">
      <c r="C11" s="286" t="s">
        <v>108</v>
      </c>
      <c r="D11" s="286"/>
      <c r="E11" s="286"/>
      <c r="F11" s="286"/>
      <c r="G11" s="286"/>
      <c r="H11" s="286"/>
      <c r="I11" s="286"/>
      <c r="J11" s="286"/>
      <c r="K11" s="286"/>
      <c r="L11" s="286"/>
      <c r="M11" s="286"/>
      <c r="N11" s="286"/>
      <c r="O11" s="286"/>
      <c r="P11" s="286"/>
      <c r="Q11" s="286"/>
      <c r="R11" s="286"/>
      <c r="S11" s="286"/>
      <c r="T11" s="286"/>
      <c r="U11" s="286"/>
      <c r="V11" s="286"/>
      <c r="W11" s="286"/>
      <c r="X11" s="286"/>
      <c r="Y11" s="286"/>
      <c r="Z11" s="286"/>
      <c r="AA11" s="286"/>
      <c r="AB11" s="286"/>
      <c r="AC11" s="286"/>
      <c r="AD11" s="286"/>
      <c r="AE11" s="286"/>
    </row>
    <row r="12" spans="2:47" ht="19.7" customHeight="1">
      <c r="C12" s="286" t="s">
        <v>109</v>
      </c>
      <c r="D12" s="286"/>
      <c r="E12" s="286"/>
      <c r="F12" s="286"/>
      <c r="G12" s="286"/>
      <c r="H12" s="286"/>
      <c r="I12" s="286"/>
      <c r="J12" s="286"/>
      <c r="K12" s="286"/>
      <c r="L12" s="286"/>
      <c r="M12" s="286"/>
      <c r="N12" s="286"/>
      <c r="O12" s="286"/>
      <c r="P12" s="286"/>
      <c r="Q12" s="286"/>
      <c r="R12" s="286"/>
      <c r="S12" s="286"/>
      <c r="T12" s="286"/>
      <c r="U12" s="286"/>
      <c r="V12" s="286"/>
      <c r="W12" s="286"/>
      <c r="X12" s="286"/>
      <c r="Y12" s="286"/>
      <c r="Z12" s="286"/>
      <c r="AA12" s="286"/>
      <c r="AB12" s="286"/>
      <c r="AC12" s="286"/>
      <c r="AD12" s="286"/>
      <c r="AE12" s="286"/>
    </row>
    <row r="13" spans="2:47" ht="6.75" customHeight="1">
      <c r="C13" s="117"/>
      <c r="D13" s="87"/>
      <c r="E13" s="87"/>
      <c r="F13" s="87"/>
      <c r="G13" s="87"/>
      <c r="H13" s="87"/>
      <c r="I13" s="87"/>
      <c r="J13" s="87"/>
      <c r="K13" s="87"/>
      <c r="L13" s="87"/>
      <c r="M13" s="87"/>
      <c r="N13" s="87"/>
      <c r="O13" s="87"/>
      <c r="P13" s="87"/>
      <c r="Q13" s="87"/>
      <c r="R13" s="87"/>
      <c r="S13" s="87"/>
      <c r="T13" s="87"/>
      <c r="U13" s="87"/>
      <c r="V13" s="87"/>
      <c r="W13" s="87"/>
      <c r="X13" s="87"/>
      <c r="Y13" s="87"/>
      <c r="Z13" s="87"/>
      <c r="AA13" s="87"/>
    </row>
    <row r="14" spans="2:47" ht="2.25" hidden="1" customHeight="1">
      <c r="C14" s="95"/>
      <c r="D14" s="87"/>
      <c r="E14" s="87"/>
      <c r="F14" s="87"/>
      <c r="G14" s="87"/>
      <c r="H14" s="87"/>
      <c r="I14" s="87"/>
      <c r="J14" s="87"/>
      <c r="K14" s="87"/>
      <c r="L14" s="87"/>
      <c r="M14" s="87"/>
      <c r="N14" s="87"/>
      <c r="O14" s="87"/>
      <c r="P14" s="87"/>
      <c r="Q14" s="87"/>
      <c r="R14" s="87"/>
      <c r="S14" s="87"/>
      <c r="T14" s="87"/>
      <c r="U14" s="87"/>
      <c r="V14" s="87"/>
      <c r="W14" s="87"/>
      <c r="X14" s="87"/>
      <c r="Y14" s="87"/>
      <c r="Z14" s="87"/>
      <c r="AA14" s="87"/>
    </row>
    <row r="15" spans="2:47" ht="22.5" customHeight="1">
      <c r="C15" s="313" t="s">
        <v>107</v>
      </c>
      <c r="D15" s="313"/>
      <c r="E15" s="313"/>
      <c r="F15" s="313"/>
      <c r="G15" s="313"/>
      <c r="H15" s="313"/>
      <c r="I15" s="313"/>
      <c r="J15" s="313"/>
      <c r="K15" s="313"/>
      <c r="L15" s="313"/>
      <c r="M15" s="313"/>
      <c r="N15" s="313"/>
      <c r="O15" s="313"/>
      <c r="P15" s="313"/>
      <c r="Q15" s="313"/>
      <c r="R15" s="313"/>
      <c r="S15" s="313"/>
      <c r="T15" s="313"/>
      <c r="U15" s="313"/>
      <c r="V15" s="313"/>
      <c r="W15" s="313"/>
      <c r="X15" s="313"/>
      <c r="Y15" s="313"/>
      <c r="Z15" s="313"/>
      <c r="AA15" s="313"/>
      <c r="AB15" s="313"/>
      <c r="AC15" s="313"/>
      <c r="AD15" s="313"/>
      <c r="AE15" s="313"/>
      <c r="AF15" s="313"/>
      <c r="AG15" s="116"/>
      <c r="AH15" s="116"/>
      <c r="AI15" s="98">
        <v>1</v>
      </c>
      <c r="AJ15" s="98"/>
      <c r="AK15" s="98"/>
      <c r="AL15" s="98"/>
      <c r="AM15" s="98">
        <v>2</v>
      </c>
      <c r="AN15" s="98"/>
      <c r="AO15" s="98"/>
      <c r="AP15" s="98"/>
      <c r="AQ15" s="98">
        <v>3</v>
      </c>
      <c r="AU15" s="84">
        <v>4</v>
      </c>
    </row>
    <row r="16" spans="2:47" ht="38.25" customHeight="1">
      <c r="C16" s="332" t="s">
        <v>24</v>
      </c>
      <c r="D16" s="333"/>
      <c r="E16" s="333"/>
      <c r="F16" s="333"/>
      <c r="G16" s="333"/>
      <c r="H16" s="333"/>
      <c r="I16" s="333"/>
      <c r="J16" s="333"/>
      <c r="K16" s="333"/>
      <c r="L16" s="334"/>
      <c r="M16" s="335" t="str">
        <f>AI16</f>
        <v>Ấp Bàu Trâu, xã Phước Thạnh, huyện Củ Chi, thành phố Hồ Chí Minh.</v>
      </c>
      <c r="N16" s="336"/>
      <c r="O16" s="336"/>
      <c r="P16" s="336"/>
      <c r="Q16" s="336"/>
      <c r="R16" s="336"/>
      <c r="S16" s="336"/>
      <c r="T16" s="336"/>
      <c r="U16" s="336"/>
      <c r="V16" s="336"/>
      <c r="W16" s="336"/>
      <c r="X16" s="336"/>
      <c r="Y16" s="336"/>
      <c r="Z16" s="336"/>
      <c r="AA16" s="336"/>
      <c r="AB16" s="336"/>
      <c r="AC16" s="336"/>
      <c r="AD16" s="336"/>
      <c r="AE16" s="336"/>
      <c r="AF16" s="337"/>
      <c r="AG16" s="122"/>
      <c r="AH16" s="122"/>
      <c r="AI16" s="99" t="s">
        <v>110</v>
      </c>
    </row>
    <row r="17" spans="3:49" ht="22.5" customHeight="1">
      <c r="C17" s="345" t="s">
        <v>17</v>
      </c>
      <c r="D17" s="346"/>
      <c r="E17" s="346"/>
      <c r="F17" s="346"/>
      <c r="G17" s="346"/>
      <c r="H17" s="346"/>
      <c r="I17" s="346"/>
      <c r="J17" s="346"/>
      <c r="K17" s="346"/>
      <c r="L17" s="347"/>
      <c r="M17" s="317" t="str">
        <f>IF(AG17="","",AG17)</f>
        <v/>
      </c>
      <c r="N17" s="318"/>
      <c r="O17" s="318"/>
      <c r="P17" s="318"/>
      <c r="Q17" s="318"/>
      <c r="R17" s="318"/>
      <c r="S17" s="318"/>
      <c r="T17" s="318"/>
      <c r="U17" s="318"/>
      <c r="V17" s="318"/>
      <c r="W17" s="318"/>
      <c r="X17" s="318"/>
      <c r="Y17" s="318"/>
      <c r="Z17" s="318"/>
      <c r="AA17" s="318"/>
      <c r="AB17" s="318"/>
      <c r="AC17" s="318"/>
      <c r="AD17" s="318"/>
      <c r="AE17" s="318"/>
      <c r="AF17" s="319"/>
      <c r="AG17" s="122"/>
      <c r="AH17" s="122"/>
    </row>
    <row r="18" spans="3:49" ht="31.35" customHeight="1">
      <c r="C18" s="339" t="s">
        <v>9</v>
      </c>
      <c r="D18" s="340"/>
      <c r="E18" s="340"/>
      <c r="F18" s="340"/>
      <c r="G18" s="340"/>
      <c r="H18" s="340"/>
      <c r="I18" s="340"/>
      <c r="J18" s="340"/>
      <c r="K18" s="340"/>
      <c r="L18" s="340"/>
      <c r="M18" s="323" t="str">
        <f>AI18</f>
        <v>CÔNG TY CỔ PHẦN VIỄN THÔNG DI ĐỘNG TOÀN CẦU</v>
      </c>
      <c r="N18" s="323"/>
      <c r="O18" s="323"/>
      <c r="P18" s="323"/>
      <c r="Q18" s="323"/>
      <c r="R18" s="323"/>
      <c r="S18" s="323"/>
      <c r="T18" s="323"/>
      <c r="U18" s="323"/>
      <c r="V18" s="323"/>
      <c r="W18" s="323"/>
      <c r="X18" s="323"/>
      <c r="Y18" s="323"/>
      <c r="Z18" s="323"/>
      <c r="AA18" s="323"/>
      <c r="AB18" s="323"/>
      <c r="AC18" s="323"/>
      <c r="AD18" s="323"/>
      <c r="AE18" s="323"/>
      <c r="AF18" s="323"/>
      <c r="AG18" s="122"/>
      <c r="AH18" s="122"/>
      <c r="AI18" s="96" t="s">
        <v>155</v>
      </c>
    </row>
    <row r="19" spans="3:49" ht="31.35" customHeight="1">
      <c r="C19" s="339" t="s">
        <v>16</v>
      </c>
      <c r="D19" s="340"/>
      <c r="E19" s="340"/>
      <c r="F19" s="340"/>
      <c r="G19" s="340"/>
      <c r="H19" s="340"/>
      <c r="I19" s="340"/>
      <c r="J19" s="340"/>
      <c r="K19" s="340"/>
      <c r="L19" s="340"/>
      <c r="M19" s="323" t="str">
        <f>AI19</f>
        <v>CÔNG TY CỔ PHẦN VIỄN THÔNG DI ĐỘNG TOÀN CẦU</v>
      </c>
      <c r="N19" s="323"/>
      <c r="O19" s="323"/>
      <c r="P19" s="323"/>
      <c r="Q19" s="323"/>
      <c r="R19" s="323"/>
      <c r="S19" s="323"/>
      <c r="T19" s="323"/>
      <c r="U19" s="323"/>
      <c r="V19" s="323"/>
      <c r="W19" s="323"/>
      <c r="X19" s="323"/>
      <c r="Y19" s="323"/>
      <c r="Z19" s="323"/>
      <c r="AA19" s="323"/>
      <c r="AB19" s="323"/>
      <c r="AC19" s="323"/>
      <c r="AD19" s="323"/>
      <c r="AE19" s="323"/>
      <c r="AF19" s="323"/>
      <c r="AG19" s="122"/>
      <c r="AH19" s="122"/>
      <c r="AI19" s="96" t="s">
        <v>155</v>
      </c>
    </row>
    <row r="20" spans="3:49" ht="18.75" customHeight="1">
      <c r="C20" s="329" t="s">
        <v>111</v>
      </c>
      <c r="D20" s="330"/>
      <c r="E20" s="330"/>
      <c r="F20" s="330"/>
      <c r="G20" s="330"/>
      <c r="H20" s="330"/>
      <c r="I20" s="330"/>
      <c r="J20" s="330"/>
      <c r="K20" s="330"/>
      <c r="L20" s="330"/>
      <c r="M20" s="330"/>
      <c r="N20" s="330"/>
      <c r="O20" s="330"/>
      <c r="P20" s="330"/>
      <c r="Q20" s="330"/>
      <c r="R20" s="330"/>
      <c r="S20" s="330"/>
      <c r="T20" s="330"/>
      <c r="U20" s="330"/>
      <c r="V20" s="330"/>
      <c r="W20" s="330"/>
      <c r="X20" s="330"/>
      <c r="Y20" s="330"/>
      <c r="Z20" s="330"/>
      <c r="AA20" s="330"/>
      <c r="AB20" s="330"/>
      <c r="AC20" s="330"/>
      <c r="AD20" s="330"/>
      <c r="AE20" s="330"/>
      <c r="AF20" s="331"/>
      <c r="AG20" s="123"/>
      <c r="AH20" s="123"/>
    </row>
    <row r="21" spans="3:49" ht="45.2" customHeight="1">
      <c r="C21" s="328" t="s">
        <v>112</v>
      </c>
      <c r="D21" s="328"/>
      <c r="E21" s="328"/>
      <c r="F21" s="328"/>
      <c r="G21" s="328"/>
      <c r="H21" s="328"/>
      <c r="I21" s="328"/>
      <c r="J21" s="328"/>
      <c r="K21" s="328"/>
      <c r="L21" s="328"/>
      <c r="M21" s="323" t="str">
        <f t="shared" ref="M21:M23" si="0">AI21</f>
        <v>A</v>
      </c>
      <c r="N21" s="323"/>
      <c r="O21" s="323"/>
      <c r="P21" s="323"/>
      <c r="Q21" s="323"/>
      <c r="R21" s="323" t="str">
        <f t="shared" ref="R21:R23" si="1">AM21</f>
        <v>B</v>
      </c>
      <c r="S21" s="323"/>
      <c r="T21" s="323"/>
      <c r="U21" s="323"/>
      <c r="V21" s="323"/>
      <c r="W21" s="323" t="str">
        <f>AQ21</f>
        <v>C</v>
      </c>
      <c r="X21" s="323"/>
      <c r="Y21" s="323"/>
      <c r="Z21" s="323"/>
      <c r="AA21" s="323"/>
      <c r="AB21" s="323" t="str">
        <f>AU21</f>
        <v>D</v>
      </c>
      <c r="AC21" s="323"/>
      <c r="AD21" s="323"/>
      <c r="AE21" s="323"/>
      <c r="AF21" s="323"/>
      <c r="AG21" s="116"/>
      <c r="AH21" s="116"/>
      <c r="AI21" s="96" t="s">
        <v>113</v>
      </c>
      <c r="AM21" s="96" t="s">
        <v>114</v>
      </c>
      <c r="AQ21" s="96" t="s">
        <v>115</v>
      </c>
      <c r="AU21" s="96" t="s">
        <v>116</v>
      </c>
    </row>
    <row r="22" spans="3:49" ht="17.100000000000001" customHeight="1">
      <c r="C22" s="328" t="s">
        <v>117</v>
      </c>
      <c r="D22" s="328"/>
      <c r="E22" s="328"/>
      <c r="F22" s="328"/>
      <c r="G22" s="328"/>
      <c r="H22" s="328"/>
      <c r="I22" s="328"/>
      <c r="J22" s="328"/>
      <c r="K22" s="328"/>
      <c r="L22" s="328"/>
      <c r="M22" s="323">
        <f>AI22</f>
        <v>3</v>
      </c>
      <c r="N22" s="323"/>
      <c r="O22" s="323"/>
      <c r="P22" s="323"/>
      <c r="Q22" s="323"/>
      <c r="R22" s="323">
        <f>AM22</f>
        <v>3</v>
      </c>
      <c r="S22" s="323"/>
      <c r="T22" s="323"/>
      <c r="U22" s="323"/>
      <c r="V22" s="323"/>
      <c r="W22" s="323">
        <f>AQ22</f>
        <v>3</v>
      </c>
      <c r="X22" s="323"/>
      <c r="Y22" s="323"/>
      <c r="Z22" s="323"/>
      <c r="AA22" s="323"/>
      <c r="AB22" s="323">
        <f>AU22</f>
        <v>1</v>
      </c>
      <c r="AC22" s="323"/>
      <c r="AD22" s="323"/>
      <c r="AE22" s="323"/>
      <c r="AF22" s="323"/>
      <c r="AG22" s="116"/>
      <c r="AH22" s="116"/>
      <c r="AI22" s="98">
        <v>3</v>
      </c>
      <c r="AJ22" s="98"/>
      <c r="AK22" s="98"/>
      <c r="AL22" s="98"/>
      <c r="AM22" s="98">
        <v>3</v>
      </c>
      <c r="AN22" s="98"/>
      <c r="AO22" s="98"/>
      <c r="AP22" s="98"/>
      <c r="AQ22" s="98">
        <v>3</v>
      </c>
      <c r="AU22" s="84">
        <v>1</v>
      </c>
    </row>
    <row r="23" spans="3:49" ht="17.100000000000001" customHeight="1">
      <c r="C23" s="328" t="s">
        <v>118</v>
      </c>
      <c r="D23" s="328"/>
      <c r="E23" s="328"/>
      <c r="F23" s="328"/>
      <c r="G23" s="328"/>
      <c r="H23" s="328"/>
      <c r="I23" s="328"/>
      <c r="J23" s="328"/>
      <c r="K23" s="328"/>
      <c r="L23" s="328"/>
      <c r="M23" s="342" t="str">
        <f t="shared" si="0"/>
        <v>4/4/4</v>
      </c>
      <c r="N23" s="342"/>
      <c r="O23" s="342"/>
      <c r="P23" s="342"/>
      <c r="Q23" s="342"/>
      <c r="R23" s="342" t="str">
        <f t="shared" si="1"/>
        <v>2/2/2</v>
      </c>
      <c r="S23" s="342"/>
      <c r="T23" s="342"/>
      <c r="U23" s="342"/>
      <c r="V23" s="342"/>
      <c r="W23" s="344" t="str">
        <f>AQ23</f>
        <v>5/5/5</v>
      </c>
      <c r="X23" s="342"/>
      <c r="Y23" s="342"/>
      <c r="Z23" s="342"/>
      <c r="AA23" s="342"/>
      <c r="AB23" s="344" t="str">
        <f>AU23</f>
        <v>4/2/4</v>
      </c>
      <c r="AC23" s="342"/>
      <c r="AD23" s="342"/>
      <c r="AE23" s="342"/>
      <c r="AF23" s="342"/>
      <c r="AI23" s="100" t="s">
        <v>119</v>
      </c>
      <c r="AJ23" s="101"/>
      <c r="AK23" s="101"/>
      <c r="AL23" s="101"/>
      <c r="AM23" s="100" t="s">
        <v>120</v>
      </c>
      <c r="AN23" s="101"/>
      <c r="AO23" s="101"/>
      <c r="AP23" s="101"/>
      <c r="AQ23" s="100" t="s">
        <v>121</v>
      </c>
      <c r="AR23" s="101"/>
      <c r="AS23" s="101"/>
      <c r="AT23" s="101"/>
      <c r="AU23" s="100" t="s">
        <v>122</v>
      </c>
    </row>
    <row r="24" spans="3:49" ht="31.35" customHeight="1">
      <c r="C24" s="328" t="s">
        <v>156</v>
      </c>
      <c r="D24" s="328"/>
      <c r="E24" s="328"/>
      <c r="F24" s="328"/>
      <c r="G24" s="328"/>
      <c r="H24" s="328"/>
      <c r="I24" s="328"/>
      <c r="J24" s="328"/>
      <c r="K24" s="328"/>
      <c r="L24" s="328"/>
      <c r="M24" s="342" t="str">
        <f>IF(M22=4,AI24&amp;"W/ "&amp;AJ24&amp;"W/ "&amp;AK24&amp;"W/ "&amp;AL24&amp;"W",IF(M22=3,AI24&amp;"W/ "&amp;AJ24&amp;"W/ "&amp;AK24&amp;"W",IF(M22=2,AI24&amp;"W/ "&amp;AJ24&amp;"W",AI24&amp;"W")))</f>
        <v>100,45W/ 100,69W/ 100,69W</v>
      </c>
      <c r="N24" s="342"/>
      <c r="O24" s="342"/>
      <c r="P24" s="342"/>
      <c r="Q24" s="342"/>
      <c r="R24" s="342" t="str">
        <f>IF(R22=4,AM24&amp;"W/ "&amp;AN24&amp;"W/ "&amp;AO24&amp;"W/ "&amp;AP24&amp;"W",IF(R22=3,AM24&amp;"W/ "&amp;AN24&amp;"W/ "&amp;AO24&amp;"W",IF(R22=2,AM24&amp;"W/ "&amp;AN24&amp;"W",AM24&amp;"W")))</f>
        <v>40W/ 40W/ 40W</v>
      </c>
      <c r="S24" s="342"/>
      <c r="T24" s="342"/>
      <c r="U24" s="342"/>
      <c r="V24" s="342"/>
      <c r="W24" s="342" t="str">
        <f>IF(W22=4,AQ24&amp;"W/ "&amp;AR24&amp;"W/ "&amp;AS24&amp;"W/ "&amp;AT24&amp;"W",IF(W22=3,AQ24&amp;"W/ "&amp;AR24&amp;"W/ "&amp;AS24&amp;"W",IF(W22=2,AQ24&amp;"W/ "&amp;AR24&amp;"W",AQ24&amp;"W")))</f>
        <v>60W/ 60W/ 60W</v>
      </c>
      <c r="X24" s="342"/>
      <c r="Y24" s="342"/>
      <c r="Z24" s="342"/>
      <c r="AA24" s="342"/>
      <c r="AB24" s="342" t="str">
        <f>IF(AB22=3,AU24&amp;"W/ "&amp;AV24&amp;"W/ "&amp;AW24&amp;"W",IF(AB22=2,AU24&amp;"W/ "&amp;AV24&amp;"W",AW24&amp;"W"))</f>
        <v>80W</v>
      </c>
      <c r="AC24" s="342"/>
      <c r="AD24" s="342"/>
      <c r="AE24" s="342"/>
      <c r="AF24" s="342"/>
      <c r="AI24" s="84" t="s">
        <v>178</v>
      </c>
      <c r="AJ24" s="84" t="s">
        <v>181</v>
      </c>
      <c r="AK24" s="84">
        <v>100.69</v>
      </c>
      <c r="AM24" s="84">
        <v>40</v>
      </c>
      <c r="AN24" s="84">
        <v>40</v>
      </c>
      <c r="AO24" s="84">
        <v>40</v>
      </c>
      <c r="AQ24" s="84">
        <v>60</v>
      </c>
      <c r="AR24" s="84">
        <v>60</v>
      </c>
      <c r="AS24" s="84">
        <v>60</v>
      </c>
      <c r="AU24" s="84">
        <v>80</v>
      </c>
      <c r="AV24" s="84">
        <v>80</v>
      </c>
      <c r="AW24" s="84">
        <v>80</v>
      </c>
    </row>
    <row r="25" spans="3:49" ht="31.35" customHeight="1">
      <c r="C25" s="328" t="s">
        <v>123</v>
      </c>
      <c r="D25" s="328"/>
      <c r="E25" s="328"/>
      <c r="F25" s="328"/>
      <c r="G25" s="328"/>
      <c r="H25" s="328"/>
      <c r="I25" s="328"/>
      <c r="J25" s="328"/>
      <c r="K25" s="328"/>
      <c r="L25" s="328"/>
      <c r="M25" s="342" t="str">
        <f>IF(AI25="900 &amp; 1800","900MHz &amp; 1800MHz",IF(AI25="900 &amp; 2100","900MHz &amp; 2100MHz",AI25&amp;"MHz"))</f>
        <v>900MHz</v>
      </c>
      <c r="N25" s="342"/>
      <c r="O25" s="342"/>
      <c r="P25" s="342"/>
      <c r="Q25" s="342"/>
      <c r="R25" s="342" t="str">
        <f>IF(AM25="900 &amp; 1800","900MHz &amp; 1800MHz",IF(AM25="900 &amp; 2100","900MHz &amp; 2100MHz",AM25&amp;"MHz"))</f>
        <v>1800MHz</v>
      </c>
      <c r="S25" s="342"/>
      <c r="T25" s="342"/>
      <c r="U25" s="342"/>
      <c r="V25" s="342"/>
      <c r="W25" s="342" t="str">
        <f>IF(AQ25="900 &amp; 1800","900MHz &amp; 1800MHz",IF(AQ25="900 &amp; 2100","900MHz &amp; 2100MHz",AQ25&amp;"MHz"))</f>
        <v>2100MHz</v>
      </c>
      <c r="X25" s="342"/>
      <c r="Y25" s="342"/>
      <c r="Z25" s="342"/>
      <c r="AA25" s="342"/>
      <c r="AB25" s="342" t="str">
        <f>IF(AU25="900 &amp; 1800","900MHz &amp; 1800MHz",IF(AU25="900 &amp; 2100","900MHz &amp; 2100MHz",AU25&amp;"MHz"))</f>
        <v>900;1800MHz</v>
      </c>
      <c r="AC25" s="342"/>
      <c r="AD25" s="342"/>
      <c r="AE25" s="342"/>
      <c r="AF25" s="342"/>
      <c r="AI25" s="84">
        <v>900</v>
      </c>
      <c r="AM25" s="84">
        <v>1800</v>
      </c>
      <c r="AQ25" s="84">
        <v>2100</v>
      </c>
      <c r="AU25" s="96" t="s">
        <v>124</v>
      </c>
    </row>
    <row r="26" spans="3:49" ht="31.35" customHeight="1">
      <c r="C26" s="328" t="s">
        <v>166</v>
      </c>
      <c r="D26" s="328"/>
      <c r="E26" s="328"/>
      <c r="F26" s="328"/>
      <c r="G26" s="328"/>
      <c r="H26" s="328"/>
      <c r="I26" s="328"/>
      <c r="J26" s="328"/>
      <c r="K26" s="328"/>
      <c r="L26" s="328"/>
      <c r="M26" s="342">
        <f>AI26</f>
        <v>15</v>
      </c>
      <c r="N26" s="342"/>
      <c r="O26" s="342"/>
      <c r="P26" s="342"/>
      <c r="Q26" s="342"/>
      <c r="R26" s="342">
        <f>AM26</f>
        <v>16</v>
      </c>
      <c r="S26" s="342"/>
      <c r="T26" s="342"/>
      <c r="U26" s="342"/>
      <c r="V26" s="342"/>
      <c r="W26" s="342">
        <f>AQ26</f>
        <v>17</v>
      </c>
      <c r="X26" s="342"/>
      <c r="Y26" s="342"/>
      <c r="Z26" s="342"/>
      <c r="AA26" s="342"/>
      <c r="AB26" s="342">
        <f>AU26</f>
        <v>18</v>
      </c>
      <c r="AC26" s="342"/>
      <c r="AD26" s="342"/>
      <c r="AE26" s="342"/>
      <c r="AF26" s="342"/>
      <c r="AI26" s="84">
        <v>15</v>
      </c>
      <c r="AJ26" s="84">
        <v>15</v>
      </c>
      <c r="AK26" s="84">
        <v>15</v>
      </c>
      <c r="AM26" s="84">
        <v>16</v>
      </c>
      <c r="AN26" s="84">
        <v>16</v>
      </c>
      <c r="AO26" s="84">
        <v>16</v>
      </c>
      <c r="AQ26" s="84">
        <v>17</v>
      </c>
      <c r="AR26" s="84">
        <v>17</v>
      </c>
      <c r="AS26" s="84">
        <v>17</v>
      </c>
      <c r="AU26" s="84">
        <v>18</v>
      </c>
      <c r="AV26" s="84">
        <v>18</v>
      </c>
      <c r="AW26" s="84">
        <v>18</v>
      </c>
    </row>
    <row r="27" spans="3:49" ht="21.75" customHeight="1">
      <c r="C27" s="341" t="s">
        <v>125</v>
      </c>
      <c r="D27" s="341"/>
      <c r="E27" s="341"/>
      <c r="F27" s="341"/>
      <c r="G27" s="341"/>
      <c r="H27" s="341"/>
      <c r="I27" s="341"/>
      <c r="J27" s="341"/>
      <c r="K27" s="341"/>
      <c r="L27" s="341"/>
      <c r="M27" s="341"/>
      <c r="N27" s="341"/>
      <c r="O27" s="341"/>
      <c r="P27" s="341"/>
      <c r="Q27" s="341"/>
      <c r="R27" s="341"/>
      <c r="S27" s="341"/>
      <c r="T27" s="341"/>
      <c r="U27" s="341"/>
      <c r="V27" s="341"/>
      <c r="W27" s="341"/>
      <c r="X27" s="341"/>
      <c r="Y27" s="341"/>
      <c r="Z27" s="341"/>
      <c r="AA27" s="341"/>
      <c r="AB27" s="102"/>
      <c r="AC27" s="102"/>
      <c r="AD27" s="102"/>
    </row>
    <row r="28" spans="3:49" ht="27" customHeight="1">
      <c r="C28" s="283"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283"/>
      <c r="E28" s="283"/>
      <c r="F28" s="283"/>
      <c r="G28" s="283"/>
      <c r="H28" s="283"/>
      <c r="I28" s="283"/>
      <c r="J28" s="283"/>
      <c r="K28" s="283"/>
      <c r="L28" s="283"/>
      <c r="M28" s="283"/>
      <c r="N28" s="283"/>
      <c r="O28" s="283"/>
      <c r="P28" s="283"/>
      <c r="Q28" s="283"/>
      <c r="R28" s="283"/>
      <c r="S28" s="283"/>
      <c r="T28" s="283"/>
      <c r="U28" s="283"/>
      <c r="V28" s="283"/>
      <c r="W28" s="283"/>
      <c r="X28" s="283"/>
      <c r="Y28" s="283"/>
      <c r="Z28" s="283"/>
      <c r="AA28" s="283"/>
      <c r="AB28" s="283"/>
      <c r="AC28" s="283"/>
      <c r="AD28" s="283"/>
      <c r="AE28" s="283"/>
      <c r="AF28" s="283"/>
      <c r="AI28" s="84">
        <v>20</v>
      </c>
      <c r="AQ28" s="84" t="s">
        <v>253</v>
      </c>
    </row>
    <row r="29" spans="3:49" ht="27" customHeight="1">
      <c r="C29" s="283"/>
      <c r="D29" s="283"/>
      <c r="E29" s="283"/>
      <c r="F29" s="283"/>
      <c r="G29" s="283"/>
      <c r="H29" s="283"/>
      <c r="I29" s="283"/>
      <c r="J29" s="283"/>
      <c r="K29" s="283"/>
      <c r="L29" s="283"/>
      <c r="M29" s="283"/>
      <c r="N29" s="283"/>
      <c r="O29" s="283"/>
      <c r="P29" s="283"/>
      <c r="Q29" s="283"/>
      <c r="R29" s="283"/>
      <c r="S29" s="283"/>
      <c r="T29" s="283"/>
      <c r="U29" s="283"/>
      <c r="V29" s="283"/>
      <c r="W29" s="283"/>
      <c r="X29" s="283"/>
      <c r="Y29" s="283"/>
      <c r="Z29" s="283"/>
      <c r="AA29" s="283"/>
      <c r="AB29" s="283"/>
      <c r="AC29" s="283"/>
      <c r="AD29" s="283"/>
      <c r="AE29" s="283"/>
      <c r="AF29" s="283"/>
      <c r="AI29" s="84">
        <v>1</v>
      </c>
      <c r="AQ29" s="84"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84" t="s">
        <v>255</v>
      </c>
      <c r="AS29" s="84" t="str">
        <f>IF(AI28&gt;=0," cao hơn "," thấp hơn ")</f>
        <v xml:space="preserve"> cao hơn </v>
      </c>
      <c r="AT29" s="84" t="s">
        <v>256</v>
      </c>
    </row>
    <row r="30" spans="3:49" ht="16.5" customHeight="1">
      <c r="C30" s="273" t="str">
        <f>IF(AI31=1,AQ31,AQ30)</f>
        <v>Trạm gốc điện thoại di động mặt đất công cộng này có mức an toàn phơi nhiễm trường điện từ tuân thủ quy chuẩn kỹ thuật trên.</v>
      </c>
      <c r="D30" s="273"/>
      <c r="E30" s="273"/>
      <c r="F30" s="273"/>
      <c r="G30" s="273"/>
      <c r="H30" s="273"/>
      <c r="I30" s="273"/>
      <c r="J30" s="273"/>
      <c r="K30" s="273"/>
      <c r="L30" s="273"/>
      <c r="M30" s="273"/>
      <c r="N30" s="273"/>
      <c r="O30" s="273"/>
      <c r="P30" s="273"/>
      <c r="Q30" s="273"/>
      <c r="R30" s="273"/>
      <c r="S30" s="273"/>
      <c r="T30" s="273"/>
      <c r="U30" s="273"/>
      <c r="V30" s="273"/>
      <c r="W30" s="273"/>
      <c r="X30" s="273"/>
      <c r="Y30" s="273"/>
      <c r="Z30" s="273"/>
      <c r="AA30" s="273"/>
      <c r="AB30" s="273"/>
      <c r="AC30" s="273"/>
      <c r="AD30" s="273"/>
      <c r="AE30" s="273"/>
      <c r="AF30" s="273"/>
      <c r="AI30" s="84">
        <v>20</v>
      </c>
      <c r="AQ30" s="84" t="s">
        <v>167</v>
      </c>
    </row>
    <row r="31" spans="3:49" ht="16.5" customHeight="1">
      <c r="C31" s="273"/>
      <c r="D31" s="273"/>
      <c r="E31" s="273"/>
      <c r="F31" s="273"/>
      <c r="G31" s="273"/>
      <c r="H31" s="273"/>
      <c r="I31" s="273"/>
      <c r="J31" s="273"/>
      <c r="K31" s="273"/>
      <c r="L31" s="273"/>
      <c r="M31" s="273"/>
      <c r="N31" s="273"/>
      <c r="O31" s="273"/>
      <c r="P31" s="273"/>
      <c r="Q31" s="273"/>
      <c r="R31" s="273"/>
      <c r="S31" s="273"/>
      <c r="T31" s="273"/>
      <c r="U31" s="273"/>
      <c r="V31" s="273"/>
      <c r="W31" s="273"/>
      <c r="X31" s="273"/>
      <c r="Y31" s="273"/>
      <c r="Z31" s="273"/>
      <c r="AA31" s="273"/>
      <c r="AB31" s="273"/>
      <c r="AC31" s="273"/>
      <c r="AD31" s="273"/>
      <c r="AE31" s="273"/>
      <c r="AF31" s="273"/>
      <c r="AI31" s="84">
        <v>2</v>
      </c>
      <c r="AQ31" s="157"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262" t="s">
        <v>167</v>
      </c>
      <c r="D32" s="262"/>
      <c r="E32" s="262"/>
      <c r="F32" s="262"/>
      <c r="G32" s="262"/>
      <c r="H32" s="262"/>
      <c r="I32" s="262"/>
      <c r="J32" s="262"/>
      <c r="K32" s="262"/>
      <c r="L32" s="262"/>
      <c r="M32" s="262"/>
      <c r="N32" s="262"/>
      <c r="O32" s="262"/>
      <c r="P32" s="262"/>
      <c r="Q32" s="262"/>
      <c r="R32" s="262"/>
      <c r="S32" s="262"/>
      <c r="T32" s="262"/>
      <c r="U32" s="262"/>
      <c r="V32" s="262"/>
      <c r="W32" s="262"/>
      <c r="X32" s="262"/>
      <c r="Y32" s="262"/>
      <c r="Z32" s="262"/>
      <c r="AA32" s="262"/>
      <c r="AB32" s="262"/>
      <c r="AC32" s="262"/>
      <c r="AD32" s="262"/>
      <c r="AE32" s="262"/>
      <c r="AF32" s="262"/>
    </row>
    <row r="33" spans="2:50" ht="17.100000000000001" customHeight="1">
      <c r="C33" s="262"/>
      <c r="D33" s="262"/>
      <c r="E33" s="262"/>
      <c r="F33" s="262"/>
      <c r="G33" s="262"/>
      <c r="H33" s="262"/>
      <c r="I33" s="262"/>
      <c r="J33" s="262"/>
      <c r="K33" s="262"/>
      <c r="L33" s="262"/>
      <c r="M33" s="262"/>
      <c r="N33" s="262"/>
      <c r="O33" s="262"/>
      <c r="P33" s="262"/>
      <c r="Q33" s="262"/>
      <c r="R33" s="262"/>
      <c r="S33" s="262"/>
      <c r="T33" s="262"/>
      <c r="U33" s="262"/>
      <c r="V33" s="262"/>
      <c r="W33" s="262"/>
      <c r="X33" s="262"/>
      <c r="Y33" s="262"/>
      <c r="Z33" s="262"/>
      <c r="AA33" s="262"/>
      <c r="AB33" s="262"/>
      <c r="AC33" s="262"/>
      <c r="AD33" s="262"/>
      <c r="AE33" s="262"/>
      <c r="AF33" s="262"/>
    </row>
    <row r="34" spans="2:50" ht="17.100000000000001" customHeight="1">
      <c r="C34" s="303"/>
      <c r="D34" s="303"/>
      <c r="E34" s="303"/>
      <c r="F34" s="303"/>
      <c r="G34" s="303"/>
      <c r="H34" s="102"/>
      <c r="I34" s="304"/>
      <c r="J34" s="304"/>
      <c r="K34" s="304"/>
      <c r="L34" s="304"/>
      <c r="M34" s="304"/>
      <c r="N34" s="304"/>
      <c r="O34" s="304"/>
      <c r="P34" s="103"/>
      <c r="Q34" s="103"/>
      <c r="R34" s="103"/>
      <c r="S34" s="103"/>
      <c r="T34" s="298" t="str">
        <f>IF(AI41=0,AO34,IF(AI41=1,AK34,AS34))</f>
        <v>KT. GIÁM ĐỐC</v>
      </c>
      <c r="U34" s="298"/>
      <c r="V34" s="298"/>
      <c r="W34" s="298"/>
      <c r="X34" s="298"/>
      <c r="Y34" s="298"/>
      <c r="Z34" s="298"/>
      <c r="AA34" s="298"/>
      <c r="AB34" s="298"/>
      <c r="AC34" s="298"/>
      <c r="AD34" s="298"/>
      <c r="AE34" s="298"/>
      <c r="AF34" s="298"/>
      <c r="AK34" s="84" t="s">
        <v>126</v>
      </c>
      <c r="AO34" s="84" t="s">
        <v>206</v>
      </c>
      <c r="AS34" s="84" t="s">
        <v>205</v>
      </c>
    </row>
    <row r="35" spans="2:50" ht="17.100000000000001" customHeight="1">
      <c r="C35" s="299" t="s">
        <v>127</v>
      </c>
      <c r="D35" s="299"/>
      <c r="E35" s="299"/>
      <c r="F35" s="299"/>
      <c r="G35" s="299"/>
      <c r="H35" s="106" t="s">
        <v>128</v>
      </c>
      <c r="I35" s="301" t="s">
        <v>129</v>
      </c>
      <c r="J35" s="301"/>
      <c r="K35" s="301"/>
      <c r="L35" s="301"/>
      <c r="M35" s="301"/>
      <c r="N35" s="301"/>
      <c r="O35" s="301"/>
      <c r="P35" s="105"/>
      <c r="Q35" s="102"/>
      <c r="R35" s="102"/>
      <c r="S35" s="102"/>
      <c r="T35" s="298" t="str">
        <f>IF(AI41=0,AO35,IF(AI41=1,"",AS35))</f>
        <v>PHÓ GIÁM ĐỐC</v>
      </c>
      <c r="U35" s="298"/>
      <c r="V35" s="298"/>
      <c r="W35" s="298"/>
      <c r="X35" s="298"/>
      <c r="Y35" s="298"/>
      <c r="Z35" s="298"/>
      <c r="AA35" s="298"/>
      <c r="AB35" s="298"/>
      <c r="AC35" s="298"/>
      <c r="AD35" s="298"/>
      <c r="AE35" s="298"/>
      <c r="AF35" s="298"/>
      <c r="AO35" s="84" t="s">
        <v>203</v>
      </c>
      <c r="AS35" s="84" t="s">
        <v>158</v>
      </c>
    </row>
    <row r="36" spans="2:50" ht="17.100000000000001" customHeight="1">
      <c r="C36" s="299" t="s">
        <v>130</v>
      </c>
      <c r="D36" s="299"/>
      <c r="E36" s="299"/>
      <c r="F36" s="299"/>
      <c r="G36" s="299"/>
      <c r="H36" s="106" t="s">
        <v>128</v>
      </c>
      <c r="I36" s="300">
        <f>AI36</f>
        <v>40806</v>
      </c>
      <c r="J36" s="301"/>
      <c r="K36" s="301"/>
      <c r="L36" s="301"/>
      <c r="M36" s="301"/>
      <c r="N36" s="107"/>
      <c r="O36" s="107"/>
      <c r="P36" s="107"/>
      <c r="Q36" s="102"/>
      <c r="R36" s="102"/>
      <c r="S36" s="102"/>
      <c r="T36" s="102"/>
      <c r="U36" s="102"/>
      <c r="V36" s="102"/>
      <c r="W36" s="102"/>
      <c r="X36" s="102"/>
      <c r="Y36" s="102"/>
      <c r="Z36" s="102"/>
      <c r="AA36" s="102"/>
      <c r="AB36" s="102"/>
      <c r="AC36" s="102"/>
      <c r="AD36" s="102"/>
      <c r="AG36" s="108"/>
      <c r="AI36" s="108">
        <v>40806</v>
      </c>
    </row>
    <row r="37" spans="2:50" ht="17.100000000000001" customHeight="1">
      <c r="C37" s="299" t="s">
        <v>131</v>
      </c>
      <c r="D37" s="299"/>
      <c r="E37" s="299"/>
      <c r="F37" s="299"/>
      <c r="G37" s="299"/>
      <c r="H37" s="106" t="s">
        <v>128</v>
      </c>
      <c r="I37" s="300">
        <f>AI37</f>
        <v>42633</v>
      </c>
      <c r="J37" s="301"/>
      <c r="K37" s="301"/>
      <c r="L37" s="301"/>
      <c r="M37" s="301"/>
      <c r="N37" s="107"/>
      <c r="O37" s="107"/>
      <c r="P37" s="107"/>
      <c r="Q37" s="102"/>
      <c r="R37" s="102"/>
      <c r="S37" s="102"/>
      <c r="T37" s="102"/>
      <c r="U37" s="102"/>
      <c r="V37" s="102"/>
      <c r="W37" s="102"/>
      <c r="X37" s="102"/>
      <c r="Y37" s="102"/>
      <c r="Z37" s="102"/>
      <c r="AA37" s="102"/>
      <c r="AB37" s="102"/>
      <c r="AC37" s="102"/>
      <c r="AD37" s="102"/>
      <c r="AG37" s="108"/>
      <c r="AI37" s="108">
        <v>42633</v>
      </c>
    </row>
    <row r="38" spans="2:50" ht="17.100000000000001" customHeight="1">
      <c r="C38" s="109"/>
      <c r="D38" s="109"/>
      <c r="E38" s="109"/>
      <c r="F38" s="94"/>
      <c r="G38" s="87"/>
      <c r="H38" s="87"/>
      <c r="I38" s="87"/>
      <c r="J38" s="87"/>
      <c r="K38" s="87"/>
      <c r="L38" s="87"/>
      <c r="M38" s="87"/>
      <c r="N38" s="87"/>
      <c r="O38" s="87"/>
      <c r="P38" s="87"/>
      <c r="Q38" s="87"/>
      <c r="R38" s="87"/>
      <c r="S38" s="87"/>
      <c r="T38" s="87"/>
      <c r="U38" s="87"/>
      <c r="V38" s="87"/>
      <c r="W38" s="87"/>
      <c r="X38" s="87"/>
      <c r="Y38" s="87"/>
      <c r="Z38" s="87"/>
      <c r="AA38" s="87"/>
      <c r="AB38" s="102"/>
      <c r="AC38" s="102"/>
      <c r="AD38" s="102"/>
    </row>
    <row r="39" spans="2:50" ht="17.100000000000001" customHeight="1">
      <c r="C39" s="109"/>
      <c r="D39" s="109"/>
      <c r="E39" s="109"/>
      <c r="F39" s="94"/>
      <c r="G39" s="87"/>
      <c r="H39" s="87"/>
      <c r="I39" s="87"/>
      <c r="J39" s="87"/>
      <c r="K39" s="87"/>
      <c r="L39" s="87"/>
      <c r="M39" s="87"/>
      <c r="N39" s="87"/>
      <c r="O39" s="87"/>
      <c r="P39" s="87"/>
      <c r="Q39" s="87"/>
      <c r="R39" s="87"/>
      <c r="S39" s="87"/>
      <c r="T39" s="87"/>
      <c r="U39" s="87"/>
      <c r="V39" s="87"/>
      <c r="W39" s="87"/>
      <c r="X39" s="87"/>
      <c r="Y39" s="87"/>
      <c r="Z39" s="87"/>
      <c r="AA39" s="87"/>
      <c r="AB39" s="102"/>
      <c r="AC39" s="102"/>
      <c r="AD39" s="102"/>
    </row>
    <row r="40" spans="2:50" ht="17.100000000000001" customHeight="1">
      <c r="C40" s="109"/>
      <c r="D40" s="109"/>
      <c r="E40" s="109"/>
      <c r="F40" s="94"/>
      <c r="G40" s="87"/>
      <c r="H40" s="87"/>
      <c r="I40" s="87"/>
      <c r="J40" s="87"/>
      <c r="K40" s="87"/>
      <c r="L40" s="87"/>
      <c r="M40" s="87"/>
      <c r="N40" s="87"/>
      <c r="O40" s="87"/>
      <c r="P40" s="103"/>
      <c r="Q40" s="103"/>
      <c r="R40" s="103"/>
      <c r="S40" s="103"/>
      <c r="T40" s="284"/>
      <c r="U40" s="284"/>
      <c r="V40" s="284"/>
      <c r="W40" s="284"/>
      <c r="X40" s="284"/>
      <c r="Y40" s="284"/>
      <c r="Z40" s="284"/>
      <c r="AA40" s="284"/>
      <c r="AB40" s="284"/>
      <c r="AC40" s="284"/>
      <c r="AD40" s="284"/>
      <c r="AE40" s="284"/>
    </row>
    <row r="41" spans="2:50" ht="17.100000000000001" customHeight="1">
      <c r="C41" s="109"/>
      <c r="D41" s="109"/>
      <c r="E41" s="109"/>
      <c r="F41" s="94"/>
      <c r="G41" s="87"/>
      <c r="H41" s="87"/>
      <c r="I41" s="87"/>
      <c r="J41" s="87"/>
      <c r="K41" s="87"/>
      <c r="L41" s="87"/>
      <c r="M41" s="87"/>
      <c r="N41" s="87"/>
      <c r="O41" s="87"/>
      <c r="P41" s="87"/>
      <c r="Q41" s="87"/>
      <c r="R41" s="87"/>
      <c r="S41" s="87"/>
      <c r="T41" s="284" t="str">
        <f>IF(AI41=0,AO41,IF(AI41=1,AK41,AT41))</f>
        <v>Trần Công Khanh</v>
      </c>
      <c r="U41" s="284"/>
      <c r="V41" s="284"/>
      <c r="W41" s="284"/>
      <c r="X41" s="284"/>
      <c r="Y41" s="284"/>
      <c r="Z41" s="284"/>
      <c r="AA41" s="284"/>
      <c r="AB41" s="284"/>
      <c r="AC41" s="284"/>
      <c r="AD41" s="284"/>
      <c r="AE41" s="284"/>
      <c r="AF41" s="284"/>
      <c r="AI41" s="84">
        <v>0</v>
      </c>
      <c r="AK41" s="84" t="s">
        <v>132</v>
      </c>
      <c r="AO41" s="84" t="s">
        <v>204</v>
      </c>
      <c r="AT41" s="84" t="s">
        <v>154</v>
      </c>
    </row>
    <row r="42" spans="2:50" ht="17.25" customHeight="1">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110"/>
      <c r="AC42" s="110"/>
      <c r="AD42" s="110"/>
    </row>
    <row r="43" spans="2:50" ht="16.5" customHeight="1">
      <c r="B43" s="266" t="s">
        <v>133</v>
      </c>
      <c r="C43" s="266"/>
      <c r="D43" s="266"/>
      <c r="E43" s="266"/>
      <c r="F43" s="266"/>
      <c r="G43" s="266"/>
      <c r="H43" s="267" t="s">
        <v>111</v>
      </c>
      <c r="I43" s="267"/>
      <c r="J43" s="267"/>
      <c r="K43" s="267"/>
      <c r="L43" s="267"/>
      <c r="M43" s="267"/>
      <c r="N43" s="267"/>
      <c r="O43" s="267"/>
      <c r="P43" s="267"/>
      <c r="Q43" s="267"/>
      <c r="R43" s="267"/>
      <c r="S43" s="267"/>
      <c r="T43" s="267"/>
      <c r="U43" s="267"/>
      <c r="V43" s="267"/>
      <c r="W43" s="267"/>
      <c r="X43" s="267"/>
      <c r="Y43" s="267"/>
      <c r="Z43" s="267"/>
      <c r="AA43" s="267"/>
      <c r="AB43" s="267"/>
      <c r="AC43" s="267"/>
      <c r="AD43" s="267"/>
      <c r="AE43" s="267"/>
      <c r="AF43" s="267"/>
    </row>
    <row r="44" spans="2:50" ht="16.5" customHeight="1">
      <c r="B44" s="266"/>
      <c r="C44" s="266"/>
      <c r="D44" s="266"/>
      <c r="E44" s="266"/>
      <c r="F44" s="266"/>
      <c r="G44" s="266"/>
      <c r="H44" s="267"/>
      <c r="I44" s="267"/>
      <c r="J44" s="267"/>
      <c r="K44" s="267"/>
      <c r="L44" s="267"/>
      <c r="M44" s="267"/>
      <c r="N44" s="267"/>
      <c r="O44" s="267"/>
      <c r="P44" s="267"/>
      <c r="Q44" s="267"/>
      <c r="R44" s="267"/>
      <c r="S44" s="267"/>
      <c r="T44" s="267"/>
      <c r="U44" s="267"/>
      <c r="V44" s="267"/>
      <c r="W44" s="267"/>
      <c r="X44" s="267"/>
      <c r="Y44" s="267"/>
      <c r="Z44" s="267"/>
      <c r="AA44" s="267"/>
      <c r="AB44" s="267"/>
      <c r="AC44" s="267"/>
      <c r="AD44" s="267"/>
      <c r="AE44" s="267"/>
      <c r="AF44" s="267"/>
    </row>
    <row r="45" spans="2:50" ht="16.5" customHeight="1">
      <c r="B45" s="266"/>
      <c r="C45" s="266"/>
      <c r="D45" s="266"/>
      <c r="E45" s="266"/>
      <c r="F45" s="266"/>
      <c r="G45" s="266"/>
      <c r="H45" s="258" t="s">
        <v>3</v>
      </c>
      <c r="I45" s="258"/>
      <c r="J45" s="258"/>
      <c r="K45" s="258"/>
      <c r="L45" s="258" t="s">
        <v>4</v>
      </c>
      <c r="M45" s="258"/>
      <c r="N45" s="258"/>
      <c r="O45" s="258" t="s">
        <v>134</v>
      </c>
      <c r="P45" s="258"/>
      <c r="Q45" s="258"/>
      <c r="R45" s="258" t="s">
        <v>6</v>
      </c>
      <c r="S45" s="258"/>
      <c r="T45" s="258"/>
      <c r="U45" s="258"/>
      <c r="V45" s="258"/>
      <c r="W45" s="258" t="s">
        <v>135</v>
      </c>
      <c r="X45" s="258"/>
      <c r="Y45" s="258"/>
      <c r="Z45" s="258"/>
      <c r="AA45" s="258" t="s">
        <v>136</v>
      </c>
      <c r="AB45" s="258"/>
      <c r="AC45" s="258"/>
      <c r="AD45" s="258"/>
      <c r="AE45" s="258"/>
      <c r="AF45" s="258"/>
    </row>
    <row r="46" spans="2:50" ht="16.5" customHeight="1">
      <c r="B46" s="266"/>
      <c r="C46" s="266"/>
      <c r="D46" s="266"/>
      <c r="E46" s="266"/>
      <c r="F46" s="266"/>
      <c r="G46" s="266"/>
      <c r="H46" s="258"/>
      <c r="I46" s="258"/>
      <c r="J46" s="258"/>
      <c r="K46" s="258"/>
      <c r="L46" s="258"/>
      <c r="M46" s="258"/>
      <c r="N46" s="258"/>
      <c r="O46" s="258"/>
      <c r="P46" s="258"/>
      <c r="Q46" s="258"/>
      <c r="R46" s="258"/>
      <c r="S46" s="258"/>
      <c r="T46" s="258"/>
      <c r="U46" s="258"/>
      <c r="V46" s="258"/>
      <c r="W46" s="258"/>
      <c r="X46" s="258"/>
      <c r="Y46" s="258"/>
      <c r="Z46" s="258"/>
      <c r="AA46" s="258"/>
      <c r="AB46" s="258"/>
      <c r="AC46" s="258"/>
      <c r="AD46" s="258"/>
      <c r="AE46" s="258"/>
      <c r="AF46" s="258"/>
    </row>
    <row r="47" spans="2:50" ht="16.5" customHeight="1">
      <c r="B47" s="266"/>
      <c r="C47" s="266"/>
      <c r="D47" s="266"/>
      <c r="E47" s="266"/>
      <c r="F47" s="266"/>
      <c r="G47" s="266"/>
      <c r="H47" s="258"/>
      <c r="I47" s="258"/>
      <c r="J47" s="258"/>
      <c r="K47" s="258"/>
      <c r="L47" s="258"/>
      <c r="M47" s="258"/>
      <c r="N47" s="258"/>
      <c r="O47" s="258"/>
      <c r="P47" s="258"/>
      <c r="Q47" s="258"/>
      <c r="R47" s="258"/>
      <c r="S47" s="258"/>
      <c r="T47" s="258"/>
      <c r="U47" s="258"/>
      <c r="V47" s="258"/>
      <c r="W47" s="258"/>
      <c r="X47" s="258"/>
      <c r="Y47" s="258"/>
      <c r="Z47" s="258"/>
      <c r="AA47" s="258"/>
      <c r="AB47" s="258"/>
      <c r="AC47" s="258"/>
      <c r="AD47" s="258"/>
      <c r="AE47" s="258"/>
      <c r="AF47" s="258"/>
    </row>
    <row r="48" spans="2:50" ht="16.5" customHeight="1">
      <c r="B48" s="266"/>
      <c r="C48" s="266"/>
      <c r="D48" s="266"/>
      <c r="E48" s="266"/>
      <c r="F48" s="266"/>
      <c r="G48" s="266"/>
      <c r="H48" s="258"/>
      <c r="I48" s="258"/>
      <c r="J48" s="258"/>
      <c r="K48" s="258"/>
      <c r="L48" s="258"/>
      <c r="M48" s="258"/>
      <c r="N48" s="258"/>
      <c r="O48" s="258"/>
      <c r="P48" s="258"/>
      <c r="Q48" s="258"/>
      <c r="R48" s="258"/>
      <c r="S48" s="258"/>
      <c r="T48" s="258"/>
      <c r="U48" s="258"/>
      <c r="V48" s="258"/>
      <c r="W48" s="258"/>
      <c r="X48" s="258"/>
      <c r="Y48" s="258"/>
      <c r="Z48" s="258"/>
      <c r="AA48" s="258"/>
      <c r="AB48" s="258"/>
      <c r="AC48" s="258"/>
      <c r="AD48" s="258"/>
      <c r="AE48" s="258"/>
      <c r="AF48" s="258"/>
      <c r="AI48" s="84">
        <v>35</v>
      </c>
      <c r="AK48" s="84">
        <v>37</v>
      </c>
      <c r="AN48" s="84">
        <v>40</v>
      </c>
      <c r="AQ48" s="84">
        <v>43</v>
      </c>
      <c r="AR48" s="84">
        <v>44</v>
      </c>
      <c r="AS48" s="84">
        <v>45</v>
      </c>
      <c r="AT48" s="84">
        <v>46</v>
      </c>
      <c r="AU48" s="84">
        <v>47</v>
      </c>
      <c r="AV48" s="84">
        <v>48</v>
      </c>
      <c r="AW48" s="84">
        <v>49</v>
      </c>
      <c r="AX48" s="84">
        <v>50</v>
      </c>
    </row>
    <row r="49" spans="2:48" ht="18.75" customHeight="1">
      <c r="B49" s="258" t="str">
        <f>AI49</f>
        <v>CÔNG TY CỔ PHẦN VIỄN THÔNG DI ĐỘNG TOÀN CẦU</v>
      </c>
      <c r="C49" s="258"/>
      <c r="D49" s="258"/>
      <c r="E49" s="258"/>
      <c r="F49" s="258"/>
      <c r="G49" s="258"/>
      <c r="H49" s="259" t="str">
        <f>AK49</f>
        <v>TB1</v>
      </c>
      <c r="I49" s="259"/>
      <c r="J49" s="259"/>
      <c r="K49" s="259"/>
      <c r="L49" s="260">
        <v>1</v>
      </c>
      <c r="M49" s="260"/>
      <c r="N49" s="260"/>
      <c r="O49" s="261" t="str">
        <f>AN49</f>
        <v>4/4/4</v>
      </c>
      <c r="P49" s="343"/>
      <c r="Q49" s="343"/>
      <c r="R49" s="258" t="str">
        <f>IF(L49=3,AQ49&amp;"W/ "&amp;AR49&amp;"W/ "&amp;AS49&amp;"W",IF(L49=2,AQ49&amp;"W/ "&amp;AR49&amp;"W",AQ49&amp;"W"))</f>
        <v>20W</v>
      </c>
      <c r="S49" s="258"/>
      <c r="T49" s="258"/>
      <c r="U49" s="258"/>
      <c r="V49" s="258"/>
      <c r="W49" s="258" t="str">
        <f>IF(AU49="900 &amp; 1800","900MHz &amp; 1800MHz",IF(AU49="900 &amp; 2100","900MHz &amp; 2100MHz",IF(AU49="1800 &amp; 2100","1800MHz &amp; 2100MHz",AU49&amp;"MHz")))</f>
        <v>900MHz</v>
      </c>
      <c r="X49" s="258"/>
      <c r="Y49" s="258"/>
      <c r="Z49" s="258"/>
      <c r="AA49" s="258">
        <f>AV49</f>
        <v>15</v>
      </c>
      <c r="AB49" s="258"/>
      <c r="AC49" s="258"/>
      <c r="AD49" s="258"/>
      <c r="AE49" s="258"/>
      <c r="AF49" s="258"/>
      <c r="AI49" s="96" t="s">
        <v>155</v>
      </c>
      <c r="AK49" s="96" t="s">
        <v>137</v>
      </c>
      <c r="AL49" s="96"/>
      <c r="AN49" s="100" t="s">
        <v>119</v>
      </c>
      <c r="AQ49" s="84">
        <v>20</v>
      </c>
      <c r="AR49" s="84">
        <v>30</v>
      </c>
      <c r="AS49" s="84">
        <v>40</v>
      </c>
      <c r="AU49" s="84">
        <v>900</v>
      </c>
      <c r="AV49" s="84">
        <v>15</v>
      </c>
    </row>
    <row r="50" spans="2:48" ht="18.75" customHeight="1">
      <c r="B50" s="258"/>
      <c r="C50" s="258"/>
      <c r="D50" s="258"/>
      <c r="E50" s="258"/>
      <c r="F50" s="258"/>
      <c r="G50" s="258"/>
      <c r="H50" s="259"/>
      <c r="I50" s="259"/>
      <c r="J50" s="259"/>
      <c r="K50" s="259"/>
      <c r="L50" s="260"/>
      <c r="M50" s="260"/>
      <c r="N50" s="260"/>
      <c r="O50" s="343"/>
      <c r="P50" s="343"/>
      <c r="Q50" s="343"/>
      <c r="R50" s="258"/>
      <c r="S50" s="258"/>
      <c r="T50" s="258"/>
      <c r="U50" s="258"/>
      <c r="V50" s="258"/>
      <c r="W50" s="258"/>
      <c r="X50" s="258"/>
      <c r="Y50" s="258"/>
      <c r="Z50" s="258"/>
      <c r="AA50" s="258"/>
      <c r="AB50" s="258"/>
      <c r="AC50" s="258"/>
      <c r="AD50" s="258"/>
      <c r="AE50" s="258"/>
      <c r="AF50" s="258"/>
    </row>
    <row r="51" spans="2:48" ht="18.75" customHeight="1">
      <c r="B51" s="258"/>
      <c r="C51" s="258"/>
      <c r="D51" s="258"/>
      <c r="E51" s="258"/>
      <c r="F51" s="258"/>
      <c r="G51" s="258"/>
      <c r="H51" s="259"/>
      <c r="I51" s="259"/>
      <c r="J51" s="259"/>
      <c r="K51" s="259"/>
      <c r="L51" s="260"/>
      <c r="M51" s="260"/>
      <c r="N51" s="260"/>
      <c r="O51" s="343"/>
      <c r="P51" s="343"/>
      <c r="Q51" s="343"/>
      <c r="R51" s="258"/>
      <c r="S51" s="258"/>
      <c r="T51" s="258"/>
      <c r="U51" s="258"/>
      <c r="V51" s="258"/>
      <c r="W51" s="258"/>
      <c r="X51" s="258"/>
      <c r="Y51" s="258"/>
      <c r="Z51" s="258"/>
      <c r="AA51" s="258"/>
      <c r="AB51" s="258"/>
      <c r="AC51" s="258"/>
      <c r="AD51" s="258"/>
      <c r="AE51" s="258"/>
      <c r="AF51" s="258"/>
    </row>
    <row r="52" spans="2:48" ht="18.75" customHeight="1">
      <c r="B52" s="258"/>
      <c r="C52" s="258"/>
      <c r="D52" s="258"/>
      <c r="E52" s="258"/>
      <c r="F52" s="258"/>
      <c r="G52" s="258"/>
      <c r="H52" s="259"/>
      <c r="I52" s="259"/>
      <c r="J52" s="259"/>
      <c r="K52" s="259"/>
      <c r="L52" s="260"/>
      <c r="M52" s="260"/>
      <c r="N52" s="260"/>
      <c r="O52" s="343"/>
      <c r="P52" s="343"/>
      <c r="Q52" s="343"/>
      <c r="R52" s="258"/>
      <c r="S52" s="258"/>
      <c r="T52" s="258"/>
      <c r="U52" s="258"/>
      <c r="V52" s="258"/>
      <c r="W52" s="258"/>
      <c r="X52" s="258"/>
      <c r="Y52" s="258"/>
      <c r="Z52" s="258"/>
      <c r="AA52" s="258"/>
      <c r="AB52" s="258"/>
      <c r="AC52" s="258"/>
      <c r="AD52" s="258"/>
      <c r="AE52" s="258"/>
      <c r="AF52" s="258"/>
    </row>
    <row r="53" spans="2:48" ht="18.75" customHeight="1">
      <c r="B53" s="258" t="str">
        <f t="shared" ref="B53" si="2">AI53</f>
        <v>CÔNG TY CỔ PHẦN VIỄN THÔNG DI ĐỘNG TOÀN CẦU</v>
      </c>
      <c r="C53" s="258"/>
      <c r="D53" s="258"/>
      <c r="E53" s="258"/>
      <c r="F53" s="258"/>
      <c r="G53" s="258"/>
      <c r="H53" s="259" t="str">
        <f>AK53</f>
        <v>TB2</v>
      </c>
      <c r="I53" s="259"/>
      <c r="J53" s="259"/>
      <c r="K53" s="259"/>
      <c r="L53" s="260">
        <v>2</v>
      </c>
      <c r="M53" s="260"/>
      <c r="N53" s="260"/>
      <c r="O53" s="261" t="str">
        <f>AN53</f>
        <v>4/4/4</v>
      </c>
      <c r="P53" s="343"/>
      <c r="Q53" s="343"/>
      <c r="R53" s="258" t="str">
        <f t="shared" ref="R53" si="3">IF(L53=3,AQ53&amp;"W/ "&amp;AR53&amp;"W/ "&amp;AS53&amp;"W",IF(L53=2,AQ53&amp;"W/ "&amp;AR53&amp;"W",AQ53&amp;"W"))</f>
        <v>30W/ 40W</v>
      </c>
      <c r="S53" s="258"/>
      <c r="T53" s="258"/>
      <c r="U53" s="258"/>
      <c r="V53" s="258"/>
      <c r="W53" s="258" t="str">
        <f>IF(AU53="900 &amp; 1800","900MHz &amp; 1800MHz",IF(AU53="900 &amp; 2100","900MHz &amp; 2100MHz",IF(AU53="1800 &amp; 2100","1800MHz &amp; 2100MHz",AU53&amp;"MHz")))</f>
        <v>1800MHz</v>
      </c>
      <c r="X53" s="258"/>
      <c r="Y53" s="258"/>
      <c r="Z53" s="258"/>
      <c r="AA53" s="258">
        <f>AV53</f>
        <v>15</v>
      </c>
      <c r="AB53" s="258"/>
      <c r="AC53" s="258"/>
      <c r="AD53" s="258"/>
      <c r="AE53" s="258"/>
      <c r="AF53" s="258"/>
      <c r="AI53" s="96" t="s">
        <v>155</v>
      </c>
      <c r="AK53" s="96" t="s">
        <v>138</v>
      </c>
      <c r="AL53" s="96"/>
      <c r="AN53" s="100" t="s">
        <v>119</v>
      </c>
      <c r="AQ53" s="84">
        <v>30</v>
      </c>
      <c r="AR53" s="84">
        <v>40</v>
      </c>
      <c r="AS53" s="84">
        <v>40</v>
      </c>
      <c r="AU53" s="84">
        <v>1800</v>
      </c>
      <c r="AV53" s="84">
        <v>15</v>
      </c>
    </row>
    <row r="54" spans="2:48" ht="18.75" customHeight="1">
      <c r="B54" s="258"/>
      <c r="C54" s="258"/>
      <c r="D54" s="258"/>
      <c r="E54" s="258"/>
      <c r="F54" s="258"/>
      <c r="G54" s="258"/>
      <c r="H54" s="259"/>
      <c r="I54" s="259"/>
      <c r="J54" s="259"/>
      <c r="K54" s="259"/>
      <c r="L54" s="260"/>
      <c r="M54" s="260"/>
      <c r="N54" s="260"/>
      <c r="O54" s="343"/>
      <c r="P54" s="343"/>
      <c r="Q54" s="343"/>
      <c r="R54" s="258"/>
      <c r="S54" s="258"/>
      <c r="T54" s="258"/>
      <c r="U54" s="258"/>
      <c r="V54" s="258"/>
      <c r="W54" s="258"/>
      <c r="X54" s="258"/>
      <c r="Y54" s="258"/>
      <c r="Z54" s="258"/>
      <c r="AA54" s="258"/>
      <c r="AB54" s="258"/>
      <c r="AC54" s="258"/>
      <c r="AD54" s="258"/>
      <c r="AE54" s="258"/>
      <c r="AF54" s="258"/>
    </row>
    <row r="55" spans="2:48" ht="18.75" customHeight="1">
      <c r="B55" s="258"/>
      <c r="C55" s="258"/>
      <c r="D55" s="258"/>
      <c r="E55" s="258"/>
      <c r="F55" s="258"/>
      <c r="G55" s="258"/>
      <c r="H55" s="259"/>
      <c r="I55" s="259"/>
      <c r="J55" s="259"/>
      <c r="K55" s="259"/>
      <c r="L55" s="260"/>
      <c r="M55" s="260"/>
      <c r="N55" s="260"/>
      <c r="O55" s="343"/>
      <c r="P55" s="343"/>
      <c r="Q55" s="343"/>
      <c r="R55" s="258"/>
      <c r="S55" s="258"/>
      <c r="T55" s="258"/>
      <c r="U55" s="258"/>
      <c r="V55" s="258"/>
      <c r="W55" s="258"/>
      <c r="X55" s="258"/>
      <c r="Y55" s="258"/>
      <c r="Z55" s="258"/>
      <c r="AA55" s="258"/>
      <c r="AB55" s="258"/>
      <c r="AC55" s="258"/>
      <c r="AD55" s="258"/>
      <c r="AE55" s="258"/>
      <c r="AF55" s="258"/>
    </row>
    <row r="56" spans="2:48" ht="18.75" customHeight="1">
      <c r="B56" s="258"/>
      <c r="C56" s="258"/>
      <c r="D56" s="258"/>
      <c r="E56" s="258"/>
      <c r="F56" s="258"/>
      <c r="G56" s="258"/>
      <c r="H56" s="259"/>
      <c r="I56" s="259"/>
      <c r="J56" s="259"/>
      <c r="K56" s="259"/>
      <c r="L56" s="260"/>
      <c r="M56" s="260"/>
      <c r="N56" s="260"/>
      <c r="O56" s="343"/>
      <c r="P56" s="343"/>
      <c r="Q56" s="343"/>
      <c r="R56" s="258"/>
      <c r="S56" s="258"/>
      <c r="T56" s="258"/>
      <c r="U56" s="258"/>
      <c r="V56" s="258"/>
      <c r="W56" s="258"/>
      <c r="X56" s="258"/>
      <c r="Y56" s="258"/>
      <c r="Z56" s="258"/>
      <c r="AA56" s="258"/>
      <c r="AB56" s="258"/>
      <c r="AC56" s="258"/>
      <c r="AD56" s="258"/>
      <c r="AE56" s="258"/>
      <c r="AF56" s="258"/>
    </row>
    <row r="57" spans="2:48" ht="18.75" customHeight="1">
      <c r="B57" s="258" t="str">
        <f t="shared" ref="B57" si="4">AI57</f>
        <v>CÔNG TY CỔ PHẦN VIỄN THÔNG DI ĐỘNG TOÀN CẦU</v>
      </c>
      <c r="C57" s="258"/>
      <c r="D57" s="258"/>
      <c r="E57" s="258"/>
      <c r="F57" s="258"/>
      <c r="G57" s="258"/>
      <c r="H57" s="259" t="str">
        <f>AK57</f>
        <v>TB2</v>
      </c>
      <c r="I57" s="259"/>
      <c r="J57" s="259"/>
      <c r="K57" s="259"/>
      <c r="L57" s="260">
        <v>3</v>
      </c>
      <c r="M57" s="260"/>
      <c r="N57" s="260"/>
      <c r="O57" s="261" t="str">
        <f t="shared" ref="O57" si="5">AN57</f>
        <v>4/4/4</v>
      </c>
      <c r="P57" s="343"/>
      <c r="Q57" s="343"/>
      <c r="R57" s="258" t="str">
        <f t="shared" ref="R57" si="6">IF(L57=3,AQ57&amp;"W/ "&amp;AR57&amp;"W/ "&amp;AS57&amp;"W",IF(L57=2,AQ57&amp;"W/ "&amp;AR57&amp;"W",AQ57&amp;"W"))</f>
        <v>30W/ 40W/ 40W</v>
      </c>
      <c r="S57" s="258"/>
      <c r="T57" s="258"/>
      <c r="U57" s="258"/>
      <c r="V57" s="258"/>
      <c r="W57" s="258" t="str">
        <f>IF(AU57="900 &amp; 1800","900MHz &amp; 1800MHz",IF(AU57="900 &amp; 2100","900MHz &amp; 2100MHz",IF(AU57="1800 &amp; 2100","1800MHz &amp; 2100MHz",AU57&amp;"MHz")))</f>
        <v>9000 &amp; 1800MHz</v>
      </c>
      <c r="X57" s="258"/>
      <c r="Y57" s="258"/>
      <c r="Z57" s="258"/>
      <c r="AA57" s="258">
        <f>AV57</f>
        <v>15</v>
      </c>
      <c r="AB57" s="258"/>
      <c r="AC57" s="258"/>
      <c r="AD57" s="258"/>
      <c r="AE57" s="258"/>
      <c r="AF57" s="258"/>
      <c r="AI57" s="96" t="s">
        <v>155</v>
      </c>
      <c r="AK57" s="96" t="s">
        <v>138</v>
      </c>
      <c r="AL57" s="96"/>
      <c r="AN57" s="100" t="s">
        <v>119</v>
      </c>
      <c r="AQ57" s="84">
        <v>30</v>
      </c>
      <c r="AR57" s="84">
        <v>40</v>
      </c>
      <c r="AS57" s="84">
        <v>40</v>
      </c>
      <c r="AU57" s="84" t="s">
        <v>200</v>
      </c>
      <c r="AV57" s="84">
        <v>15</v>
      </c>
    </row>
    <row r="58" spans="2:48" ht="18.75" customHeight="1">
      <c r="B58" s="258"/>
      <c r="C58" s="258"/>
      <c r="D58" s="258"/>
      <c r="E58" s="258"/>
      <c r="F58" s="258"/>
      <c r="G58" s="258"/>
      <c r="H58" s="259"/>
      <c r="I58" s="259"/>
      <c r="J58" s="259"/>
      <c r="K58" s="259"/>
      <c r="L58" s="260"/>
      <c r="M58" s="260"/>
      <c r="N58" s="260"/>
      <c r="O58" s="343"/>
      <c r="P58" s="343"/>
      <c r="Q58" s="343"/>
      <c r="R58" s="258"/>
      <c r="S58" s="258"/>
      <c r="T58" s="258"/>
      <c r="U58" s="258"/>
      <c r="V58" s="258"/>
      <c r="W58" s="258"/>
      <c r="X58" s="258"/>
      <c r="Y58" s="258"/>
      <c r="Z58" s="258"/>
      <c r="AA58" s="258"/>
      <c r="AB58" s="258"/>
      <c r="AC58" s="258"/>
      <c r="AD58" s="258"/>
      <c r="AE58" s="258"/>
      <c r="AF58" s="258"/>
    </row>
    <row r="59" spans="2:48" ht="18.75" customHeight="1">
      <c r="B59" s="258"/>
      <c r="C59" s="258"/>
      <c r="D59" s="258"/>
      <c r="E59" s="258"/>
      <c r="F59" s="258"/>
      <c r="G59" s="258"/>
      <c r="H59" s="259"/>
      <c r="I59" s="259"/>
      <c r="J59" s="259"/>
      <c r="K59" s="259"/>
      <c r="L59" s="260"/>
      <c r="M59" s="260"/>
      <c r="N59" s="260"/>
      <c r="O59" s="343"/>
      <c r="P59" s="343"/>
      <c r="Q59" s="343"/>
      <c r="R59" s="258"/>
      <c r="S59" s="258"/>
      <c r="T59" s="258"/>
      <c r="U59" s="258"/>
      <c r="V59" s="258"/>
      <c r="W59" s="258"/>
      <c r="X59" s="258"/>
      <c r="Y59" s="258"/>
      <c r="Z59" s="258"/>
      <c r="AA59" s="258"/>
      <c r="AB59" s="258"/>
      <c r="AC59" s="258"/>
      <c r="AD59" s="258"/>
      <c r="AE59" s="258"/>
      <c r="AF59" s="258"/>
    </row>
    <row r="60" spans="2:48" ht="18.75" customHeight="1">
      <c r="B60" s="258"/>
      <c r="C60" s="258"/>
      <c r="D60" s="258"/>
      <c r="E60" s="258"/>
      <c r="F60" s="258"/>
      <c r="G60" s="258"/>
      <c r="H60" s="259"/>
      <c r="I60" s="259"/>
      <c r="J60" s="259"/>
      <c r="K60" s="259"/>
      <c r="L60" s="260"/>
      <c r="M60" s="260"/>
      <c r="N60" s="260"/>
      <c r="O60" s="343"/>
      <c r="P60" s="343"/>
      <c r="Q60" s="343"/>
      <c r="R60" s="258"/>
      <c r="S60" s="258"/>
      <c r="T60" s="258"/>
      <c r="U60" s="258"/>
      <c r="V60" s="258"/>
      <c r="W60" s="258"/>
      <c r="X60" s="258"/>
      <c r="Y60" s="258"/>
      <c r="Z60" s="258"/>
      <c r="AA60" s="258"/>
      <c r="AB60" s="258"/>
      <c r="AC60" s="258"/>
      <c r="AD60" s="258"/>
      <c r="AE60" s="258"/>
      <c r="AF60" s="258"/>
    </row>
    <row r="61" spans="2:48" ht="18.75" customHeight="1">
      <c r="B61" s="258" t="str">
        <f t="shared" ref="B61" si="7">AI61</f>
        <v>CÔNG TY CỔ PHẦN VIỄN THÔNG DI ĐỘNG TOÀN CẦU</v>
      </c>
      <c r="C61" s="258"/>
      <c r="D61" s="258"/>
      <c r="E61" s="258"/>
      <c r="F61" s="258"/>
      <c r="G61" s="258"/>
      <c r="H61" s="259" t="str">
        <f>AK61</f>
        <v>TB2</v>
      </c>
      <c r="I61" s="259"/>
      <c r="J61" s="259"/>
      <c r="K61" s="259"/>
      <c r="L61" s="260">
        <v>2</v>
      </c>
      <c r="M61" s="260"/>
      <c r="N61" s="260"/>
      <c r="O61" s="261" t="str">
        <f t="shared" ref="O61" si="8">AN61</f>
        <v>4/4/4</v>
      </c>
      <c r="P61" s="343"/>
      <c r="Q61" s="343"/>
      <c r="R61" s="258" t="str">
        <f>IF(L61=3,AQ61&amp;"W/ "&amp;AR61&amp;"W/ "&amp;AS61&amp;"W",IF(L61=2,AQ61&amp;"W/ "&amp;AR61&amp;"W",AQ61&amp;"W"))</f>
        <v>30W/ 40W</v>
      </c>
      <c r="S61" s="258"/>
      <c r="T61" s="258"/>
      <c r="U61" s="258"/>
      <c r="V61" s="258"/>
      <c r="W61" s="258" t="str">
        <f>IF(AU61="900 &amp; 1800","900MHz &amp; 1800MHz",IF(AU61="900 &amp; 2100","900MHz &amp; 2100MHz",IF(AU61="1800 &amp; 2100","1800MHz &amp; 2100MHz",AU61&amp;"MHz")))</f>
        <v>9000 &amp; 2100MHz</v>
      </c>
      <c r="X61" s="258"/>
      <c r="Y61" s="258"/>
      <c r="Z61" s="258"/>
      <c r="AA61" s="258">
        <f>AV61</f>
        <v>15</v>
      </c>
      <c r="AB61" s="258"/>
      <c r="AC61" s="258"/>
      <c r="AD61" s="258"/>
      <c r="AE61" s="258"/>
      <c r="AF61" s="258"/>
      <c r="AI61" s="96" t="s">
        <v>155</v>
      </c>
      <c r="AK61" s="96" t="s">
        <v>138</v>
      </c>
      <c r="AL61" s="96"/>
      <c r="AN61" s="100" t="s">
        <v>119</v>
      </c>
      <c r="AQ61" s="84">
        <v>30</v>
      </c>
      <c r="AR61" s="84">
        <v>40</v>
      </c>
      <c r="AS61" s="84">
        <v>40</v>
      </c>
      <c r="AU61" s="84" t="s">
        <v>201</v>
      </c>
      <c r="AV61" s="84">
        <v>15</v>
      </c>
    </row>
    <row r="62" spans="2:48" ht="18.75" customHeight="1">
      <c r="B62" s="258"/>
      <c r="C62" s="258"/>
      <c r="D62" s="258"/>
      <c r="E62" s="258"/>
      <c r="F62" s="258"/>
      <c r="G62" s="258"/>
      <c r="H62" s="259"/>
      <c r="I62" s="259"/>
      <c r="J62" s="259"/>
      <c r="K62" s="259"/>
      <c r="L62" s="260"/>
      <c r="M62" s="260"/>
      <c r="N62" s="260"/>
      <c r="O62" s="343"/>
      <c r="P62" s="343"/>
      <c r="Q62" s="343"/>
      <c r="R62" s="258"/>
      <c r="S62" s="258"/>
      <c r="T62" s="258"/>
      <c r="U62" s="258"/>
      <c r="V62" s="258"/>
      <c r="W62" s="258"/>
      <c r="X62" s="258"/>
      <c r="Y62" s="258"/>
      <c r="Z62" s="258"/>
      <c r="AA62" s="258"/>
      <c r="AB62" s="258"/>
      <c r="AC62" s="258"/>
      <c r="AD62" s="258"/>
      <c r="AE62" s="258"/>
      <c r="AF62" s="258"/>
    </row>
    <row r="63" spans="2:48" ht="18.75" customHeight="1">
      <c r="B63" s="258"/>
      <c r="C63" s="258"/>
      <c r="D63" s="258"/>
      <c r="E63" s="258"/>
      <c r="F63" s="258"/>
      <c r="G63" s="258"/>
      <c r="H63" s="259"/>
      <c r="I63" s="259"/>
      <c r="J63" s="259"/>
      <c r="K63" s="259"/>
      <c r="L63" s="260"/>
      <c r="M63" s="260"/>
      <c r="N63" s="260"/>
      <c r="O63" s="343"/>
      <c r="P63" s="343"/>
      <c r="Q63" s="343"/>
      <c r="R63" s="258"/>
      <c r="S63" s="258"/>
      <c r="T63" s="258"/>
      <c r="U63" s="258"/>
      <c r="V63" s="258"/>
      <c r="W63" s="258"/>
      <c r="X63" s="258"/>
      <c r="Y63" s="258"/>
      <c r="Z63" s="258"/>
      <c r="AA63" s="258"/>
      <c r="AB63" s="258"/>
      <c r="AC63" s="258"/>
      <c r="AD63" s="258"/>
      <c r="AE63" s="258"/>
      <c r="AF63" s="258"/>
    </row>
    <row r="64" spans="2:48" ht="18.75" customHeight="1">
      <c r="B64" s="258"/>
      <c r="C64" s="258"/>
      <c r="D64" s="258"/>
      <c r="E64" s="258"/>
      <c r="F64" s="258"/>
      <c r="G64" s="258"/>
      <c r="H64" s="259"/>
      <c r="I64" s="259"/>
      <c r="J64" s="259"/>
      <c r="K64" s="259"/>
      <c r="L64" s="260"/>
      <c r="M64" s="260"/>
      <c r="N64" s="260"/>
      <c r="O64" s="343"/>
      <c r="P64" s="343"/>
      <c r="Q64" s="343"/>
      <c r="R64" s="258"/>
      <c r="S64" s="258"/>
      <c r="T64" s="258"/>
      <c r="U64" s="258"/>
      <c r="V64" s="258"/>
      <c r="W64" s="258"/>
      <c r="X64" s="258"/>
      <c r="Y64" s="258"/>
      <c r="Z64" s="258"/>
      <c r="AA64" s="258"/>
      <c r="AB64" s="258"/>
      <c r="AC64" s="258"/>
      <c r="AD64" s="258"/>
      <c r="AE64" s="258"/>
      <c r="AF64" s="258"/>
    </row>
    <row r="65" spans="2:50" ht="18.75" customHeight="1">
      <c r="B65" s="258" t="str">
        <f t="shared" ref="B65" si="9">AI65</f>
        <v>CÔNG TY CỔ PHẦN VIỄN THÔNG DI ĐỘNG TOÀN CẦU</v>
      </c>
      <c r="C65" s="258"/>
      <c r="D65" s="258"/>
      <c r="E65" s="258"/>
      <c r="F65" s="258"/>
      <c r="G65" s="258"/>
      <c r="H65" s="259" t="str">
        <f>AK65</f>
        <v>TB2</v>
      </c>
      <c r="I65" s="259"/>
      <c r="J65" s="259"/>
      <c r="K65" s="259"/>
      <c r="L65" s="260">
        <v>1</v>
      </c>
      <c r="M65" s="260"/>
      <c r="N65" s="260"/>
      <c r="O65" s="261" t="str">
        <f t="shared" ref="O65" si="10">AN65</f>
        <v>4/4/4</v>
      </c>
      <c r="P65" s="343"/>
      <c r="Q65" s="343"/>
      <c r="R65" s="258" t="str">
        <f t="shared" ref="R65" si="11">IF(L65=3,AQ65&amp;"W/ "&amp;AR65&amp;"W/ "&amp;AS65&amp;"W",IF(L65=2,AQ65&amp;"W/ "&amp;AR65&amp;"W",AQ65&amp;"W"))</f>
        <v>30W</v>
      </c>
      <c r="S65" s="258"/>
      <c r="T65" s="258"/>
      <c r="U65" s="258"/>
      <c r="V65" s="258"/>
      <c r="W65" s="258" t="str">
        <f>IF(AU65="900 &amp; 1800","900MHz &amp; 1800MHz",IF(AU65="900 &amp; 2100","900MHz &amp; 2100MHz",IF(AU65="1800 &amp; 2100","1800MHz &amp; 2100MHz",AU65&amp;"MHz")))</f>
        <v>1800MHz &amp; 2100MHz</v>
      </c>
      <c r="X65" s="258"/>
      <c r="Y65" s="258"/>
      <c r="Z65" s="258"/>
      <c r="AA65" s="258">
        <f>AV65</f>
        <v>15</v>
      </c>
      <c r="AB65" s="258"/>
      <c r="AC65" s="258"/>
      <c r="AD65" s="258"/>
      <c r="AE65" s="258"/>
      <c r="AF65" s="258"/>
      <c r="AI65" s="96" t="s">
        <v>155</v>
      </c>
      <c r="AK65" s="96" t="s">
        <v>138</v>
      </c>
      <c r="AL65" s="96"/>
      <c r="AN65" s="100" t="s">
        <v>119</v>
      </c>
      <c r="AQ65" s="84">
        <v>30</v>
      </c>
      <c r="AR65" s="84">
        <v>40</v>
      </c>
      <c r="AS65" s="84">
        <v>40</v>
      </c>
      <c r="AU65" s="84" t="s">
        <v>202</v>
      </c>
      <c r="AV65" s="84">
        <v>15</v>
      </c>
      <c r="AW65" s="84">
        <v>16</v>
      </c>
      <c r="AX65" s="84">
        <v>17</v>
      </c>
    </row>
    <row r="66" spans="2:50" ht="18.75" customHeight="1">
      <c r="B66" s="258"/>
      <c r="C66" s="258"/>
      <c r="D66" s="258"/>
      <c r="E66" s="258"/>
      <c r="F66" s="258"/>
      <c r="G66" s="258"/>
      <c r="H66" s="259"/>
      <c r="I66" s="259"/>
      <c r="J66" s="259"/>
      <c r="K66" s="259"/>
      <c r="L66" s="260"/>
      <c r="M66" s="260"/>
      <c r="N66" s="260"/>
      <c r="O66" s="343"/>
      <c r="P66" s="343"/>
      <c r="Q66" s="343"/>
      <c r="R66" s="258"/>
      <c r="S66" s="258"/>
      <c r="T66" s="258"/>
      <c r="U66" s="258"/>
      <c r="V66" s="258"/>
      <c r="W66" s="258"/>
      <c r="X66" s="258"/>
      <c r="Y66" s="258"/>
      <c r="Z66" s="258"/>
      <c r="AA66" s="258"/>
      <c r="AB66" s="258"/>
      <c r="AC66" s="258"/>
      <c r="AD66" s="258"/>
      <c r="AE66" s="258"/>
      <c r="AF66" s="258"/>
    </row>
    <row r="67" spans="2:50" ht="18.75" customHeight="1">
      <c r="B67" s="258"/>
      <c r="C67" s="258"/>
      <c r="D67" s="258"/>
      <c r="E67" s="258"/>
      <c r="F67" s="258"/>
      <c r="G67" s="258"/>
      <c r="H67" s="259"/>
      <c r="I67" s="259"/>
      <c r="J67" s="259"/>
      <c r="K67" s="259"/>
      <c r="L67" s="260"/>
      <c r="M67" s="260"/>
      <c r="N67" s="260"/>
      <c r="O67" s="343"/>
      <c r="P67" s="343"/>
      <c r="Q67" s="343"/>
      <c r="R67" s="258"/>
      <c r="S67" s="258"/>
      <c r="T67" s="258"/>
      <c r="U67" s="258"/>
      <c r="V67" s="258"/>
      <c r="W67" s="258"/>
      <c r="X67" s="258"/>
      <c r="Y67" s="258"/>
      <c r="Z67" s="258"/>
      <c r="AA67" s="258"/>
      <c r="AB67" s="258"/>
      <c r="AC67" s="258"/>
      <c r="AD67" s="258"/>
      <c r="AE67" s="258"/>
      <c r="AF67" s="258"/>
    </row>
    <row r="68" spans="2:50" ht="18.75" customHeight="1">
      <c r="B68" s="258"/>
      <c r="C68" s="258"/>
      <c r="D68" s="258"/>
      <c r="E68" s="258"/>
      <c r="F68" s="258"/>
      <c r="G68" s="258"/>
      <c r="H68" s="259"/>
      <c r="I68" s="259"/>
      <c r="J68" s="259"/>
      <c r="K68" s="259"/>
      <c r="L68" s="260"/>
      <c r="M68" s="260"/>
      <c r="N68" s="260"/>
      <c r="O68" s="343"/>
      <c r="P68" s="343"/>
      <c r="Q68" s="343"/>
      <c r="R68" s="258"/>
      <c r="S68" s="258"/>
      <c r="T68" s="258"/>
      <c r="U68" s="258"/>
      <c r="V68" s="258"/>
      <c r="W68" s="258"/>
      <c r="X68" s="258"/>
      <c r="Y68" s="258"/>
      <c r="Z68" s="258"/>
      <c r="AA68" s="258"/>
      <c r="AB68" s="258"/>
      <c r="AC68" s="258"/>
      <c r="AD68" s="258"/>
      <c r="AE68" s="258"/>
      <c r="AF68" s="258"/>
    </row>
    <row r="69" spans="2:50" ht="18.75" customHeight="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row>
    <row r="70" spans="2:50" ht="18.75" customHeight="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row>
    <row r="71" spans="2:50" ht="18.75" customHeight="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row>
    <row r="72" spans="2:50" ht="18.75" customHeight="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row>
    <row r="73" spans="2:50" ht="18.75" customHeight="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row>
    <row r="74" spans="2:50" ht="18.75" customHeight="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row>
    <row r="75" spans="2:50" ht="18.75" customHeight="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row>
    <row r="76" spans="2:50" ht="18.75" customHeight="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row>
    <row r="77" spans="2:50" ht="18.75" customHeight="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row>
    <row r="78" spans="2:50" ht="18.75" customHeight="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row>
    <row r="79" spans="2:50" ht="18.75" customHeight="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row>
    <row r="80" spans="2:50" ht="18.75" customHeight="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row>
    <row r="81" spans="3:30" ht="18.75" customHeight="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row>
    <row r="82" spans="3:30" ht="18.75" customHeight="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row>
    <row r="83" spans="3:30" ht="18.75" customHeight="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row>
    <row r="84" spans="3:30" ht="18.75" customHeight="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row>
    <row r="85" spans="3:30" ht="18.75" customHeight="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row>
    <row r="86" spans="3:30" ht="18.75" customHeight="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row>
    <row r="87" spans="3:30" ht="18.75" customHeight="1">
      <c r="C87" s="111"/>
      <c r="D87" s="111"/>
      <c r="E87" s="111"/>
      <c r="F87" s="111"/>
      <c r="G87" s="111"/>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row>
    <row r="88" spans="3:30" ht="18.75" customHeight="1">
      <c r="C88" s="111"/>
      <c r="D88" s="111"/>
      <c r="E88" s="111"/>
      <c r="F88" s="111"/>
      <c r="G88" s="111"/>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row>
    <row r="89" spans="3:30" ht="18.75" customHeight="1">
      <c r="C89" s="111"/>
      <c r="D89" s="111"/>
      <c r="E89" s="111"/>
      <c r="F89" s="111"/>
      <c r="G89" s="111"/>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row>
    <row r="90" spans="3:30" ht="18.75" customHeight="1">
      <c r="C90" s="111"/>
      <c r="D90" s="111"/>
      <c r="E90" s="111"/>
      <c r="F90" s="111"/>
      <c r="G90" s="111"/>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row>
    <row r="91" spans="3:30" ht="18.75" customHeight="1">
      <c r="C91" s="111"/>
      <c r="D91" s="111"/>
      <c r="E91" s="111"/>
      <c r="F91" s="111"/>
      <c r="G91" s="111"/>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row>
    <row r="92" spans="3:30">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row>
    <row r="93" spans="3:30">
      <c r="C93" s="111"/>
      <c r="D93" s="111"/>
      <c r="E93" s="111"/>
      <c r="F93" s="111"/>
      <c r="G93" s="111"/>
      <c r="H93" s="111"/>
      <c r="I93" s="111"/>
      <c r="J93" s="111"/>
      <c r="K93" s="111"/>
      <c r="L93" s="111"/>
      <c r="M93" s="111"/>
      <c r="N93" s="111"/>
      <c r="O93" s="111"/>
      <c r="P93" s="111"/>
      <c r="Q93" s="111"/>
      <c r="R93" s="111"/>
      <c r="S93" s="111"/>
      <c r="T93" s="111"/>
      <c r="U93" s="111"/>
      <c r="V93" s="111"/>
      <c r="W93" s="111"/>
      <c r="X93" s="111"/>
      <c r="Y93" s="111"/>
      <c r="Z93" s="111"/>
      <c r="AA93" s="111"/>
      <c r="AB93" s="111"/>
      <c r="AC93" s="111"/>
      <c r="AD93" s="111"/>
    </row>
    <row r="94" spans="3:30">
      <c r="C94" s="111"/>
      <c r="D94" s="111"/>
      <c r="E94" s="111"/>
      <c r="F94" s="111"/>
      <c r="G94" s="111"/>
      <c r="H94" s="111"/>
      <c r="I94" s="111"/>
      <c r="J94" s="111"/>
      <c r="K94" s="111"/>
      <c r="L94" s="111"/>
      <c r="M94" s="111"/>
      <c r="N94" s="111"/>
      <c r="O94" s="111"/>
      <c r="P94" s="111"/>
      <c r="Q94" s="111"/>
      <c r="R94" s="111"/>
      <c r="S94" s="111"/>
      <c r="T94" s="111"/>
      <c r="U94" s="111"/>
      <c r="V94" s="111"/>
      <c r="W94" s="111"/>
      <c r="X94" s="111"/>
      <c r="Y94" s="111"/>
      <c r="Z94" s="111"/>
      <c r="AA94" s="111"/>
      <c r="AB94" s="111"/>
      <c r="AC94" s="111"/>
      <c r="AD94" s="111"/>
    </row>
    <row r="95" spans="3:30">
      <c r="C95" s="111"/>
      <c r="D95" s="111"/>
      <c r="E95" s="111"/>
      <c r="F95" s="111"/>
      <c r="G95" s="111"/>
      <c r="H95" s="111"/>
      <c r="I95" s="111"/>
      <c r="J95" s="111"/>
      <c r="K95" s="111"/>
      <c r="L95" s="111"/>
      <c r="M95" s="111"/>
      <c r="N95" s="111"/>
      <c r="O95" s="111"/>
      <c r="P95" s="111"/>
      <c r="Q95" s="111"/>
      <c r="R95" s="111"/>
      <c r="S95" s="111"/>
      <c r="T95" s="111"/>
      <c r="U95" s="111"/>
      <c r="V95" s="111"/>
      <c r="W95" s="111"/>
      <c r="X95" s="111"/>
      <c r="Y95" s="111"/>
      <c r="Z95" s="111"/>
      <c r="AA95" s="111"/>
      <c r="AB95" s="111"/>
      <c r="AC95" s="111"/>
      <c r="AD95" s="111"/>
    </row>
    <row r="96" spans="3:30">
      <c r="C96" s="111"/>
      <c r="D96" s="111"/>
      <c r="E96" s="111"/>
      <c r="F96" s="111"/>
      <c r="G96" s="111"/>
      <c r="H96" s="111"/>
      <c r="I96" s="111"/>
      <c r="J96" s="111"/>
      <c r="K96" s="111"/>
      <c r="L96" s="111"/>
      <c r="M96" s="111"/>
      <c r="N96" s="111"/>
      <c r="O96" s="111"/>
      <c r="P96" s="111"/>
      <c r="Q96" s="111"/>
      <c r="R96" s="111"/>
      <c r="S96" s="111"/>
      <c r="T96" s="111"/>
      <c r="U96" s="111"/>
      <c r="V96" s="111"/>
      <c r="W96" s="111"/>
      <c r="X96" s="111"/>
      <c r="Y96" s="111"/>
      <c r="Z96" s="111"/>
      <c r="AA96" s="111"/>
      <c r="AB96" s="111"/>
      <c r="AC96" s="111"/>
      <c r="AD96" s="111"/>
    </row>
    <row r="97" spans="3:30">
      <c r="C97" s="111"/>
      <c r="D97" s="111"/>
      <c r="E97" s="111"/>
      <c r="F97" s="111"/>
      <c r="G97" s="111"/>
      <c r="H97" s="111"/>
      <c r="I97" s="111"/>
      <c r="J97" s="111"/>
      <c r="K97" s="111"/>
      <c r="L97" s="111"/>
      <c r="M97" s="111"/>
      <c r="N97" s="111"/>
      <c r="O97" s="111"/>
      <c r="P97" s="111"/>
      <c r="Q97" s="111"/>
      <c r="R97" s="111"/>
      <c r="S97" s="111"/>
      <c r="T97" s="111"/>
      <c r="U97" s="111"/>
      <c r="V97" s="111"/>
      <c r="W97" s="111"/>
      <c r="X97" s="111"/>
      <c r="Y97" s="111"/>
      <c r="Z97" s="111"/>
      <c r="AA97" s="111"/>
      <c r="AB97" s="111"/>
      <c r="AC97" s="111"/>
      <c r="AD97" s="111"/>
    </row>
    <row r="98" spans="3:30">
      <c r="C98" s="111"/>
      <c r="D98" s="111"/>
      <c r="E98" s="111"/>
      <c r="F98" s="111"/>
      <c r="G98" s="111"/>
      <c r="H98" s="111"/>
      <c r="I98" s="111"/>
      <c r="J98" s="111"/>
      <c r="K98" s="111"/>
      <c r="L98" s="111"/>
      <c r="M98" s="111"/>
      <c r="N98" s="111"/>
      <c r="O98" s="111"/>
      <c r="P98" s="111"/>
      <c r="Q98" s="111"/>
      <c r="R98" s="111"/>
      <c r="S98" s="111"/>
      <c r="T98" s="111"/>
      <c r="U98" s="111"/>
      <c r="V98" s="111"/>
      <c r="W98" s="111"/>
      <c r="X98" s="111"/>
      <c r="Y98" s="111"/>
      <c r="Z98" s="111"/>
      <c r="AA98" s="111"/>
      <c r="AB98" s="111"/>
      <c r="AC98" s="111"/>
      <c r="AD98" s="111"/>
    </row>
  </sheetData>
  <mergeCells count="108">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50"/>
  <sheetViews>
    <sheetView topLeftCell="E1" workbookViewId="0">
      <selection activeCell="P5" sqref="P5"/>
    </sheetView>
  </sheetViews>
  <sheetFormatPr defaultRowHeight="15"/>
  <cols>
    <col min="1" max="1" width="46" customWidth="1"/>
    <col min="2" max="2" width="5.7109375" customWidth="1"/>
    <col min="3" max="3" width="7.7109375" customWidth="1"/>
    <col min="4" max="4" width="39.7109375" customWidth="1"/>
    <col min="5" max="5" width="9.28515625" bestFit="1" customWidth="1"/>
    <col min="6" max="6" width="11.42578125" customWidth="1"/>
    <col min="8" max="8" width="9.28515625" bestFit="1" customWidth="1"/>
    <col min="9" max="9" width="11.5703125" customWidth="1"/>
    <col min="10" max="10" width="11" customWidth="1"/>
    <col min="11" max="11" width="10.140625" bestFit="1" customWidth="1"/>
    <col min="13" max="13" width="23" customWidth="1"/>
    <col min="14" max="14" width="20.42578125" customWidth="1"/>
    <col min="15" max="15" width="9.28515625" bestFit="1" customWidth="1"/>
    <col min="16" max="16" width="11.7109375" customWidth="1"/>
    <col min="17" max="17" width="13.5703125" customWidth="1"/>
    <col min="24" max="24" width="9.28515625" bestFit="1" customWidth="1"/>
    <col min="25" max="25" width="9.28515625" customWidth="1"/>
    <col min="26" max="28" width="9.28515625" style="220" customWidth="1"/>
    <col min="29" max="29" width="14.5703125" style="220" customWidth="1"/>
    <col min="30" max="30" width="11.140625" style="220" customWidth="1"/>
    <col min="31" max="31" width="32.140625" customWidth="1"/>
  </cols>
  <sheetData>
    <row r="1" spans="1:31" ht="64.5" customHeight="1">
      <c r="A1" s="204" t="s">
        <v>643</v>
      </c>
      <c r="B1" s="204" t="s">
        <v>0</v>
      </c>
      <c r="C1" s="205" t="s">
        <v>644</v>
      </c>
      <c r="D1" s="206" t="s">
        <v>24</v>
      </c>
      <c r="E1" s="1" t="s">
        <v>1</v>
      </c>
      <c r="F1" s="1" t="s">
        <v>11</v>
      </c>
      <c r="G1" s="2" t="s">
        <v>12</v>
      </c>
      <c r="H1" s="2" t="s">
        <v>13</v>
      </c>
      <c r="I1" s="2" t="s">
        <v>14</v>
      </c>
      <c r="J1" s="2" t="s">
        <v>15</v>
      </c>
      <c r="K1" s="2" t="s">
        <v>2</v>
      </c>
      <c r="L1" s="2" t="s">
        <v>19</v>
      </c>
      <c r="M1" s="2" t="s">
        <v>17</v>
      </c>
      <c r="N1" s="2" t="s">
        <v>3</v>
      </c>
      <c r="O1" s="2" t="s">
        <v>4</v>
      </c>
      <c r="P1" s="2" t="s">
        <v>5</v>
      </c>
      <c r="Q1" s="2" t="s">
        <v>6</v>
      </c>
      <c r="R1" s="2" t="s">
        <v>7</v>
      </c>
      <c r="S1" s="2" t="s">
        <v>80</v>
      </c>
      <c r="T1" s="2" t="s">
        <v>18</v>
      </c>
      <c r="U1" s="2" t="s">
        <v>8</v>
      </c>
      <c r="V1" s="5" t="s">
        <v>20</v>
      </c>
      <c r="W1" s="5" t="s">
        <v>21</v>
      </c>
      <c r="X1" s="5" t="s">
        <v>71</v>
      </c>
      <c r="Y1" s="5" t="s">
        <v>254</v>
      </c>
      <c r="Z1" s="207" t="s">
        <v>252</v>
      </c>
      <c r="AA1" s="207" t="s">
        <v>645</v>
      </c>
      <c r="AB1" s="207" t="s">
        <v>646</v>
      </c>
      <c r="AC1" s="207" t="s">
        <v>647</v>
      </c>
      <c r="AD1" s="207" t="s">
        <v>648</v>
      </c>
      <c r="AE1" s="138" t="s">
        <v>62</v>
      </c>
    </row>
    <row r="2" spans="1:31" hidden="1">
      <c r="A2" s="208"/>
      <c r="B2" s="209"/>
      <c r="C2" s="209"/>
      <c r="D2" s="208"/>
      <c r="E2" s="208"/>
      <c r="F2" s="208"/>
      <c r="G2" s="208"/>
      <c r="H2" s="208"/>
      <c r="I2" s="208"/>
      <c r="J2" s="208"/>
      <c r="K2" s="208"/>
      <c r="L2" s="208"/>
      <c r="M2" s="208"/>
      <c r="N2" s="208"/>
      <c r="O2" s="208"/>
      <c r="P2" s="208"/>
      <c r="Q2" s="208"/>
      <c r="R2" s="208"/>
      <c r="S2" s="208"/>
      <c r="T2" s="208"/>
      <c r="U2" s="208"/>
      <c r="V2" s="208"/>
      <c r="W2" s="208"/>
      <c r="X2" s="208"/>
      <c r="Y2" s="208"/>
      <c r="Z2" s="210"/>
      <c r="AA2" s="210"/>
      <c r="AB2" s="210"/>
      <c r="AC2" s="210"/>
      <c r="AD2" s="210"/>
      <c r="AE2" s="208"/>
    </row>
    <row r="3" spans="1:31" hidden="1">
      <c r="A3" s="208"/>
      <c r="B3" s="209"/>
      <c r="C3" s="209"/>
      <c r="D3" s="208"/>
      <c r="E3" s="208"/>
      <c r="F3" s="208"/>
      <c r="G3" s="208"/>
      <c r="H3" s="208"/>
      <c r="I3" s="208"/>
      <c r="J3" s="208"/>
      <c r="K3" s="208"/>
      <c r="L3" s="208"/>
      <c r="M3" s="208"/>
      <c r="N3" s="208"/>
      <c r="O3" s="208"/>
      <c r="P3" s="208"/>
      <c r="Q3" s="208"/>
      <c r="R3" s="208"/>
      <c r="S3" s="208"/>
      <c r="T3" s="208"/>
      <c r="U3" s="208"/>
      <c r="V3" s="208"/>
      <c r="W3" s="208"/>
      <c r="X3" s="208"/>
      <c r="Y3" s="208"/>
      <c r="Z3" s="210"/>
      <c r="AA3" s="210"/>
      <c r="AB3" s="210"/>
      <c r="AC3" s="210"/>
      <c r="AD3" s="210"/>
      <c r="AE3" s="208"/>
    </row>
    <row r="4" spans="1:31" s="219" customFormat="1">
      <c r="A4" s="211" t="str">
        <f>[3]SB1!HM4</f>
        <v>Viettel Trà Vinh - Chi nhánh Tập đoàn Công nghiệp - Viễn Thông Quân Đội</v>
      </c>
      <c r="B4" s="212">
        <f>[3]Source!A4</f>
        <v>1</v>
      </c>
      <c r="C4" s="212">
        <f>[3]SB1!GZ4</f>
        <v>761</v>
      </c>
      <c r="D4" s="213" t="str">
        <f>[3]SB1!GX4</f>
        <v>Khu công nghiệp Long Đức, ấp Vĩnh Yên, xã Long Đức, thành phố Trà Vinh, tỉnh Trà Vinh.</v>
      </c>
      <c r="E4" s="211" t="str">
        <f>[3]SB1!GV4</f>
        <v>Trà Vinh</v>
      </c>
      <c r="F4" s="211" t="str">
        <f>MID([3]SB1!GS4,1,FIND(";",[3]SB1!GS4,1)-1)</f>
        <v>106,34579</v>
      </c>
      <c r="G4" s="211" t="str">
        <f>RIGHT([3]SB1!GS4,LEN([3]SB1!GS4)-LEN(F4)-1)</f>
        <v>9,97188</v>
      </c>
      <c r="H4" s="213">
        <f>[3]SB1!GY4</f>
        <v>1</v>
      </c>
      <c r="I4" s="211" t="str">
        <f>[3]SB1!AY4</f>
        <v>1801785/2019/PTN-KĐ</v>
      </c>
      <c r="J4" s="214">
        <f>[3]SB1!HK4</f>
        <v>43497</v>
      </c>
      <c r="K4" s="214">
        <f>[3]SB1!GR4</f>
        <v>43478</v>
      </c>
      <c r="L4" s="215" t="str">
        <f>IF(H4=1,[3]SB1!HR4,IF(H4=2,[3]SB1!HR4&amp;"/"&amp;[3]SB2!HM4,IF(H4=3,[3]SB1!HR4&amp;"/"&amp;[3]SB2!HM4&amp;"/"&amp;[3]SB3!HM4,IF(H4=4,[3]SB1!HR4&amp;"/"&amp;[3]SB2!HM4&amp;"/"&amp;[3]SB3!HM4&amp;"/"&amp;[3]SB4!HM4,IF(H4=5,[3]SB1!HR4&amp;"/"&amp;[3]SB2!HM4&amp;"/"&amp;[3]SB3!HM4&amp;"/"&amp;[3]SB4!HM4&amp;"/"&amp;[3]SB5!HM4,[3]SB1!HR4&amp;"/"&amp;[3]SB2!HM4&amp;"/"&amp;[3]SB3!HM4&amp;"/"&amp;[3]SB4!HM4&amp;"/"&amp;[3]SB5!HM4&amp;"/"&amp;[3]SB6!HM4)))))</f>
        <v>TẬP ĐOÀN CÔNG NGHIỆP - VIỄN THÔNG QUÂN ĐỘI</v>
      </c>
      <c r="M4" s="216" t="str">
        <f>IF(H4=1,[3]SB1!C4,IF(H4=2,[3]SB1!C4&amp;";"&amp;[3]SB2!C4,IF(H4=3,[3]SB1!C4&amp;";"&amp;[3]SB2!C4&amp;";"&amp;[3]SB3!C4,IF(H4=4,[3]SB1!C4&amp;";"&amp;[3]SB2!C4&amp;";"&amp;[3]SB3!C4&amp;";"&amp;[3]SB4!C4,IF(H4=5,[3]SB1!C4&amp;";"&amp;[3]SB2!C4&amp;";"&amp;[3]SB3!C4&amp;";"&amp;[3]SB4!C4&amp;";"&amp;[3]SB5!C4,[3]SB1!C4&amp;";"&amp;[3]SB2!C4&amp;";"&amp;[3]SB3!C4&amp;";"&amp;[3]SB4!C4&amp;";"&amp;[3]SB5!C4&amp;";"&amp;[3]SB6!C4)))))</f>
        <v>TVH0573</v>
      </c>
      <c r="N4" s="216" t="str">
        <f>IF(H4=1,[3]SB1!K4,IF(H4=2,[3]SB1!K4&amp;";"&amp;[3]SB2!K4,IF(H4=3,[3]SB1!K4&amp;";"&amp;[3]SB2!K4&amp;";"&amp;[3]SB3!K4,IF(H4=4,[3]SB1!K4&amp;";"&amp;[3]SB2!K4&amp;";"&amp;[3]SB3!K4&amp;";"&amp;[3]SB4!K4,IF(H4=5,[3]SB1!K4&amp;";"&amp;[3]SB2!K4&amp;";"&amp;[3]SB3!K4&amp;";"&amp;[3]SB4!K4&amp;";"&amp;[3]SB5!K4,[3]SB1!K4&amp;";"&amp;[3]SB2!K4&amp;";"&amp;[3]SB3!K4&amp;";"&amp;[3]SB4!K4&amp;";"&amp;[3]SB5!K4&amp;";"&amp;[3]SB6!K4)))))</f>
        <v>NOKIA Flexi WCDMA BTS</v>
      </c>
      <c r="O4" s="212">
        <f>[3]SB1!P4+[3]SB2!P4+[3]SB3!P4+[3]SB4!P4+[3]SB5!P4+[3]SB6!P4</f>
        <v>3</v>
      </c>
      <c r="P4" s="216" t="str">
        <f>IF(H4=1,[3]SB1!Q4,IF(H4=2,[3]SB1!Q4&amp;";"&amp;[3]SB2!Q4,IF(H4=3,[3]SB1!Q4&amp;";"&amp;[3]SB2!Q4&amp;";"&amp;[3]SB3!Q4,IF(H4=4,[3]SB1!Q4&amp;";"&amp;[3]SB2!Q4&amp;";"&amp;[3]SB3!Q4&amp;";"&amp;[3]SB4!Q4,IF(H4=5,[3]SB1!Q4&amp;";"&amp;[3]SB2!Q4&amp;";"&amp;[3]SB3!Q4&amp;";"&amp;[3]SB4!Q4&amp;";"&amp;[3]SB5!Q4,[3]SB1!Q4&amp;";"&amp;[3]SB2!Q4&amp;";"&amp;[3]SB3!Q4&amp;";"&amp;[3]SB4!Q4&amp;";"&amp;[3]SB5!Q4&amp;";"&amp;[3]SB6!Q4)))))</f>
        <v>2/2/2</v>
      </c>
      <c r="Q4" s="216" t="str">
        <f>IF(H4=1,[3]SB1!HS4,IF(H4=2,[3]SB1!HS4&amp;";"&amp;[3]SB2!HN4,IF(H4=3,[3]SB1!HS4&amp;";"&amp;[3]SB2!HN4&amp;";"&amp;[3]SB3!HN4,IF(H4=4,[3]SB1!HS4&amp;";"&amp;[3]SB2!HN4&amp;";"&amp;[3]SB3!HN4&amp;";"&amp;[3]SB4!HN4,IF(H4=5,[3]SB1!HS4&amp;";"&amp;[3]SB2!HN4&amp;";"&amp;[3]SB3!HN4&amp;";"&amp;[3]SB4!HN4&amp;";"&amp;[3]SB5!HN4,[3]SB1!HS4&amp;";"&amp;[3]SB2!HN4&amp;";"&amp;[3]SB3!HN4&amp;";"&amp;[3]SB4!HN4&amp;";"&amp;[3]SB5!HN4&amp;";"&amp;[3]SB6!HN4)))))</f>
        <v>40W/40W/40W</v>
      </c>
      <c r="R4" s="216" t="str">
        <f>IF(H4=1,[3]SB1!H4,IF(H4=2,[3]SB1!H4&amp;"/"&amp;[3]SB2!H4,IF(H4=3,[3]SB1!H4&amp;"/"&amp;[3]SB2!H4&amp;"/"&amp;[3]SB3!H4,IF(H4=4,[3]SB1!H4&amp;"/"&amp;[3]SB2!H4&amp;"/"&amp;[3]SB3!H4&amp;"/"&amp;[3]SB4!H4,IF(H4=5,[3]SB1!H4&amp;"/"&amp;[3]SB2!H4&amp;"/"&amp;[3]SB3!H4&amp;"/"&amp;[3]SB4!H4&amp;"/"&amp;[3]SB5!H4,[3]SB1!H4&amp;"/"&amp;[3]SB2!H4&amp;"/"&amp;[3]SB3!H4&amp;"/"&amp;[3]SB4!H4&amp;"/"&amp;[3]SB5!H4&amp;"/"&amp;[3]SB6!H4)))))</f>
        <v>U2100</v>
      </c>
      <c r="S4" s="216" t="str">
        <f>IF(H4=1,[3]SB1!HT4,IF(H4=2,[3]SB1!HT4&amp;";"&amp;[3]SB2!HO4,IF(H4=3,[3]SB1!HT4&amp;";"&amp;[3]SB2!HO4&amp;";"&amp;[3]SB3!HO4,IF(H4=4,[3]SB1!HT4&amp;";"&amp;[3]SB2!HO4&amp;";"&amp;[3]SB3!HO4&amp;";"&amp;[3]SB4!HO4,IF(H4=5,[3]SB1!HT4&amp;";"&amp;[3]SB2!HO4&amp;";"&amp;[3]SB3!HO4&amp;";"&amp;[3]SB4!HO4&amp;";"&amp;[3]SB5!HO4,[3]SB1!HT4&amp;";"&amp;[3]SB2!HO4&amp;";"&amp;[3]SB3!HO4&amp;";"&amp;[3]SB4!HO4&amp;";"&amp;[3]SB5!HO4&amp;";"&amp;[3]SB6!HO4)))))</f>
        <v>25m/ 25m/ 25m</v>
      </c>
      <c r="T4" s="215">
        <f>[3]SB1!GU4</f>
        <v>1</v>
      </c>
      <c r="U4" s="215" t="str">
        <f>IF(H4=1,[3]SB1!AS4,IF(H4=2,[3]SB1!AS4&amp;";"&amp;[3]SB2!AS4,IF(H4=3,[3]SB1!AS4&amp;";"&amp;[3]SB2!AS4&amp;";"&amp;[3]SB3!AS4,IF(H4=4,[3]SB1!AS4&amp;";"&amp;[3]SB2!AS4&amp;";"&amp;[3]SB3!AS4&amp;";"&amp;[3]SB4!AS4,IF(H4=5,[3]SB1!AS4&amp;";"&amp;[3]SB2!AS4&amp;";"&amp;[3]SB3!AS4&amp;";"&amp;[3]SB4!AS4&amp;";"&amp;[3]SB5!AS4,[3]SB1!AS4&amp;";"&amp;[3]SB2!AS4&amp;";"&amp;[3]SB3!AS4&amp;";"&amp;[3]SB4!AS4&amp;";"&amp;[3]SB5!AS4&amp;";"&amp;[3]SB6!AS4)))))</f>
        <v>RFS APXV18-206516S-C</v>
      </c>
      <c r="V4" s="213" t="str">
        <f>IF([3]Source!AEE4="Yes","Có","Không")</f>
        <v>Có</v>
      </c>
      <c r="W4" s="213" t="str">
        <f>IF([3]Source!AEF4="Yes","Có","Không")</f>
        <v>Không</v>
      </c>
      <c r="X4" s="213" t="str">
        <f>[3]Source!AEG4</f>
        <v/>
      </c>
      <c r="Y4" s="213" t="str">
        <f>IF([3]Source!AEH4="Yes","Có","Không")</f>
        <v>Có</v>
      </c>
      <c r="Z4" s="217">
        <f>[3]Source!AEI4</f>
        <v>17</v>
      </c>
      <c r="AA4" s="217" t="str">
        <f>IF([3]SB1!WBZ4="","",IF([3]SB1!WBZ4=0,"Có","Không"))</f>
        <v/>
      </c>
      <c r="AB4" s="217" t="str">
        <f>IF([3]Source!ADX4="Yes","Có","Không")</f>
        <v>Không</v>
      </c>
      <c r="AC4" s="217">
        <f>MIN([3]SB1!AH4,[3]SB2!AH4,[3]SB3!AH4,[3]SB4!AH4,[3]SB5!AH4,[3]SB6!AH4)+[3]SB1!AG4</f>
        <v>25</v>
      </c>
      <c r="AD4" s="217" t="str">
        <f>IF([3]SB1!HQ4="","",[3]SB1!HQ4)</f>
        <v>8</v>
      </c>
      <c r="AE4" s="218" t="str">
        <f>IF([3]SB1!HV4="","",[3]SB1!HV4)</f>
        <v/>
      </c>
    </row>
    <row r="5" spans="1:31" s="219" customFormat="1">
      <c r="A5" s="211" t="str">
        <f>[3]SB1!HM5</f>
        <v>Viettel Trà Vinh - Chi nhánh Tập đoàn Công nghiệp - Viễn Thông Quân Đội</v>
      </c>
      <c r="B5" s="212">
        <f>[3]Source!A5</f>
        <v>2</v>
      </c>
      <c r="C5" s="212">
        <f>[3]SB1!GZ5</f>
        <v>761</v>
      </c>
      <c r="D5" s="213" t="str">
        <f>[3]SB1!GX5</f>
        <v>Số 74, đường Phan Đình Phùng, phường 6, thành phố Trà Vinh, tỉnh Trà Vinh.</v>
      </c>
      <c r="E5" s="211" t="str">
        <f>[3]SB1!GV5</f>
        <v>Trà Vinh</v>
      </c>
      <c r="F5" s="211" t="str">
        <f>MID([3]SB1!GS5,1,FIND(";",[3]SB1!GS5,1)-1)</f>
        <v>106,34015</v>
      </c>
      <c r="G5" s="211" t="str">
        <f>RIGHT([3]SB1!GS5,LEN([3]SB1!GS5)-LEN(F5)-1)</f>
        <v>9,93284</v>
      </c>
      <c r="H5" s="213">
        <f>[3]SB1!GY5</f>
        <v>3</v>
      </c>
      <c r="I5" s="211" t="str">
        <f>[3]SB1!AY5</f>
        <v>1801786/2019/PTN-KĐ</v>
      </c>
      <c r="J5" s="214">
        <f>[3]SB1!HK5</f>
        <v>43497</v>
      </c>
      <c r="K5" s="214">
        <f>[3]SB1!GR5</f>
        <v>43478</v>
      </c>
      <c r="L5" s="215" t="str">
        <f>IF(H5=1,[3]SB1!HR5,IF(H5=2,[3]SB1!HR5&amp;"/"&amp;[3]SB2!HM5,IF(H5=3,[3]SB1!HR5&amp;"/"&amp;[3]SB2!HM5&amp;"/"&amp;[3]SB3!HM5,IF(H5=4,[3]SB1!HR5&amp;"/"&amp;[3]SB2!HM5&amp;"/"&amp;[3]SB3!HM5&amp;"/"&amp;[3]SB4!HM5,IF(H5=5,[3]SB1!HR5&amp;"/"&amp;[3]SB2!HM5&amp;"/"&amp;[3]SB3!HM5&amp;"/"&amp;[3]SB4!HM5&amp;"/"&amp;[3]SB5!HM5,[3]SB1!HR5&amp;"/"&amp;[3]SB2!HM5&amp;"/"&amp;[3]SB3!HM5&amp;"/"&amp;[3]SB4!HM5&amp;"/"&amp;[3]SB5!HM5&amp;"/"&amp;[3]SB6!HM5)))))</f>
        <v>TẬP ĐOÀN CÔNG NGHIỆP - VIỄN THÔNG QUÂN ĐỘI/TẬP ĐOÀN CÔNG NGHIỆP - VIỄN THÔNG QUÂN ĐỘI/TẬP ĐOÀN CÔNG NGHIỆP - VIỄN THÔNG QUÂN ĐỘI</v>
      </c>
      <c r="M5" s="216" t="str">
        <f>IF(H5=1,[3]SB1!C5,IF(H5=2,[3]SB1!C5&amp;";"&amp;[3]SB2!C5,IF(H5=3,[3]SB1!C5&amp;";"&amp;[3]SB2!C5&amp;";"&amp;[3]SB3!C5,IF(H5=4,[3]SB1!C5&amp;";"&amp;[3]SB2!C5&amp;";"&amp;[3]SB3!C5&amp;";"&amp;[3]SB4!C5,IF(H5=5,[3]SB1!C5&amp;";"&amp;[3]SB2!C5&amp;";"&amp;[3]SB3!C5&amp;";"&amp;[3]SB4!C5&amp;";"&amp;[3]SB5!C5,[3]SB1!C5&amp;";"&amp;[3]SB2!C5&amp;";"&amp;[3]SB3!C5&amp;";"&amp;[3]SB4!C5&amp;";"&amp;[3]SB5!C5&amp;";"&amp;[3]SB6!C5)))))</f>
        <v>TVH0011;TVH0011;TVH0011</v>
      </c>
      <c r="N5" s="216" t="str">
        <f>IF(H5=1,[3]SB1!K5,IF(H5=2,[3]SB1!K5&amp;";"&amp;[3]SB2!K5,IF(H5=3,[3]SB1!K5&amp;";"&amp;[3]SB2!K5&amp;";"&amp;[3]SB3!K5,IF(H5=4,[3]SB1!K5&amp;";"&amp;[3]SB2!K5&amp;";"&amp;[3]SB3!K5&amp;";"&amp;[3]SB4!K5,IF(H5=5,[3]SB1!K5&amp;";"&amp;[3]SB2!K5&amp;";"&amp;[3]SB3!K5&amp;";"&amp;[3]SB4!K5&amp;";"&amp;[3]SB5!K5,[3]SB1!K5&amp;";"&amp;[3]SB2!K5&amp;";"&amp;[3]SB3!K5&amp;";"&amp;[3]SB4!K5&amp;";"&amp;[3]SB5!K5&amp;";"&amp;[3]SB6!K5)))))</f>
        <v>NOKIA Flexi EDGE BTS;NOKIA Flexi WCDMA BTS;NSN FLEXI MULTIRADIO AIRSCALE</v>
      </c>
      <c r="O5" s="212">
        <f>[3]SB1!P5+[3]SB2!P5+[3]SB3!P5+[3]SB4!P5+[3]SB5!P5+[3]SB6!P5</f>
        <v>9</v>
      </c>
      <c r="P5" s="216" t="str">
        <f>IF(H5=1,[3]SB1!Q5,IF(H5=2,[3]SB1!Q5&amp;";"&amp;[3]SB2!Q5,IF(H5=3,[3]SB1!Q5&amp;";"&amp;[3]SB2!Q5&amp;";"&amp;[3]SB3!Q5,IF(H5=4,[3]SB1!Q5&amp;";"&amp;[3]SB2!Q5&amp;";"&amp;[3]SB3!Q5&amp;";"&amp;[3]SB4!Q5,IF(H5=5,[3]SB1!Q5&amp;";"&amp;[3]SB2!Q5&amp;";"&amp;[3]SB3!Q5&amp;";"&amp;[3]SB4!Q5&amp;";"&amp;[3]SB5!Q5,[3]SB1!Q5&amp;";"&amp;[3]SB2!Q5&amp;";"&amp;[3]SB3!Q5&amp;";"&amp;[3]SB4!Q5&amp;";"&amp;[3]SB5!Q5&amp;";"&amp;[3]SB6!Q5)))))</f>
        <v>4/4/4;2/2/2;1/1/1</v>
      </c>
      <c r="Q5" s="216" t="str">
        <f>IF(H5=1,[3]SB1!HS5,IF(H5=2,[3]SB1!HS5&amp;";"&amp;[3]SB2!HN5,IF(H5=3,[3]SB1!HS5&amp;";"&amp;[3]SB2!HN5&amp;";"&amp;[3]SB3!HN5,IF(H5=4,[3]SB1!HS5&amp;";"&amp;[3]SB2!HN5&amp;";"&amp;[3]SB3!HN5&amp;";"&amp;[3]SB4!HN5,IF(H5=5,[3]SB1!HS5&amp;";"&amp;[3]SB2!HN5&amp;";"&amp;[3]SB3!HN5&amp;";"&amp;[3]SB4!HN5&amp;";"&amp;[3]SB5!HN5,[3]SB1!HS5&amp;";"&amp;[3]SB2!HN5&amp;";"&amp;[3]SB3!HN5&amp;";"&amp;[3]SB4!HN5&amp;";"&amp;[3]SB5!HN5&amp;";"&amp;[3]SB6!HN5)))))</f>
        <v>37,24W/37,24W/37,24W;40W/40W/40W;40W/40W/40W</v>
      </c>
      <c r="R5" s="216" t="str">
        <f>IF(H5=1,[3]SB1!H5,IF(H5=2,[3]SB1!H5&amp;"/"&amp;[3]SB2!H5,IF(H5=3,[3]SB1!H5&amp;"/"&amp;[3]SB2!H5&amp;"/"&amp;[3]SB3!H5,IF(H5=4,[3]SB1!H5&amp;"/"&amp;[3]SB2!H5&amp;"/"&amp;[3]SB3!H5&amp;"/"&amp;[3]SB4!H5,IF(H5=5,[3]SB1!H5&amp;"/"&amp;[3]SB2!H5&amp;"/"&amp;[3]SB3!H5&amp;"/"&amp;[3]SB4!H5&amp;"/"&amp;[3]SB5!H5,[3]SB1!H5&amp;"/"&amp;[3]SB2!H5&amp;"/"&amp;[3]SB3!H5&amp;"/"&amp;[3]SB4!H5&amp;"/"&amp;[3]SB5!H5&amp;"/"&amp;[3]SB6!H5)))))</f>
        <v>G1800/U2100/L1800</v>
      </c>
      <c r="S5" s="216" t="str">
        <f>IF(H5=1,[3]SB1!HT5,IF(H5=2,[3]SB1!HT5&amp;";"&amp;[3]SB2!HO5,IF(H5=3,[3]SB1!HT5&amp;";"&amp;[3]SB2!HO5&amp;";"&amp;[3]SB3!HO5,IF(H5=4,[3]SB1!HT5&amp;";"&amp;[3]SB2!HO5&amp;";"&amp;[3]SB3!HO5&amp;";"&amp;[3]SB4!HO5,IF(H5=5,[3]SB1!HT5&amp;";"&amp;[3]SB2!HO5&amp;";"&amp;[3]SB3!HO5&amp;";"&amp;[3]SB4!HO5&amp;";"&amp;[3]SB5!HO5,[3]SB1!HT5&amp;";"&amp;[3]SB2!HO5&amp;";"&amp;[3]SB3!HO5&amp;";"&amp;[3]SB4!HO5&amp;";"&amp;[3]SB5!HO5&amp;";"&amp;[3]SB6!HO5)))))</f>
        <v>25,5m/ 25,5m/ 25,5m;27,5m/ 27,5m/ 27,5m;27,5m/ 27,5m/ 27,5m</v>
      </c>
      <c r="T5" s="215" t="str">
        <f>[3]SB1!GU5</f>
        <v>1</v>
      </c>
      <c r="U5" s="215" t="str">
        <f>IF(H5=1,[3]SB1!AS5,IF(H5=2,[3]SB1!AS5&amp;";"&amp;[3]SB2!AS5,IF(H5=3,[3]SB1!AS5&amp;";"&amp;[3]SB2!AS5&amp;";"&amp;[3]SB3!AS5,IF(H5=4,[3]SB1!AS5&amp;";"&amp;[3]SB2!AS5&amp;";"&amp;[3]SB3!AS5&amp;";"&amp;[3]SB4!AS5,IF(H5=5,[3]SB1!AS5&amp;";"&amp;[3]SB2!AS5&amp;";"&amp;[3]SB3!AS5&amp;";"&amp;[3]SB4!AS5&amp;";"&amp;[3]SB5!AS5,[3]SB1!AS5&amp;";"&amp;[3]SB2!AS5&amp;";"&amp;[3]SB3!AS5&amp;";"&amp;[3]SB4!AS5&amp;";"&amp;[3]SB5!AS5&amp;";"&amp;[3]SB6!AS5)))))</f>
        <v>Kathrein 736018;Kathrein 742215;Commscope HWXX-6516DS2-A2M</v>
      </c>
      <c r="V5" s="213" t="str">
        <f>IF([3]Source!AEE5="Yes","Có","Không")</f>
        <v>Có</v>
      </c>
      <c r="W5" s="213" t="str">
        <f>IF([3]Source!AEF5="Yes","Có","Không")</f>
        <v>Không</v>
      </c>
      <c r="X5" s="213" t="str">
        <f>[3]Source!AEG5</f>
        <v/>
      </c>
      <c r="Y5" s="213" t="str">
        <f>IF([3]Source!AEH5="Yes","Có","Không")</f>
        <v>Có</v>
      </c>
      <c r="Z5" s="217">
        <f>[3]Source!AEI5</f>
        <v>11.5</v>
      </c>
      <c r="AA5" s="217" t="str">
        <f>IF([3]SB1!WBZ5="","",IF([3]SB1!WBZ5=0,"Có","Không"))</f>
        <v/>
      </c>
      <c r="AB5" s="217" t="str">
        <f>IF([3]Source!ADX5="Yes","Có","Không")</f>
        <v>Không</v>
      </c>
      <c r="AC5" s="217">
        <f>MIN([3]SB1!AH5,[3]SB2!AH5,[3]SB3!AH5,[3]SB4!AH5,[3]SB5!AH5,[3]SB6!AH5)+[3]SB1!AG5</f>
        <v>25.5</v>
      </c>
      <c r="AD5" s="217" t="str">
        <f>IF([3]SB1!HQ5="","",[3]SB1!HQ5)</f>
        <v>14</v>
      </c>
      <c r="AE5" s="218" t="str">
        <f>IF([3]SB1!HV5="","",[3]SB1!HV5)</f>
        <v/>
      </c>
    </row>
    <row r="6" spans="1:31" s="219" customFormat="1">
      <c r="A6" s="211" t="str">
        <f>[3]SB1!HM6</f>
        <v>Viettel Trà Vinh - Chi nhánh Tập đoàn Công nghiệp - Viễn Thông Quân Đội</v>
      </c>
      <c r="B6" s="212">
        <f>[3]Source!A6</f>
        <v>3</v>
      </c>
      <c r="C6" s="212">
        <f>[3]SB1!GZ6</f>
        <v>761</v>
      </c>
      <c r="D6" s="213" t="str">
        <f>[3]SB1!GX6</f>
        <v>Hèm 16, đường Mậu Thân, khóm 10, phường 9, thành phố Trà Vinh, tỉnh Trà Vinh.</v>
      </c>
      <c r="E6" s="211" t="str">
        <f>[3]SB1!GV6</f>
        <v>Trà Vinh</v>
      </c>
      <c r="F6" s="211" t="str">
        <f>MID([3]SB1!GS6,1,FIND(";",[3]SB1!GS6,1)-1)</f>
        <v>106,33749</v>
      </c>
      <c r="G6" s="211" t="str">
        <f>RIGHT([3]SB1!GS6,LEN([3]SB1!GS6)-LEN(F6)-1)</f>
        <v>9,92274</v>
      </c>
      <c r="H6" s="213">
        <f>[3]SB1!GY6</f>
        <v>3</v>
      </c>
      <c r="I6" s="211" t="str">
        <f>[3]SB1!AY6</f>
        <v>1801787/2019/PTN-KĐ</v>
      </c>
      <c r="J6" s="214">
        <f>[3]SB1!HK6</f>
        <v>43497</v>
      </c>
      <c r="K6" s="214">
        <f>[3]SB1!GR6</f>
        <v>43478</v>
      </c>
      <c r="L6" s="215" t="str">
        <f>IF(H6=1,[3]SB1!HR6,IF(H6=2,[3]SB1!HR6&amp;"/"&amp;[3]SB2!HM6,IF(H6=3,[3]SB1!HR6&amp;"/"&amp;[3]SB2!HM6&amp;"/"&amp;[3]SB3!HM6,IF(H6=4,[3]SB1!HR6&amp;"/"&amp;[3]SB2!HM6&amp;"/"&amp;[3]SB3!HM6&amp;"/"&amp;[3]SB4!HM6,IF(H6=5,[3]SB1!HR6&amp;"/"&amp;[3]SB2!HM6&amp;"/"&amp;[3]SB3!HM6&amp;"/"&amp;[3]SB4!HM6&amp;"/"&amp;[3]SB5!HM6,[3]SB1!HR6&amp;"/"&amp;[3]SB2!HM6&amp;"/"&amp;[3]SB3!HM6&amp;"/"&amp;[3]SB4!HM6&amp;"/"&amp;[3]SB5!HM6&amp;"/"&amp;[3]SB6!HM6)))))</f>
        <v>TẬP ĐOÀN CÔNG NGHIỆP - VIỄN THÔNG QUÂN ĐỘI/TẬP ĐOÀN CÔNG NGHIỆP - VIỄN THÔNG QUÂN ĐỘI/TẬP ĐOÀN CÔNG NGHIỆP - VIỄN THÔNG QUÂN ĐỘI</v>
      </c>
      <c r="M6" s="216" t="str">
        <f>IF(H6=1,[3]SB1!C6,IF(H6=2,[3]SB1!C6&amp;";"&amp;[3]SB2!C6,IF(H6=3,[3]SB1!C6&amp;";"&amp;[3]SB2!C6&amp;";"&amp;[3]SB3!C6,IF(H6=4,[3]SB1!C6&amp;";"&amp;[3]SB2!C6&amp;";"&amp;[3]SB3!C6&amp;";"&amp;[3]SB4!C6,IF(H6=5,[3]SB1!C6&amp;";"&amp;[3]SB2!C6&amp;";"&amp;[3]SB3!C6&amp;";"&amp;[3]SB4!C6&amp;";"&amp;[3]SB5!C6,[3]SB1!C6&amp;";"&amp;[3]SB2!C6&amp;";"&amp;[3]SB3!C6&amp;";"&amp;[3]SB4!C6&amp;";"&amp;[3]SB5!C6&amp;";"&amp;[3]SB6!C6)))))</f>
        <v>TVH0026;TVH0026;TVH0026</v>
      </c>
      <c r="N6" s="216" t="str">
        <f>IF(H6=1,[3]SB1!K6,IF(H6=2,[3]SB1!K6&amp;";"&amp;[3]SB2!K6,IF(H6=3,[3]SB1!K6&amp;";"&amp;[3]SB2!K6&amp;";"&amp;[3]SB3!K6,IF(H6=4,[3]SB1!K6&amp;";"&amp;[3]SB2!K6&amp;";"&amp;[3]SB3!K6&amp;";"&amp;[3]SB4!K6,IF(H6=5,[3]SB1!K6&amp;";"&amp;[3]SB2!K6&amp;";"&amp;[3]SB3!K6&amp;";"&amp;[3]SB4!K6&amp;";"&amp;[3]SB5!K6,[3]SB1!K6&amp;";"&amp;[3]SB2!K6&amp;";"&amp;[3]SB3!K6&amp;";"&amp;[3]SB4!K6&amp;";"&amp;[3]SB5!K6&amp;";"&amp;[3]SB6!K6)))))</f>
        <v>NOKIA Flexi EDGE BTS;NOKIA Flexi WCDMA BTS;NSN FLEXI MULTIRADIO AIRSCALE</v>
      </c>
      <c r="O6" s="212">
        <f>[3]SB1!P6+[3]SB2!P6+[3]SB3!P6+[3]SB4!P6+[3]SB5!P6+[3]SB6!P6</f>
        <v>9</v>
      </c>
      <c r="P6" s="216" t="str">
        <f>IF(H6=1,[3]SB1!Q6,IF(H6=2,[3]SB1!Q6&amp;";"&amp;[3]SB2!Q6,IF(H6=3,[3]SB1!Q6&amp;";"&amp;[3]SB2!Q6&amp;";"&amp;[3]SB3!Q6,IF(H6=4,[3]SB1!Q6&amp;";"&amp;[3]SB2!Q6&amp;";"&amp;[3]SB3!Q6&amp;";"&amp;[3]SB4!Q6,IF(H6=5,[3]SB1!Q6&amp;";"&amp;[3]SB2!Q6&amp;";"&amp;[3]SB3!Q6&amp;";"&amp;[3]SB4!Q6&amp;";"&amp;[3]SB5!Q6,[3]SB1!Q6&amp;";"&amp;[3]SB2!Q6&amp;";"&amp;[3]SB3!Q6&amp;";"&amp;[3]SB4!Q6&amp;";"&amp;[3]SB5!Q6&amp;";"&amp;[3]SB6!Q6)))))</f>
        <v>4/4/4;2/2/2;1/1/1</v>
      </c>
      <c r="Q6" s="216" t="str">
        <f>IF(H6=1,[3]SB1!HS6,IF(H6=2,[3]SB1!HS6&amp;";"&amp;[3]SB2!HN6,IF(H6=3,[3]SB1!HS6&amp;";"&amp;[3]SB2!HN6&amp;";"&amp;[3]SB3!HN6,IF(H6=4,[3]SB1!HS6&amp;";"&amp;[3]SB2!HN6&amp;";"&amp;[3]SB3!HN6&amp;";"&amp;[3]SB4!HN6,IF(H6=5,[3]SB1!HS6&amp;";"&amp;[3]SB2!HN6&amp;";"&amp;[3]SB3!HN6&amp;";"&amp;[3]SB4!HN6&amp;";"&amp;[3]SB5!HN6,[3]SB1!HS6&amp;";"&amp;[3]SB2!HN6&amp;";"&amp;[3]SB3!HN6&amp;";"&amp;[3]SB4!HN6&amp;";"&amp;[3]SB5!HN6&amp;";"&amp;[3]SB6!HN6)))))</f>
        <v>37,24W/37,24W/37,24W;40W/40W/40W;40W/40W/40W</v>
      </c>
      <c r="R6" s="216" t="str">
        <f>IF(H6=1,[3]SB1!H6,IF(H6=2,[3]SB1!H6&amp;"/"&amp;[3]SB2!H6,IF(H6=3,[3]SB1!H6&amp;"/"&amp;[3]SB2!H6&amp;"/"&amp;[3]SB3!H6,IF(H6=4,[3]SB1!H6&amp;"/"&amp;[3]SB2!H6&amp;"/"&amp;[3]SB3!H6&amp;"/"&amp;[3]SB4!H6,IF(H6=5,[3]SB1!H6&amp;"/"&amp;[3]SB2!H6&amp;"/"&amp;[3]SB3!H6&amp;"/"&amp;[3]SB4!H6&amp;"/"&amp;[3]SB5!H6,[3]SB1!H6&amp;"/"&amp;[3]SB2!H6&amp;"/"&amp;[3]SB3!H6&amp;"/"&amp;[3]SB4!H6&amp;"/"&amp;[3]SB5!H6&amp;"/"&amp;[3]SB6!H6)))))</f>
        <v>G900/U2100/L1800</v>
      </c>
      <c r="S6" s="216" t="str">
        <f>IF(H6=1,[3]SB1!HT6,IF(H6=2,[3]SB1!HT6&amp;";"&amp;[3]SB2!HO6,IF(H6=3,[3]SB1!HT6&amp;";"&amp;[3]SB2!HO6&amp;";"&amp;[3]SB3!HO6,IF(H6=4,[3]SB1!HT6&amp;";"&amp;[3]SB2!HO6&amp;";"&amp;[3]SB3!HO6&amp;";"&amp;[3]SB4!HO6,IF(H6=5,[3]SB1!HT6&amp;";"&amp;[3]SB2!HO6&amp;";"&amp;[3]SB3!HO6&amp;";"&amp;[3]SB4!HO6&amp;";"&amp;[3]SB5!HO6,[3]SB1!HT6&amp;";"&amp;[3]SB2!HO6&amp;";"&amp;[3]SB3!HO6&amp;";"&amp;[3]SB4!HO6&amp;";"&amp;[3]SB5!HO6&amp;";"&amp;[3]SB6!HO6)))))</f>
        <v>33m/ 33m/ 33m;36m/ 36m/ 36m;34m/ 34m/ 34m</v>
      </c>
      <c r="T6" s="215" t="str">
        <f>[3]SB1!GU6</f>
        <v>1</v>
      </c>
      <c r="U6" s="215" t="str">
        <f>IF(H6=1,[3]SB1!AS6,IF(H6=2,[3]SB1!AS6&amp;";"&amp;[3]SB2!AS6,IF(H6=3,[3]SB1!AS6&amp;";"&amp;[3]SB2!AS6&amp;";"&amp;[3]SB3!AS6,IF(H6=4,[3]SB1!AS6&amp;";"&amp;[3]SB2!AS6&amp;";"&amp;[3]SB3!AS6&amp;";"&amp;[3]SB4!AS6,IF(H6=5,[3]SB1!AS6&amp;";"&amp;[3]SB2!AS6&amp;";"&amp;[3]SB3!AS6&amp;";"&amp;[3]SB4!AS6&amp;";"&amp;[3]SB5!AS6,[3]SB1!AS6&amp;";"&amp;[3]SB2!AS6&amp;";"&amp;[3]SB3!AS6&amp;";"&amp;[3]SB4!AS6&amp;";"&amp;[3]SB5!AS6&amp;";"&amp;[3]SB6!AS6)))))</f>
        <v>Kathrein 739636;Kathrein 742215;Commscope HWXX-6516DS2-A2M</v>
      </c>
      <c r="V6" s="213" t="str">
        <f>IF([3]Source!AEE6="Yes","Có","Không")</f>
        <v>Có</v>
      </c>
      <c r="W6" s="213" t="str">
        <f>IF([3]Source!AEF6="Yes","Có","Không")</f>
        <v>Không</v>
      </c>
      <c r="X6" s="213" t="str">
        <f>[3]Source!AEG6</f>
        <v/>
      </c>
      <c r="Y6" s="213" t="str">
        <f>IF([3]Source!AEH6="Yes","Có","Không")</f>
        <v>Có</v>
      </c>
      <c r="Z6" s="217">
        <f>[3]Source!AEI6</f>
        <v>22.5</v>
      </c>
      <c r="AA6" s="217" t="str">
        <f>IF([3]SB1!WBZ6="","",IF([3]SB1!WBZ6=0,"Có","Không"))</f>
        <v/>
      </c>
      <c r="AB6" s="217" t="str">
        <f>IF([3]Source!ADX6="Yes","Có","Không")</f>
        <v>Không</v>
      </c>
      <c r="AC6" s="217">
        <f>MIN([3]SB1!AH6,[3]SB2!AH6,[3]SB3!AH6,[3]SB4!AH6,[3]SB5!AH6,[3]SB6!AH6)+[3]SB1!AG6</f>
        <v>33</v>
      </c>
      <c r="AD6" s="217" t="str">
        <f>IF([3]SB1!HQ6="","",[3]SB1!HQ6)</f>
        <v>10,5</v>
      </c>
      <c r="AE6" s="218" t="str">
        <f>IF([3]SB1!HV6="","",[3]SB1!HV6)</f>
        <v/>
      </c>
    </row>
    <row r="7" spans="1:31" s="219" customFormat="1">
      <c r="A7" s="211" t="str">
        <f>[3]SB1!HM7</f>
        <v>Viettel Trà Vinh - Chi nhánh Tập đoàn Công nghiệp - Viễn Thông Quân Đội</v>
      </c>
      <c r="B7" s="212">
        <f>[3]Source!A7</f>
        <v>4</v>
      </c>
      <c r="C7" s="212">
        <f>[3]SB1!GZ7</f>
        <v>761</v>
      </c>
      <c r="D7" s="213" t="str">
        <f>[3]SB1!GX7</f>
        <v>Số 16, đường Phú Hòa, phường 1, thành phố Trà Vinh, tỉnh Trà Vinh.</v>
      </c>
      <c r="E7" s="211" t="str">
        <f>[3]SB1!GV7</f>
        <v>Trà Vinh</v>
      </c>
      <c r="F7" s="211" t="str">
        <f>MID([3]SB1!GS7,1,FIND(";",[3]SB1!GS7,1)-1)</f>
        <v>106,33032</v>
      </c>
      <c r="G7" s="211" t="str">
        <f>RIGHT([3]SB1!GS7,LEN([3]SB1!GS7)-LEN(F7)-1)</f>
        <v>9,94660</v>
      </c>
      <c r="H7" s="213">
        <f>[3]SB1!GY7</f>
        <v>2</v>
      </c>
      <c r="I7" s="211" t="str">
        <f>[3]SB1!AY7</f>
        <v>1801788/2019/PTN-KĐ</v>
      </c>
      <c r="J7" s="214">
        <f>[3]SB1!HK7</f>
        <v>43497</v>
      </c>
      <c r="K7" s="214">
        <f>[3]SB1!GR7</f>
        <v>43478</v>
      </c>
      <c r="L7" s="215" t="str">
        <f>IF(H7=1,[3]SB1!HR7,IF(H7=2,[3]SB1!HR7&amp;"/"&amp;[3]SB2!HM7,IF(H7=3,[3]SB1!HR7&amp;"/"&amp;[3]SB2!HM7&amp;"/"&amp;[3]SB3!HM7,IF(H7=4,[3]SB1!HR7&amp;"/"&amp;[3]SB2!HM7&amp;"/"&amp;[3]SB3!HM7&amp;"/"&amp;[3]SB4!HM7,IF(H7=5,[3]SB1!HR7&amp;"/"&amp;[3]SB2!HM7&amp;"/"&amp;[3]SB3!HM7&amp;"/"&amp;[3]SB4!HM7&amp;"/"&amp;[3]SB5!HM7,[3]SB1!HR7&amp;"/"&amp;[3]SB2!HM7&amp;"/"&amp;[3]SB3!HM7&amp;"/"&amp;[3]SB4!HM7&amp;"/"&amp;[3]SB5!HM7&amp;"/"&amp;[3]SB6!HM7)))))</f>
        <v>TẬP ĐOÀN CÔNG NGHIỆP - VIỄN THÔNG QUÂN ĐỘI/TẬP ĐOÀN CÔNG NGHIỆP - VIỄN THÔNG QUÂN ĐỘI</v>
      </c>
      <c r="M7" s="216" t="str">
        <f>IF(H7=1,[3]SB1!C7,IF(H7=2,[3]SB1!C7&amp;";"&amp;[3]SB2!C7,IF(H7=3,[3]SB1!C7&amp;";"&amp;[3]SB2!C7&amp;";"&amp;[3]SB3!C7,IF(H7=4,[3]SB1!C7&amp;";"&amp;[3]SB2!C7&amp;";"&amp;[3]SB3!C7&amp;";"&amp;[3]SB4!C7,IF(H7=5,[3]SB1!C7&amp;";"&amp;[3]SB2!C7&amp;";"&amp;[3]SB3!C7&amp;";"&amp;[3]SB4!C7&amp;";"&amp;[3]SB5!C7,[3]SB1!C7&amp;";"&amp;[3]SB2!C7&amp;";"&amp;[3]SB3!C7&amp;";"&amp;[3]SB4!C7&amp;";"&amp;[3]SB5!C7&amp;";"&amp;[3]SB6!C7)))))</f>
        <v>TVH0028;TVH0028</v>
      </c>
      <c r="N7" s="216" t="str">
        <f>IF(H7=1,[3]SB1!K7,IF(H7=2,[3]SB1!K7&amp;";"&amp;[3]SB2!K7,IF(H7=3,[3]SB1!K7&amp;";"&amp;[3]SB2!K7&amp;";"&amp;[3]SB3!K7,IF(H7=4,[3]SB1!K7&amp;";"&amp;[3]SB2!K7&amp;";"&amp;[3]SB3!K7&amp;";"&amp;[3]SB4!K7,IF(H7=5,[3]SB1!K7&amp;";"&amp;[3]SB2!K7&amp;";"&amp;[3]SB3!K7&amp;";"&amp;[3]SB4!K7&amp;";"&amp;[3]SB5!K7,[3]SB1!K7&amp;";"&amp;[3]SB2!K7&amp;";"&amp;[3]SB3!K7&amp;";"&amp;[3]SB4!K7&amp;";"&amp;[3]SB5!K7&amp;";"&amp;[3]SB6!K7)))))</f>
        <v>NOKIA Flexi EDGE BTS;NOKIA Flexi WCDMA BTS</v>
      </c>
      <c r="O7" s="212">
        <f>[3]SB1!P7+[3]SB2!P7+[3]SB3!P7+[3]SB4!P7+[3]SB5!P7+[3]SB6!P7</f>
        <v>6</v>
      </c>
      <c r="P7" s="216" t="str">
        <f>IF(H7=1,[3]SB1!Q7,IF(H7=2,[3]SB1!Q7&amp;";"&amp;[3]SB2!Q7,IF(H7=3,[3]SB1!Q7&amp;";"&amp;[3]SB2!Q7&amp;";"&amp;[3]SB3!Q7,IF(H7=4,[3]SB1!Q7&amp;";"&amp;[3]SB2!Q7&amp;";"&amp;[3]SB3!Q7&amp;";"&amp;[3]SB4!Q7,IF(H7=5,[3]SB1!Q7&amp;";"&amp;[3]SB2!Q7&amp;";"&amp;[3]SB3!Q7&amp;";"&amp;[3]SB4!Q7&amp;";"&amp;[3]SB5!Q7,[3]SB1!Q7&amp;";"&amp;[3]SB2!Q7&amp;";"&amp;[3]SB3!Q7&amp;";"&amp;[3]SB4!Q7&amp;";"&amp;[3]SB5!Q7&amp;";"&amp;[3]SB6!Q7)))))</f>
        <v>4/4/4;2/2/2</v>
      </c>
      <c r="Q7" s="216" t="str">
        <f>IF(H7=1,[3]SB1!HS7,IF(H7=2,[3]SB1!HS7&amp;";"&amp;[3]SB2!HN7,IF(H7=3,[3]SB1!HS7&amp;";"&amp;[3]SB2!HN7&amp;";"&amp;[3]SB3!HN7,IF(H7=4,[3]SB1!HS7&amp;";"&amp;[3]SB2!HN7&amp;";"&amp;[3]SB3!HN7&amp;";"&amp;[3]SB4!HN7,IF(H7=5,[3]SB1!HS7&amp;";"&amp;[3]SB2!HN7&amp;";"&amp;[3]SB3!HN7&amp;";"&amp;[3]SB4!HN7&amp;";"&amp;[3]SB5!HN7,[3]SB1!HS7&amp;";"&amp;[3]SB2!HN7&amp;";"&amp;[3]SB3!HN7&amp;";"&amp;[3]SB4!HN7&amp;";"&amp;[3]SB5!HN7&amp;";"&amp;[3]SB6!HN7)))))</f>
        <v>37,24W/37,24W/37,24W;40W/40W/40W</v>
      </c>
      <c r="R7" s="216" t="str">
        <f>IF(H7=1,[3]SB1!H7,IF(H7=2,[3]SB1!H7&amp;"/"&amp;[3]SB2!H7,IF(H7=3,[3]SB1!H7&amp;"/"&amp;[3]SB2!H7&amp;"/"&amp;[3]SB3!H7,IF(H7=4,[3]SB1!H7&amp;"/"&amp;[3]SB2!H7&amp;"/"&amp;[3]SB3!H7&amp;"/"&amp;[3]SB4!H7,IF(H7=5,[3]SB1!H7&amp;"/"&amp;[3]SB2!H7&amp;"/"&amp;[3]SB3!H7&amp;"/"&amp;[3]SB4!H7&amp;"/"&amp;[3]SB5!H7,[3]SB1!H7&amp;"/"&amp;[3]SB2!H7&amp;"/"&amp;[3]SB3!H7&amp;"/"&amp;[3]SB4!H7&amp;"/"&amp;[3]SB5!H7&amp;"/"&amp;[3]SB6!H7)))))</f>
        <v>G900/U2100</v>
      </c>
      <c r="S7" s="216" t="str">
        <f>IF(H7=1,[3]SB1!HT7,IF(H7=2,[3]SB1!HT7&amp;";"&amp;[3]SB2!HO7,IF(H7=3,[3]SB1!HT7&amp;";"&amp;[3]SB2!HO7&amp;";"&amp;[3]SB3!HO7,IF(H7=4,[3]SB1!HT7&amp;";"&amp;[3]SB2!HO7&amp;";"&amp;[3]SB3!HO7&amp;";"&amp;[3]SB4!HO7,IF(H7=5,[3]SB1!HT7&amp;";"&amp;[3]SB2!HO7&amp;";"&amp;[3]SB3!HO7&amp;";"&amp;[3]SB4!HO7&amp;";"&amp;[3]SB5!HO7,[3]SB1!HT7&amp;";"&amp;[3]SB2!HO7&amp;";"&amp;[3]SB3!HO7&amp;";"&amp;[3]SB4!HO7&amp;";"&amp;[3]SB5!HO7&amp;";"&amp;[3]SB6!HO7)))))</f>
        <v>33m/ 33m/ 33m;34m/ 34m/ 34m</v>
      </c>
      <c r="T7" s="215" t="str">
        <f>[3]SB1!GU7</f>
        <v>1</v>
      </c>
      <c r="U7" s="215" t="str">
        <f>IF(H7=1,[3]SB1!AS7,IF(H7=2,[3]SB1!AS7&amp;";"&amp;[3]SB2!AS7,IF(H7=3,[3]SB1!AS7&amp;";"&amp;[3]SB2!AS7&amp;";"&amp;[3]SB3!AS7,IF(H7=4,[3]SB1!AS7&amp;";"&amp;[3]SB2!AS7&amp;";"&amp;[3]SB3!AS7&amp;";"&amp;[3]SB4!AS7,IF(H7=5,[3]SB1!AS7&amp;";"&amp;[3]SB2!AS7&amp;";"&amp;[3]SB3!AS7&amp;";"&amp;[3]SB4!AS7&amp;";"&amp;[3]SB5!AS7,[3]SB1!AS7&amp;";"&amp;[3]SB2!AS7&amp;";"&amp;[3]SB3!AS7&amp;";"&amp;[3]SB4!AS7&amp;";"&amp;[3]SB5!AS7&amp;";"&amp;[3]SB6!AS7)))))</f>
        <v>Kathrein 739636;Kathrein 742215</v>
      </c>
      <c r="V7" s="213" t="str">
        <f>IF([3]Source!AEE7="Yes","Có","Không")</f>
        <v>Có</v>
      </c>
      <c r="W7" s="213" t="str">
        <f>IF([3]Source!AEF7="Yes","Có","Không")</f>
        <v>Có</v>
      </c>
      <c r="X7" s="213">
        <f>[3]Source!AEG7</f>
        <v>33</v>
      </c>
      <c r="Y7" s="213" t="str">
        <f>IF([3]Source!AEH7="Yes","Có","Không")</f>
        <v>Có</v>
      </c>
      <c r="Z7" s="217">
        <f>[3]Source!AEI7</f>
        <v>29</v>
      </c>
      <c r="AA7" s="217" t="str">
        <f>IF([3]SB1!WBZ7="","",IF([3]SB1!WBZ7=0,"Có","Không"))</f>
        <v/>
      </c>
      <c r="AB7" s="217" t="str">
        <f>IF([3]Source!ADX7="Yes","Có","Không")</f>
        <v>Không</v>
      </c>
      <c r="AC7" s="217">
        <f>MIN([3]SB1!AH7,[3]SB2!AH7,[3]SB3!AH7,[3]SB4!AH7,[3]SB5!AH7,[3]SB6!AH7)+[3]SB1!AG7</f>
        <v>33</v>
      </c>
      <c r="AD7" s="217" t="str">
        <f>IF([3]SB1!HQ7="","",[3]SB1!HQ7)</f>
        <v>4</v>
      </c>
      <c r="AE7" s="218" t="str">
        <f>IF([3]SB1!HV7="","",[3]SB1!HV7)</f>
        <v/>
      </c>
    </row>
    <row r="8" spans="1:31" s="219" customFormat="1">
      <c r="A8" s="211" t="str">
        <f>[3]SB1!HM8</f>
        <v>Viettel Trà Vinh - Chi nhánh Tập đoàn Công nghiệp - Viễn Thông Quân Đội</v>
      </c>
      <c r="B8" s="212">
        <f>[3]Source!A8</f>
        <v>5</v>
      </c>
      <c r="C8" s="212">
        <f>[3]SB1!GZ8</f>
        <v>761</v>
      </c>
      <c r="D8" s="213" t="str">
        <f>[3]SB1!GX8</f>
        <v>Hẻm 208, đường Điện Biên Phủ, phường 6, thành phố Trà Vinh, tỉnh Trà Vinh.</v>
      </c>
      <c r="E8" s="211" t="str">
        <f>[3]SB1!GV8</f>
        <v>Trà Vinh</v>
      </c>
      <c r="F8" s="211" t="str">
        <f>MID([3]SB1!GS8,1,FIND(";",[3]SB1!GS8,1)-1)</f>
        <v>106,33967</v>
      </c>
      <c r="G8" s="211" t="str">
        <f>RIGHT([3]SB1!GS8,LEN([3]SB1!GS8)-LEN(F8)-1)</f>
        <v>9,92842</v>
      </c>
      <c r="H8" s="213">
        <f>[3]SB1!GY8</f>
        <v>3</v>
      </c>
      <c r="I8" s="211" t="str">
        <f>[3]SB1!AY8</f>
        <v>1801789/2019/PTN-KĐ</v>
      </c>
      <c r="J8" s="214">
        <f>[3]SB1!HK8</f>
        <v>43497</v>
      </c>
      <c r="K8" s="214">
        <f>[3]SB1!GR8</f>
        <v>43479</v>
      </c>
      <c r="L8" s="215" t="str">
        <f>IF(H8=1,[3]SB1!HR8,IF(H8=2,[3]SB1!HR8&amp;"/"&amp;[3]SB2!HM8,IF(H8=3,[3]SB1!HR8&amp;"/"&amp;[3]SB2!HM8&amp;"/"&amp;[3]SB3!HM8,IF(H8=4,[3]SB1!HR8&amp;"/"&amp;[3]SB2!HM8&amp;"/"&amp;[3]SB3!HM8&amp;"/"&amp;[3]SB4!HM8,IF(H8=5,[3]SB1!HR8&amp;"/"&amp;[3]SB2!HM8&amp;"/"&amp;[3]SB3!HM8&amp;"/"&amp;[3]SB4!HM8&amp;"/"&amp;[3]SB5!HM8,[3]SB1!HR8&amp;"/"&amp;[3]SB2!HM8&amp;"/"&amp;[3]SB3!HM8&amp;"/"&amp;[3]SB4!HM8&amp;"/"&amp;[3]SB5!HM8&amp;"/"&amp;[3]SB6!HM8)))))</f>
        <v>TẬP ĐOÀN CÔNG NGHIỆP - VIỄN THÔNG QUÂN ĐỘI/TẬP ĐOÀN CÔNG NGHIỆP - VIỄN THÔNG QUÂN ĐỘI/TẬP ĐOÀN CÔNG NGHIỆP - VIỄN THÔNG QUÂN ĐỘI</v>
      </c>
      <c r="M8" s="216" t="str">
        <f>IF(H8=1,[3]SB1!C8,IF(H8=2,[3]SB1!C8&amp;";"&amp;[3]SB2!C8,IF(H8=3,[3]SB1!C8&amp;";"&amp;[3]SB2!C8&amp;";"&amp;[3]SB3!C8,IF(H8=4,[3]SB1!C8&amp;";"&amp;[3]SB2!C8&amp;";"&amp;[3]SB3!C8&amp;";"&amp;[3]SB4!C8,IF(H8=5,[3]SB1!C8&amp;";"&amp;[3]SB2!C8&amp;";"&amp;[3]SB3!C8&amp;";"&amp;[3]SB4!C8&amp;";"&amp;[3]SB5!C8,[3]SB1!C8&amp;";"&amp;[3]SB2!C8&amp;";"&amp;[3]SB3!C8&amp;";"&amp;[3]SB4!C8&amp;";"&amp;[3]SB5!C8&amp;";"&amp;[3]SB6!C8)))))</f>
        <v>TVH0189;TVH0189;TVH0189</v>
      </c>
      <c r="N8" s="216" t="str">
        <f>IF(H8=1,[3]SB1!K8,IF(H8=2,[3]SB1!K8&amp;";"&amp;[3]SB2!K8,IF(H8=3,[3]SB1!K8&amp;";"&amp;[3]SB2!K8&amp;";"&amp;[3]SB3!K8,IF(H8=4,[3]SB1!K8&amp;";"&amp;[3]SB2!K8&amp;";"&amp;[3]SB3!K8&amp;";"&amp;[3]SB4!K8,IF(H8=5,[3]SB1!K8&amp;";"&amp;[3]SB2!K8&amp;";"&amp;[3]SB3!K8&amp;";"&amp;[3]SB4!K8&amp;";"&amp;[3]SB5!K8,[3]SB1!K8&amp;";"&amp;[3]SB2!K8&amp;";"&amp;[3]SB3!K8&amp;";"&amp;[3]SB4!K8&amp;";"&amp;[3]SB5!K8&amp;";"&amp;[3]SB6!K8)))))</f>
        <v>NOKIA Flexi EDGE BTS;NOKIA Flexi WCDMA BTS;NSN FLEXI MULTIRADIO AIRSCALE</v>
      </c>
      <c r="O8" s="212">
        <f>[3]SB1!P8+[3]SB2!P8+[3]SB3!P8+[3]SB4!P8+[3]SB5!P8+[3]SB6!P8</f>
        <v>9</v>
      </c>
      <c r="P8" s="216" t="str">
        <f>IF(H8=1,[3]SB1!Q8,IF(H8=2,[3]SB1!Q8&amp;";"&amp;[3]SB2!Q8,IF(H8=3,[3]SB1!Q8&amp;";"&amp;[3]SB2!Q8&amp;";"&amp;[3]SB3!Q8,IF(H8=4,[3]SB1!Q8&amp;";"&amp;[3]SB2!Q8&amp;";"&amp;[3]SB3!Q8&amp;";"&amp;[3]SB4!Q8,IF(H8=5,[3]SB1!Q8&amp;";"&amp;[3]SB2!Q8&amp;";"&amp;[3]SB3!Q8&amp;";"&amp;[3]SB4!Q8&amp;";"&amp;[3]SB5!Q8,[3]SB1!Q8&amp;";"&amp;[3]SB2!Q8&amp;";"&amp;[3]SB3!Q8&amp;";"&amp;[3]SB4!Q8&amp;";"&amp;[3]SB5!Q8&amp;";"&amp;[3]SB6!Q8)))))</f>
        <v>4/4/4;2/2/2;1/1/1</v>
      </c>
      <c r="Q8" s="216" t="str">
        <f>IF(H8=1,[3]SB1!HS8,IF(H8=2,[3]SB1!HS8&amp;";"&amp;[3]SB2!HN8,IF(H8=3,[3]SB1!HS8&amp;";"&amp;[3]SB2!HN8&amp;";"&amp;[3]SB3!HN8,IF(H8=4,[3]SB1!HS8&amp;";"&amp;[3]SB2!HN8&amp;";"&amp;[3]SB3!HN8&amp;";"&amp;[3]SB4!HN8,IF(H8=5,[3]SB1!HS8&amp;";"&amp;[3]SB2!HN8&amp;";"&amp;[3]SB3!HN8&amp;";"&amp;[3]SB4!HN8&amp;";"&amp;[3]SB5!HN8,[3]SB1!HS8&amp;";"&amp;[3]SB2!HN8&amp;";"&amp;[3]SB3!HN8&amp;";"&amp;[3]SB4!HN8&amp;";"&amp;[3]SB5!HN8&amp;";"&amp;[3]SB6!HN8)))))</f>
        <v>37,24W/37,24W/37,24W;40W/40W/40W;40W/40W/40W</v>
      </c>
      <c r="R8" s="216" t="str">
        <f>IF(H8=1,[3]SB1!H8,IF(H8=2,[3]SB1!H8&amp;"/"&amp;[3]SB2!H8,IF(H8=3,[3]SB1!H8&amp;"/"&amp;[3]SB2!H8&amp;"/"&amp;[3]SB3!H8,IF(H8=4,[3]SB1!H8&amp;"/"&amp;[3]SB2!H8&amp;"/"&amp;[3]SB3!H8&amp;"/"&amp;[3]SB4!H8,IF(H8=5,[3]SB1!H8&amp;"/"&amp;[3]SB2!H8&amp;"/"&amp;[3]SB3!H8&amp;"/"&amp;[3]SB4!H8&amp;"/"&amp;[3]SB5!H8,[3]SB1!H8&amp;"/"&amp;[3]SB2!H8&amp;"/"&amp;[3]SB3!H8&amp;"/"&amp;[3]SB4!H8&amp;"/"&amp;[3]SB5!H8&amp;"/"&amp;[3]SB6!H8)))))</f>
        <v>G1800/U2100/L1800</v>
      </c>
      <c r="S8" s="216" t="str">
        <f>IF(H8=1,[3]SB1!HT8,IF(H8=2,[3]SB1!HT8&amp;";"&amp;[3]SB2!HO8,IF(H8=3,[3]SB1!HT8&amp;";"&amp;[3]SB2!HO8&amp;";"&amp;[3]SB3!HO8,IF(H8=4,[3]SB1!HT8&amp;";"&amp;[3]SB2!HO8&amp;";"&amp;[3]SB3!HO8&amp;";"&amp;[3]SB4!HO8,IF(H8=5,[3]SB1!HT8&amp;";"&amp;[3]SB2!HO8&amp;";"&amp;[3]SB3!HO8&amp;";"&amp;[3]SB4!HO8&amp;";"&amp;[3]SB5!HO8,[3]SB1!HT8&amp;";"&amp;[3]SB2!HO8&amp;";"&amp;[3]SB3!HO8&amp;";"&amp;[3]SB4!HO8&amp;";"&amp;[3]SB5!HO8&amp;";"&amp;[3]SB6!HO8)))))</f>
        <v>29m/ 29m/ 29m;27m/ 27m/ 27m;29m/ 29m/ 29m</v>
      </c>
      <c r="T8" s="215" t="str">
        <f>[3]SB1!GU8</f>
        <v>1</v>
      </c>
      <c r="U8" s="215" t="str">
        <f>IF(H8=1,[3]SB1!AS8,IF(H8=2,[3]SB1!AS8&amp;";"&amp;[3]SB2!AS8,IF(H8=3,[3]SB1!AS8&amp;";"&amp;[3]SB2!AS8&amp;";"&amp;[3]SB3!AS8,IF(H8=4,[3]SB1!AS8&amp;";"&amp;[3]SB2!AS8&amp;";"&amp;[3]SB3!AS8&amp;";"&amp;[3]SB4!AS8,IF(H8=5,[3]SB1!AS8&amp;";"&amp;[3]SB2!AS8&amp;";"&amp;[3]SB3!AS8&amp;";"&amp;[3]SB4!AS8&amp;";"&amp;[3]SB5!AS8,[3]SB1!AS8&amp;";"&amp;[3]SB2!AS8&amp;";"&amp;[3]SB3!AS8&amp;";"&amp;[3]SB4!AS8&amp;";"&amp;[3]SB5!AS8&amp;";"&amp;[3]SB6!AS8)))))</f>
        <v>Kathrein 736018;Kathrein 742215;Commscope HWXX-6516DS2-A2M</v>
      </c>
      <c r="V8" s="213" t="str">
        <f>IF([3]Source!AEE8="Yes","Có","Không")</f>
        <v>Có</v>
      </c>
      <c r="W8" s="213" t="str">
        <f>IF([3]Source!AEF8="Yes","Có","Không")</f>
        <v>Không</v>
      </c>
      <c r="X8" s="213" t="str">
        <f>[3]Source!AEG8</f>
        <v/>
      </c>
      <c r="Y8" s="213" t="str">
        <f>IF([3]Source!AEH8="Yes","Có","Không")</f>
        <v>Có</v>
      </c>
      <c r="Z8" s="217">
        <f>[3]Source!AEI8</f>
        <v>16.5</v>
      </c>
      <c r="AA8" s="217" t="str">
        <f>IF([3]SB1!WBZ8="","",IF([3]SB1!WBZ8=0,"Có","Không"))</f>
        <v/>
      </c>
      <c r="AB8" s="217" t="str">
        <f>IF([3]Source!ADX8="Yes","Có","Không")</f>
        <v>Không</v>
      </c>
      <c r="AC8" s="217">
        <f>MIN([3]SB1!AH8,[3]SB2!AH8,[3]SB3!AH8,[3]SB4!AH8,[3]SB5!AH8,[3]SB6!AH8)+[3]SB1!AG8</f>
        <v>27</v>
      </c>
      <c r="AD8" s="217" t="str">
        <f>IF([3]SB1!HQ8="","",[3]SB1!HQ8)</f>
        <v>10,5</v>
      </c>
      <c r="AE8" s="218" t="str">
        <f>IF([3]SB1!HV8="","",[3]SB1!HV8)</f>
        <v/>
      </c>
    </row>
    <row r="9" spans="1:31" s="219" customFormat="1">
      <c r="A9" s="211" t="str">
        <f>[3]SB1!HM9</f>
        <v>Viettel Trà Vinh - Chi nhánh Tập đoàn Công nghiệp - Viễn Thông Quân Đội</v>
      </c>
      <c r="B9" s="212">
        <f>[3]Source!A9</f>
        <v>6</v>
      </c>
      <c r="C9" s="212">
        <f>[3]SB1!GZ9</f>
        <v>761</v>
      </c>
      <c r="D9" s="213" t="str">
        <f>[3]SB1!GX9</f>
        <v>Đường D5, phường 5, thành phố Trà Vinh, tỉnh Trà Vinh.</v>
      </c>
      <c r="E9" s="211" t="str">
        <f>[3]SB1!GV9</f>
        <v>Trà Vinh</v>
      </c>
      <c r="F9" s="211" t="str">
        <f>MID([3]SB1!GS9,1,FIND(";",[3]SB1!GS9,1)-1)</f>
        <v>106,34929</v>
      </c>
      <c r="G9" s="211" t="str">
        <f>RIGHT([3]SB1!GS9,LEN([3]SB1!GS9)-LEN(F9)-1)</f>
        <v>9,93488</v>
      </c>
      <c r="H9" s="213">
        <f>[3]SB1!GY9</f>
        <v>3</v>
      </c>
      <c r="I9" s="211" t="str">
        <f>[3]SB1!AY9</f>
        <v>1801790/2019/PTN-KĐ</v>
      </c>
      <c r="J9" s="214">
        <f>[3]SB1!HK9</f>
        <v>43497</v>
      </c>
      <c r="K9" s="214">
        <f>[3]SB1!GR9</f>
        <v>43479</v>
      </c>
      <c r="L9" s="215" t="str">
        <f>IF(H9=1,[3]SB1!HR9,IF(H9=2,[3]SB1!HR9&amp;"/"&amp;[3]SB2!HM9,IF(H9=3,[3]SB1!HR9&amp;"/"&amp;[3]SB2!HM9&amp;"/"&amp;[3]SB3!HM9,IF(H9=4,[3]SB1!HR9&amp;"/"&amp;[3]SB2!HM9&amp;"/"&amp;[3]SB3!HM9&amp;"/"&amp;[3]SB4!HM9,IF(H9=5,[3]SB1!HR9&amp;"/"&amp;[3]SB2!HM9&amp;"/"&amp;[3]SB3!HM9&amp;"/"&amp;[3]SB4!HM9&amp;"/"&amp;[3]SB5!HM9,[3]SB1!HR9&amp;"/"&amp;[3]SB2!HM9&amp;"/"&amp;[3]SB3!HM9&amp;"/"&amp;[3]SB4!HM9&amp;"/"&amp;[3]SB5!HM9&amp;"/"&amp;[3]SB6!HM9)))))</f>
        <v>TẬP ĐOÀN CÔNG NGHIỆP - VIỄN THÔNG QUÂN ĐỘI/TẬP ĐOÀN CÔNG NGHIỆP - VIỄN THÔNG QUÂN ĐỘI/TẬP ĐOÀN CÔNG NGHIỆP - VIỄN THÔNG QUÂN ĐỘI</v>
      </c>
      <c r="M9" s="216" t="str">
        <f>IF(H9=1,[3]SB1!C9,IF(H9=2,[3]SB1!C9&amp;";"&amp;[3]SB2!C9,IF(H9=3,[3]SB1!C9&amp;";"&amp;[3]SB2!C9&amp;";"&amp;[3]SB3!C9,IF(H9=4,[3]SB1!C9&amp;";"&amp;[3]SB2!C9&amp;";"&amp;[3]SB3!C9&amp;";"&amp;[3]SB4!C9,IF(H9=5,[3]SB1!C9&amp;";"&amp;[3]SB2!C9&amp;";"&amp;[3]SB3!C9&amp;";"&amp;[3]SB4!C9&amp;";"&amp;[3]SB5!C9,[3]SB1!C9&amp;";"&amp;[3]SB2!C9&amp;";"&amp;[3]SB3!C9&amp;";"&amp;[3]SB4!C9&amp;";"&amp;[3]SB5!C9&amp;";"&amp;[3]SB6!C9)))))</f>
        <v>TVH0368;TVH0368;TVH0368</v>
      </c>
      <c r="N9" s="216" t="str">
        <f>IF(H9=1,[3]SB1!K9,IF(H9=2,[3]SB1!K9&amp;";"&amp;[3]SB2!K9,IF(H9=3,[3]SB1!K9&amp;";"&amp;[3]SB2!K9&amp;";"&amp;[3]SB3!K9,IF(H9=4,[3]SB1!K9&amp;";"&amp;[3]SB2!K9&amp;";"&amp;[3]SB3!K9&amp;";"&amp;[3]SB4!K9,IF(H9=5,[3]SB1!K9&amp;";"&amp;[3]SB2!K9&amp;";"&amp;[3]SB3!K9&amp;";"&amp;[3]SB4!K9&amp;";"&amp;[3]SB5!K9,[3]SB1!K9&amp;";"&amp;[3]SB2!K9&amp;";"&amp;[3]SB3!K9&amp;";"&amp;[3]SB4!K9&amp;";"&amp;[3]SB5!K9&amp;";"&amp;[3]SB6!K9)))))</f>
        <v>NOKIA Flexi EDGE BTS;NOKIA Flexi WCDMA BTS;NSN FLEXI MULTIRADIO AIRSCALE</v>
      </c>
      <c r="O9" s="212">
        <f>[3]SB1!P9+[3]SB2!P9+[3]SB3!P9+[3]SB4!P9+[3]SB5!P9+[3]SB6!P9</f>
        <v>9</v>
      </c>
      <c r="P9" s="216" t="str">
        <f>IF(H9=1,[3]SB1!Q9,IF(H9=2,[3]SB1!Q9&amp;";"&amp;[3]SB2!Q9,IF(H9=3,[3]SB1!Q9&amp;";"&amp;[3]SB2!Q9&amp;";"&amp;[3]SB3!Q9,IF(H9=4,[3]SB1!Q9&amp;";"&amp;[3]SB2!Q9&amp;";"&amp;[3]SB3!Q9&amp;";"&amp;[3]SB4!Q9,IF(H9=5,[3]SB1!Q9&amp;";"&amp;[3]SB2!Q9&amp;";"&amp;[3]SB3!Q9&amp;";"&amp;[3]SB4!Q9&amp;";"&amp;[3]SB5!Q9,[3]SB1!Q9&amp;";"&amp;[3]SB2!Q9&amp;";"&amp;[3]SB3!Q9&amp;";"&amp;[3]SB4!Q9&amp;";"&amp;[3]SB5!Q9&amp;";"&amp;[3]SB6!Q9)))))</f>
        <v>4/4/4;2/2/2;1/1/1</v>
      </c>
      <c r="Q9" s="216" t="str">
        <f>IF(H9=1,[3]SB1!HS9,IF(H9=2,[3]SB1!HS9&amp;";"&amp;[3]SB2!HN9,IF(H9=3,[3]SB1!HS9&amp;";"&amp;[3]SB2!HN9&amp;";"&amp;[3]SB3!HN9,IF(H9=4,[3]SB1!HS9&amp;";"&amp;[3]SB2!HN9&amp;";"&amp;[3]SB3!HN9&amp;";"&amp;[3]SB4!HN9,IF(H9=5,[3]SB1!HS9&amp;";"&amp;[3]SB2!HN9&amp;";"&amp;[3]SB3!HN9&amp;";"&amp;[3]SB4!HN9&amp;";"&amp;[3]SB5!HN9,[3]SB1!HS9&amp;";"&amp;[3]SB2!HN9&amp;";"&amp;[3]SB3!HN9&amp;";"&amp;[3]SB4!HN9&amp;";"&amp;[3]SB5!HN9&amp;";"&amp;[3]SB6!HN9)))))</f>
        <v>37,24W/37,24W/37,24W;40W/40W/40W;40W/40W/40W</v>
      </c>
      <c r="R9" s="216" t="str">
        <f>IF(H9=1,[3]SB1!H9,IF(H9=2,[3]SB1!H9&amp;"/"&amp;[3]SB2!H9,IF(H9=3,[3]SB1!H9&amp;"/"&amp;[3]SB2!H9&amp;"/"&amp;[3]SB3!H9,IF(H9=4,[3]SB1!H9&amp;"/"&amp;[3]SB2!H9&amp;"/"&amp;[3]SB3!H9&amp;"/"&amp;[3]SB4!H9,IF(H9=5,[3]SB1!H9&amp;"/"&amp;[3]SB2!H9&amp;"/"&amp;[3]SB3!H9&amp;"/"&amp;[3]SB4!H9&amp;"/"&amp;[3]SB5!H9,[3]SB1!H9&amp;"/"&amp;[3]SB2!H9&amp;"/"&amp;[3]SB3!H9&amp;"/"&amp;[3]SB4!H9&amp;"/"&amp;[3]SB5!H9&amp;"/"&amp;[3]SB6!H9)))))</f>
        <v>G1800/U2100/L1800</v>
      </c>
      <c r="S9" s="216" t="str">
        <f>IF(H9=1,[3]SB1!HT9,IF(H9=2,[3]SB1!HT9&amp;";"&amp;[3]SB2!HO9,IF(H9=3,[3]SB1!HT9&amp;";"&amp;[3]SB2!HO9&amp;";"&amp;[3]SB3!HO9,IF(H9=4,[3]SB1!HT9&amp;";"&amp;[3]SB2!HO9&amp;";"&amp;[3]SB3!HO9&amp;";"&amp;[3]SB4!HO9,IF(H9=5,[3]SB1!HT9&amp;";"&amp;[3]SB2!HO9&amp;";"&amp;[3]SB3!HO9&amp;";"&amp;[3]SB4!HO9&amp;";"&amp;[3]SB5!HO9,[3]SB1!HT9&amp;";"&amp;[3]SB2!HO9&amp;";"&amp;[3]SB3!HO9&amp;";"&amp;[3]SB4!HO9&amp;";"&amp;[3]SB5!HO9&amp;";"&amp;[3]SB6!HO9)))))</f>
        <v>34m/ 34m/ 34m;34m/ 34m/ 34m;32m/ 32m/ 32m</v>
      </c>
      <c r="T9" s="215" t="str">
        <f>[3]SB1!GU9</f>
        <v>1</v>
      </c>
      <c r="U9" s="215" t="str">
        <f>IF(H9=1,[3]SB1!AS9,IF(H9=2,[3]SB1!AS9&amp;";"&amp;[3]SB2!AS9,IF(H9=3,[3]SB1!AS9&amp;";"&amp;[3]SB2!AS9&amp;";"&amp;[3]SB3!AS9,IF(H9=4,[3]SB1!AS9&amp;";"&amp;[3]SB2!AS9&amp;";"&amp;[3]SB3!AS9&amp;";"&amp;[3]SB4!AS9,IF(H9=5,[3]SB1!AS9&amp;";"&amp;[3]SB2!AS9&amp;";"&amp;[3]SB3!AS9&amp;";"&amp;[3]SB4!AS9&amp;";"&amp;[3]SB5!AS9,[3]SB1!AS9&amp;";"&amp;[3]SB2!AS9&amp;";"&amp;[3]SB3!AS9&amp;";"&amp;[3]SB4!AS9&amp;";"&amp;[3]SB5!AS9&amp;";"&amp;[3]SB6!AS9)))))</f>
        <v>Kathrein 736018;Kathrein 742215;Commscope HWXX-6516DS2-A2M</v>
      </c>
      <c r="V9" s="213" t="str">
        <f>IF([3]Source!AEE9="Yes","Có","Không")</f>
        <v>Có</v>
      </c>
      <c r="W9" s="213" t="str">
        <f>IF([3]Source!AEF9="Yes","Có","Không")</f>
        <v>Không</v>
      </c>
      <c r="X9" s="213" t="str">
        <f>[3]Source!AEG9</f>
        <v/>
      </c>
      <c r="Y9" s="213" t="str">
        <f>IF([3]Source!AEH9="Yes","Có","Không")</f>
        <v>Có</v>
      </c>
      <c r="Z9" s="217">
        <f>[3]Source!AEI9</f>
        <v>28</v>
      </c>
      <c r="AA9" s="217" t="str">
        <f>IF([3]SB1!WBZ9="","",IF([3]SB1!WBZ9=0,"Có","Không"))</f>
        <v/>
      </c>
      <c r="AB9" s="217" t="str">
        <f>IF([3]Source!ADX9="Yes","Có","Không")</f>
        <v>Không</v>
      </c>
      <c r="AC9" s="217">
        <f>MIN([3]SB1!AH9,[3]SB2!AH9,[3]SB3!AH9,[3]SB4!AH9,[3]SB5!AH9,[3]SB6!AH9)+[3]SB1!AG9</f>
        <v>32</v>
      </c>
      <c r="AD9" s="217" t="str">
        <f>IF([3]SB1!HQ9="","",[3]SB1!HQ9)</f>
        <v>4</v>
      </c>
      <c r="AE9" s="218" t="str">
        <f>IF([3]SB1!HV9="","",[3]SB1!HV9)</f>
        <v/>
      </c>
    </row>
    <row r="10" spans="1:31" s="219" customFormat="1">
      <c r="A10" s="211" t="str">
        <f>[3]SB1!HM10</f>
        <v>Viettel Trà Vinh - Chi nhánh Tập đoàn Công nghiệp - Viễn Thông Quân Đội</v>
      </c>
      <c r="B10" s="212">
        <f>[3]Source!A10</f>
        <v>7</v>
      </c>
      <c r="C10" s="212">
        <f>[3]SB1!GZ10</f>
        <v>761</v>
      </c>
      <c r="D10" s="213" t="str">
        <f>[3]SB1!GX10</f>
        <v>Số 136, đường Đồng Khởi, khóm 9, phường 6, thành phố Trà Vinh, tỉnh Trà Vinh.</v>
      </c>
      <c r="E10" s="211" t="str">
        <f>[3]SB1!GV10</f>
        <v>Trà Vinh</v>
      </c>
      <c r="F10" s="211" t="str">
        <f>MID([3]SB1!GS10,1,FIND(";",[3]SB1!GS10,1)-1)</f>
        <v>106,34267</v>
      </c>
      <c r="G10" s="211" t="str">
        <f>RIGHT([3]SB1!GS10,LEN([3]SB1!GS10)-LEN(F10)-1)</f>
        <v>9,93165</v>
      </c>
      <c r="H10" s="213">
        <f>[3]SB1!GY10</f>
        <v>3</v>
      </c>
      <c r="I10" s="211" t="str">
        <f>[3]SB1!AY10</f>
        <v>1801791/2019/PTN-KĐ</v>
      </c>
      <c r="J10" s="214">
        <f>[3]SB1!HK10</f>
        <v>43497</v>
      </c>
      <c r="K10" s="214">
        <f>[3]SB1!GR10</f>
        <v>43479</v>
      </c>
      <c r="L10" s="215" t="str">
        <f>IF(H10=1,[3]SB1!HR10,IF(H10=2,[3]SB1!HR10&amp;"/"&amp;[3]SB2!HM10,IF(H10=3,[3]SB1!HR10&amp;"/"&amp;[3]SB2!HM10&amp;"/"&amp;[3]SB3!HM10,IF(H10=4,[3]SB1!HR10&amp;"/"&amp;[3]SB2!HM10&amp;"/"&amp;[3]SB3!HM10&amp;"/"&amp;[3]SB4!HM10,IF(H10=5,[3]SB1!HR10&amp;"/"&amp;[3]SB2!HM10&amp;"/"&amp;[3]SB3!HM10&amp;"/"&amp;[3]SB4!HM10&amp;"/"&amp;[3]SB5!HM10,[3]SB1!HR10&amp;"/"&amp;[3]SB2!HM10&amp;"/"&amp;[3]SB3!HM10&amp;"/"&amp;[3]SB4!HM10&amp;"/"&amp;[3]SB5!HM10&amp;"/"&amp;[3]SB6!HM10)))))</f>
        <v>TẬP ĐOÀN CÔNG NGHIỆP - VIỄN THÔNG QUÂN ĐỘI/TẬP ĐOÀN CÔNG NGHIỆP - VIỄN THÔNG QUÂN ĐỘI/TẬP ĐOÀN CÔNG NGHIỆP - VIỄN THÔNG QUÂN ĐỘI</v>
      </c>
      <c r="M10" s="216" t="str">
        <f>IF(H10=1,[3]SB1!C10,IF(H10=2,[3]SB1!C10&amp;";"&amp;[3]SB2!C10,IF(H10=3,[3]SB1!C10&amp;";"&amp;[3]SB2!C10&amp;";"&amp;[3]SB3!C10,IF(H10=4,[3]SB1!C10&amp;";"&amp;[3]SB2!C10&amp;";"&amp;[3]SB3!C10&amp;";"&amp;[3]SB4!C10,IF(H10=5,[3]SB1!C10&amp;";"&amp;[3]SB2!C10&amp;";"&amp;[3]SB3!C10&amp;";"&amp;[3]SB4!C10&amp;";"&amp;[3]SB5!C10,[3]SB1!C10&amp;";"&amp;[3]SB2!C10&amp;";"&amp;[3]SB3!C10&amp;";"&amp;[3]SB4!C10&amp;";"&amp;[3]SB5!C10&amp;";"&amp;[3]SB6!C10)))))</f>
        <v>TVH0369;TVH0369;TVH0369</v>
      </c>
      <c r="N10" s="216" t="str">
        <f>IF(H10=1,[3]SB1!K10,IF(H10=2,[3]SB1!K10&amp;";"&amp;[3]SB2!K10,IF(H10=3,[3]SB1!K10&amp;";"&amp;[3]SB2!K10&amp;";"&amp;[3]SB3!K10,IF(H10=4,[3]SB1!K10&amp;";"&amp;[3]SB2!K10&amp;";"&amp;[3]SB3!K10&amp;";"&amp;[3]SB4!K10,IF(H10=5,[3]SB1!K10&amp;";"&amp;[3]SB2!K10&amp;";"&amp;[3]SB3!K10&amp;";"&amp;[3]SB4!K10&amp;";"&amp;[3]SB5!K10,[3]SB1!K10&amp;";"&amp;[3]SB2!K10&amp;";"&amp;[3]SB3!K10&amp;";"&amp;[3]SB4!K10&amp;";"&amp;[3]SB5!K10&amp;";"&amp;[3]SB6!K10)))))</f>
        <v>NOKIA Flexi EDGE BTS;NOKIA Flexi WCDMA BTS;NSN FLEXI MULTIRADIO AIRSCALE</v>
      </c>
      <c r="O10" s="212">
        <f>[3]SB1!P10+[3]SB2!P10+[3]SB3!P10+[3]SB4!P10+[3]SB5!P10+[3]SB6!P10</f>
        <v>9</v>
      </c>
      <c r="P10" s="216" t="str">
        <f>IF(H10=1,[3]SB1!Q10,IF(H10=2,[3]SB1!Q10&amp;";"&amp;[3]SB2!Q10,IF(H10=3,[3]SB1!Q10&amp;";"&amp;[3]SB2!Q10&amp;";"&amp;[3]SB3!Q10,IF(H10=4,[3]SB1!Q10&amp;";"&amp;[3]SB2!Q10&amp;";"&amp;[3]SB3!Q10&amp;";"&amp;[3]SB4!Q10,IF(H10=5,[3]SB1!Q10&amp;";"&amp;[3]SB2!Q10&amp;";"&amp;[3]SB3!Q10&amp;";"&amp;[3]SB4!Q10&amp;";"&amp;[3]SB5!Q10,[3]SB1!Q10&amp;";"&amp;[3]SB2!Q10&amp;";"&amp;[3]SB3!Q10&amp;";"&amp;[3]SB4!Q10&amp;";"&amp;[3]SB5!Q10&amp;";"&amp;[3]SB6!Q10)))))</f>
        <v>4/4/4;2/2/2;1/1/1</v>
      </c>
      <c r="Q10" s="216" t="str">
        <f>IF(H10=1,[3]SB1!HS10,IF(H10=2,[3]SB1!HS10&amp;";"&amp;[3]SB2!HN10,IF(H10=3,[3]SB1!HS10&amp;";"&amp;[3]SB2!HN10&amp;";"&amp;[3]SB3!HN10,IF(H10=4,[3]SB1!HS10&amp;";"&amp;[3]SB2!HN10&amp;";"&amp;[3]SB3!HN10&amp;";"&amp;[3]SB4!HN10,IF(H10=5,[3]SB1!HS10&amp;";"&amp;[3]SB2!HN10&amp;";"&amp;[3]SB3!HN10&amp;";"&amp;[3]SB4!HN10&amp;";"&amp;[3]SB5!HN10,[3]SB1!HS10&amp;";"&amp;[3]SB2!HN10&amp;";"&amp;[3]SB3!HN10&amp;";"&amp;[3]SB4!HN10&amp;";"&amp;[3]SB5!HN10&amp;";"&amp;[3]SB6!HN10)))))</f>
        <v>37,24W/37,24W/37,24W;40W/40W/40W;40W/40W/40W</v>
      </c>
      <c r="R10" s="216" t="str">
        <f>IF(H10=1,[3]SB1!H10,IF(H10=2,[3]SB1!H10&amp;"/"&amp;[3]SB2!H10,IF(H10=3,[3]SB1!H10&amp;"/"&amp;[3]SB2!H10&amp;"/"&amp;[3]SB3!H10,IF(H10=4,[3]SB1!H10&amp;"/"&amp;[3]SB2!H10&amp;"/"&amp;[3]SB3!H10&amp;"/"&amp;[3]SB4!H10,IF(H10=5,[3]SB1!H10&amp;"/"&amp;[3]SB2!H10&amp;"/"&amp;[3]SB3!H10&amp;"/"&amp;[3]SB4!H10&amp;"/"&amp;[3]SB5!H10,[3]SB1!H10&amp;"/"&amp;[3]SB2!H10&amp;"/"&amp;[3]SB3!H10&amp;"/"&amp;[3]SB4!H10&amp;"/"&amp;[3]SB5!H10&amp;"/"&amp;[3]SB6!H10)))))</f>
        <v>G1800/U2100/L1800</v>
      </c>
      <c r="S10" s="216" t="str">
        <f>IF(H10=1,[3]SB1!HT10,IF(H10=2,[3]SB1!HT10&amp;";"&amp;[3]SB2!HO10,IF(H10=3,[3]SB1!HT10&amp;";"&amp;[3]SB2!HO10&amp;";"&amp;[3]SB3!HO10,IF(H10=4,[3]SB1!HT10&amp;";"&amp;[3]SB2!HO10&amp;";"&amp;[3]SB3!HO10&amp;";"&amp;[3]SB4!HO10,IF(H10=5,[3]SB1!HT10&amp;";"&amp;[3]SB2!HO10&amp;";"&amp;[3]SB3!HO10&amp;";"&amp;[3]SB4!HO10&amp;";"&amp;[3]SB5!HO10,[3]SB1!HT10&amp;";"&amp;[3]SB2!HO10&amp;";"&amp;[3]SB3!HO10&amp;";"&amp;[3]SB4!HO10&amp;";"&amp;[3]SB5!HO10&amp;";"&amp;[3]SB6!HO10)))))</f>
        <v>21m/ 21m/ 21m;25m/ 25m/ 25m;25m/ 25m/ 25m</v>
      </c>
      <c r="T10" s="215" t="str">
        <f>[3]SB1!GU10</f>
        <v>1</v>
      </c>
      <c r="U10" s="215" t="str">
        <f>IF(H10=1,[3]SB1!AS10,IF(H10=2,[3]SB1!AS10&amp;";"&amp;[3]SB2!AS10,IF(H10=3,[3]SB1!AS10&amp;";"&amp;[3]SB2!AS10&amp;";"&amp;[3]SB3!AS10,IF(H10=4,[3]SB1!AS10&amp;";"&amp;[3]SB2!AS10&amp;";"&amp;[3]SB3!AS10&amp;";"&amp;[3]SB4!AS10,IF(H10=5,[3]SB1!AS10&amp;";"&amp;[3]SB2!AS10&amp;";"&amp;[3]SB3!AS10&amp;";"&amp;[3]SB4!AS10&amp;";"&amp;[3]SB5!AS10,[3]SB1!AS10&amp;";"&amp;[3]SB2!AS10&amp;";"&amp;[3]SB3!AS10&amp;";"&amp;[3]SB4!AS10&amp;";"&amp;[3]SB5!AS10&amp;";"&amp;[3]SB6!AS10)))))</f>
        <v>Kathrein 736018;Kathrein 742215;Commscope HWXX-6516DS2-A2M</v>
      </c>
      <c r="V10" s="213" t="str">
        <f>IF([3]Source!AEE10="Yes","Có","Không")</f>
        <v>Có</v>
      </c>
      <c r="W10" s="213" t="str">
        <f>IF([3]Source!AEF10="Yes","Có","Không")</f>
        <v>Không</v>
      </c>
      <c r="X10" s="213" t="str">
        <f>[3]Source!AEG10</f>
        <v/>
      </c>
      <c r="Y10" s="213" t="str">
        <f>IF([3]Source!AEH10="Yes","Có","Không")</f>
        <v>Có</v>
      </c>
      <c r="Z10" s="217">
        <f>[3]Source!AEI10</f>
        <v>7</v>
      </c>
      <c r="AA10" s="217" t="str">
        <f>IF([3]SB1!WBZ10="","",IF([3]SB1!WBZ10=0,"Có","Không"))</f>
        <v/>
      </c>
      <c r="AB10" s="217" t="str">
        <f>IF([3]Source!ADX10="Yes","Có","Không")</f>
        <v>Không</v>
      </c>
      <c r="AC10" s="217">
        <f>MIN([3]SB1!AH10,[3]SB2!AH10,[3]SB3!AH10,[3]SB4!AH10,[3]SB5!AH10,[3]SB6!AH10)+[3]SB1!AG10</f>
        <v>21</v>
      </c>
      <c r="AD10" s="217" t="str">
        <f>IF([3]SB1!HQ10="","",[3]SB1!HQ10)</f>
        <v>14</v>
      </c>
      <c r="AE10" s="218" t="str">
        <f>IF([3]SB1!HV10="","",[3]SB1!HV10)</f>
        <v/>
      </c>
    </row>
    <row r="11" spans="1:31" s="219" customFormat="1">
      <c r="A11" s="211" t="str">
        <f>[3]SB1!HM11</f>
        <v>Viettel Trà Vinh - Chi nhánh Tập đoàn Công nghiệp - Viễn Thông Quân Đội</v>
      </c>
      <c r="B11" s="212">
        <f>[3]Source!A11</f>
        <v>8</v>
      </c>
      <c r="C11" s="212">
        <f>[3]SB1!GZ11</f>
        <v>761</v>
      </c>
      <c r="D11" s="213" t="str">
        <f>[3]SB1!GX11</f>
        <v>Số 209, đường Đồng Khởi, phường 6, thành phố Trà Vinh, tỉnh Trà Vinh.</v>
      </c>
      <c r="E11" s="211" t="str">
        <f>[3]SB1!GV11</f>
        <v>Trà Vinh</v>
      </c>
      <c r="F11" s="211" t="str">
        <f>MID([3]SB1!GS11,1,FIND(";",[3]SB1!GS11,1)-1)</f>
        <v>106,34347</v>
      </c>
      <c r="G11" s="211" t="str">
        <f>RIGHT([3]SB1!GS11,LEN([3]SB1!GS11)-LEN(F11)-1)</f>
        <v>9,92053</v>
      </c>
      <c r="H11" s="213">
        <f>[3]SB1!GY11</f>
        <v>3</v>
      </c>
      <c r="I11" s="211" t="str">
        <f>[3]SB1!AY11</f>
        <v>1801792/2019/PTN-KĐ</v>
      </c>
      <c r="J11" s="214">
        <f>[3]SB1!HK11</f>
        <v>43497</v>
      </c>
      <c r="K11" s="214">
        <f>[3]SB1!GR11</f>
        <v>43479</v>
      </c>
      <c r="L11" s="215" t="str">
        <f>IF(H11=1,[3]SB1!HR11,IF(H11=2,[3]SB1!HR11&amp;"/"&amp;[3]SB2!HM11,IF(H11=3,[3]SB1!HR11&amp;"/"&amp;[3]SB2!HM11&amp;"/"&amp;[3]SB3!HM11,IF(H11=4,[3]SB1!HR11&amp;"/"&amp;[3]SB2!HM11&amp;"/"&amp;[3]SB3!HM11&amp;"/"&amp;[3]SB4!HM11,IF(H11=5,[3]SB1!HR11&amp;"/"&amp;[3]SB2!HM11&amp;"/"&amp;[3]SB3!HM11&amp;"/"&amp;[3]SB4!HM11&amp;"/"&amp;[3]SB5!HM11,[3]SB1!HR11&amp;"/"&amp;[3]SB2!HM11&amp;"/"&amp;[3]SB3!HM11&amp;"/"&amp;[3]SB4!HM11&amp;"/"&amp;[3]SB5!HM11&amp;"/"&amp;[3]SB6!HM11)))))</f>
        <v>TẬP ĐOÀN CÔNG NGHIỆP - VIỄN THÔNG QUÂN ĐỘI/TẬP ĐOÀN CÔNG NGHIỆP - VIỄN THÔNG QUÂN ĐỘI/TẬP ĐOÀN CÔNG NGHIỆP - VIỄN THÔNG QUÂN ĐỘI</v>
      </c>
      <c r="M11" s="216" t="str">
        <f>IF(H11=1,[3]SB1!C11,IF(H11=2,[3]SB1!C11&amp;";"&amp;[3]SB2!C11,IF(H11=3,[3]SB1!C11&amp;";"&amp;[3]SB2!C11&amp;";"&amp;[3]SB3!C11,IF(H11=4,[3]SB1!C11&amp;";"&amp;[3]SB2!C11&amp;";"&amp;[3]SB3!C11&amp;";"&amp;[3]SB4!C11,IF(H11=5,[3]SB1!C11&amp;";"&amp;[3]SB2!C11&amp;";"&amp;[3]SB3!C11&amp;";"&amp;[3]SB4!C11&amp;";"&amp;[3]SB5!C11,[3]SB1!C11&amp;";"&amp;[3]SB2!C11&amp;";"&amp;[3]SB3!C11&amp;";"&amp;[3]SB4!C11&amp;";"&amp;[3]SB5!C11&amp;";"&amp;[3]SB6!C11)))))</f>
        <v>TVH0370;TVH0370;TVH0370</v>
      </c>
      <c r="N11" s="216" t="str">
        <f>IF(H11=1,[3]SB1!K11,IF(H11=2,[3]SB1!K11&amp;";"&amp;[3]SB2!K11,IF(H11=3,[3]SB1!K11&amp;";"&amp;[3]SB2!K11&amp;";"&amp;[3]SB3!K11,IF(H11=4,[3]SB1!K11&amp;";"&amp;[3]SB2!K11&amp;";"&amp;[3]SB3!K11&amp;";"&amp;[3]SB4!K11,IF(H11=5,[3]SB1!K11&amp;";"&amp;[3]SB2!K11&amp;";"&amp;[3]SB3!K11&amp;";"&amp;[3]SB4!K11&amp;";"&amp;[3]SB5!K11,[3]SB1!K11&amp;";"&amp;[3]SB2!K11&amp;";"&amp;[3]SB3!K11&amp;";"&amp;[3]SB4!K11&amp;";"&amp;[3]SB5!K11&amp;";"&amp;[3]SB6!K11)))))</f>
        <v>NOKIA Flexi EDGE BTS;NOKIA Flexi WCDMA BTS;NSN FLEXI MULTIRADIO AIRSCALE</v>
      </c>
      <c r="O11" s="212">
        <f>[3]SB1!P11+[3]SB2!P11+[3]SB3!P11+[3]SB4!P11+[3]SB5!P11+[3]SB6!P11</f>
        <v>9</v>
      </c>
      <c r="P11" s="216" t="str">
        <f>IF(H11=1,[3]SB1!Q11,IF(H11=2,[3]SB1!Q11&amp;";"&amp;[3]SB2!Q11,IF(H11=3,[3]SB1!Q11&amp;";"&amp;[3]SB2!Q11&amp;";"&amp;[3]SB3!Q11,IF(H11=4,[3]SB1!Q11&amp;";"&amp;[3]SB2!Q11&amp;";"&amp;[3]SB3!Q11&amp;";"&amp;[3]SB4!Q11,IF(H11=5,[3]SB1!Q11&amp;";"&amp;[3]SB2!Q11&amp;";"&amp;[3]SB3!Q11&amp;";"&amp;[3]SB4!Q11&amp;";"&amp;[3]SB5!Q11,[3]SB1!Q11&amp;";"&amp;[3]SB2!Q11&amp;";"&amp;[3]SB3!Q11&amp;";"&amp;[3]SB4!Q11&amp;";"&amp;[3]SB5!Q11&amp;";"&amp;[3]SB6!Q11)))))</f>
        <v>4/4/4;2/2/2;1/1/1</v>
      </c>
      <c r="Q11" s="216" t="str">
        <f>IF(H11=1,[3]SB1!HS11,IF(H11=2,[3]SB1!HS11&amp;";"&amp;[3]SB2!HN11,IF(H11=3,[3]SB1!HS11&amp;";"&amp;[3]SB2!HN11&amp;";"&amp;[3]SB3!HN11,IF(H11=4,[3]SB1!HS11&amp;";"&amp;[3]SB2!HN11&amp;";"&amp;[3]SB3!HN11&amp;";"&amp;[3]SB4!HN11,IF(H11=5,[3]SB1!HS11&amp;";"&amp;[3]SB2!HN11&amp;";"&amp;[3]SB3!HN11&amp;";"&amp;[3]SB4!HN11&amp;";"&amp;[3]SB5!HN11,[3]SB1!HS11&amp;";"&amp;[3]SB2!HN11&amp;";"&amp;[3]SB3!HN11&amp;";"&amp;[3]SB4!HN11&amp;";"&amp;[3]SB5!HN11&amp;";"&amp;[3]SB6!HN11)))))</f>
        <v>37,24W/37,24W/37,24W;40W/40W/40W;40W/40W/40W</v>
      </c>
      <c r="R11" s="216" t="str">
        <f>IF(H11=1,[3]SB1!H11,IF(H11=2,[3]SB1!H11&amp;"/"&amp;[3]SB2!H11,IF(H11=3,[3]SB1!H11&amp;"/"&amp;[3]SB2!H11&amp;"/"&amp;[3]SB3!H11,IF(H11=4,[3]SB1!H11&amp;"/"&amp;[3]SB2!H11&amp;"/"&amp;[3]SB3!H11&amp;"/"&amp;[3]SB4!H11,IF(H11=5,[3]SB1!H11&amp;"/"&amp;[3]SB2!H11&amp;"/"&amp;[3]SB3!H11&amp;"/"&amp;[3]SB4!H11&amp;"/"&amp;[3]SB5!H11,[3]SB1!H11&amp;"/"&amp;[3]SB2!H11&amp;"/"&amp;[3]SB3!H11&amp;"/"&amp;[3]SB4!H11&amp;"/"&amp;[3]SB5!H11&amp;"/"&amp;[3]SB6!H11)))))</f>
        <v>G1800/U2100/L1800</v>
      </c>
      <c r="S11" s="216" t="str">
        <f>IF(H11=1,[3]SB1!HT11,IF(H11=2,[3]SB1!HT11&amp;";"&amp;[3]SB2!HO11,IF(H11=3,[3]SB1!HT11&amp;";"&amp;[3]SB2!HO11&amp;";"&amp;[3]SB3!HO11,IF(H11=4,[3]SB1!HT11&amp;";"&amp;[3]SB2!HO11&amp;";"&amp;[3]SB3!HO11&amp;";"&amp;[3]SB4!HO11,IF(H11=5,[3]SB1!HT11&amp;";"&amp;[3]SB2!HO11&amp;";"&amp;[3]SB3!HO11&amp;";"&amp;[3]SB4!HO11&amp;";"&amp;[3]SB5!HO11,[3]SB1!HT11&amp;";"&amp;[3]SB2!HO11&amp;";"&amp;[3]SB3!HO11&amp;";"&amp;[3]SB4!HO11&amp;";"&amp;[3]SB5!HO11&amp;";"&amp;[3]SB6!HO11)))))</f>
        <v>20m/ 20m/ 20m;24m/ 24m/ 24m;24m/ 24m/ 24m</v>
      </c>
      <c r="T11" s="215" t="str">
        <f>[3]SB1!GU11</f>
        <v>1</v>
      </c>
      <c r="U11" s="215" t="str">
        <f>IF(H11=1,[3]SB1!AS11,IF(H11=2,[3]SB1!AS11&amp;";"&amp;[3]SB2!AS11,IF(H11=3,[3]SB1!AS11&amp;";"&amp;[3]SB2!AS11&amp;";"&amp;[3]SB3!AS11,IF(H11=4,[3]SB1!AS11&amp;";"&amp;[3]SB2!AS11&amp;";"&amp;[3]SB3!AS11&amp;";"&amp;[3]SB4!AS11,IF(H11=5,[3]SB1!AS11&amp;";"&amp;[3]SB2!AS11&amp;";"&amp;[3]SB3!AS11&amp;";"&amp;[3]SB4!AS11&amp;";"&amp;[3]SB5!AS11,[3]SB1!AS11&amp;";"&amp;[3]SB2!AS11&amp;";"&amp;[3]SB3!AS11&amp;";"&amp;[3]SB4!AS11&amp;";"&amp;[3]SB5!AS11&amp;";"&amp;[3]SB6!AS11)))))</f>
        <v>Kathrein 736018;Kathrein 742215;Commscope HWXX-6516DS2-A2M</v>
      </c>
      <c r="V11" s="213" t="str">
        <f>IF([3]Source!AEE11="Yes","Có","Không")</f>
        <v>Có</v>
      </c>
      <c r="W11" s="213" t="str">
        <f>IF([3]Source!AEF11="Yes","Có","Không")</f>
        <v>Không</v>
      </c>
      <c r="X11" s="213" t="str">
        <f>[3]Source!AEG11</f>
        <v/>
      </c>
      <c r="Y11" s="213" t="str">
        <f>IF([3]Source!AEH11="Yes","Có","Không")</f>
        <v>Có</v>
      </c>
      <c r="Z11" s="217">
        <f>[3]Source!AEI11</f>
        <v>9.5</v>
      </c>
      <c r="AA11" s="217" t="str">
        <f>IF([3]SB1!WBZ11="","",IF([3]SB1!WBZ11=0,"Có","Không"))</f>
        <v/>
      </c>
      <c r="AB11" s="217" t="str">
        <f>IF([3]Source!ADX11="Yes","Có","Không")</f>
        <v>Không</v>
      </c>
      <c r="AC11" s="217">
        <f>MIN([3]SB1!AH11,[3]SB2!AH11,[3]SB3!AH11,[3]SB4!AH11,[3]SB5!AH11,[3]SB6!AH11)+[3]SB1!AG11</f>
        <v>20</v>
      </c>
      <c r="AD11" s="217" t="str">
        <f>IF([3]SB1!HQ11="","",[3]SB1!HQ11)</f>
        <v>10,5</v>
      </c>
      <c r="AE11" s="218" t="str">
        <f>IF([3]SB1!HV11="","",[3]SB1!HV11)</f>
        <v/>
      </c>
    </row>
    <row r="12" spans="1:31" s="219" customFormat="1">
      <c r="A12" s="211" t="str">
        <f>[3]SB1!HM12</f>
        <v>Viettel Trà Vinh - Chi nhánh Tập đoàn Công nghiệp - Viễn Thông Quân Đội</v>
      </c>
      <c r="B12" s="212">
        <f>[3]Source!A12</f>
        <v>9</v>
      </c>
      <c r="C12" s="212">
        <f>[3]SB1!GZ12</f>
        <v>761</v>
      </c>
      <c r="D12" s="213" t="str">
        <f>[3]SB1!GX12</f>
        <v>Đường Võ Nguyên Giáp, khóm 8, phường 8, thành phố Trà Vinh, tỉnh Trà Vinh.</v>
      </c>
      <c r="E12" s="211" t="str">
        <f>[3]SB1!GV12</f>
        <v>Trà Vinh</v>
      </c>
      <c r="F12" s="211" t="str">
        <f>MID([3]SB1!GS12,1,FIND(";",[3]SB1!GS12,1)-1)</f>
        <v>106,30988</v>
      </c>
      <c r="G12" s="211" t="str">
        <f>RIGHT([3]SB1!GS12,LEN([3]SB1!GS12)-LEN(F12)-1)</f>
        <v>9,92005</v>
      </c>
      <c r="H12" s="213">
        <f>[3]SB1!GY12</f>
        <v>3</v>
      </c>
      <c r="I12" s="211" t="str">
        <f>[3]SB1!AY12</f>
        <v>1801793/2019/PTN-KĐ</v>
      </c>
      <c r="J12" s="214">
        <f>[3]SB1!HK12</f>
        <v>43497</v>
      </c>
      <c r="K12" s="214">
        <f>[3]SB1!GR12</f>
        <v>43480</v>
      </c>
      <c r="L12" s="215" t="str">
        <f>IF(H12=1,[3]SB1!HR12,IF(H12=2,[3]SB1!HR12&amp;"/"&amp;[3]SB2!HM12,IF(H12=3,[3]SB1!HR12&amp;"/"&amp;[3]SB2!HM12&amp;"/"&amp;[3]SB3!HM12,IF(H12=4,[3]SB1!HR12&amp;"/"&amp;[3]SB2!HM12&amp;"/"&amp;[3]SB3!HM12&amp;"/"&amp;[3]SB4!HM12,IF(H12=5,[3]SB1!HR12&amp;"/"&amp;[3]SB2!HM12&amp;"/"&amp;[3]SB3!HM12&amp;"/"&amp;[3]SB4!HM12&amp;"/"&amp;[3]SB5!HM12,[3]SB1!HR12&amp;"/"&amp;[3]SB2!HM12&amp;"/"&amp;[3]SB3!HM12&amp;"/"&amp;[3]SB4!HM12&amp;"/"&amp;[3]SB5!HM12&amp;"/"&amp;[3]SB6!HM12)))))</f>
        <v>TẬP ĐOÀN CÔNG NGHIỆP - VIỄN THÔNG QUÂN ĐỘI/TẬP ĐOÀN CÔNG NGHIỆP - VIỄN THÔNG QUÂN ĐỘI/TẬP ĐOÀN CÔNG NGHIỆP - VIỄN THÔNG QUÂN ĐỘI</v>
      </c>
      <c r="M12" s="216" t="str">
        <f>IF(H12=1,[3]SB1!C12,IF(H12=2,[3]SB1!C12&amp;";"&amp;[3]SB2!C12,IF(H12=3,[3]SB1!C12&amp;";"&amp;[3]SB2!C12&amp;";"&amp;[3]SB3!C12,IF(H12=4,[3]SB1!C12&amp;";"&amp;[3]SB2!C12&amp;";"&amp;[3]SB3!C12&amp;";"&amp;[3]SB4!C12,IF(H12=5,[3]SB1!C12&amp;";"&amp;[3]SB2!C12&amp;";"&amp;[3]SB3!C12&amp;";"&amp;[3]SB4!C12&amp;";"&amp;[3]SB5!C12,[3]SB1!C12&amp;";"&amp;[3]SB2!C12&amp;";"&amp;[3]SB3!C12&amp;";"&amp;[3]SB4!C12&amp;";"&amp;[3]SB5!C12&amp;";"&amp;[3]SB6!C12)))))</f>
        <v>TVH0120;TVH0120;TVH0120</v>
      </c>
      <c r="N12" s="216" t="str">
        <f>IF(H12=1,[3]SB1!K12,IF(H12=2,[3]SB1!K12&amp;";"&amp;[3]SB2!K12,IF(H12=3,[3]SB1!K12&amp;";"&amp;[3]SB2!K12&amp;";"&amp;[3]SB3!K12,IF(H12=4,[3]SB1!K12&amp;";"&amp;[3]SB2!K12&amp;";"&amp;[3]SB3!K12&amp;";"&amp;[3]SB4!K12,IF(H12=5,[3]SB1!K12&amp;";"&amp;[3]SB2!K12&amp;";"&amp;[3]SB3!K12&amp;";"&amp;[3]SB4!K12&amp;";"&amp;[3]SB5!K12,[3]SB1!K12&amp;";"&amp;[3]SB2!K12&amp;";"&amp;[3]SB3!K12&amp;";"&amp;[3]SB4!K12&amp;";"&amp;[3]SB5!K12&amp;";"&amp;[3]SB6!K12)))))</f>
        <v>NOKIA Flexi EDGE BTS;NOKIA Flexi WCDMA BTS;NSN FLEXI MULTIRADIO AIRSCALE</v>
      </c>
      <c r="O12" s="212">
        <f>[3]SB1!P12+[3]SB2!P12+[3]SB3!P12+[3]SB4!P12+[3]SB5!P12+[3]SB6!P12</f>
        <v>9</v>
      </c>
      <c r="P12" s="216" t="str">
        <f>IF(H12=1,[3]SB1!Q12,IF(H12=2,[3]SB1!Q12&amp;";"&amp;[3]SB2!Q12,IF(H12=3,[3]SB1!Q12&amp;";"&amp;[3]SB2!Q12&amp;";"&amp;[3]SB3!Q12,IF(H12=4,[3]SB1!Q12&amp;";"&amp;[3]SB2!Q12&amp;";"&amp;[3]SB3!Q12&amp;";"&amp;[3]SB4!Q12,IF(H12=5,[3]SB1!Q12&amp;";"&amp;[3]SB2!Q12&amp;";"&amp;[3]SB3!Q12&amp;";"&amp;[3]SB4!Q12&amp;";"&amp;[3]SB5!Q12,[3]SB1!Q12&amp;";"&amp;[3]SB2!Q12&amp;";"&amp;[3]SB3!Q12&amp;";"&amp;[3]SB4!Q12&amp;";"&amp;[3]SB5!Q12&amp;";"&amp;[3]SB6!Q12)))))</f>
        <v>4/4/4;2/2/2;1/1/1</v>
      </c>
      <c r="Q12" s="216" t="str">
        <f>IF(H12=1,[3]SB1!HS12,IF(H12=2,[3]SB1!HS12&amp;";"&amp;[3]SB2!HN12,IF(H12=3,[3]SB1!HS12&amp;";"&amp;[3]SB2!HN12&amp;";"&amp;[3]SB3!HN12,IF(H12=4,[3]SB1!HS12&amp;";"&amp;[3]SB2!HN12&amp;";"&amp;[3]SB3!HN12&amp;";"&amp;[3]SB4!HN12,IF(H12=5,[3]SB1!HS12&amp;";"&amp;[3]SB2!HN12&amp;";"&amp;[3]SB3!HN12&amp;";"&amp;[3]SB4!HN12&amp;";"&amp;[3]SB5!HN12,[3]SB1!HS12&amp;";"&amp;[3]SB2!HN12&amp;";"&amp;[3]SB3!HN12&amp;";"&amp;[3]SB4!HN12&amp;";"&amp;[3]SB5!HN12&amp;";"&amp;[3]SB6!HN12)))))</f>
        <v>37,24W/37,24W/37,24W;40W/40W/40W;40W/40W/40W</v>
      </c>
      <c r="R12" s="216" t="str">
        <f>IF(H12=1,[3]SB1!H12,IF(H12=2,[3]SB1!H12&amp;"/"&amp;[3]SB2!H12,IF(H12=3,[3]SB1!H12&amp;"/"&amp;[3]SB2!H12&amp;"/"&amp;[3]SB3!H12,IF(H12=4,[3]SB1!H12&amp;"/"&amp;[3]SB2!H12&amp;"/"&amp;[3]SB3!H12&amp;"/"&amp;[3]SB4!H12,IF(H12=5,[3]SB1!H12&amp;"/"&amp;[3]SB2!H12&amp;"/"&amp;[3]SB3!H12&amp;"/"&amp;[3]SB4!H12&amp;"/"&amp;[3]SB5!H12,[3]SB1!H12&amp;"/"&amp;[3]SB2!H12&amp;"/"&amp;[3]SB3!H12&amp;"/"&amp;[3]SB4!H12&amp;"/"&amp;[3]SB5!H12&amp;"/"&amp;[3]SB6!H12)))))</f>
        <v>G1800/U2100/L1800</v>
      </c>
      <c r="S12" s="216" t="str">
        <f>IF(H12=1,[3]SB1!HT12,IF(H12=2,[3]SB1!HT12&amp;";"&amp;[3]SB2!HO12,IF(H12=3,[3]SB1!HT12&amp;";"&amp;[3]SB2!HO12&amp;";"&amp;[3]SB3!HO12,IF(H12=4,[3]SB1!HT12&amp;";"&amp;[3]SB2!HO12&amp;";"&amp;[3]SB3!HO12&amp;";"&amp;[3]SB4!HO12,IF(H12=5,[3]SB1!HT12&amp;";"&amp;[3]SB2!HO12&amp;";"&amp;[3]SB3!HO12&amp;";"&amp;[3]SB4!HO12&amp;";"&amp;[3]SB5!HO12,[3]SB1!HT12&amp;";"&amp;[3]SB2!HO12&amp;";"&amp;[3]SB3!HO12&amp;";"&amp;[3]SB4!HO12&amp;";"&amp;[3]SB5!HO12&amp;";"&amp;[3]SB6!HO12)))))</f>
        <v>26m/ 26m/ 26m;28m/ 28m/ 28m;28m/ 28m/ 28m</v>
      </c>
      <c r="T12" s="215" t="str">
        <f>[3]SB1!GU12</f>
        <v>2</v>
      </c>
      <c r="U12" s="215" t="str">
        <f>IF(H12=1,[3]SB1!AS12,IF(H12=2,[3]SB1!AS12&amp;";"&amp;[3]SB2!AS12,IF(H12=3,[3]SB1!AS12&amp;";"&amp;[3]SB2!AS12&amp;";"&amp;[3]SB3!AS12,IF(H12=4,[3]SB1!AS12&amp;";"&amp;[3]SB2!AS12&amp;";"&amp;[3]SB3!AS12&amp;";"&amp;[3]SB4!AS12,IF(H12=5,[3]SB1!AS12&amp;";"&amp;[3]SB2!AS12&amp;";"&amp;[3]SB3!AS12&amp;";"&amp;[3]SB4!AS12&amp;";"&amp;[3]SB5!AS12,[3]SB1!AS12&amp;";"&amp;[3]SB2!AS12&amp;";"&amp;[3]SB3!AS12&amp;";"&amp;[3]SB4!AS12&amp;";"&amp;[3]SB5!AS12&amp;";"&amp;[3]SB6!AS12)))))</f>
        <v>Kathrein 736018;Kathrein 742215;Commscope HWXX-6516DS2-A2M</v>
      </c>
      <c r="V12" s="213" t="str">
        <f>IF([3]Source!AEE12="Yes","Có","Không")</f>
        <v>Có</v>
      </c>
      <c r="W12" s="213" t="str">
        <f>IF([3]Source!AEF12="Yes","Có","Không")</f>
        <v>Không</v>
      </c>
      <c r="X12" s="213" t="str">
        <f>[3]Source!AEG12</f>
        <v/>
      </c>
      <c r="Y12" s="213" t="str">
        <f>IF([3]Source!AEH12="Yes","Có","Không")</f>
        <v>Có</v>
      </c>
      <c r="Z12" s="217">
        <f>[3]Source!AEI12</f>
        <v>22</v>
      </c>
      <c r="AA12" s="217" t="str">
        <f>IF([3]SB1!WBZ12="","",IF([3]SB1!WBZ12=0,"Có","Không"))</f>
        <v/>
      </c>
      <c r="AB12" s="217" t="str">
        <f>IF([3]Source!ADX12="Yes","Có","Không")</f>
        <v>Không</v>
      </c>
      <c r="AC12" s="217">
        <f>MIN([3]SB1!AH12,[3]SB2!AH12,[3]SB3!AH12,[3]SB4!AH12,[3]SB5!AH12,[3]SB6!AH12)+[3]SB1!AG12</f>
        <v>26</v>
      </c>
      <c r="AD12" s="217" t="str">
        <f>IF([3]SB1!HQ12="","",[3]SB1!HQ12)</f>
        <v>4</v>
      </c>
      <c r="AE12" s="218" t="str">
        <f>IF([3]SB1!HV12="","",[3]SB1!HV12)</f>
        <v/>
      </c>
    </row>
    <row r="13" spans="1:31" s="219" customFormat="1">
      <c r="A13" s="211" t="str">
        <f>[3]SB1!HM13</f>
        <v>Viettel Trà Vinh - Chi nhánh Tập đoàn Công nghiệp - Viễn Thông Quân Đội</v>
      </c>
      <c r="B13" s="212">
        <f>[3]Source!A13</f>
        <v>10</v>
      </c>
      <c r="C13" s="212">
        <f>[3]SB1!GZ13</f>
        <v>761</v>
      </c>
      <c r="D13" s="213" t="str">
        <f>[3]SB1!GX13</f>
        <v>Ấp Phú Mỹ, xã Thanh Mỹ, huyện Châu Thành, tỉnh Trà Vinh.</v>
      </c>
      <c r="E13" s="211" t="str">
        <f>[3]SB1!GV13</f>
        <v>Trà Vinh</v>
      </c>
      <c r="F13" s="211" t="str">
        <f>MID([3]SB1!GS13,1,FIND(";",[3]SB1!GS13,1)-1)</f>
        <v>106,32915</v>
      </c>
      <c r="G13" s="211" t="str">
        <f>RIGHT([3]SB1!GS13,LEN([3]SB1!GS13)-LEN(F13)-1)</f>
        <v>9,80573</v>
      </c>
      <c r="H13" s="213">
        <f>[3]SB1!GY13</f>
        <v>2</v>
      </c>
      <c r="I13" s="211" t="str">
        <f>[3]SB1!AY13</f>
        <v>1801794/2019/PTN-KĐ</v>
      </c>
      <c r="J13" s="214">
        <f>[3]SB1!HK13</f>
        <v>43497</v>
      </c>
      <c r="K13" s="214">
        <f>[3]SB1!GR13</f>
        <v>43480</v>
      </c>
      <c r="L13" s="215" t="str">
        <f>IF(H13=1,[3]SB1!HR13,IF(H13=2,[3]SB1!HR13&amp;"/"&amp;[3]SB2!HM13,IF(H13=3,[3]SB1!HR13&amp;"/"&amp;[3]SB2!HM13&amp;"/"&amp;[3]SB3!HM13,IF(H13=4,[3]SB1!HR13&amp;"/"&amp;[3]SB2!HM13&amp;"/"&amp;[3]SB3!HM13&amp;"/"&amp;[3]SB4!HM13,IF(H13=5,[3]SB1!HR13&amp;"/"&amp;[3]SB2!HM13&amp;"/"&amp;[3]SB3!HM13&amp;"/"&amp;[3]SB4!HM13&amp;"/"&amp;[3]SB5!HM13,[3]SB1!HR13&amp;"/"&amp;[3]SB2!HM13&amp;"/"&amp;[3]SB3!HM13&amp;"/"&amp;[3]SB4!HM13&amp;"/"&amp;[3]SB5!HM13&amp;"/"&amp;[3]SB6!HM13)))))</f>
        <v>TẬP ĐOÀN CÔNG NGHIỆP - VIỄN THÔNG QUÂN ĐỘI/TẬP ĐOÀN CÔNG NGHIỆP - VIỄN THÔNG QUÂN ĐỘI</v>
      </c>
      <c r="M13" s="216" t="str">
        <f>IF(H13=1,[3]SB1!C13,IF(H13=2,[3]SB1!C13&amp;";"&amp;[3]SB2!C13,IF(H13=3,[3]SB1!C13&amp;";"&amp;[3]SB2!C13&amp;";"&amp;[3]SB3!C13,IF(H13=4,[3]SB1!C13&amp;";"&amp;[3]SB2!C13&amp;";"&amp;[3]SB3!C13&amp;";"&amp;[3]SB4!C13,IF(H13=5,[3]SB1!C13&amp;";"&amp;[3]SB2!C13&amp;";"&amp;[3]SB3!C13&amp;";"&amp;[3]SB4!C13&amp;";"&amp;[3]SB5!C13,[3]SB1!C13&amp;";"&amp;[3]SB2!C13&amp;";"&amp;[3]SB3!C13&amp;";"&amp;[3]SB4!C13&amp;";"&amp;[3]SB5!C13&amp;";"&amp;[3]SB6!C13)))))</f>
        <v>TVH0160_11;TVH0160_11</v>
      </c>
      <c r="N13" s="216" t="str">
        <f>IF(H13=1,[3]SB1!K13,IF(H13=2,[3]SB1!K13&amp;";"&amp;[3]SB2!K13,IF(H13=3,[3]SB1!K13&amp;";"&amp;[3]SB2!K13&amp;";"&amp;[3]SB3!K13,IF(H13=4,[3]SB1!K13&amp;";"&amp;[3]SB2!K13&amp;";"&amp;[3]SB3!K13&amp;";"&amp;[3]SB4!K13,IF(H13=5,[3]SB1!K13&amp;";"&amp;[3]SB2!K13&amp;";"&amp;[3]SB3!K13&amp;";"&amp;[3]SB4!K13&amp;";"&amp;[3]SB5!K13,[3]SB1!K13&amp;";"&amp;[3]SB2!K13&amp;";"&amp;[3]SB3!K13&amp;";"&amp;[3]SB4!K13&amp;";"&amp;[3]SB5!K13&amp;";"&amp;[3]SB6!K13)))))</f>
        <v>NOKIA Flexi EDGE BTS;NOKIA Flexi WCDMA BTS</v>
      </c>
      <c r="O13" s="212">
        <f>[3]SB1!P13+[3]SB2!P13+[3]SB3!P13+[3]SB4!P13+[3]SB5!P13+[3]SB6!P13</f>
        <v>8</v>
      </c>
      <c r="P13" s="216" t="str">
        <f>IF(H13=1,[3]SB1!Q13,IF(H13=2,[3]SB1!Q13&amp;";"&amp;[3]SB2!Q13,IF(H13=3,[3]SB1!Q13&amp;";"&amp;[3]SB2!Q13&amp;";"&amp;[3]SB3!Q13,IF(H13=4,[3]SB1!Q13&amp;";"&amp;[3]SB2!Q13&amp;";"&amp;[3]SB3!Q13&amp;";"&amp;[3]SB4!Q13,IF(H13=5,[3]SB1!Q13&amp;";"&amp;[3]SB2!Q13&amp;";"&amp;[3]SB3!Q13&amp;";"&amp;[3]SB4!Q13&amp;";"&amp;[3]SB5!Q13,[3]SB1!Q13&amp;";"&amp;[3]SB2!Q13&amp;";"&amp;[3]SB3!Q13&amp;";"&amp;[3]SB4!Q13&amp;";"&amp;[3]SB5!Q13&amp;";"&amp;[3]SB6!Q13)))))</f>
        <v>4/4;2/2/2</v>
      </c>
      <c r="Q13" s="216" t="str">
        <f>IF(H13=1,[3]SB1!HS13,IF(H13=2,[3]SB1!HS13&amp;";"&amp;[3]SB2!HN13,IF(H13=3,[3]SB1!HS13&amp;";"&amp;[3]SB2!HN13&amp;";"&amp;[3]SB3!HN13,IF(H13=4,[3]SB1!HS13&amp;";"&amp;[3]SB2!HN13&amp;";"&amp;[3]SB3!HN13&amp;";"&amp;[3]SB4!HN13,IF(H13=5,[3]SB1!HS13&amp;";"&amp;[3]SB2!HN13&amp;";"&amp;[3]SB3!HN13&amp;";"&amp;[3]SB4!HN13&amp;";"&amp;[3]SB5!HN13,[3]SB1!HS13&amp;";"&amp;[3]SB2!HN13&amp;";"&amp;[3]SB3!HN13&amp;";"&amp;[3]SB4!HN13&amp;";"&amp;[3]SB5!HN13&amp;";"&amp;[3]SB6!HN13)))))</f>
        <v>37,24W/37,24W;40W/40W/40W</v>
      </c>
      <c r="R13" s="216" t="str">
        <f>IF(H13=1,[3]SB1!H13,IF(H13=2,[3]SB1!H13&amp;"/"&amp;[3]SB2!H13,IF(H13=3,[3]SB1!H13&amp;"/"&amp;[3]SB2!H13&amp;"/"&amp;[3]SB3!H13,IF(H13=4,[3]SB1!H13&amp;"/"&amp;[3]SB2!H13&amp;"/"&amp;[3]SB3!H13&amp;"/"&amp;[3]SB4!H13,IF(H13=5,[3]SB1!H13&amp;"/"&amp;[3]SB2!H13&amp;"/"&amp;[3]SB3!H13&amp;"/"&amp;[3]SB4!H13&amp;"/"&amp;[3]SB5!H13,[3]SB1!H13&amp;"/"&amp;[3]SB2!H13&amp;"/"&amp;[3]SB3!H13&amp;"/"&amp;[3]SB4!H13&amp;"/"&amp;[3]SB5!H13&amp;"/"&amp;[3]SB6!H13)))))</f>
        <v>G900/U2100</v>
      </c>
      <c r="S13" s="216" t="str">
        <f>IF(H13=1,[3]SB1!HT13,IF(H13=2,[3]SB1!HT13&amp;";"&amp;[3]SB2!HO13,IF(H13=3,[3]SB1!HT13&amp;";"&amp;[3]SB2!HO13&amp;";"&amp;[3]SB3!HO13,IF(H13=4,[3]SB1!HT13&amp;";"&amp;[3]SB2!HO13&amp;";"&amp;[3]SB3!HO13&amp;";"&amp;[3]SB4!HO13,IF(H13=5,[3]SB1!HT13&amp;";"&amp;[3]SB2!HO13&amp;";"&amp;[3]SB3!HO13&amp;";"&amp;[3]SB4!HO13&amp;";"&amp;[3]SB5!HO13,[3]SB1!HT13&amp;";"&amp;[3]SB2!HO13&amp;";"&amp;[3]SB3!HO13&amp;";"&amp;[3]SB4!HO13&amp;";"&amp;[3]SB5!HO13&amp;";"&amp;[3]SB6!HO13)))))</f>
        <v>30m/ 30m;34m/ 34m/ 34m</v>
      </c>
      <c r="T13" s="215" t="str">
        <f>[3]SB1!GU13</f>
        <v>1</v>
      </c>
      <c r="U13" s="215" t="str">
        <f>IF(H13=1,[3]SB1!AS13,IF(H13=2,[3]SB1!AS13&amp;";"&amp;[3]SB2!AS13,IF(H13=3,[3]SB1!AS13&amp;";"&amp;[3]SB2!AS13&amp;";"&amp;[3]SB3!AS13,IF(H13=4,[3]SB1!AS13&amp;";"&amp;[3]SB2!AS13&amp;";"&amp;[3]SB3!AS13&amp;";"&amp;[3]SB4!AS13,IF(H13=5,[3]SB1!AS13&amp;";"&amp;[3]SB2!AS13&amp;";"&amp;[3]SB3!AS13&amp;";"&amp;[3]SB4!AS13&amp;";"&amp;[3]SB5!AS13,[3]SB1!AS13&amp;";"&amp;[3]SB2!AS13&amp;";"&amp;[3]SB3!AS13&amp;";"&amp;[3]SB4!AS13&amp;";"&amp;[3]SB5!AS13&amp;";"&amp;[3]SB6!AS13)))))</f>
        <v>Kathrein 739636;Kathrein 742215</v>
      </c>
      <c r="V13" s="213" t="str">
        <f>IF([3]Source!AEE13="Yes","Có","Không")</f>
        <v>Có</v>
      </c>
      <c r="W13" s="213" t="str">
        <f>IF([3]Source!AEF13="Yes","Có","Không")</f>
        <v>Không</v>
      </c>
      <c r="X13" s="213" t="str">
        <f>[3]Source!AEG13</f>
        <v/>
      </c>
      <c r="Y13" s="213" t="str">
        <f>IF([3]Source!AEH13="Yes","Có","Không")</f>
        <v>Có</v>
      </c>
      <c r="Z13" s="217">
        <f>[3]Source!AEI13</f>
        <v>26</v>
      </c>
      <c r="AA13" s="217" t="str">
        <f>IF([3]SB1!WBZ13="","",IF([3]SB1!WBZ13=0,"Có","Không"))</f>
        <v/>
      </c>
      <c r="AB13" s="217" t="str">
        <f>IF([3]Source!ADX13="Yes","Có","Không")</f>
        <v>Không</v>
      </c>
      <c r="AC13" s="217">
        <f>MIN([3]SB1!AH13,[3]SB2!AH13,[3]SB3!AH13,[3]SB4!AH13,[3]SB5!AH13,[3]SB6!AH13)+[3]SB1!AG13</f>
        <v>30</v>
      </c>
      <c r="AD13" s="217" t="str">
        <f>IF([3]SB1!HQ13="","",[3]SB1!HQ13)</f>
        <v>4</v>
      </c>
      <c r="AE13" s="218" t="str">
        <f>IF([3]SB1!HV13="","",[3]SB1!HV13)</f>
        <v/>
      </c>
    </row>
    <row r="14" spans="1:31" s="219" customFormat="1">
      <c r="A14" s="211" t="str">
        <f>[3]SB1!HM14</f>
        <v>Viettel Trà Vinh - Chi nhánh Tập đoàn Công nghiệp - Viễn Thông Quân Đội</v>
      </c>
      <c r="B14" s="212">
        <f>[3]Source!A14</f>
        <v>11</v>
      </c>
      <c r="C14" s="212">
        <f>[3]SB1!GZ14</f>
        <v>761</v>
      </c>
      <c r="D14" s="213" t="str">
        <f>[3]SB1!GX14</f>
        <v>Khóm Mỹ Cẩm A, thị trấn Cầu Ngang, huyện Cầu Ngang, tỉnh Trà Vinh.</v>
      </c>
      <c r="E14" s="211" t="str">
        <f>[3]SB1!GV14</f>
        <v>Trà Vinh</v>
      </c>
      <c r="F14" s="211" t="str">
        <f>MID([3]SB1!GS14,1,FIND(";",[3]SB1!GS14,1)-1)</f>
        <v>106,45112</v>
      </c>
      <c r="G14" s="211" t="str">
        <f>RIGHT([3]SB1!GS14,LEN([3]SB1!GS14)-LEN(F14)-1)</f>
        <v>9,80120</v>
      </c>
      <c r="H14" s="213">
        <f>[3]SB1!GY14</f>
        <v>3</v>
      </c>
      <c r="I14" s="211" t="str">
        <f>[3]SB1!AY14</f>
        <v>1801795/2019/PTN-KĐ</v>
      </c>
      <c r="J14" s="214">
        <f>[3]SB1!HK14</f>
        <v>43497</v>
      </c>
      <c r="K14" s="214">
        <f>[3]SB1!GR14</f>
        <v>43480</v>
      </c>
      <c r="L14" s="215" t="str">
        <f>IF(H14=1,[3]SB1!HR14,IF(H14=2,[3]SB1!HR14&amp;"/"&amp;[3]SB2!HM14,IF(H14=3,[3]SB1!HR14&amp;"/"&amp;[3]SB2!HM14&amp;"/"&amp;[3]SB3!HM14,IF(H14=4,[3]SB1!HR14&amp;"/"&amp;[3]SB2!HM14&amp;"/"&amp;[3]SB3!HM14&amp;"/"&amp;[3]SB4!HM14,IF(H14=5,[3]SB1!HR14&amp;"/"&amp;[3]SB2!HM14&amp;"/"&amp;[3]SB3!HM14&amp;"/"&amp;[3]SB4!HM14&amp;"/"&amp;[3]SB5!HM14,[3]SB1!HR14&amp;"/"&amp;[3]SB2!HM14&amp;"/"&amp;[3]SB3!HM14&amp;"/"&amp;[3]SB4!HM14&amp;"/"&amp;[3]SB5!HM14&amp;"/"&amp;[3]SB6!HM14)))))</f>
        <v>TẬP ĐOÀN CÔNG NGHIỆP - VIỄN THÔNG QUÂN ĐỘI/TẬP ĐOÀN CÔNG NGHIỆP - VIỄN THÔNG QUÂN ĐỘI/TẬP ĐOÀN CÔNG NGHIỆP - VIỄN THÔNG QUÂN ĐỘI</v>
      </c>
      <c r="M14" s="216" t="str">
        <f>IF(H14=1,[3]SB1!C14,IF(H14=2,[3]SB1!C14&amp;";"&amp;[3]SB2!C14,IF(H14=3,[3]SB1!C14&amp;";"&amp;[3]SB2!C14&amp;";"&amp;[3]SB3!C14,IF(H14=4,[3]SB1!C14&amp;";"&amp;[3]SB2!C14&amp;";"&amp;[3]SB3!C14&amp;";"&amp;[3]SB4!C14,IF(H14=5,[3]SB1!C14&amp;";"&amp;[3]SB2!C14&amp;";"&amp;[3]SB3!C14&amp;";"&amp;[3]SB4!C14&amp;";"&amp;[3]SB5!C14,[3]SB1!C14&amp;";"&amp;[3]SB2!C14&amp;";"&amp;[3]SB3!C14&amp;";"&amp;[3]SB4!C14&amp;";"&amp;[3]SB5!C14&amp;";"&amp;[3]SB6!C14)))))</f>
        <v>TVH0199;TVH0199;TVH0199</v>
      </c>
      <c r="N14" s="216" t="str">
        <f>IF(H14=1,[3]SB1!K14,IF(H14=2,[3]SB1!K14&amp;";"&amp;[3]SB2!K14,IF(H14=3,[3]SB1!K14&amp;";"&amp;[3]SB2!K14&amp;";"&amp;[3]SB3!K14,IF(H14=4,[3]SB1!K14&amp;";"&amp;[3]SB2!K14&amp;";"&amp;[3]SB3!K14&amp;";"&amp;[3]SB4!K14,IF(H14=5,[3]SB1!K14&amp;";"&amp;[3]SB2!K14&amp;";"&amp;[3]SB3!K14&amp;";"&amp;[3]SB4!K14&amp;";"&amp;[3]SB5!K14,[3]SB1!K14&amp;";"&amp;[3]SB2!K14&amp;";"&amp;[3]SB3!K14&amp;";"&amp;[3]SB4!K14&amp;";"&amp;[3]SB5!K14&amp;";"&amp;[3]SB6!K14)))))</f>
        <v>NOKIA Flexi EDGE BTS;NOKIA Flexi WCDMA BTS;NSN FLEXI MULTIRADIO AIRSCALE</v>
      </c>
      <c r="O14" s="212">
        <f>[3]SB1!P14+[3]SB2!P14+[3]SB3!P14+[3]SB4!P14+[3]SB5!P14+[3]SB6!P14</f>
        <v>9</v>
      </c>
      <c r="P14" s="216" t="str">
        <f>IF(H14=1,[3]SB1!Q14,IF(H14=2,[3]SB1!Q14&amp;";"&amp;[3]SB2!Q14,IF(H14=3,[3]SB1!Q14&amp;";"&amp;[3]SB2!Q14&amp;";"&amp;[3]SB3!Q14,IF(H14=4,[3]SB1!Q14&amp;";"&amp;[3]SB2!Q14&amp;";"&amp;[3]SB3!Q14&amp;";"&amp;[3]SB4!Q14,IF(H14=5,[3]SB1!Q14&amp;";"&amp;[3]SB2!Q14&amp;";"&amp;[3]SB3!Q14&amp;";"&amp;[3]SB4!Q14&amp;";"&amp;[3]SB5!Q14,[3]SB1!Q14&amp;";"&amp;[3]SB2!Q14&amp;";"&amp;[3]SB3!Q14&amp;";"&amp;[3]SB4!Q14&amp;";"&amp;[3]SB5!Q14&amp;";"&amp;[3]SB6!Q14)))))</f>
        <v>4/4/4;2/2/2;1/1/1</v>
      </c>
      <c r="Q14" s="216" t="str">
        <f>IF(H14=1,[3]SB1!HS14,IF(H14=2,[3]SB1!HS14&amp;";"&amp;[3]SB2!HN14,IF(H14=3,[3]SB1!HS14&amp;";"&amp;[3]SB2!HN14&amp;";"&amp;[3]SB3!HN14,IF(H14=4,[3]SB1!HS14&amp;";"&amp;[3]SB2!HN14&amp;";"&amp;[3]SB3!HN14&amp;";"&amp;[3]SB4!HN14,IF(H14=5,[3]SB1!HS14&amp;";"&amp;[3]SB2!HN14&amp;";"&amp;[3]SB3!HN14&amp;";"&amp;[3]SB4!HN14&amp;";"&amp;[3]SB5!HN14,[3]SB1!HS14&amp;";"&amp;[3]SB2!HN14&amp;";"&amp;[3]SB3!HN14&amp;";"&amp;[3]SB4!HN14&amp;";"&amp;[3]SB5!HN14&amp;";"&amp;[3]SB6!HN14)))))</f>
        <v>37,24W/37,24W/37,24W;40W/40W/40W;40W/40W/40W</v>
      </c>
      <c r="R14" s="216" t="str">
        <f>IF(H14=1,[3]SB1!H14,IF(H14=2,[3]SB1!H14&amp;"/"&amp;[3]SB2!H14,IF(H14=3,[3]SB1!H14&amp;"/"&amp;[3]SB2!H14&amp;"/"&amp;[3]SB3!H14,IF(H14=4,[3]SB1!H14&amp;"/"&amp;[3]SB2!H14&amp;"/"&amp;[3]SB3!H14&amp;"/"&amp;[3]SB4!H14,IF(H14=5,[3]SB1!H14&amp;"/"&amp;[3]SB2!H14&amp;"/"&amp;[3]SB3!H14&amp;"/"&amp;[3]SB4!H14&amp;"/"&amp;[3]SB5!H14,[3]SB1!H14&amp;"/"&amp;[3]SB2!H14&amp;"/"&amp;[3]SB3!H14&amp;"/"&amp;[3]SB4!H14&amp;"/"&amp;[3]SB5!H14&amp;"/"&amp;[3]SB6!H14)))))</f>
        <v>G1800/U2100/L1800</v>
      </c>
      <c r="S14" s="216" t="str">
        <f>IF(H14=1,[3]SB1!HT14,IF(H14=2,[3]SB1!HT14&amp;";"&amp;[3]SB2!HO14,IF(H14=3,[3]SB1!HT14&amp;";"&amp;[3]SB2!HO14&amp;";"&amp;[3]SB3!HO14,IF(H14=4,[3]SB1!HT14&amp;";"&amp;[3]SB2!HO14&amp;";"&amp;[3]SB3!HO14&amp;";"&amp;[3]SB4!HO14,IF(H14=5,[3]SB1!HT14&amp;";"&amp;[3]SB2!HO14&amp;";"&amp;[3]SB3!HO14&amp;";"&amp;[3]SB4!HO14&amp;";"&amp;[3]SB5!HO14,[3]SB1!HT14&amp;";"&amp;[3]SB2!HO14&amp;";"&amp;[3]SB3!HO14&amp;";"&amp;[3]SB4!HO14&amp;";"&amp;[3]SB5!HO14&amp;";"&amp;[3]SB6!HO14)))))</f>
        <v>25m/ 25m/ 25m;27m/ 27m/ 27m;27m/ 27m/ 27m</v>
      </c>
      <c r="T14" s="215" t="str">
        <f>[3]SB1!GU14</f>
        <v>1</v>
      </c>
      <c r="U14" s="215" t="str">
        <f>IF(H14=1,[3]SB1!AS14,IF(H14=2,[3]SB1!AS14&amp;";"&amp;[3]SB2!AS14,IF(H14=3,[3]SB1!AS14&amp;";"&amp;[3]SB2!AS14&amp;";"&amp;[3]SB3!AS14,IF(H14=4,[3]SB1!AS14&amp;";"&amp;[3]SB2!AS14&amp;";"&amp;[3]SB3!AS14&amp;";"&amp;[3]SB4!AS14,IF(H14=5,[3]SB1!AS14&amp;";"&amp;[3]SB2!AS14&amp;";"&amp;[3]SB3!AS14&amp;";"&amp;[3]SB4!AS14&amp;";"&amp;[3]SB5!AS14,[3]SB1!AS14&amp;";"&amp;[3]SB2!AS14&amp;";"&amp;[3]SB3!AS14&amp;";"&amp;[3]SB4!AS14&amp;";"&amp;[3]SB5!AS14&amp;";"&amp;[3]SB6!AS14)))))</f>
        <v>Kathrein 736018;Kathrein 742215;Commscope HWXX-6516DS2-A2M</v>
      </c>
      <c r="V14" s="213" t="str">
        <f>IF([3]Source!AEE14="Yes","Có","Không")</f>
        <v>Có</v>
      </c>
      <c r="W14" s="213" t="str">
        <f>IF([3]Source!AEF14="Yes","Có","Không")</f>
        <v>Không</v>
      </c>
      <c r="X14" s="213" t="str">
        <f>[3]Source!AEG14</f>
        <v/>
      </c>
      <c r="Y14" s="213" t="str">
        <f>IF([3]Source!AEH14="Yes","Có","Không")</f>
        <v>Có</v>
      </c>
      <c r="Z14" s="217">
        <f>[3]Source!AEI14</f>
        <v>17</v>
      </c>
      <c r="AA14" s="217" t="str">
        <f>IF([3]SB1!WBZ14="","",IF([3]SB1!WBZ14=0,"Có","Không"))</f>
        <v/>
      </c>
      <c r="AB14" s="217" t="str">
        <f>IF([3]Source!ADX14="Yes","Có","Không")</f>
        <v>Không</v>
      </c>
      <c r="AC14" s="217">
        <f>MIN([3]SB1!AH14,[3]SB2!AH14,[3]SB3!AH14,[3]SB4!AH14,[3]SB5!AH14,[3]SB6!AH14)+[3]SB1!AG14</f>
        <v>25</v>
      </c>
      <c r="AD14" s="217" t="str">
        <f>IF([3]SB1!HQ14="","",[3]SB1!HQ14)</f>
        <v>8</v>
      </c>
      <c r="AE14" s="218" t="str">
        <f>IF([3]SB1!HV14="","",[3]SB1!HV14)</f>
        <v/>
      </c>
    </row>
    <row r="15" spans="1:31" s="219" customFormat="1">
      <c r="A15" s="211" t="str">
        <f>[3]SB1!HM15</f>
        <v>Viettel Trà Vinh - Chi nhánh Tập đoàn Công nghiệp - Viễn Thông Quân Đội</v>
      </c>
      <c r="B15" s="212">
        <f>[3]Source!A15</f>
        <v>12</v>
      </c>
      <c r="C15" s="212">
        <f>[3]SB1!GZ15</f>
        <v>761</v>
      </c>
      <c r="D15" s="213" t="str">
        <f>[3]SB1!GX15</f>
        <v>Khóm 4, thị trấn Trà Cú, huyện Trà Cú, tỉnh Trà Vinh.</v>
      </c>
      <c r="E15" s="211" t="str">
        <f>[3]SB1!GV15</f>
        <v>Trà Vinh</v>
      </c>
      <c r="F15" s="211" t="str">
        <f>MID([3]SB1!GS15,1,FIND(";",[3]SB1!GS15,1)-1)</f>
        <v>106,26044</v>
      </c>
      <c r="G15" s="211" t="str">
        <f>RIGHT([3]SB1!GS15,LEN([3]SB1!GS15)-LEN(F15)-1)</f>
        <v>9,69028</v>
      </c>
      <c r="H15" s="213">
        <f>[3]SB1!GY15</f>
        <v>4</v>
      </c>
      <c r="I15" s="211" t="str">
        <f>[3]SB1!AY15</f>
        <v>1801796/2019/PTN-KĐ</v>
      </c>
      <c r="J15" s="214">
        <f>[3]SB1!HK15</f>
        <v>43497</v>
      </c>
      <c r="K15" s="214">
        <f>[3]SB1!GR15</f>
        <v>43480</v>
      </c>
      <c r="L15" s="215" t="str">
        <f>IF(H15=1,[3]SB1!HR15,IF(H15=2,[3]SB1!HR15&amp;"/"&amp;[3]SB2!HM15,IF(H15=3,[3]SB1!HR15&amp;"/"&amp;[3]SB2!HM15&amp;"/"&amp;[3]SB3!HM15,IF(H15=4,[3]SB1!HR15&amp;"/"&amp;[3]SB2!HM15&amp;"/"&amp;[3]SB3!HM15&amp;"/"&amp;[3]SB4!HM15,IF(H15=5,[3]SB1!HR15&amp;"/"&amp;[3]SB2!HM15&amp;"/"&amp;[3]SB3!HM15&amp;"/"&amp;[3]SB4!HM15&amp;"/"&amp;[3]SB5!HM15,[3]SB1!HR15&amp;"/"&amp;[3]SB2!HM15&amp;"/"&amp;[3]SB3!HM15&amp;"/"&amp;[3]SB4!HM15&amp;"/"&amp;[3]SB5!HM15&amp;"/"&amp;[3]SB6!HM15)))))</f>
        <v>TẬP ĐOÀN CÔNG NGHIỆP - VIỄN THÔNG QUÂN ĐỘI/TẬP ĐOÀN CÔNG NGHIỆP - VIỄN THÔNG QUÂN ĐỘI/TẬP ĐOÀN CÔNG NGHIỆP - VIỄN THÔNG QUÂN ĐỘI/TẬP ĐOÀN CÔNG NGHIỆP - VIỄN THÔNG QUÂN ĐỘI</v>
      </c>
      <c r="M15" s="216" t="str">
        <f>IF(H15=1,[3]SB1!C15,IF(H15=2,[3]SB1!C15&amp;";"&amp;[3]SB2!C15,IF(H15=3,[3]SB1!C15&amp;";"&amp;[3]SB2!C15&amp;";"&amp;[3]SB3!C15,IF(H15=4,[3]SB1!C15&amp;";"&amp;[3]SB2!C15&amp;";"&amp;[3]SB3!C15&amp;";"&amp;[3]SB4!C15,IF(H15=5,[3]SB1!C15&amp;";"&amp;[3]SB2!C15&amp;";"&amp;[3]SB3!C15&amp;";"&amp;[3]SB4!C15&amp;";"&amp;[3]SB5!C15,[3]SB1!C15&amp;";"&amp;[3]SB2!C15&amp;";"&amp;[3]SB3!C15&amp;";"&amp;[3]SB4!C15&amp;";"&amp;[3]SB5!C15&amp;";"&amp;[3]SB6!C15)))))</f>
        <v>TVH0009;TVH0009;TVH0009;TVH0009</v>
      </c>
      <c r="N15" s="216" t="str">
        <f>IF(H15=1,[3]SB1!K15,IF(H15=2,[3]SB1!K15&amp;";"&amp;[3]SB2!K15,IF(H15=3,[3]SB1!K15&amp;";"&amp;[3]SB2!K15&amp;";"&amp;[3]SB3!K15,IF(H15=4,[3]SB1!K15&amp;";"&amp;[3]SB2!K15&amp;";"&amp;[3]SB3!K15&amp;";"&amp;[3]SB4!K15,IF(H15=5,[3]SB1!K15&amp;";"&amp;[3]SB2!K15&amp;";"&amp;[3]SB3!K15&amp;";"&amp;[3]SB4!K15&amp;";"&amp;[3]SB5!K15,[3]SB1!K15&amp;";"&amp;[3]SB2!K15&amp;";"&amp;[3]SB3!K15&amp;";"&amp;[3]SB4!K15&amp;";"&amp;[3]SB5!K15&amp;";"&amp;[3]SB6!K15)))))</f>
        <v>NOKIA Flexi EDGE BTS;NOKIA Flexi EDGE BTS;NOKIA Flexi WCDMA BTS;NSN FLEXI MULTIRADIO AIRSCALE</v>
      </c>
      <c r="O15" s="212">
        <f>[3]SB1!P15+[3]SB2!P15+[3]SB3!P15+[3]SB4!P15+[3]SB5!P15+[3]SB6!P15</f>
        <v>13</v>
      </c>
      <c r="P15" s="216" t="str">
        <f>IF(H15=1,[3]SB1!Q15,IF(H15=2,[3]SB1!Q15&amp;";"&amp;[3]SB2!Q15,IF(H15=3,[3]SB1!Q15&amp;";"&amp;[3]SB2!Q15&amp;";"&amp;[3]SB3!Q15,IF(H15=4,[3]SB1!Q15&amp;";"&amp;[3]SB2!Q15&amp;";"&amp;[3]SB3!Q15&amp;";"&amp;[3]SB4!Q15,IF(H15=5,[3]SB1!Q15&amp;";"&amp;[3]SB2!Q15&amp;";"&amp;[3]SB3!Q15&amp;";"&amp;[3]SB4!Q15&amp;";"&amp;[3]SB5!Q15,[3]SB1!Q15&amp;";"&amp;[3]SB2!Q15&amp;";"&amp;[3]SB3!Q15&amp;";"&amp;[3]SB4!Q15&amp;";"&amp;[3]SB5!Q15&amp;";"&amp;[3]SB6!Q15)))))</f>
        <v>4/4/4;4/4/4;2/2/2/2;1/1/1</v>
      </c>
      <c r="Q15" s="216" t="str">
        <f>IF(H15=1,[3]SB1!HS15,IF(H15=2,[3]SB1!HS15&amp;";"&amp;[3]SB2!HN15,IF(H15=3,[3]SB1!HS15&amp;";"&amp;[3]SB2!HN15&amp;";"&amp;[3]SB3!HN15,IF(H15=4,[3]SB1!HS15&amp;";"&amp;[3]SB2!HN15&amp;";"&amp;[3]SB3!HN15&amp;";"&amp;[3]SB4!HN15,IF(H15=5,[3]SB1!HS15&amp;";"&amp;[3]SB2!HN15&amp;";"&amp;[3]SB3!HN15&amp;";"&amp;[3]SB4!HN15&amp;";"&amp;[3]SB5!HN15,[3]SB1!HS15&amp;";"&amp;[3]SB2!HN15&amp;";"&amp;[3]SB3!HN15&amp;";"&amp;[3]SB4!HN15&amp;";"&amp;[3]SB5!HN15&amp;";"&amp;[3]SB6!HN15)))))</f>
        <v>37,24W/37,24W/37,24W;37,24W/37,24W/37,24W;40W/40W/40W/40W;40W/40W/40W</v>
      </c>
      <c r="R15" s="216" t="str">
        <f>IF(H15=1,[3]SB1!H15,IF(H15=2,[3]SB1!H15&amp;"/"&amp;[3]SB2!H15,IF(H15=3,[3]SB1!H15&amp;"/"&amp;[3]SB2!H15&amp;"/"&amp;[3]SB3!H15,IF(H15=4,[3]SB1!H15&amp;"/"&amp;[3]SB2!H15&amp;"/"&amp;[3]SB3!H15&amp;"/"&amp;[3]SB4!H15,IF(H15=5,[3]SB1!H15&amp;"/"&amp;[3]SB2!H15&amp;"/"&amp;[3]SB3!H15&amp;"/"&amp;[3]SB4!H15&amp;"/"&amp;[3]SB5!H15,[3]SB1!H15&amp;"/"&amp;[3]SB2!H15&amp;"/"&amp;[3]SB3!H15&amp;"/"&amp;[3]SB4!H15&amp;"/"&amp;[3]SB5!H15&amp;"/"&amp;[3]SB6!H15)))))</f>
        <v>G900/G1800/U2100/L1800</v>
      </c>
      <c r="S15" s="216" t="str">
        <f>IF(H15=1,[3]SB1!HT15,IF(H15=2,[3]SB1!HT15&amp;";"&amp;[3]SB2!HO15,IF(H15=3,[3]SB1!HT15&amp;";"&amp;[3]SB2!HO15&amp;";"&amp;[3]SB3!HO15,IF(H15=4,[3]SB1!HT15&amp;";"&amp;[3]SB2!HO15&amp;";"&amp;[3]SB3!HO15&amp;";"&amp;[3]SB4!HO15,IF(H15=5,[3]SB1!HT15&amp;";"&amp;[3]SB2!HO15&amp;";"&amp;[3]SB3!HO15&amp;";"&amp;[3]SB4!HO15&amp;";"&amp;[3]SB5!HO15,[3]SB1!HT15&amp;";"&amp;[3]SB2!HO15&amp;";"&amp;[3]SB3!HO15&amp;";"&amp;[3]SB4!HO15&amp;";"&amp;[3]SB5!HO15&amp;";"&amp;[3]SB6!HO15)))))</f>
        <v>41m/ 41m/ 41m;29m/ 29m/ 29m;54m/ 54m/ 54m/ 54m;54m/ 54m/ 54m</v>
      </c>
      <c r="T15" s="215" t="str">
        <f>[3]SB1!GU15</f>
        <v>1</v>
      </c>
      <c r="U15" s="215" t="str">
        <f>IF(H15=1,[3]SB1!AS15,IF(H15=2,[3]SB1!AS15&amp;";"&amp;[3]SB2!AS15,IF(H15=3,[3]SB1!AS15&amp;";"&amp;[3]SB2!AS15&amp;";"&amp;[3]SB3!AS15,IF(H15=4,[3]SB1!AS15&amp;";"&amp;[3]SB2!AS15&amp;";"&amp;[3]SB3!AS15&amp;";"&amp;[3]SB4!AS15,IF(H15=5,[3]SB1!AS15&amp;";"&amp;[3]SB2!AS15&amp;";"&amp;[3]SB3!AS15&amp;";"&amp;[3]SB4!AS15&amp;";"&amp;[3]SB5!AS15,[3]SB1!AS15&amp;";"&amp;[3]SB2!AS15&amp;";"&amp;[3]SB3!AS15&amp;";"&amp;[3]SB4!AS15&amp;";"&amp;[3]SB5!AS15&amp;";"&amp;[3]SB6!AS15)))))</f>
        <v>Kathrein 739636;Kathrein 736018;Kathrein 742215;Commscope HWXX-6516DS2-A2M</v>
      </c>
      <c r="V15" s="213" t="str">
        <f>IF([3]Source!AEE15="Yes","Có","Không")</f>
        <v>Có</v>
      </c>
      <c r="W15" s="213" t="str">
        <f>IF([3]Source!AEF15="Yes","Có","Không")</f>
        <v>Không</v>
      </c>
      <c r="X15" s="213" t="str">
        <f>[3]Source!AEG15</f>
        <v/>
      </c>
      <c r="Y15" s="213" t="str">
        <f>IF([3]Source!AEH15="Yes","Có","Không")</f>
        <v>Có</v>
      </c>
      <c r="Z15" s="217">
        <f>[3]Source!AEI15</f>
        <v>21</v>
      </c>
      <c r="AA15" s="217" t="str">
        <f>IF([3]SB1!WBZ15="","",IF([3]SB1!WBZ15=0,"Có","Không"))</f>
        <v/>
      </c>
      <c r="AB15" s="217" t="str">
        <f>IF([3]Source!ADX15="Yes","Có","Không")</f>
        <v>Không</v>
      </c>
      <c r="AC15" s="217">
        <f>MIN([3]SB1!AH15,[3]SB2!AH15,[3]SB3!AH15,[3]SB4!AH15,[3]SB5!AH15,[3]SB6!AH15)+[3]SB1!AG15</f>
        <v>29</v>
      </c>
      <c r="AD15" s="217" t="str">
        <f>IF([3]SB1!HQ15="","",[3]SB1!HQ15)</f>
        <v>8</v>
      </c>
      <c r="AE15" s="218" t="str">
        <f>IF([3]SB1!HV15="","",[3]SB1!HV15)</f>
        <v/>
      </c>
    </row>
    <row r="16" spans="1:31" s="219" customFormat="1">
      <c r="A16" s="211" t="str">
        <f>[3]SB1!HM16</f>
        <v>Viettel Trà Vinh - Chi nhánh Tập đoàn Công nghiệp - Viễn Thông Quân Đội</v>
      </c>
      <c r="B16" s="212">
        <f>[3]Source!A16</f>
        <v>13</v>
      </c>
      <c r="C16" s="212">
        <f>[3]SB1!GZ16</f>
        <v>761</v>
      </c>
      <c r="D16" s="213" t="str">
        <f>[3]SB1!GX16</f>
        <v>Số 165/22, quốc lộ 60, khóm 3, thị trấn Tiểu Cần, huyện Tiểu Cần, tỉnh Trà Vinh.</v>
      </c>
      <c r="E16" s="211" t="str">
        <f>[3]SB1!GV16</f>
        <v>Trà Vinh</v>
      </c>
      <c r="F16" s="211" t="str">
        <f>MID([3]SB1!GS16,1,FIND(";",[3]SB1!GS16,1)-1)</f>
        <v>106,18841</v>
      </c>
      <c r="G16" s="211" t="str">
        <f>RIGHT([3]SB1!GS16,LEN([3]SB1!GS16)-LEN(F16)-1)</f>
        <v>9,80868</v>
      </c>
      <c r="H16" s="213">
        <f>[3]SB1!GY16</f>
        <v>4</v>
      </c>
      <c r="I16" s="211" t="str">
        <f>[3]SB1!AY16</f>
        <v>1801797/2019/PTN-KĐ</v>
      </c>
      <c r="J16" s="214">
        <f>[3]SB1!HK16</f>
        <v>43497</v>
      </c>
      <c r="K16" s="214">
        <f>[3]SB1!GR16</f>
        <v>43481</v>
      </c>
      <c r="L16" s="215" t="str">
        <f>IF(H16=1,[3]SB1!HR16,IF(H16=2,[3]SB1!HR16&amp;"/"&amp;[3]SB2!HM16,IF(H16=3,[3]SB1!HR16&amp;"/"&amp;[3]SB2!HM16&amp;"/"&amp;[3]SB3!HM16,IF(H16=4,[3]SB1!HR16&amp;"/"&amp;[3]SB2!HM16&amp;"/"&amp;[3]SB3!HM16&amp;"/"&amp;[3]SB4!HM16,IF(H16=5,[3]SB1!HR16&amp;"/"&amp;[3]SB2!HM16&amp;"/"&amp;[3]SB3!HM16&amp;"/"&amp;[3]SB4!HM16&amp;"/"&amp;[3]SB5!HM16,[3]SB1!HR16&amp;"/"&amp;[3]SB2!HM16&amp;"/"&amp;[3]SB3!HM16&amp;"/"&amp;[3]SB4!HM16&amp;"/"&amp;[3]SB5!HM16&amp;"/"&amp;[3]SB6!HM16)))))</f>
        <v>TẬP ĐOÀN CÔNG NGHIỆP - VIỄN THÔNG QUÂN ĐỘI/TẬP ĐOÀN CÔNG NGHIỆP - VIỄN THÔNG QUÂN ĐỘI/TẬP ĐOÀN CÔNG NGHIỆP - VIỄN THÔNG QUÂN ĐỘI/TẬP ĐOÀN CÔNG NGHIỆP - VIỄN THÔNG QUÂN ĐỘI</v>
      </c>
      <c r="M16" s="216" t="str">
        <f>IF(H16=1,[3]SB1!C16,IF(H16=2,[3]SB1!C16&amp;";"&amp;[3]SB2!C16,IF(H16=3,[3]SB1!C16&amp;";"&amp;[3]SB2!C16&amp;";"&amp;[3]SB3!C16,IF(H16=4,[3]SB1!C16&amp;";"&amp;[3]SB2!C16&amp;";"&amp;[3]SB3!C16&amp;";"&amp;[3]SB4!C16,IF(H16=5,[3]SB1!C16&amp;";"&amp;[3]SB2!C16&amp;";"&amp;[3]SB3!C16&amp;";"&amp;[3]SB4!C16&amp;";"&amp;[3]SB5!C16,[3]SB1!C16&amp;";"&amp;[3]SB2!C16&amp;";"&amp;[3]SB3!C16&amp;";"&amp;[3]SB4!C16&amp;";"&amp;[3]SB5!C16&amp;";"&amp;[3]SB6!C16)))))</f>
        <v>TVH0002;TVH0002;TVH0002;TVH0002</v>
      </c>
      <c r="N16" s="216" t="str">
        <f>IF(H16=1,[3]SB1!K16,IF(H16=2,[3]SB1!K16&amp;";"&amp;[3]SB2!K16,IF(H16=3,[3]SB1!K16&amp;";"&amp;[3]SB2!K16&amp;";"&amp;[3]SB3!K16,IF(H16=4,[3]SB1!K16&amp;";"&amp;[3]SB2!K16&amp;";"&amp;[3]SB3!K16&amp;";"&amp;[3]SB4!K16,IF(H16=5,[3]SB1!K16&amp;";"&amp;[3]SB2!K16&amp;";"&amp;[3]SB3!K16&amp;";"&amp;[3]SB4!K16&amp;";"&amp;[3]SB5!K16,[3]SB1!K16&amp;";"&amp;[3]SB2!K16&amp;";"&amp;[3]SB3!K16&amp;";"&amp;[3]SB4!K16&amp;";"&amp;[3]SB5!K16&amp;";"&amp;[3]SB6!K16)))))</f>
        <v>NOKIA Flexi EDGE BTS;NOKIA Flexi EDGE BTS;NOKIA Flexi WCDMA BTS;NSN FLEXI MULTIRADIO AIRSCALE</v>
      </c>
      <c r="O16" s="212">
        <f>[3]SB1!P16+[3]SB2!P16+[3]SB3!P16+[3]SB4!P16+[3]SB5!P16+[3]SB6!P16</f>
        <v>12</v>
      </c>
      <c r="P16" s="216" t="str">
        <f>IF(H16=1,[3]SB1!Q16,IF(H16=2,[3]SB1!Q16&amp;";"&amp;[3]SB2!Q16,IF(H16=3,[3]SB1!Q16&amp;";"&amp;[3]SB2!Q16&amp;";"&amp;[3]SB3!Q16,IF(H16=4,[3]SB1!Q16&amp;";"&amp;[3]SB2!Q16&amp;";"&amp;[3]SB3!Q16&amp;";"&amp;[3]SB4!Q16,IF(H16=5,[3]SB1!Q16&amp;";"&amp;[3]SB2!Q16&amp;";"&amp;[3]SB3!Q16&amp;";"&amp;[3]SB4!Q16&amp;";"&amp;[3]SB5!Q16,[3]SB1!Q16&amp;";"&amp;[3]SB2!Q16&amp;";"&amp;[3]SB3!Q16&amp;";"&amp;[3]SB4!Q16&amp;";"&amp;[3]SB5!Q16&amp;";"&amp;[3]SB6!Q16)))))</f>
        <v>4/4/4;4/4/4;2/2/2;1/1/1</v>
      </c>
      <c r="Q16" s="216" t="str">
        <f>IF(H16=1,[3]SB1!HS16,IF(H16=2,[3]SB1!HS16&amp;";"&amp;[3]SB2!HN16,IF(H16=3,[3]SB1!HS16&amp;";"&amp;[3]SB2!HN16&amp;";"&amp;[3]SB3!HN16,IF(H16=4,[3]SB1!HS16&amp;";"&amp;[3]SB2!HN16&amp;";"&amp;[3]SB3!HN16&amp;";"&amp;[3]SB4!HN16,IF(H16=5,[3]SB1!HS16&amp;";"&amp;[3]SB2!HN16&amp;";"&amp;[3]SB3!HN16&amp;";"&amp;[3]SB4!HN16&amp;";"&amp;[3]SB5!HN16,[3]SB1!HS16&amp;";"&amp;[3]SB2!HN16&amp;";"&amp;[3]SB3!HN16&amp;";"&amp;[3]SB4!HN16&amp;";"&amp;[3]SB5!HN16&amp;";"&amp;[3]SB6!HN16)))))</f>
        <v>37,24W/37,24W/37,24W;37,24W/37,24W/37,24W;40W/40W/40W;40W/40W/40W</v>
      </c>
      <c r="R16" s="216" t="str">
        <f>IF(H16=1,[3]SB1!H16,IF(H16=2,[3]SB1!H16&amp;"/"&amp;[3]SB2!H16,IF(H16=3,[3]SB1!H16&amp;"/"&amp;[3]SB2!H16&amp;"/"&amp;[3]SB3!H16,IF(H16=4,[3]SB1!H16&amp;"/"&amp;[3]SB2!H16&amp;"/"&amp;[3]SB3!H16&amp;"/"&amp;[3]SB4!H16,IF(H16=5,[3]SB1!H16&amp;"/"&amp;[3]SB2!H16&amp;"/"&amp;[3]SB3!H16&amp;"/"&amp;[3]SB4!H16&amp;"/"&amp;[3]SB5!H16,[3]SB1!H16&amp;"/"&amp;[3]SB2!H16&amp;"/"&amp;[3]SB3!H16&amp;"/"&amp;[3]SB4!H16&amp;"/"&amp;[3]SB5!H16&amp;"/"&amp;[3]SB6!H16)))))</f>
        <v>G900/G1800/U2100/L1800</v>
      </c>
      <c r="S16" s="216" t="str">
        <f>IF(H16=1,[3]SB1!HT16,IF(H16=2,[3]SB1!HT16&amp;";"&amp;[3]SB2!HO16,IF(H16=3,[3]SB1!HT16&amp;";"&amp;[3]SB2!HO16&amp;";"&amp;[3]SB3!HO16,IF(H16=4,[3]SB1!HT16&amp;";"&amp;[3]SB2!HO16&amp;";"&amp;[3]SB3!HO16&amp;";"&amp;[3]SB4!HO16,IF(H16=5,[3]SB1!HT16&amp;";"&amp;[3]SB2!HO16&amp;";"&amp;[3]SB3!HO16&amp;";"&amp;[3]SB4!HO16&amp;";"&amp;[3]SB5!HO16,[3]SB1!HT16&amp;";"&amp;[3]SB2!HO16&amp;";"&amp;[3]SB3!HO16&amp;";"&amp;[3]SB4!HO16&amp;";"&amp;[3]SB5!HO16&amp;";"&amp;[3]SB6!HO16)))))</f>
        <v>57m/ 57m/ 57m;27m/ 27m/ 27m;54m/ 54m/ 54m;54m/ 54m/ 54m</v>
      </c>
      <c r="T16" s="215">
        <f>[3]SB1!GU16</f>
        <v>2</v>
      </c>
      <c r="U16" s="215" t="str">
        <f>IF(H16=1,[3]SB1!AS16,IF(H16=2,[3]SB1!AS16&amp;";"&amp;[3]SB2!AS16,IF(H16=3,[3]SB1!AS16&amp;";"&amp;[3]SB2!AS16&amp;";"&amp;[3]SB3!AS16,IF(H16=4,[3]SB1!AS16&amp;";"&amp;[3]SB2!AS16&amp;";"&amp;[3]SB3!AS16&amp;";"&amp;[3]SB4!AS16,IF(H16=5,[3]SB1!AS16&amp;";"&amp;[3]SB2!AS16&amp;";"&amp;[3]SB3!AS16&amp;";"&amp;[3]SB4!AS16&amp;";"&amp;[3]SB5!AS16,[3]SB1!AS16&amp;";"&amp;[3]SB2!AS16&amp;";"&amp;[3]SB3!AS16&amp;";"&amp;[3]SB4!AS16&amp;";"&amp;[3]SB5!AS16&amp;";"&amp;[3]SB6!AS16)))))</f>
        <v>Kathrein 739636;Kathrein 736018;Kathrein 742215;Commscope HWXX-6516DS2-A2M</v>
      </c>
      <c r="V16" s="213" t="str">
        <f>IF([3]Source!AEE16="Yes","Có","Không")</f>
        <v>Có</v>
      </c>
      <c r="W16" s="213" t="str">
        <f>IF([3]Source!AEF16="Yes","Có","Không")</f>
        <v>Không</v>
      </c>
      <c r="X16" s="213" t="str">
        <f>[3]Source!AEG16</f>
        <v/>
      </c>
      <c r="Y16" s="213" t="str">
        <f>IF([3]Source!AEH16="Yes","Có","Không")</f>
        <v>Có</v>
      </c>
      <c r="Z16" s="217">
        <f>[3]Source!AEI16</f>
        <v>23</v>
      </c>
      <c r="AA16" s="217" t="str">
        <f>IF([3]SB1!WBZ16="","",IF([3]SB1!WBZ16=0,"Có","Không"))</f>
        <v/>
      </c>
      <c r="AB16" s="217" t="str">
        <f>IF([3]Source!ADX16="Yes","Có","Không")</f>
        <v>Không</v>
      </c>
      <c r="AC16" s="217">
        <f>MIN([3]SB1!AH16,[3]SB2!AH16,[3]SB3!AH16,[3]SB4!AH16,[3]SB5!AH16,[3]SB6!AH16)+[3]SB1!AG16</f>
        <v>27</v>
      </c>
      <c r="AD16" s="217" t="str">
        <f>IF([3]SB1!HQ16="","",[3]SB1!HQ16)</f>
        <v>4</v>
      </c>
      <c r="AE16" s="218" t="str">
        <f>IF([3]SB1!HV16="","",[3]SB1!HV16)</f>
        <v/>
      </c>
    </row>
    <row r="17" spans="1:31" s="219" customFormat="1">
      <c r="A17" s="211" t="str">
        <f>[3]SB1!HM17</f>
        <v>Viettel Trà Vinh - Chi nhánh Tập đoàn Công nghiệp - Viễn Thông Quân Đội</v>
      </c>
      <c r="B17" s="212">
        <f>[3]Source!A17</f>
        <v>14</v>
      </c>
      <c r="C17" s="212">
        <f>[3]SB1!GZ17</f>
        <v>761</v>
      </c>
      <c r="D17" s="213" t="str">
        <f>[3]SB1!GX17</f>
        <v>Ấp Tân Đại, xã Hiếu Tử, huyện Tiểu Cần, tỉnh Trà Vinh.</v>
      </c>
      <c r="E17" s="211" t="str">
        <f>[3]SB1!GV17</f>
        <v>Trà Vinh</v>
      </c>
      <c r="F17" s="211" t="str">
        <f>MID([3]SB1!GS17,1,FIND(";",[3]SB1!GS17,1)-1)</f>
        <v>106,18983</v>
      </c>
      <c r="G17" s="211" t="str">
        <f>RIGHT([3]SB1!GS17,LEN([3]SB1!GS17)-LEN(F17)-1)</f>
        <v>9,85049</v>
      </c>
      <c r="H17" s="213">
        <f>[3]SB1!GY17</f>
        <v>4</v>
      </c>
      <c r="I17" s="211" t="str">
        <f>[3]SB1!AY17</f>
        <v>1801798/2019/PTN-KĐ</v>
      </c>
      <c r="J17" s="214">
        <f>[3]SB1!HK17</f>
        <v>43497</v>
      </c>
      <c r="K17" s="214">
        <f>[3]SB1!GR17</f>
        <v>43481</v>
      </c>
      <c r="L17" s="215" t="str">
        <f>IF(H17=1,[3]SB1!HR17,IF(H17=2,[3]SB1!HR17&amp;"/"&amp;[3]SB2!HM17,IF(H17=3,[3]SB1!HR17&amp;"/"&amp;[3]SB2!HM17&amp;"/"&amp;[3]SB3!HM17,IF(H17=4,[3]SB1!HR17&amp;"/"&amp;[3]SB2!HM17&amp;"/"&amp;[3]SB3!HM17&amp;"/"&amp;[3]SB4!HM17,IF(H17=5,[3]SB1!HR17&amp;"/"&amp;[3]SB2!HM17&amp;"/"&amp;[3]SB3!HM17&amp;"/"&amp;[3]SB4!HM17&amp;"/"&amp;[3]SB5!HM17,[3]SB1!HR17&amp;"/"&amp;[3]SB2!HM17&amp;"/"&amp;[3]SB3!HM17&amp;"/"&amp;[3]SB4!HM17&amp;"/"&amp;[3]SB5!HM17&amp;"/"&amp;[3]SB6!HM17)))))</f>
        <v>TẬP ĐOÀN CÔNG NGHIỆP - VIỄN THÔNG QUÂN ĐỘI/TẬP ĐOÀN CÔNG NGHIỆP - VIỄN THÔNG QUÂN ĐỘI/TẬP ĐOÀN CÔNG NGHIỆP - VIỄN THÔNG QUÂN ĐỘI/TẬP ĐOÀN CÔNG NGHIỆP - VIỄN THÔNG QUÂN ĐỘI</v>
      </c>
      <c r="M17" s="216" t="str">
        <f>IF(H17=1,[3]SB1!C17,IF(H17=2,[3]SB1!C17&amp;";"&amp;[3]SB2!C17,IF(H17=3,[3]SB1!C17&amp;";"&amp;[3]SB2!C17&amp;";"&amp;[3]SB3!C17,IF(H17=4,[3]SB1!C17&amp;";"&amp;[3]SB2!C17&amp;";"&amp;[3]SB3!C17&amp;";"&amp;[3]SB4!C17,IF(H17=5,[3]SB1!C17&amp;";"&amp;[3]SB2!C17&amp;";"&amp;[3]SB3!C17&amp;";"&amp;[3]SB4!C17&amp;";"&amp;[3]SB5!C17,[3]SB1!C17&amp;";"&amp;[3]SB2!C17&amp;";"&amp;[3]SB3!C17&amp;";"&amp;[3]SB4!C17&amp;";"&amp;[3]SB5!C17&amp;";"&amp;[3]SB6!C17)))))</f>
        <v>TVH0596;TVH0596;TVH0596;TVH0596</v>
      </c>
      <c r="N17" s="216" t="str">
        <f>IF(H17=1,[3]SB1!K17,IF(H17=2,[3]SB1!K17&amp;";"&amp;[3]SB2!K17,IF(H17=3,[3]SB1!K17&amp;";"&amp;[3]SB2!K17&amp;";"&amp;[3]SB3!K17,IF(H17=4,[3]SB1!K17&amp;";"&amp;[3]SB2!K17&amp;";"&amp;[3]SB3!K17&amp;";"&amp;[3]SB4!K17,IF(H17=5,[3]SB1!K17&amp;";"&amp;[3]SB2!K17&amp;";"&amp;[3]SB3!K17&amp;";"&amp;[3]SB4!K17&amp;";"&amp;[3]SB5!K17,[3]SB1!K17&amp;";"&amp;[3]SB2!K17&amp;";"&amp;[3]SB3!K17&amp;";"&amp;[3]SB4!K17&amp;";"&amp;[3]SB5!K17&amp;";"&amp;[3]SB6!K17)))))</f>
        <v>NOKIA Flexi EDGE BTS;NOKIA Flexi EDGE BTS;NOKIA Flexi WCDMA BTS;NSN FLEXI MULTIRADIO AIRSCALE</v>
      </c>
      <c r="O17" s="212">
        <f>[3]SB1!P17+[3]SB2!P17+[3]SB3!P17+[3]SB4!P17+[3]SB5!P17+[3]SB6!P17</f>
        <v>12</v>
      </c>
      <c r="P17" s="216" t="str">
        <f>IF(H17=1,[3]SB1!Q17,IF(H17=2,[3]SB1!Q17&amp;";"&amp;[3]SB2!Q17,IF(H17=3,[3]SB1!Q17&amp;";"&amp;[3]SB2!Q17&amp;";"&amp;[3]SB3!Q17,IF(H17=4,[3]SB1!Q17&amp;";"&amp;[3]SB2!Q17&amp;";"&amp;[3]SB3!Q17&amp;";"&amp;[3]SB4!Q17,IF(H17=5,[3]SB1!Q17&amp;";"&amp;[3]SB2!Q17&amp;";"&amp;[3]SB3!Q17&amp;";"&amp;[3]SB4!Q17&amp;";"&amp;[3]SB5!Q17,[3]SB1!Q17&amp;";"&amp;[3]SB2!Q17&amp;";"&amp;[3]SB3!Q17&amp;";"&amp;[3]SB4!Q17&amp;";"&amp;[3]SB5!Q17&amp;";"&amp;[3]SB6!Q17)))))</f>
        <v>4/4/4;4/4/4;2/2/2;1/1/1</v>
      </c>
      <c r="Q17" s="216" t="str">
        <f>IF(H17=1,[3]SB1!HS17,IF(H17=2,[3]SB1!HS17&amp;";"&amp;[3]SB2!HN17,IF(H17=3,[3]SB1!HS17&amp;";"&amp;[3]SB2!HN17&amp;";"&amp;[3]SB3!HN17,IF(H17=4,[3]SB1!HS17&amp;";"&amp;[3]SB2!HN17&amp;";"&amp;[3]SB3!HN17&amp;";"&amp;[3]SB4!HN17,IF(H17=5,[3]SB1!HS17&amp;";"&amp;[3]SB2!HN17&amp;";"&amp;[3]SB3!HN17&amp;";"&amp;[3]SB4!HN17&amp;";"&amp;[3]SB5!HN17,[3]SB1!HS17&amp;";"&amp;[3]SB2!HN17&amp;";"&amp;[3]SB3!HN17&amp;";"&amp;[3]SB4!HN17&amp;";"&amp;[3]SB5!HN17&amp;";"&amp;[3]SB6!HN17)))))</f>
        <v>37,24W/37,24W/37,24W;37,24W/37,24W/37,24W;40W/40W/40W;40W/40W/40W</v>
      </c>
      <c r="R17" s="216" t="str">
        <f>IF(H17=1,[3]SB1!H17,IF(H17=2,[3]SB1!H17&amp;"/"&amp;[3]SB2!H17,IF(H17=3,[3]SB1!H17&amp;"/"&amp;[3]SB2!H17&amp;"/"&amp;[3]SB3!H17,IF(H17=4,[3]SB1!H17&amp;"/"&amp;[3]SB2!H17&amp;"/"&amp;[3]SB3!H17&amp;"/"&amp;[3]SB4!H17,IF(H17=5,[3]SB1!H17&amp;"/"&amp;[3]SB2!H17&amp;"/"&amp;[3]SB3!H17&amp;"/"&amp;[3]SB4!H17&amp;"/"&amp;[3]SB5!H17,[3]SB1!H17&amp;"/"&amp;[3]SB2!H17&amp;"/"&amp;[3]SB3!H17&amp;"/"&amp;[3]SB4!H17&amp;"/"&amp;[3]SB5!H17&amp;"/"&amp;[3]SB6!H17)))))</f>
        <v>G900/G1800/U2100/L1800</v>
      </c>
      <c r="S17" s="216" t="str">
        <f>IF(H17=1,[3]SB1!HT17,IF(H17=2,[3]SB1!HT17&amp;";"&amp;[3]SB2!HO17,IF(H17=3,[3]SB1!HT17&amp;";"&amp;[3]SB2!HO17&amp;";"&amp;[3]SB3!HO17,IF(H17=4,[3]SB1!HT17&amp;";"&amp;[3]SB2!HO17&amp;";"&amp;[3]SB3!HO17&amp;";"&amp;[3]SB4!HO17,IF(H17=5,[3]SB1!HT17&amp;";"&amp;[3]SB2!HO17&amp;";"&amp;[3]SB3!HO17&amp;";"&amp;[3]SB4!HO17&amp;";"&amp;[3]SB5!HO17,[3]SB1!HT17&amp;";"&amp;[3]SB2!HO17&amp;";"&amp;[3]SB3!HO17&amp;";"&amp;[3]SB4!HO17&amp;";"&amp;[3]SB5!HO17&amp;";"&amp;[3]SB6!HO17)))))</f>
        <v>36m/ 36m/ 36m;40m/ 40m/ 40m;40m/ 40m/ 40m;40m/ 40m/ 40m</v>
      </c>
      <c r="T17" s="215" t="str">
        <f>[3]SB1!GU17</f>
        <v>2</v>
      </c>
      <c r="U17" s="215" t="str">
        <f>IF(H17=1,[3]SB1!AS17,IF(H17=2,[3]SB1!AS17&amp;";"&amp;[3]SB2!AS17,IF(H17=3,[3]SB1!AS17&amp;";"&amp;[3]SB2!AS17&amp;";"&amp;[3]SB3!AS17,IF(H17=4,[3]SB1!AS17&amp;";"&amp;[3]SB2!AS17&amp;";"&amp;[3]SB3!AS17&amp;";"&amp;[3]SB4!AS17,IF(H17=5,[3]SB1!AS17&amp;";"&amp;[3]SB2!AS17&amp;";"&amp;[3]SB3!AS17&amp;";"&amp;[3]SB4!AS17&amp;";"&amp;[3]SB5!AS17,[3]SB1!AS17&amp;";"&amp;[3]SB2!AS17&amp;";"&amp;[3]SB3!AS17&amp;";"&amp;[3]SB4!AS17&amp;";"&amp;[3]SB5!AS17&amp;";"&amp;[3]SB6!AS17)))))</f>
        <v>Kathrein 739636;Kathrein 736018;Kathrein 742215;Commscope HWXX-6516DS2-A2M</v>
      </c>
      <c r="V17" s="213" t="str">
        <f>IF([3]Source!AEE17="Yes","Có","Không")</f>
        <v>Có</v>
      </c>
      <c r="W17" s="213" t="str">
        <f>IF([3]Source!AEF17="Yes","Có","Không")</f>
        <v>Có</v>
      </c>
      <c r="X17" s="213">
        <f>[3]Source!AEG17</f>
        <v>36</v>
      </c>
      <c r="Y17" s="213" t="str">
        <f>IF([3]Source!AEH17="Yes","Có","Không")</f>
        <v>Có</v>
      </c>
      <c r="Z17" s="217">
        <f>[3]Source!AEI17</f>
        <v>32</v>
      </c>
      <c r="AA17" s="217" t="str">
        <f>IF([3]SB1!WBZ17="","",IF([3]SB1!WBZ17=0,"Có","Không"))</f>
        <v/>
      </c>
      <c r="AB17" s="217" t="str">
        <f>IF([3]Source!ADX17="Yes","Có","Không")</f>
        <v>Không</v>
      </c>
      <c r="AC17" s="217">
        <f>MIN([3]SB1!AH17,[3]SB2!AH17,[3]SB3!AH17,[3]SB4!AH17,[3]SB5!AH17,[3]SB6!AH17)+[3]SB1!AG17</f>
        <v>36</v>
      </c>
      <c r="AD17" s="217" t="str">
        <f>IF([3]SB1!HQ17="","",[3]SB1!HQ17)</f>
        <v>4</v>
      </c>
      <c r="AE17" s="218" t="str">
        <f>IF([3]SB1!HV17="","",[3]SB1!HV17)</f>
        <v/>
      </c>
    </row>
    <row r="18" spans="1:31" s="219" customFormat="1">
      <c r="A18" s="211" t="str">
        <f>[3]SB1!HM18</f>
        <v>Viettel Trà Vinh - Chi nhánh Tập đoàn Công nghiệp - Viễn Thông Quân Đội</v>
      </c>
      <c r="B18" s="212">
        <f>[3]Source!A18</f>
        <v>15</v>
      </c>
      <c r="C18" s="212">
        <f>[3]SB1!GZ18</f>
        <v>761</v>
      </c>
      <c r="D18" s="213" t="str">
        <f>[3]SB1!GX18</f>
        <v>Khóm 7, thị trấn Cầu Kè, huyện Cầu Kè, tỉnh Trà Vinh.</v>
      </c>
      <c r="E18" s="211" t="str">
        <f>[3]SB1!GV18</f>
        <v>Trà Vinh</v>
      </c>
      <c r="F18" s="211" t="str">
        <f>MID([3]SB1!GS18,1,FIND(";",[3]SB1!GS18,1)-1)</f>
        <v>106,05605</v>
      </c>
      <c r="G18" s="211" t="str">
        <f>RIGHT([3]SB1!GS18,LEN([3]SB1!GS18)-LEN(F18)-1)</f>
        <v>9,86833</v>
      </c>
      <c r="H18" s="213">
        <f>[3]SB1!GY18</f>
        <v>3</v>
      </c>
      <c r="I18" s="211" t="str">
        <f>[3]SB1!AY18</f>
        <v>1801799/2019/PTN-KĐ</v>
      </c>
      <c r="J18" s="214">
        <f>[3]SB1!HK18</f>
        <v>43497</v>
      </c>
      <c r="K18" s="214">
        <f>[3]SB1!GR18</f>
        <v>43481</v>
      </c>
      <c r="L18" s="215" t="str">
        <f>IF(H18=1,[3]SB1!HR18,IF(H18=2,[3]SB1!HR18&amp;"/"&amp;[3]SB2!HM18,IF(H18=3,[3]SB1!HR18&amp;"/"&amp;[3]SB2!HM18&amp;"/"&amp;[3]SB3!HM18,IF(H18=4,[3]SB1!HR18&amp;"/"&amp;[3]SB2!HM18&amp;"/"&amp;[3]SB3!HM18&amp;"/"&amp;[3]SB4!HM18,IF(H18=5,[3]SB1!HR18&amp;"/"&amp;[3]SB2!HM18&amp;"/"&amp;[3]SB3!HM18&amp;"/"&amp;[3]SB4!HM18&amp;"/"&amp;[3]SB5!HM18,[3]SB1!HR18&amp;"/"&amp;[3]SB2!HM18&amp;"/"&amp;[3]SB3!HM18&amp;"/"&amp;[3]SB4!HM18&amp;"/"&amp;[3]SB5!HM18&amp;"/"&amp;[3]SB6!HM18)))))</f>
        <v>TẬP ĐOÀN CÔNG NGHIỆP - VIỄN THÔNG QUÂN ĐỘI/TẬP ĐOÀN CÔNG NGHIỆP - VIỄN THÔNG QUÂN ĐỘI/TẬP ĐOÀN CÔNG NGHIỆP - VIỄN THÔNG QUÂN ĐỘI</v>
      </c>
      <c r="M18" s="216" t="str">
        <f>IF(H18=1,[3]SB1!C18,IF(H18=2,[3]SB1!C18&amp;";"&amp;[3]SB2!C18,IF(H18=3,[3]SB1!C18&amp;";"&amp;[3]SB2!C18&amp;";"&amp;[3]SB3!C18,IF(H18=4,[3]SB1!C18&amp;";"&amp;[3]SB2!C18&amp;";"&amp;[3]SB3!C18&amp;";"&amp;[3]SB4!C18,IF(H18=5,[3]SB1!C18&amp;";"&amp;[3]SB2!C18&amp;";"&amp;[3]SB3!C18&amp;";"&amp;[3]SB4!C18&amp;";"&amp;[3]SB5!C18,[3]SB1!C18&amp;";"&amp;[3]SB2!C18&amp;";"&amp;[3]SB3!C18&amp;";"&amp;[3]SB4!C18&amp;";"&amp;[3]SB5!C18&amp;";"&amp;[3]SB6!C18)))))</f>
        <v>TVH0007;TVH0007;TVH0007</v>
      </c>
      <c r="N18" s="216" t="str">
        <f>IF(H18=1,[3]SB1!K18,IF(H18=2,[3]SB1!K18&amp;";"&amp;[3]SB2!K18,IF(H18=3,[3]SB1!K18&amp;";"&amp;[3]SB2!K18&amp;";"&amp;[3]SB3!K18,IF(H18=4,[3]SB1!K18&amp;";"&amp;[3]SB2!K18&amp;";"&amp;[3]SB3!K18&amp;";"&amp;[3]SB4!K18,IF(H18=5,[3]SB1!K18&amp;";"&amp;[3]SB2!K18&amp;";"&amp;[3]SB3!K18&amp;";"&amp;[3]SB4!K18&amp;";"&amp;[3]SB5!K18,[3]SB1!K18&amp;";"&amp;[3]SB2!K18&amp;";"&amp;[3]SB3!K18&amp;";"&amp;[3]SB4!K18&amp;";"&amp;[3]SB5!K18&amp;";"&amp;[3]SB6!K18)))))</f>
        <v>NOKIA Flexi EDGE BTS;NOKIA Flexi WCDMA BTS;NSN FLEXI MULTIRADIO AIRSCALE</v>
      </c>
      <c r="O18" s="212">
        <f>[3]SB1!P18+[3]SB2!P18+[3]SB3!P18+[3]SB4!P18+[3]SB5!P18+[3]SB6!P18</f>
        <v>9</v>
      </c>
      <c r="P18" s="216" t="str">
        <f>IF(H18=1,[3]SB1!Q18,IF(H18=2,[3]SB1!Q18&amp;";"&amp;[3]SB2!Q18,IF(H18=3,[3]SB1!Q18&amp;";"&amp;[3]SB2!Q18&amp;";"&amp;[3]SB3!Q18,IF(H18=4,[3]SB1!Q18&amp;";"&amp;[3]SB2!Q18&amp;";"&amp;[3]SB3!Q18&amp;";"&amp;[3]SB4!Q18,IF(H18=5,[3]SB1!Q18&amp;";"&amp;[3]SB2!Q18&amp;";"&amp;[3]SB3!Q18&amp;";"&amp;[3]SB4!Q18&amp;";"&amp;[3]SB5!Q18,[3]SB1!Q18&amp;";"&amp;[3]SB2!Q18&amp;";"&amp;[3]SB3!Q18&amp;";"&amp;[3]SB4!Q18&amp;";"&amp;[3]SB5!Q18&amp;";"&amp;[3]SB6!Q18)))))</f>
        <v>4/4/4;2/2/2;1/1/1</v>
      </c>
      <c r="Q18" s="216" t="str">
        <f>IF(H18=1,[3]SB1!HS18,IF(H18=2,[3]SB1!HS18&amp;";"&amp;[3]SB2!HN18,IF(H18=3,[3]SB1!HS18&amp;";"&amp;[3]SB2!HN18&amp;";"&amp;[3]SB3!HN18,IF(H18=4,[3]SB1!HS18&amp;";"&amp;[3]SB2!HN18&amp;";"&amp;[3]SB3!HN18&amp;";"&amp;[3]SB4!HN18,IF(H18=5,[3]SB1!HS18&amp;";"&amp;[3]SB2!HN18&amp;";"&amp;[3]SB3!HN18&amp;";"&amp;[3]SB4!HN18&amp;";"&amp;[3]SB5!HN18,[3]SB1!HS18&amp;";"&amp;[3]SB2!HN18&amp;";"&amp;[3]SB3!HN18&amp;";"&amp;[3]SB4!HN18&amp;";"&amp;[3]SB5!HN18&amp;";"&amp;[3]SB6!HN18)))))</f>
        <v>37,24W/37,24W/37,24W;40W/40W/40W;40W/40W/40W</v>
      </c>
      <c r="R18" s="216" t="str">
        <f>IF(H18=1,[3]SB1!H18,IF(H18=2,[3]SB1!H18&amp;"/"&amp;[3]SB2!H18,IF(H18=3,[3]SB1!H18&amp;"/"&amp;[3]SB2!H18&amp;"/"&amp;[3]SB3!H18,IF(H18=4,[3]SB1!H18&amp;"/"&amp;[3]SB2!H18&amp;"/"&amp;[3]SB3!H18&amp;"/"&amp;[3]SB4!H18,IF(H18=5,[3]SB1!H18&amp;"/"&amp;[3]SB2!H18&amp;"/"&amp;[3]SB3!H18&amp;"/"&amp;[3]SB4!H18&amp;"/"&amp;[3]SB5!H18,[3]SB1!H18&amp;"/"&amp;[3]SB2!H18&amp;"/"&amp;[3]SB3!H18&amp;"/"&amp;[3]SB4!H18&amp;"/"&amp;[3]SB5!H18&amp;"/"&amp;[3]SB6!H18)))))</f>
        <v>G900/U2100/L1800</v>
      </c>
      <c r="S18" s="216" t="str">
        <f>IF(H18=1,[3]SB1!HT18,IF(H18=2,[3]SB1!HT18&amp;";"&amp;[3]SB2!HO18,IF(H18=3,[3]SB1!HT18&amp;";"&amp;[3]SB2!HO18&amp;";"&amp;[3]SB3!HO18,IF(H18=4,[3]SB1!HT18&amp;";"&amp;[3]SB2!HO18&amp;";"&amp;[3]SB3!HO18&amp;";"&amp;[3]SB4!HO18,IF(H18=5,[3]SB1!HT18&amp;";"&amp;[3]SB2!HO18&amp;";"&amp;[3]SB3!HO18&amp;";"&amp;[3]SB4!HO18&amp;";"&amp;[3]SB5!HO18,[3]SB1!HT18&amp;";"&amp;[3]SB2!HO18&amp;";"&amp;[3]SB3!HO18&amp;";"&amp;[3]SB4!HO18&amp;";"&amp;[3]SB5!HO18&amp;";"&amp;[3]SB6!HO18)))))</f>
        <v>57m/ 57m/ 57m;54m/ 54m/ 54m;52m/ 52m/ 52m</v>
      </c>
      <c r="T18" s="215" t="str">
        <f>[3]SB1!GU18</f>
        <v>2</v>
      </c>
      <c r="U18" s="215" t="str">
        <f>IF(H18=1,[3]SB1!AS18,IF(H18=2,[3]SB1!AS18&amp;";"&amp;[3]SB2!AS18,IF(H18=3,[3]SB1!AS18&amp;";"&amp;[3]SB2!AS18&amp;";"&amp;[3]SB3!AS18,IF(H18=4,[3]SB1!AS18&amp;";"&amp;[3]SB2!AS18&amp;";"&amp;[3]SB3!AS18&amp;";"&amp;[3]SB4!AS18,IF(H18=5,[3]SB1!AS18&amp;";"&amp;[3]SB2!AS18&amp;";"&amp;[3]SB3!AS18&amp;";"&amp;[3]SB4!AS18&amp;";"&amp;[3]SB5!AS18,[3]SB1!AS18&amp;";"&amp;[3]SB2!AS18&amp;";"&amp;[3]SB3!AS18&amp;";"&amp;[3]SB4!AS18&amp;";"&amp;[3]SB5!AS18&amp;";"&amp;[3]SB6!AS18)))))</f>
        <v>Kathrein 739636;Kathrein 742215;Commscope HWXX-6516DS2-A2M</v>
      </c>
      <c r="V18" s="213" t="str">
        <f>IF([3]Source!AEE18="Yes","Có","Không")</f>
        <v>Có</v>
      </c>
      <c r="W18" s="213" t="str">
        <f>IF([3]Source!AEF18="Yes","Có","Không")</f>
        <v>Có</v>
      </c>
      <c r="X18" s="213">
        <f>[3]Source!AEG18</f>
        <v>52</v>
      </c>
      <c r="Y18" s="213" t="str">
        <f>IF([3]Source!AEH18="Yes","Có","Không")</f>
        <v>Có</v>
      </c>
      <c r="Z18" s="217">
        <f>[3]Source!AEI18</f>
        <v>41.5</v>
      </c>
      <c r="AA18" s="217" t="str">
        <f>IF([3]SB1!WBZ18="","",IF([3]SB1!WBZ18=0,"Có","Không"))</f>
        <v/>
      </c>
      <c r="AB18" s="217" t="str">
        <f>IF([3]Source!ADX18="Yes","Có","Không")</f>
        <v>Không</v>
      </c>
      <c r="AC18" s="217">
        <f>MIN([3]SB1!AH18,[3]SB2!AH18,[3]SB3!AH18,[3]SB4!AH18,[3]SB5!AH18,[3]SB6!AH18)+[3]SB1!AG18</f>
        <v>52</v>
      </c>
      <c r="AD18" s="217" t="str">
        <f>IF([3]SB1!HQ18="","",[3]SB1!HQ18)</f>
        <v>10,5</v>
      </c>
      <c r="AE18" s="218" t="str">
        <f>IF([3]SB1!HV18="","",[3]SB1!HV18)</f>
        <v/>
      </c>
    </row>
    <row r="19" spans="1:31" s="219" customFormat="1">
      <c r="A19" s="211" t="str">
        <f>[3]SB1!HM19</f>
        <v>Viettel Sóc Trăng - Chi nhánh Tập đoàn Công nghiệp - Viễn Thông Quân Đội</v>
      </c>
      <c r="B19" s="212">
        <f>[3]Source!A19</f>
        <v>16</v>
      </c>
      <c r="C19" s="212">
        <f>[3]SB1!GZ19</f>
        <v>761</v>
      </c>
      <c r="D19" s="213" t="str">
        <f>[3]SB1!GX19</f>
        <v>Số 84, đường Lê Duẩn, phường 3, thành phố Sóc Trăng, tỉnh Sóc Trăng.</v>
      </c>
      <c r="E19" s="211" t="str">
        <f>[3]SB1!GV19</f>
        <v>Sóc Trăng</v>
      </c>
      <c r="F19" s="211" t="str">
        <f>MID([3]SB1!GS19,1,FIND(";",[3]SB1!GS19,1)-1)</f>
        <v>105,97691</v>
      </c>
      <c r="G19" s="211" t="str">
        <f>RIGHT([3]SB1!GS19,LEN([3]SB1!GS19)-LEN(F19)-1)</f>
        <v>9,59283</v>
      </c>
      <c r="H19" s="213">
        <f>[3]SB1!GY19</f>
        <v>1</v>
      </c>
      <c r="I19" s="211" t="str">
        <f>[3]SB1!AY19</f>
        <v>1802421/2019/PTN-KĐ</v>
      </c>
      <c r="J19" s="214">
        <f>[3]SB1!HK19</f>
        <v>43497</v>
      </c>
      <c r="K19" s="214">
        <f>[3]SB1!GR19</f>
        <v>43485</v>
      </c>
      <c r="L19" s="215" t="str">
        <f>IF(H19=1,[3]SB1!HR19,IF(H19=2,[3]SB1!HR19&amp;"/"&amp;[3]SB2!HM19,IF(H19=3,[3]SB1!HR19&amp;"/"&amp;[3]SB2!HM19&amp;"/"&amp;[3]SB3!HM19,IF(H19=4,[3]SB1!HR19&amp;"/"&amp;[3]SB2!HM19&amp;"/"&amp;[3]SB3!HM19&amp;"/"&amp;[3]SB4!HM19,IF(H19=5,[3]SB1!HR19&amp;"/"&amp;[3]SB2!HM19&amp;"/"&amp;[3]SB3!HM19&amp;"/"&amp;[3]SB4!HM19&amp;"/"&amp;[3]SB5!HM19,[3]SB1!HR19&amp;"/"&amp;[3]SB2!HM19&amp;"/"&amp;[3]SB3!HM19&amp;"/"&amp;[3]SB4!HM19&amp;"/"&amp;[3]SB5!HM19&amp;"/"&amp;[3]SB6!HM19)))))</f>
        <v>TẬP ĐOÀN CÔNG NGHIỆP - VIỄN THÔNG QUÂN ĐỘI</v>
      </c>
      <c r="M19" s="216" t="str">
        <f>IF(H19=1,[3]SB1!C19,IF(H19=2,[3]SB1!C19&amp;";"&amp;[3]SB2!C19,IF(H19=3,[3]SB1!C19&amp;";"&amp;[3]SB2!C19&amp;";"&amp;[3]SB3!C19,IF(H19=4,[3]SB1!C19&amp;";"&amp;[3]SB2!C19&amp;";"&amp;[3]SB3!C19&amp;";"&amp;[3]SB4!C19,IF(H19=5,[3]SB1!C19&amp;";"&amp;[3]SB2!C19&amp;";"&amp;[3]SB3!C19&amp;";"&amp;[3]SB4!C19&amp;";"&amp;[3]SB5!C19,[3]SB1!C19&amp;";"&amp;[3]SB2!C19&amp;";"&amp;[3]SB3!C19&amp;";"&amp;[3]SB4!C19&amp;";"&amp;[3]SB5!C19&amp;";"&amp;[3]SB6!C19)))))</f>
        <v>STG0504</v>
      </c>
      <c r="N19" s="216" t="str">
        <f>IF(H19=1,[3]SB1!K19,IF(H19=2,[3]SB1!K19&amp;";"&amp;[3]SB2!K19,IF(H19=3,[3]SB1!K19&amp;";"&amp;[3]SB2!K19&amp;";"&amp;[3]SB3!K19,IF(H19=4,[3]SB1!K19&amp;";"&amp;[3]SB2!K19&amp;";"&amp;[3]SB3!K19&amp;";"&amp;[3]SB4!K19,IF(H19=5,[3]SB1!K19&amp;";"&amp;[3]SB2!K19&amp;";"&amp;[3]SB3!K19&amp;";"&amp;[3]SB4!K19&amp;";"&amp;[3]SB5!K19,[3]SB1!K19&amp;";"&amp;[3]SB2!K19&amp;";"&amp;[3]SB3!K19&amp;";"&amp;[3]SB4!K19&amp;";"&amp;[3]SB5!K19&amp;";"&amp;[3]SB6!K19)))))</f>
        <v>NOKIA Flexi WCDMA BTS</v>
      </c>
      <c r="O19" s="212">
        <f>[3]SB1!P19+[3]SB2!P19+[3]SB3!P19+[3]SB4!P19+[3]SB5!P19+[3]SB6!P19</f>
        <v>3</v>
      </c>
      <c r="P19" s="216" t="str">
        <f>IF(H19=1,[3]SB1!Q19,IF(H19=2,[3]SB1!Q19&amp;";"&amp;[3]SB2!Q19,IF(H19=3,[3]SB1!Q19&amp;";"&amp;[3]SB2!Q19&amp;";"&amp;[3]SB3!Q19,IF(H19=4,[3]SB1!Q19&amp;";"&amp;[3]SB2!Q19&amp;";"&amp;[3]SB3!Q19&amp;";"&amp;[3]SB4!Q19,IF(H19=5,[3]SB1!Q19&amp;";"&amp;[3]SB2!Q19&amp;";"&amp;[3]SB3!Q19&amp;";"&amp;[3]SB4!Q19&amp;";"&amp;[3]SB5!Q19,[3]SB1!Q19&amp;";"&amp;[3]SB2!Q19&amp;";"&amp;[3]SB3!Q19&amp;";"&amp;[3]SB4!Q19&amp;";"&amp;[3]SB5!Q19&amp;";"&amp;[3]SB6!Q19)))))</f>
        <v>2/2/2</v>
      </c>
      <c r="Q19" s="216" t="str">
        <f>IF(H19=1,[3]SB1!HS19,IF(H19=2,[3]SB1!HS19&amp;";"&amp;[3]SB2!HN19,IF(H19=3,[3]SB1!HS19&amp;";"&amp;[3]SB2!HN19&amp;";"&amp;[3]SB3!HN19,IF(H19=4,[3]SB1!HS19&amp;";"&amp;[3]SB2!HN19&amp;";"&amp;[3]SB3!HN19&amp;";"&amp;[3]SB4!HN19,IF(H19=5,[3]SB1!HS19&amp;";"&amp;[3]SB2!HN19&amp;";"&amp;[3]SB3!HN19&amp;";"&amp;[3]SB4!HN19&amp;";"&amp;[3]SB5!HN19,[3]SB1!HS19&amp;";"&amp;[3]SB2!HN19&amp;";"&amp;[3]SB3!HN19&amp;";"&amp;[3]SB4!HN19&amp;";"&amp;[3]SB5!HN19&amp;";"&amp;[3]SB6!HN19)))))</f>
        <v>40W/40W/40W</v>
      </c>
      <c r="R19" s="216" t="str">
        <f>IF(H19=1,[3]SB1!H19,IF(H19=2,[3]SB1!H19&amp;"/"&amp;[3]SB2!H19,IF(H19=3,[3]SB1!H19&amp;"/"&amp;[3]SB2!H19&amp;"/"&amp;[3]SB3!H19,IF(H19=4,[3]SB1!H19&amp;"/"&amp;[3]SB2!H19&amp;"/"&amp;[3]SB3!H19&amp;"/"&amp;[3]SB4!H19,IF(H19=5,[3]SB1!H19&amp;"/"&amp;[3]SB2!H19&amp;"/"&amp;[3]SB3!H19&amp;"/"&amp;[3]SB4!H19&amp;"/"&amp;[3]SB5!H19,[3]SB1!H19&amp;"/"&amp;[3]SB2!H19&amp;"/"&amp;[3]SB3!H19&amp;"/"&amp;[3]SB4!H19&amp;"/"&amp;[3]SB5!H19&amp;"/"&amp;[3]SB6!H19)))))</f>
        <v>U2100</v>
      </c>
      <c r="S19" s="216" t="str">
        <f>IF(H19=1,[3]SB1!HT19,IF(H19=2,[3]SB1!HT19&amp;";"&amp;[3]SB2!HO19,IF(H19=3,[3]SB1!HT19&amp;";"&amp;[3]SB2!HO19&amp;";"&amp;[3]SB3!HO19,IF(H19=4,[3]SB1!HT19&amp;";"&amp;[3]SB2!HO19&amp;";"&amp;[3]SB3!HO19&amp;";"&amp;[3]SB4!HO19,IF(H19=5,[3]SB1!HT19&amp;";"&amp;[3]SB2!HO19&amp;";"&amp;[3]SB3!HO19&amp;";"&amp;[3]SB4!HO19&amp;";"&amp;[3]SB5!HO19,[3]SB1!HT19&amp;";"&amp;[3]SB2!HO19&amp;";"&amp;[3]SB3!HO19&amp;";"&amp;[3]SB4!HO19&amp;";"&amp;[3]SB5!HO19&amp;";"&amp;[3]SB6!HO19)))))</f>
        <v>25m/ 25m/ 25m</v>
      </c>
      <c r="T19" s="215">
        <f>[3]SB1!GU19</f>
        <v>1</v>
      </c>
      <c r="U19" s="215" t="str">
        <f>IF(H19=1,[3]SB1!AS19,IF(H19=2,[3]SB1!AS19&amp;";"&amp;[3]SB2!AS19,IF(H19=3,[3]SB1!AS19&amp;";"&amp;[3]SB2!AS19&amp;";"&amp;[3]SB3!AS19,IF(H19=4,[3]SB1!AS19&amp;";"&amp;[3]SB2!AS19&amp;";"&amp;[3]SB3!AS19&amp;";"&amp;[3]SB4!AS19,IF(H19=5,[3]SB1!AS19&amp;";"&amp;[3]SB2!AS19&amp;";"&amp;[3]SB3!AS19&amp;";"&amp;[3]SB4!AS19&amp;";"&amp;[3]SB5!AS19,[3]SB1!AS19&amp;";"&amp;[3]SB2!AS19&amp;";"&amp;[3]SB3!AS19&amp;";"&amp;[3]SB4!AS19&amp;";"&amp;[3]SB5!AS19&amp;";"&amp;[3]SB6!AS19)))))</f>
        <v>Kathrein 742215</v>
      </c>
      <c r="V19" s="213" t="str">
        <f>IF([3]Source!AEE19="Yes","Có","Không")</f>
        <v>Có</v>
      </c>
      <c r="W19" s="213" t="str">
        <f>IF([3]Source!AEF19="Yes","Có","Không")</f>
        <v>Không</v>
      </c>
      <c r="X19" s="213" t="str">
        <f>[3]Source!AEG19</f>
        <v/>
      </c>
      <c r="Y19" s="213" t="str">
        <f>IF([3]Source!AEH19="Yes","Có","Không")</f>
        <v>Có</v>
      </c>
      <c r="Z19" s="217">
        <f>[3]Source!AEI19</f>
        <v>4</v>
      </c>
      <c r="AA19" s="217" t="str">
        <f>IF([3]SB1!WBZ19="","",IF([3]SB1!WBZ19=0,"Có","Không"))</f>
        <v/>
      </c>
      <c r="AB19" s="217" t="str">
        <f>IF([3]Source!ADX19="Yes","Có","Không")</f>
        <v>Không</v>
      </c>
      <c r="AC19" s="217">
        <f>MIN([3]SB1!AH19,[3]SB2!AH19,[3]SB3!AH19,[3]SB4!AH19,[3]SB5!AH19,[3]SB6!AH19)+[3]SB1!AG19</f>
        <v>25</v>
      </c>
      <c r="AD19" s="217" t="str">
        <f>IF([3]SB1!HQ19="","",[3]SB1!HQ19)</f>
        <v>21</v>
      </c>
      <c r="AE19" s="218" t="str">
        <f>IF([3]SB1!HV19="","",[3]SB1!HV19)</f>
        <v/>
      </c>
    </row>
    <row r="20" spans="1:31" s="219" customFormat="1">
      <c r="A20" s="211" t="str">
        <f>[3]SB1!HM20</f>
        <v>Viettel Sóc Trăng - Chi nhánh Tập đoàn Công nghiệp - Viễn Thông Quân Đội</v>
      </c>
      <c r="B20" s="212">
        <f>[3]Source!A20</f>
        <v>17</v>
      </c>
      <c r="C20" s="212">
        <f>[3]SB1!GZ20</f>
        <v>761</v>
      </c>
      <c r="D20" s="213" t="str">
        <f>[3]SB1!GX20</f>
        <v>Ban Chỉ huy Quân sự tỉnh, số 551, đường Lê Hồng Phong, phường 3, thành phố Sóc Trăng, tỉnh Sóc Trăng.</v>
      </c>
      <c r="E20" s="211" t="str">
        <f>[3]SB1!GV20</f>
        <v>Sóc Trăng</v>
      </c>
      <c r="F20" s="211" t="str">
        <f>MID([3]SB1!GS20,1,FIND(";",[3]SB1!GS20,1)-1)</f>
        <v>105,97954</v>
      </c>
      <c r="G20" s="211" t="str">
        <f>RIGHT([3]SB1!GS20,LEN([3]SB1!GS20)-LEN(F20)-1)</f>
        <v>9,58370</v>
      </c>
      <c r="H20" s="213">
        <f>[3]SB1!GY20</f>
        <v>2</v>
      </c>
      <c r="I20" s="211" t="str">
        <f>[3]SB1!AY20</f>
        <v>1802422/2019/PTN-KĐ</v>
      </c>
      <c r="J20" s="214">
        <f>[3]SB1!HK20</f>
        <v>43497</v>
      </c>
      <c r="K20" s="214">
        <f>[3]SB1!GR20</f>
        <v>43485</v>
      </c>
      <c r="L20" s="215" t="str">
        <f>IF(H20=1,[3]SB1!HR20,IF(H20=2,[3]SB1!HR20&amp;"/"&amp;[3]SB2!HM20,IF(H20=3,[3]SB1!HR20&amp;"/"&amp;[3]SB2!HM20&amp;"/"&amp;[3]SB3!HM20,IF(H20=4,[3]SB1!HR20&amp;"/"&amp;[3]SB2!HM20&amp;"/"&amp;[3]SB3!HM20&amp;"/"&amp;[3]SB4!HM20,IF(H20=5,[3]SB1!HR20&amp;"/"&amp;[3]SB2!HM20&amp;"/"&amp;[3]SB3!HM20&amp;"/"&amp;[3]SB4!HM20&amp;"/"&amp;[3]SB5!HM20,[3]SB1!HR20&amp;"/"&amp;[3]SB2!HM20&amp;"/"&amp;[3]SB3!HM20&amp;"/"&amp;[3]SB4!HM20&amp;"/"&amp;[3]SB5!HM20&amp;"/"&amp;[3]SB6!HM20)))))</f>
        <v>TẬP ĐOÀN CÔNG NGHIỆP - VIỄN THÔNG QUÂN ĐỘI/TẬP ĐOÀN CÔNG NGHIỆP - VIỄN THÔNG QUÂN ĐỘI</v>
      </c>
      <c r="M20" s="216" t="str">
        <f>IF(H20=1,[3]SB1!C20,IF(H20=2,[3]SB1!C20&amp;";"&amp;[3]SB2!C20,IF(H20=3,[3]SB1!C20&amp;";"&amp;[3]SB2!C20&amp;";"&amp;[3]SB3!C20,IF(H20=4,[3]SB1!C20&amp;";"&amp;[3]SB2!C20&amp;";"&amp;[3]SB3!C20&amp;";"&amp;[3]SB4!C20,IF(H20=5,[3]SB1!C20&amp;";"&amp;[3]SB2!C20&amp;";"&amp;[3]SB3!C20&amp;";"&amp;[3]SB4!C20&amp;";"&amp;[3]SB5!C20,[3]SB1!C20&amp;";"&amp;[3]SB2!C20&amp;";"&amp;[3]SB3!C20&amp;";"&amp;[3]SB4!C20&amp;";"&amp;[3]SB5!C20&amp;";"&amp;[3]SB6!C20)))))</f>
        <v>STG0051;STG0051</v>
      </c>
      <c r="N20" s="216" t="str">
        <f>IF(H20=1,[3]SB1!K20,IF(H20=2,[3]SB1!K20&amp;";"&amp;[3]SB2!K20,IF(H20=3,[3]SB1!K20&amp;";"&amp;[3]SB2!K20&amp;";"&amp;[3]SB3!K20,IF(H20=4,[3]SB1!K20&amp;";"&amp;[3]SB2!K20&amp;";"&amp;[3]SB3!K20&amp;";"&amp;[3]SB4!K20,IF(H20=5,[3]SB1!K20&amp;";"&amp;[3]SB2!K20&amp;";"&amp;[3]SB3!K20&amp;";"&amp;[3]SB4!K20&amp;";"&amp;[3]SB5!K20,[3]SB1!K20&amp;";"&amp;[3]SB2!K20&amp;";"&amp;[3]SB3!K20&amp;";"&amp;[3]SB4!K20&amp;";"&amp;[3]SB5!K20&amp;";"&amp;[3]SB6!K20)))))</f>
        <v>NOKIA Flexi EDGE BTS;NOKIA Flexi WCDMA BTS</v>
      </c>
      <c r="O20" s="212">
        <f>[3]SB1!P20+[3]SB2!P20+[3]SB3!P20+[3]SB4!P20+[3]SB5!P20+[3]SB6!P20</f>
        <v>6</v>
      </c>
      <c r="P20" s="216" t="str">
        <f>IF(H20=1,[3]SB1!Q20,IF(H20=2,[3]SB1!Q20&amp;";"&amp;[3]SB2!Q20,IF(H20=3,[3]SB1!Q20&amp;";"&amp;[3]SB2!Q20&amp;";"&amp;[3]SB3!Q20,IF(H20=4,[3]SB1!Q20&amp;";"&amp;[3]SB2!Q20&amp;";"&amp;[3]SB3!Q20&amp;";"&amp;[3]SB4!Q20,IF(H20=5,[3]SB1!Q20&amp;";"&amp;[3]SB2!Q20&amp;";"&amp;[3]SB3!Q20&amp;";"&amp;[3]SB4!Q20&amp;";"&amp;[3]SB5!Q20,[3]SB1!Q20&amp;";"&amp;[3]SB2!Q20&amp;";"&amp;[3]SB3!Q20&amp;";"&amp;[3]SB4!Q20&amp;";"&amp;[3]SB5!Q20&amp;";"&amp;[3]SB6!Q20)))))</f>
        <v>2/2/4;2/2/2</v>
      </c>
      <c r="Q20" s="216" t="str">
        <f>IF(H20=1,[3]SB1!HS20,IF(H20=2,[3]SB1!HS20&amp;";"&amp;[3]SB2!HN20,IF(H20=3,[3]SB1!HS20&amp;";"&amp;[3]SB2!HN20&amp;";"&amp;[3]SB3!HN20,IF(H20=4,[3]SB1!HS20&amp;";"&amp;[3]SB2!HN20&amp;";"&amp;[3]SB3!HN20&amp;";"&amp;[3]SB4!HN20,IF(H20=5,[3]SB1!HS20&amp;";"&amp;[3]SB2!HN20&amp;";"&amp;[3]SB3!HN20&amp;";"&amp;[3]SB4!HN20&amp;";"&amp;[3]SB5!HN20,[3]SB1!HS20&amp;";"&amp;[3]SB2!HN20&amp;";"&amp;[3]SB3!HN20&amp;";"&amp;[3]SB4!HN20&amp;";"&amp;[3]SB5!HN20&amp;";"&amp;[3]SB6!HN20)))))</f>
        <v>41,7W/41,7W/37,24W;40W/40W/40W</v>
      </c>
      <c r="R20" s="216" t="str">
        <f>IF(H20=1,[3]SB1!H20,IF(H20=2,[3]SB1!H20&amp;"/"&amp;[3]SB2!H20,IF(H20=3,[3]SB1!H20&amp;"/"&amp;[3]SB2!H20&amp;"/"&amp;[3]SB3!H20,IF(H20=4,[3]SB1!H20&amp;"/"&amp;[3]SB2!H20&amp;"/"&amp;[3]SB3!H20&amp;"/"&amp;[3]SB4!H20,IF(H20=5,[3]SB1!H20&amp;"/"&amp;[3]SB2!H20&amp;"/"&amp;[3]SB3!H20&amp;"/"&amp;[3]SB4!H20&amp;"/"&amp;[3]SB5!H20,[3]SB1!H20&amp;"/"&amp;[3]SB2!H20&amp;"/"&amp;[3]SB3!H20&amp;"/"&amp;[3]SB4!H20&amp;"/"&amp;[3]SB5!H20&amp;"/"&amp;[3]SB6!H20)))))</f>
        <v>G900/U2100</v>
      </c>
      <c r="S20" s="216" t="str">
        <f>IF(H20=1,[3]SB1!HT20,IF(H20=2,[3]SB1!HT20&amp;";"&amp;[3]SB2!HO20,IF(H20=3,[3]SB1!HT20&amp;";"&amp;[3]SB2!HO20&amp;";"&amp;[3]SB3!HO20,IF(H20=4,[3]SB1!HT20&amp;";"&amp;[3]SB2!HO20&amp;";"&amp;[3]SB3!HO20&amp;";"&amp;[3]SB4!HO20,IF(H20=5,[3]SB1!HT20&amp;";"&amp;[3]SB2!HO20&amp;";"&amp;[3]SB3!HO20&amp;";"&amp;[3]SB4!HO20&amp;";"&amp;[3]SB5!HO20,[3]SB1!HT20&amp;";"&amp;[3]SB2!HO20&amp;";"&amp;[3]SB3!HO20&amp;";"&amp;[3]SB4!HO20&amp;";"&amp;[3]SB5!HO20&amp;";"&amp;[3]SB6!HO20)))))</f>
        <v>31m/ 31m/ 31m;29m/ 29m/ 29m</v>
      </c>
      <c r="T20" s="215">
        <f>[3]SB1!GU20</f>
        <v>2</v>
      </c>
      <c r="U20" s="215" t="str">
        <f>IF(H20=1,[3]SB1!AS20,IF(H20=2,[3]SB1!AS20&amp;";"&amp;[3]SB2!AS20,IF(H20=3,[3]SB1!AS20&amp;";"&amp;[3]SB2!AS20&amp;";"&amp;[3]SB3!AS20,IF(H20=4,[3]SB1!AS20&amp;";"&amp;[3]SB2!AS20&amp;";"&amp;[3]SB3!AS20&amp;";"&amp;[3]SB4!AS20,IF(H20=5,[3]SB1!AS20&amp;";"&amp;[3]SB2!AS20&amp;";"&amp;[3]SB3!AS20&amp;";"&amp;[3]SB4!AS20&amp;";"&amp;[3]SB5!AS20,[3]SB1!AS20&amp;";"&amp;[3]SB2!AS20&amp;";"&amp;[3]SB3!AS20&amp;";"&amp;[3]SB4!AS20&amp;";"&amp;[3]SB5!AS20&amp;";"&amp;[3]SB6!AS20)))))</f>
        <v>Kathrein 739636;Kathrein 742215</v>
      </c>
      <c r="V20" s="213" t="str">
        <f>IF([3]Source!AEE20="Yes","Có","Không")</f>
        <v>Có</v>
      </c>
      <c r="W20" s="213" t="str">
        <f>IF([3]Source!AEF20="Yes","Có","Không")</f>
        <v>Không</v>
      </c>
      <c r="X20" s="213" t="str">
        <f>[3]Source!AEG20</f>
        <v/>
      </c>
      <c r="Y20" s="213" t="str">
        <f>IF([3]Source!AEH20="Yes","Có","Không")</f>
        <v>Có</v>
      </c>
      <c r="Z20" s="217">
        <f>[3]Source!AEI20</f>
        <v>25</v>
      </c>
      <c r="AA20" s="217" t="str">
        <f>IF([3]SB1!WBZ20="","",IF([3]SB1!WBZ20=0,"Có","Không"))</f>
        <v/>
      </c>
      <c r="AB20" s="217" t="str">
        <f>IF([3]Source!ADX20="Yes","Có","Không")</f>
        <v>Không</v>
      </c>
      <c r="AC20" s="217">
        <f>MIN([3]SB1!AH20,[3]SB2!AH20,[3]SB3!AH20,[3]SB4!AH20,[3]SB5!AH20,[3]SB6!AH20)+[3]SB1!AG20</f>
        <v>29</v>
      </c>
      <c r="AD20" s="217" t="str">
        <f>IF([3]SB1!HQ20="","",[3]SB1!HQ20)</f>
        <v>4</v>
      </c>
      <c r="AE20" s="218" t="str">
        <f>IF([3]SB1!HV20="","",[3]SB1!HV20)</f>
        <v/>
      </c>
    </row>
    <row r="21" spans="1:31" s="219" customFormat="1">
      <c r="A21" s="211" t="str">
        <f>[3]SB1!HM21</f>
        <v>Viettel Sóc Trăng - Chi nhánh Tập đoàn Công nghiệp - Viễn Thông Quân Đội</v>
      </c>
      <c r="B21" s="212">
        <f>[3]Source!A21</f>
        <v>18</v>
      </c>
      <c r="C21" s="212">
        <f>[3]SB1!GZ21</f>
        <v>761</v>
      </c>
      <c r="D21" s="213" t="str">
        <f>[3]SB1!GX21</f>
        <v>Số 383/146, đường 30 Tháng 4, khóm 5, phường 9, thành phố Sóc Trăng, tỉnh Sóc Trăng.</v>
      </c>
      <c r="E21" s="211" t="str">
        <f>[3]SB1!GV21</f>
        <v>Sóc Trăng</v>
      </c>
      <c r="F21" s="211" t="str">
        <f>MID([3]SB1!GS21,1,FIND(";",[3]SB1!GS21,1)-1)</f>
        <v>105,98573</v>
      </c>
      <c r="G21" s="211" t="str">
        <f>RIGHT([3]SB1!GS21,LEN([3]SB1!GS21)-LEN(F21)-1)</f>
        <v>9,58483</v>
      </c>
      <c r="H21" s="213">
        <f>[3]SB1!GY21</f>
        <v>1</v>
      </c>
      <c r="I21" s="211" t="str">
        <f>[3]SB1!AY21</f>
        <v>1802423/2019/PTN-KĐ</v>
      </c>
      <c r="J21" s="214">
        <f>[3]SB1!HK21</f>
        <v>43497</v>
      </c>
      <c r="K21" s="214">
        <f>[3]SB1!GR21</f>
        <v>43485</v>
      </c>
      <c r="L21" s="215" t="str">
        <f>IF(H21=1,[3]SB1!HR21,IF(H21=2,[3]SB1!HR21&amp;"/"&amp;[3]SB2!HM21,IF(H21=3,[3]SB1!HR21&amp;"/"&amp;[3]SB2!HM21&amp;"/"&amp;[3]SB3!HM21,IF(H21=4,[3]SB1!HR21&amp;"/"&amp;[3]SB2!HM21&amp;"/"&amp;[3]SB3!HM21&amp;"/"&amp;[3]SB4!HM21,IF(H21=5,[3]SB1!HR21&amp;"/"&amp;[3]SB2!HM21&amp;"/"&amp;[3]SB3!HM21&amp;"/"&amp;[3]SB4!HM21&amp;"/"&amp;[3]SB5!HM21,[3]SB1!HR21&amp;"/"&amp;[3]SB2!HM21&amp;"/"&amp;[3]SB3!HM21&amp;"/"&amp;[3]SB4!HM21&amp;"/"&amp;[3]SB5!HM21&amp;"/"&amp;[3]SB6!HM21)))))</f>
        <v>TẬP ĐOÀN CÔNG NGHIỆP - VIỄN THÔNG QUÂN ĐỘI</v>
      </c>
      <c r="M21" s="216" t="str">
        <f>IF(H21=1,[3]SB1!C21,IF(H21=2,[3]SB1!C21&amp;";"&amp;[3]SB2!C21,IF(H21=3,[3]SB1!C21&amp;";"&amp;[3]SB2!C21&amp;";"&amp;[3]SB3!C21,IF(H21=4,[3]SB1!C21&amp;";"&amp;[3]SB2!C21&amp;";"&amp;[3]SB3!C21&amp;";"&amp;[3]SB4!C21,IF(H21=5,[3]SB1!C21&amp;";"&amp;[3]SB2!C21&amp;";"&amp;[3]SB3!C21&amp;";"&amp;[3]SB4!C21&amp;";"&amp;[3]SB5!C21,[3]SB1!C21&amp;";"&amp;[3]SB2!C21&amp;";"&amp;[3]SB3!C21&amp;";"&amp;[3]SB4!C21&amp;";"&amp;[3]SB5!C21&amp;";"&amp;[3]SB6!C21)))))</f>
        <v>STG0415</v>
      </c>
      <c r="N21" s="216" t="str">
        <f>IF(H21=1,[3]SB1!K21,IF(H21=2,[3]SB1!K21&amp;";"&amp;[3]SB2!K21,IF(H21=3,[3]SB1!K21&amp;";"&amp;[3]SB2!K21&amp;";"&amp;[3]SB3!K21,IF(H21=4,[3]SB1!K21&amp;";"&amp;[3]SB2!K21&amp;";"&amp;[3]SB3!K21&amp;";"&amp;[3]SB4!K21,IF(H21=5,[3]SB1!K21&amp;";"&amp;[3]SB2!K21&amp;";"&amp;[3]SB3!K21&amp;";"&amp;[3]SB4!K21&amp;";"&amp;[3]SB5!K21,[3]SB1!K21&amp;";"&amp;[3]SB2!K21&amp;";"&amp;[3]SB3!K21&amp;";"&amp;[3]SB4!K21&amp;";"&amp;[3]SB5!K21&amp;";"&amp;[3]SB6!K21)))))</f>
        <v>NOKIA Flexi WCDMA BTS</v>
      </c>
      <c r="O21" s="212">
        <f>[3]SB1!P21+[3]SB2!P21+[3]SB3!P21+[3]SB4!P21+[3]SB5!P21+[3]SB6!P21</f>
        <v>3</v>
      </c>
      <c r="P21" s="216" t="str">
        <f>IF(H21=1,[3]SB1!Q21,IF(H21=2,[3]SB1!Q21&amp;";"&amp;[3]SB2!Q21,IF(H21=3,[3]SB1!Q21&amp;";"&amp;[3]SB2!Q21&amp;";"&amp;[3]SB3!Q21,IF(H21=4,[3]SB1!Q21&amp;";"&amp;[3]SB2!Q21&amp;";"&amp;[3]SB3!Q21&amp;";"&amp;[3]SB4!Q21,IF(H21=5,[3]SB1!Q21&amp;";"&amp;[3]SB2!Q21&amp;";"&amp;[3]SB3!Q21&amp;";"&amp;[3]SB4!Q21&amp;";"&amp;[3]SB5!Q21,[3]SB1!Q21&amp;";"&amp;[3]SB2!Q21&amp;";"&amp;[3]SB3!Q21&amp;";"&amp;[3]SB4!Q21&amp;";"&amp;[3]SB5!Q21&amp;";"&amp;[3]SB6!Q21)))))</f>
        <v>2/2/2</v>
      </c>
      <c r="Q21" s="216" t="str">
        <f>IF(H21=1,[3]SB1!HS21,IF(H21=2,[3]SB1!HS21&amp;";"&amp;[3]SB2!HN21,IF(H21=3,[3]SB1!HS21&amp;";"&amp;[3]SB2!HN21&amp;";"&amp;[3]SB3!HN21,IF(H21=4,[3]SB1!HS21&amp;";"&amp;[3]SB2!HN21&amp;";"&amp;[3]SB3!HN21&amp;";"&amp;[3]SB4!HN21,IF(H21=5,[3]SB1!HS21&amp;";"&amp;[3]SB2!HN21&amp;";"&amp;[3]SB3!HN21&amp;";"&amp;[3]SB4!HN21&amp;";"&amp;[3]SB5!HN21,[3]SB1!HS21&amp;";"&amp;[3]SB2!HN21&amp;";"&amp;[3]SB3!HN21&amp;";"&amp;[3]SB4!HN21&amp;";"&amp;[3]SB5!HN21&amp;";"&amp;[3]SB6!HN21)))))</f>
        <v>40W/40W/40W</v>
      </c>
      <c r="R21" s="216" t="str">
        <f>IF(H21=1,[3]SB1!H21,IF(H21=2,[3]SB1!H21&amp;"/"&amp;[3]SB2!H21,IF(H21=3,[3]SB1!H21&amp;"/"&amp;[3]SB2!H21&amp;"/"&amp;[3]SB3!H21,IF(H21=4,[3]SB1!H21&amp;"/"&amp;[3]SB2!H21&amp;"/"&amp;[3]SB3!H21&amp;"/"&amp;[3]SB4!H21,IF(H21=5,[3]SB1!H21&amp;"/"&amp;[3]SB2!H21&amp;"/"&amp;[3]SB3!H21&amp;"/"&amp;[3]SB4!H21&amp;"/"&amp;[3]SB5!H21,[3]SB1!H21&amp;"/"&amp;[3]SB2!H21&amp;"/"&amp;[3]SB3!H21&amp;"/"&amp;[3]SB4!H21&amp;"/"&amp;[3]SB5!H21&amp;"/"&amp;[3]SB6!H21)))))</f>
        <v>U2100</v>
      </c>
      <c r="S21" s="216" t="str">
        <f>IF(H21=1,[3]SB1!HT21,IF(H21=2,[3]SB1!HT21&amp;";"&amp;[3]SB2!HO21,IF(H21=3,[3]SB1!HT21&amp;";"&amp;[3]SB2!HO21&amp;";"&amp;[3]SB3!HO21,IF(H21=4,[3]SB1!HT21&amp;";"&amp;[3]SB2!HO21&amp;";"&amp;[3]SB3!HO21&amp;";"&amp;[3]SB4!HO21,IF(H21=5,[3]SB1!HT21&amp;";"&amp;[3]SB2!HO21&amp;";"&amp;[3]SB3!HO21&amp;";"&amp;[3]SB4!HO21&amp;";"&amp;[3]SB5!HO21,[3]SB1!HT21&amp;";"&amp;[3]SB2!HO21&amp;";"&amp;[3]SB3!HO21&amp;";"&amp;[3]SB4!HO21&amp;";"&amp;[3]SB5!HO21&amp;";"&amp;[3]SB6!HO21)))))</f>
        <v>35m/ 35m/ 35m</v>
      </c>
      <c r="T21" s="215">
        <f>[3]SB1!GU21</f>
        <v>2</v>
      </c>
      <c r="U21" s="215" t="str">
        <f>IF(H21=1,[3]SB1!AS21,IF(H21=2,[3]SB1!AS21&amp;";"&amp;[3]SB2!AS21,IF(H21=3,[3]SB1!AS21&amp;";"&amp;[3]SB2!AS21&amp;";"&amp;[3]SB3!AS21,IF(H21=4,[3]SB1!AS21&amp;";"&amp;[3]SB2!AS21&amp;";"&amp;[3]SB3!AS21&amp;";"&amp;[3]SB4!AS21,IF(H21=5,[3]SB1!AS21&amp;";"&amp;[3]SB2!AS21&amp;";"&amp;[3]SB3!AS21&amp;";"&amp;[3]SB4!AS21&amp;";"&amp;[3]SB5!AS21,[3]SB1!AS21&amp;";"&amp;[3]SB2!AS21&amp;";"&amp;[3]SB3!AS21&amp;";"&amp;[3]SB4!AS21&amp;";"&amp;[3]SB5!AS21&amp;";"&amp;[3]SB6!AS21)))))</f>
        <v>Kathrein 742215</v>
      </c>
      <c r="V21" s="213" t="str">
        <f>IF([3]Source!AEE21="Yes","Có","Không")</f>
        <v>Có</v>
      </c>
      <c r="W21" s="213" t="str">
        <f>IF([3]Source!AEF21="Yes","Có","Không")</f>
        <v>Có</v>
      </c>
      <c r="X21" s="213">
        <f>[3]Source!AEG21</f>
        <v>35</v>
      </c>
      <c r="Y21" s="213" t="str">
        <f>IF([3]Source!AEH21="Yes","Có","Không")</f>
        <v>Có</v>
      </c>
      <c r="Z21" s="217">
        <f>[3]Source!AEI21</f>
        <v>31</v>
      </c>
      <c r="AA21" s="217" t="str">
        <f>IF([3]SB1!WBZ21="","",IF([3]SB1!WBZ21=0,"Có","Không"))</f>
        <v/>
      </c>
      <c r="AB21" s="217" t="str">
        <f>IF([3]Source!ADX21="Yes","Có","Không")</f>
        <v>Không</v>
      </c>
      <c r="AC21" s="217">
        <f>MIN([3]SB1!AH21,[3]SB2!AH21,[3]SB3!AH21,[3]SB4!AH21,[3]SB5!AH21,[3]SB6!AH21)+[3]SB1!AG21</f>
        <v>35</v>
      </c>
      <c r="AD21" s="217" t="str">
        <f>IF([3]SB1!HQ21="","",[3]SB1!HQ21)</f>
        <v>4</v>
      </c>
      <c r="AE21" s="218" t="str">
        <f>IF([3]SB1!HV21="","",[3]SB1!HV21)</f>
        <v/>
      </c>
    </row>
    <row r="22" spans="1:31" s="219" customFormat="1">
      <c r="A22" s="211" t="str">
        <f>[3]SB1!HM22</f>
        <v>Viettel Sóc Trăng - Chi nhánh Tập đoàn Công nghiệp - Viễn Thông Quân Đội</v>
      </c>
      <c r="B22" s="212">
        <f>[3]Source!A22</f>
        <v>19</v>
      </c>
      <c r="C22" s="212">
        <f>[3]SB1!GZ22</f>
        <v>761</v>
      </c>
      <c r="D22" s="213" t="str">
        <f>[3]SB1!GX22</f>
        <v>Số 451, đường Trần Hưng Đạo, khóm 8, phường 3, thành phố Sóc Trăng, tỉnh Sóc Trăng.</v>
      </c>
      <c r="E22" s="211" t="str">
        <f>[3]SB1!GV22</f>
        <v>Sóc Trăng</v>
      </c>
      <c r="F22" s="211" t="str">
        <f>MID([3]SB1!GS22,1,FIND(";",[3]SB1!GS22,1)-1)</f>
        <v>105,96699</v>
      </c>
      <c r="G22" s="211" t="str">
        <f>RIGHT([3]SB1!GS22,LEN([3]SB1!GS22)-LEN(F22)-1)</f>
        <v>9,58894</v>
      </c>
      <c r="H22" s="213">
        <f>[3]SB1!GY22</f>
        <v>3</v>
      </c>
      <c r="I22" s="211" t="str">
        <f>[3]SB1!AY22</f>
        <v>1802424/2019/PTN-KĐ</v>
      </c>
      <c r="J22" s="214">
        <f>[3]SB1!HK22</f>
        <v>43497</v>
      </c>
      <c r="K22" s="214">
        <f>[3]SB1!GR22</f>
        <v>43486</v>
      </c>
      <c r="L22" s="215" t="str">
        <f>IF(H22=1,[3]SB1!HR22,IF(H22=2,[3]SB1!HR22&amp;"/"&amp;[3]SB2!HM22,IF(H22=3,[3]SB1!HR22&amp;"/"&amp;[3]SB2!HM22&amp;"/"&amp;[3]SB3!HM22,IF(H22=4,[3]SB1!HR22&amp;"/"&amp;[3]SB2!HM22&amp;"/"&amp;[3]SB3!HM22&amp;"/"&amp;[3]SB4!HM22,IF(H22=5,[3]SB1!HR22&amp;"/"&amp;[3]SB2!HM22&amp;"/"&amp;[3]SB3!HM22&amp;"/"&amp;[3]SB4!HM22&amp;"/"&amp;[3]SB5!HM22,[3]SB1!HR22&amp;"/"&amp;[3]SB2!HM22&amp;"/"&amp;[3]SB3!HM22&amp;"/"&amp;[3]SB4!HM22&amp;"/"&amp;[3]SB5!HM22&amp;"/"&amp;[3]SB6!HM22)))))</f>
        <v>TẬP ĐOÀN CÔNG NGHIỆP - VIỄN THÔNG QUÂN ĐỘI/TẬP ĐOÀN CÔNG NGHIỆP - VIỄN THÔNG QUÂN ĐỘI/TẬP ĐOÀN CÔNG NGHIỆP - VIỄN THÔNG QUÂN ĐỘI</v>
      </c>
      <c r="M22" s="216" t="str">
        <f>IF(H22=1,[3]SB1!C22,IF(H22=2,[3]SB1!C22&amp;";"&amp;[3]SB2!C22,IF(H22=3,[3]SB1!C22&amp;";"&amp;[3]SB2!C22&amp;";"&amp;[3]SB3!C22,IF(H22=4,[3]SB1!C22&amp;";"&amp;[3]SB2!C22&amp;";"&amp;[3]SB3!C22&amp;";"&amp;[3]SB4!C22,IF(H22=5,[3]SB1!C22&amp;";"&amp;[3]SB2!C22&amp;";"&amp;[3]SB3!C22&amp;";"&amp;[3]SB4!C22&amp;";"&amp;[3]SB5!C22,[3]SB1!C22&amp;";"&amp;[3]SB2!C22&amp;";"&amp;[3]SB3!C22&amp;";"&amp;[3]SB4!C22&amp;";"&amp;[3]SB5!C22&amp;";"&amp;[3]SB6!C22)))))</f>
        <v>STG0010;STG0010;STG0010</v>
      </c>
      <c r="N22" s="216" t="str">
        <f>IF(H22=1,[3]SB1!K22,IF(H22=2,[3]SB1!K22&amp;";"&amp;[3]SB2!K22,IF(H22=3,[3]SB1!K22&amp;";"&amp;[3]SB2!K22&amp;";"&amp;[3]SB3!K22,IF(H22=4,[3]SB1!K22&amp;";"&amp;[3]SB2!K22&amp;";"&amp;[3]SB3!K22&amp;";"&amp;[3]SB4!K22,IF(H22=5,[3]SB1!K22&amp;";"&amp;[3]SB2!K22&amp;";"&amp;[3]SB3!K22&amp;";"&amp;[3]SB4!K22&amp;";"&amp;[3]SB5!K22,[3]SB1!K22&amp;";"&amp;[3]SB2!K22&amp;";"&amp;[3]SB3!K22&amp;";"&amp;[3]SB4!K22&amp;";"&amp;[3]SB5!K22&amp;";"&amp;[3]SB6!K22)))))</f>
        <v>NOKIA Flexi EDGE BTS;NOKIA Flexi WCDMA BTS;NSN FLEXI MULTIRADIO AIRSCALE</v>
      </c>
      <c r="O22" s="212">
        <f>[3]SB1!P22+[3]SB2!P22+[3]SB3!P22+[3]SB4!P22+[3]SB5!P22+[3]SB6!P22</f>
        <v>9</v>
      </c>
      <c r="P22" s="216" t="str">
        <f>IF(H22=1,[3]SB1!Q22,IF(H22=2,[3]SB1!Q22&amp;";"&amp;[3]SB2!Q22,IF(H22=3,[3]SB1!Q22&amp;";"&amp;[3]SB2!Q22&amp;";"&amp;[3]SB3!Q22,IF(H22=4,[3]SB1!Q22&amp;";"&amp;[3]SB2!Q22&amp;";"&amp;[3]SB3!Q22&amp;";"&amp;[3]SB4!Q22,IF(H22=5,[3]SB1!Q22&amp;";"&amp;[3]SB2!Q22&amp;";"&amp;[3]SB3!Q22&amp;";"&amp;[3]SB4!Q22&amp;";"&amp;[3]SB5!Q22,[3]SB1!Q22&amp;";"&amp;[3]SB2!Q22&amp;";"&amp;[3]SB3!Q22&amp;";"&amp;[3]SB4!Q22&amp;";"&amp;[3]SB5!Q22&amp;";"&amp;[3]SB6!Q22)))))</f>
        <v>2/2/2;2/2/2;1/1/1</v>
      </c>
      <c r="Q22" s="216" t="str">
        <f>IF(H22=1,[3]SB1!HS22,IF(H22=2,[3]SB1!HS22&amp;";"&amp;[3]SB2!HN22,IF(H22=3,[3]SB1!HS22&amp;";"&amp;[3]SB2!HN22&amp;";"&amp;[3]SB3!HN22,IF(H22=4,[3]SB1!HS22&amp;";"&amp;[3]SB2!HN22&amp;";"&amp;[3]SB3!HN22&amp;";"&amp;[3]SB4!HN22,IF(H22=5,[3]SB1!HS22&amp;";"&amp;[3]SB2!HN22&amp;";"&amp;[3]SB3!HN22&amp;";"&amp;[3]SB4!HN22&amp;";"&amp;[3]SB5!HN22,[3]SB1!HS22&amp;";"&amp;[3]SB2!HN22&amp;";"&amp;[3]SB3!HN22&amp;";"&amp;[3]SB4!HN22&amp;";"&amp;[3]SB5!HN22&amp;";"&amp;[3]SB6!HN22)))))</f>
        <v>41,7W/41,7W/41,7W;40W/40W/40W;40W/40W/40W</v>
      </c>
      <c r="R22" s="216" t="str">
        <f>IF(H22=1,[3]SB1!H22,IF(H22=2,[3]SB1!H22&amp;"/"&amp;[3]SB2!H22,IF(H22=3,[3]SB1!H22&amp;"/"&amp;[3]SB2!H22&amp;"/"&amp;[3]SB3!H22,IF(H22=4,[3]SB1!H22&amp;"/"&amp;[3]SB2!H22&amp;"/"&amp;[3]SB3!H22&amp;"/"&amp;[3]SB4!H22,IF(H22=5,[3]SB1!H22&amp;"/"&amp;[3]SB2!H22&amp;"/"&amp;[3]SB3!H22&amp;"/"&amp;[3]SB4!H22&amp;"/"&amp;[3]SB5!H22,[3]SB1!H22&amp;"/"&amp;[3]SB2!H22&amp;"/"&amp;[3]SB3!H22&amp;"/"&amp;[3]SB4!H22&amp;"/"&amp;[3]SB5!H22&amp;"/"&amp;[3]SB6!H22)))))</f>
        <v>G1800/U2100/L1800</v>
      </c>
      <c r="S22" s="216" t="str">
        <f>IF(H22=1,[3]SB1!HT22,IF(H22=2,[3]SB1!HT22&amp;";"&amp;[3]SB2!HO22,IF(H22=3,[3]SB1!HT22&amp;";"&amp;[3]SB2!HO22&amp;";"&amp;[3]SB3!HO22,IF(H22=4,[3]SB1!HT22&amp;";"&amp;[3]SB2!HO22&amp;";"&amp;[3]SB3!HO22&amp;";"&amp;[3]SB4!HO22,IF(H22=5,[3]SB1!HT22&amp;";"&amp;[3]SB2!HO22&amp;";"&amp;[3]SB3!HO22&amp;";"&amp;[3]SB4!HO22&amp;";"&amp;[3]SB5!HO22,[3]SB1!HT22&amp;";"&amp;[3]SB2!HO22&amp;";"&amp;[3]SB3!HO22&amp;";"&amp;[3]SB4!HO22&amp;";"&amp;[3]SB5!HO22&amp;";"&amp;[3]SB6!HO22)))))</f>
        <v>30m/ 30m/ 30m;30m/ 30m/ 30m;30m/ 30m/ 30m</v>
      </c>
      <c r="T22" s="215">
        <f>[3]SB1!GU22</f>
        <v>1</v>
      </c>
      <c r="U22" s="215" t="str">
        <f>IF(H22=1,[3]SB1!AS22,IF(H22=2,[3]SB1!AS22&amp;";"&amp;[3]SB2!AS22,IF(H22=3,[3]SB1!AS22&amp;";"&amp;[3]SB2!AS22&amp;";"&amp;[3]SB3!AS22,IF(H22=4,[3]SB1!AS22&amp;";"&amp;[3]SB2!AS22&amp;";"&amp;[3]SB3!AS22&amp;";"&amp;[3]SB4!AS22,IF(H22=5,[3]SB1!AS22&amp;";"&amp;[3]SB2!AS22&amp;";"&amp;[3]SB3!AS22&amp;";"&amp;[3]SB4!AS22&amp;";"&amp;[3]SB5!AS22,[3]SB1!AS22&amp;";"&amp;[3]SB2!AS22&amp;";"&amp;[3]SB3!AS22&amp;";"&amp;[3]SB4!AS22&amp;";"&amp;[3]SB5!AS22&amp;";"&amp;[3]SB6!AS22)))))</f>
        <v>Kathrein 736018;Kathrein 742215;Commscope HWXX-6516DS2-A2M</v>
      </c>
      <c r="V22" s="213" t="str">
        <f>IF([3]Source!AEE22="Yes","Có","Không")</f>
        <v>Có</v>
      </c>
      <c r="W22" s="213" t="str">
        <f>IF([3]Source!AEF22="Yes","Có","Không")</f>
        <v>Không</v>
      </c>
      <c r="X22" s="213" t="str">
        <f>[3]Source!AEG22</f>
        <v/>
      </c>
      <c r="Y22" s="213" t="str">
        <f>IF([3]Source!AEH22="Yes","Có","Không")</f>
        <v>Có</v>
      </c>
      <c r="Z22" s="217">
        <f>[3]Source!AEI22</f>
        <v>19.5</v>
      </c>
      <c r="AA22" s="217" t="str">
        <f>IF([3]SB1!WBZ22="","",IF([3]SB1!WBZ22=0,"Có","Không"))</f>
        <v/>
      </c>
      <c r="AB22" s="217" t="str">
        <f>IF([3]Source!ADX22="Yes","Có","Không")</f>
        <v>Không</v>
      </c>
      <c r="AC22" s="217">
        <f>MIN([3]SB1!AH22,[3]SB2!AH22,[3]SB3!AH22,[3]SB4!AH22,[3]SB5!AH22,[3]SB6!AH22)+[3]SB1!AG22</f>
        <v>30</v>
      </c>
      <c r="AD22" s="217" t="str">
        <f>IF([3]SB1!HQ22="","",[3]SB1!HQ22)</f>
        <v>10,5</v>
      </c>
      <c r="AE22" s="218" t="str">
        <f>IF([3]SB1!HV22="","",[3]SB1!HV22)</f>
        <v/>
      </c>
    </row>
    <row r="23" spans="1:31" s="219" customFormat="1">
      <c r="A23" s="211" t="str">
        <f>[3]SB1!HM23</f>
        <v>Viettel Sóc Trăng - Chi nhánh Tập đoàn Công nghiệp - Viễn Thông Quân Đội</v>
      </c>
      <c r="B23" s="212">
        <f>[3]Source!A23</f>
        <v>20</v>
      </c>
      <c r="C23" s="212">
        <f>[3]SB1!GZ23</f>
        <v>761</v>
      </c>
      <c r="D23" s="213" t="str">
        <f>[3]SB1!GX23</f>
        <v>Số 11, đường Trần Quang Khải, phường 2, thành phố Sóc Trăng, tỉnh Sóc Trăng.</v>
      </c>
      <c r="E23" s="211" t="str">
        <f>[3]SB1!GV23</f>
        <v>Sóc Trăng</v>
      </c>
      <c r="F23" s="211" t="str">
        <f>MID([3]SB1!GS23,1,FIND(";",[3]SB1!GS23,1)-1)</f>
        <v>105,95872</v>
      </c>
      <c r="G23" s="211" t="str">
        <f>RIGHT([3]SB1!GS23,LEN([3]SB1!GS23)-LEN(F23)-1)</f>
        <v>9,60146</v>
      </c>
      <c r="H23" s="213">
        <f>[3]SB1!GY23</f>
        <v>3</v>
      </c>
      <c r="I23" s="211" t="str">
        <f>[3]SB1!AY23</f>
        <v>1802425/2019/PTN-KĐ</v>
      </c>
      <c r="J23" s="214">
        <f>[3]SB1!HK23</f>
        <v>43497</v>
      </c>
      <c r="K23" s="214">
        <f>[3]SB1!GR23</f>
        <v>43486</v>
      </c>
      <c r="L23" s="215" t="str">
        <f>IF(H23=1,[3]SB1!HR23,IF(H23=2,[3]SB1!HR23&amp;"/"&amp;[3]SB2!HM23,IF(H23=3,[3]SB1!HR23&amp;"/"&amp;[3]SB2!HM23&amp;"/"&amp;[3]SB3!HM23,IF(H23=4,[3]SB1!HR23&amp;"/"&amp;[3]SB2!HM23&amp;"/"&amp;[3]SB3!HM23&amp;"/"&amp;[3]SB4!HM23,IF(H23=5,[3]SB1!HR23&amp;"/"&amp;[3]SB2!HM23&amp;"/"&amp;[3]SB3!HM23&amp;"/"&amp;[3]SB4!HM23&amp;"/"&amp;[3]SB5!HM23,[3]SB1!HR23&amp;"/"&amp;[3]SB2!HM23&amp;"/"&amp;[3]SB3!HM23&amp;"/"&amp;[3]SB4!HM23&amp;"/"&amp;[3]SB5!HM23&amp;"/"&amp;[3]SB6!HM23)))))</f>
        <v>TẬP ĐOÀN CÔNG NGHIỆP - VIỄN THÔNG QUÂN ĐỘI/TẬP ĐOÀN CÔNG NGHIỆP - VIỄN THÔNG QUÂN ĐỘI/TẬP ĐOÀN CÔNG NGHIỆP - VIỄN THÔNG QUÂN ĐỘI</v>
      </c>
      <c r="M23" s="216" t="str">
        <f>IF(H23=1,[3]SB1!C23,IF(H23=2,[3]SB1!C23&amp;";"&amp;[3]SB2!C23,IF(H23=3,[3]SB1!C23&amp;";"&amp;[3]SB2!C23&amp;";"&amp;[3]SB3!C23,IF(H23=4,[3]SB1!C23&amp;";"&amp;[3]SB2!C23&amp;";"&amp;[3]SB3!C23&amp;";"&amp;[3]SB4!C23,IF(H23=5,[3]SB1!C23&amp;";"&amp;[3]SB2!C23&amp;";"&amp;[3]SB3!C23&amp;";"&amp;[3]SB4!C23&amp;";"&amp;[3]SB5!C23,[3]SB1!C23&amp;";"&amp;[3]SB2!C23&amp;";"&amp;[3]SB3!C23&amp;";"&amp;[3]SB4!C23&amp;";"&amp;[3]SB5!C23&amp;";"&amp;[3]SB6!C23)))))</f>
        <v>STG0099;STG0099;STG0099</v>
      </c>
      <c r="N23" s="216" t="str">
        <f>IF(H23=1,[3]SB1!K23,IF(H23=2,[3]SB1!K23&amp;";"&amp;[3]SB2!K23,IF(H23=3,[3]SB1!K23&amp;";"&amp;[3]SB2!K23&amp;";"&amp;[3]SB3!K23,IF(H23=4,[3]SB1!K23&amp;";"&amp;[3]SB2!K23&amp;";"&amp;[3]SB3!K23&amp;";"&amp;[3]SB4!K23,IF(H23=5,[3]SB1!K23&amp;";"&amp;[3]SB2!K23&amp;";"&amp;[3]SB3!K23&amp;";"&amp;[3]SB4!K23&amp;";"&amp;[3]SB5!K23,[3]SB1!K23&amp;";"&amp;[3]SB2!K23&amp;";"&amp;[3]SB3!K23&amp;";"&amp;[3]SB4!K23&amp;";"&amp;[3]SB5!K23&amp;";"&amp;[3]SB6!K23)))))</f>
        <v>NOKIA Flexi EDGE BTS;NOKIA Flexi WCDMA BTS;NSN FLEXI MULTIRADIO AIRSCALE</v>
      </c>
      <c r="O23" s="212">
        <f>[3]SB1!P23+[3]SB2!P23+[3]SB3!P23+[3]SB4!P23+[3]SB5!P23+[3]SB6!P23</f>
        <v>9</v>
      </c>
      <c r="P23" s="216" t="str">
        <f>IF(H23=1,[3]SB1!Q23,IF(H23=2,[3]SB1!Q23&amp;";"&amp;[3]SB2!Q23,IF(H23=3,[3]SB1!Q23&amp;";"&amp;[3]SB2!Q23&amp;";"&amp;[3]SB3!Q23,IF(H23=4,[3]SB1!Q23&amp;";"&amp;[3]SB2!Q23&amp;";"&amp;[3]SB3!Q23&amp;";"&amp;[3]SB4!Q23,IF(H23=5,[3]SB1!Q23&amp;";"&amp;[3]SB2!Q23&amp;";"&amp;[3]SB3!Q23&amp;";"&amp;[3]SB4!Q23&amp;";"&amp;[3]SB5!Q23,[3]SB1!Q23&amp;";"&amp;[3]SB2!Q23&amp;";"&amp;[3]SB3!Q23&amp;";"&amp;[3]SB4!Q23&amp;";"&amp;[3]SB5!Q23&amp;";"&amp;[3]SB6!Q23)))))</f>
        <v>2/2/2;2/2/2;1/1/1</v>
      </c>
      <c r="Q23" s="216" t="str">
        <f>IF(H23=1,[3]SB1!HS23,IF(H23=2,[3]SB1!HS23&amp;";"&amp;[3]SB2!HN23,IF(H23=3,[3]SB1!HS23&amp;";"&amp;[3]SB2!HN23&amp;";"&amp;[3]SB3!HN23,IF(H23=4,[3]SB1!HS23&amp;";"&amp;[3]SB2!HN23&amp;";"&amp;[3]SB3!HN23&amp;";"&amp;[3]SB4!HN23,IF(H23=5,[3]SB1!HS23&amp;";"&amp;[3]SB2!HN23&amp;";"&amp;[3]SB3!HN23&amp;";"&amp;[3]SB4!HN23&amp;";"&amp;[3]SB5!HN23,[3]SB1!HS23&amp;";"&amp;[3]SB2!HN23&amp;";"&amp;[3]SB3!HN23&amp;";"&amp;[3]SB4!HN23&amp;";"&amp;[3]SB5!HN23&amp;";"&amp;[3]SB6!HN23)))))</f>
        <v>41,7W/41,7W/41,7W;40W/40W/40W;40W/40W/40W</v>
      </c>
      <c r="R23" s="216" t="str">
        <f>IF(H23=1,[3]SB1!H23,IF(H23=2,[3]SB1!H23&amp;"/"&amp;[3]SB2!H23,IF(H23=3,[3]SB1!H23&amp;"/"&amp;[3]SB2!H23&amp;"/"&amp;[3]SB3!H23,IF(H23=4,[3]SB1!H23&amp;"/"&amp;[3]SB2!H23&amp;"/"&amp;[3]SB3!H23&amp;"/"&amp;[3]SB4!H23,IF(H23=5,[3]SB1!H23&amp;"/"&amp;[3]SB2!H23&amp;"/"&amp;[3]SB3!H23&amp;"/"&amp;[3]SB4!H23&amp;"/"&amp;[3]SB5!H23,[3]SB1!H23&amp;"/"&amp;[3]SB2!H23&amp;"/"&amp;[3]SB3!H23&amp;"/"&amp;[3]SB4!H23&amp;"/"&amp;[3]SB5!H23&amp;"/"&amp;[3]SB6!H23)))))</f>
        <v>G1800/U2100/L1800</v>
      </c>
      <c r="S23" s="216" t="str">
        <f>IF(H23=1,[3]SB1!HT23,IF(H23=2,[3]SB1!HT23&amp;";"&amp;[3]SB2!HO23,IF(H23=3,[3]SB1!HT23&amp;";"&amp;[3]SB2!HO23&amp;";"&amp;[3]SB3!HO23,IF(H23=4,[3]SB1!HT23&amp;";"&amp;[3]SB2!HO23&amp;";"&amp;[3]SB3!HO23&amp;";"&amp;[3]SB4!HO23,IF(H23=5,[3]SB1!HT23&amp;";"&amp;[3]SB2!HO23&amp;";"&amp;[3]SB3!HO23&amp;";"&amp;[3]SB4!HO23&amp;";"&amp;[3]SB5!HO23,[3]SB1!HT23&amp;";"&amp;[3]SB2!HO23&amp;";"&amp;[3]SB3!HO23&amp;";"&amp;[3]SB4!HO23&amp;";"&amp;[3]SB5!HO23&amp;";"&amp;[3]SB6!HO23)))))</f>
        <v>22m/ 22m/ 22m;22m/ 22m/ 22m;22m/ 22m/ 22m</v>
      </c>
      <c r="T23" s="215">
        <f>[3]SB1!GU23</f>
        <v>2</v>
      </c>
      <c r="U23" s="215" t="str">
        <f>IF(H23=1,[3]SB1!AS23,IF(H23=2,[3]SB1!AS23&amp;";"&amp;[3]SB2!AS23,IF(H23=3,[3]SB1!AS23&amp;";"&amp;[3]SB2!AS23&amp;";"&amp;[3]SB3!AS23,IF(H23=4,[3]SB1!AS23&amp;";"&amp;[3]SB2!AS23&amp;";"&amp;[3]SB3!AS23&amp;";"&amp;[3]SB4!AS23,IF(H23=5,[3]SB1!AS23&amp;";"&amp;[3]SB2!AS23&amp;";"&amp;[3]SB3!AS23&amp;";"&amp;[3]SB4!AS23&amp;";"&amp;[3]SB5!AS23,[3]SB1!AS23&amp;";"&amp;[3]SB2!AS23&amp;";"&amp;[3]SB3!AS23&amp;";"&amp;[3]SB4!AS23&amp;";"&amp;[3]SB5!AS23&amp;";"&amp;[3]SB6!AS23)))))</f>
        <v>Kathrein 736018;Kathrein 742215;Commscope HWXX-6516DS2-A2M</v>
      </c>
      <c r="V23" s="213" t="str">
        <f>IF([3]Source!AEE23="Yes","Có","Không")</f>
        <v>Có</v>
      </c>
      <c r="W23" s="213" t="str">
        <f>IF([3]Source!AEF23="Yes","Có","Không")</f>
        <v>Không</v>
      </c>
      <c r="X23" s="213" t="str">
        <f>[3]Source!AEG23</f>
        <v/>
      </c>
      <c r="Y23" s="213" t="str">
        <f>IF([3]Source!AEH23="Yes","Có","Không")</f>
        <v>Có</v>
      </c>
      <c r="Z23" s="217">
        <f>[3]Source!AEI23</f>
        <v>18</v>
      </c>
      <c r="AA23" s="217" t="str">
        <f>IF([3]SB1!WBZ23="","",IF([3]SB1!WBZ23=0,"Có","Không"))</f>
        <v/>
      </c>
      <c r="AB23" s="217" t="str">
        <f>IF([3]Source!ADX23="Yes","Có","Không")</f>
        <v>Không</v>
      </c>
      <c r="AC23" s="217">
        <f>MIN([3]SB1!AH23,[3]SB2!AH23,[3]SB3!AH23,[3]SB4!AH23,[3]SB5!AH23,[3]SB6!AH23)+[3]SB1!AG23</f>
        <v>22</v>
      </c>
      <c r="AD23" s="217" t="str">
        <f>IF([3]SB1!HQ23="","",[3]SB1!HQ23)</f>
        <v>4</v>
      </c>
      <c r="AE23" s="218" t="str">
        <f>IF([3]SB1!HV23="","",[3]SB1!HV23)</f>
        <v/>
      </c>
    </row>
    <row r="24" spans="1:31" s="219" customFormat="1">
      <c r="A24" s="211" t="str">
        <f>[3]SB1!HM24</f>
        <v>Viettel Sóc Trăng - Chi nhánh Tập đoàn Công nghiệp - Viễn Thông Quân Đội</v>
      </c>
      <c r="B24" s="212">
        <f>[3]Source!A24</f>
        <v>21</v>
      </c>
      <c r="C24" s="212">
        <f>[3]SB1!GZ24</f>
        <v>761</v>
      </c>
      <c r="D24" s="213" t="str">
        <f>[3]SB1!GX24</f>
        <v>Số 5/22, đường Phạm Hùng, khóm 3, phường 5, thành phố Sóc Trăng, tỉnh Sóc Trăng.</v>
      </c>
      <c r="E24" s="211" t="str">
        <f>[3]SB1!GV24</f>
        <v>Sóc Trăng</v>
      </c>
      <c r="F24" s="211" t="str">
        <f>MID([3]SB1!GS24,1,FIND(";",[3]SB1!GS24,1)-1)</f>
        <v>105,98035</v>
      </c>
      <c r="G24" s="211" t="str">
        <f>RIGHT([3]SB1!GS24,LEN([3]SB1!GS24)-LEN(F24)-1)</f>
        <v>9,61016</v>
      </c>
      <c r="H24" s="213">
        <f>[3]SB1!GY24</f>
        <v>3</v>
      </c>
      <c r="I24" s="211" t="str">
        <f>[3]SB1!AY24</f>
        <v>1802426/2019/PTN-KĐ</v>
      </c>
      <c r="J24" s="214">
        <f>[3]SB1!HK24</f>
        <v>43497</v>
      </c>
      <c r="K24" s="214">
        <f>[3]SB1!GR24</f>
        <v>43486</v>
      </c>
      <c r="L24" s="215" t="str">
        <f>IF(H24=1,[3]SB1!HR24,IF(H24=2,[3]SB1!HR24&amp;"/"&amp;[3]SB2!HM24,IF(H24=3,[3]SB1!HR24&amp;"/"&amp;[3]SB2!HM24&amp;"/"&amp;[3]SB3!HM24,IF(H24=4,[3]SB1!HR24&amp;"/"&amp;[3]SB2!HM24&amp;"/"&amp;[3]SB3!HM24&amp;"/"&amp;[3]SB4!HM24,IF(H24=5,[3]SB1!HR24&amp;"/"&amp;[3]SB2!HM24&amp;"/"&amp;[3]SB3!HM24&amp;"/"&amp;[3]SB4!HM24&amp;"/"&amp;[3]SB5!HM24,[3]SB1!HR24&amp;"/"&amp;[3]SB2!HM24&amp;"/"&amp;[3]SB3!HM24&amp;"/"&amp;[3]SB4!HM24&amp;"/"&amp;[3]SB5!HM24&amp;"/"&amp;[3]SB6!HM24)))))</f>
        <v>TẬP ĐOÀN CÔNG NGHIỆP - VIỄN THÔNG QUÂN ĐỘI/TẬP ĐOÀN CÔNG NGHIỆP - VIỄN THÔNG QUÂN ĐỘI/TẬP ĐOÀN CÔNG NGHIỆP - VIỄN THÔNG QUÂN ĐỘI</v>
      </c>
      <c r="M24" s="216" t="str">
        <f>IF(H24=1,[3]SB1!C24,IF(H24=2,[3]SB1!C24&amp;";"&amp;[3]SB2!C24,IF(H24=3,[3]SB1!C24&amp;";"&amp;[3]SB2!C24&amp;";"&amp;[3]SB3!C24,IF(H24=4,[3]SB1!C24&amp;";"&amp;[3]SB2!C24&amp;";"&amp;[3]SB3!C24&amp;";"&amp;[3]SB4!C24,IF(H24=5,[3]SB1!C24&amp;";"&amp;[3]SB2!C24&amp;";"&amp;[3]SB3!C24&amp;";"&amp;[3]SB4!C24&amp;";"&amp;[3]SB5!C24,[3]SB1!C24&amp;";"&amp;[3]SB2!C24&amp;";"&amp;[3]SB3!C24&amp;";"&amp;[3]SB4!C24&amp;";"&amp;[3]SB5!C24&amp;";"&amp;[3]SB6!C24)))))</f>
        <v>STG0104;STG0104;STG0104</v>
      </c>
      <c r="N24" s="216" t="str">
        <f>IF(H24=1,[3]SB1!K24,IF(H24=2,[3]SB1!K24&amp;";"&amp;[3]SB2!K24,IF(H24=3,[3]SB1!K24&amp;";"&amp;[3]SB2!K24&amp;";"&amp;[3]SB3!K24,IF(H24=4,[3]SB1!K24&amp;";"&amp;[3]SB2!K24&amp;";"&amp;[3]SB3!K24&amp;";"&amp;[3]SB4!K24,IF(H24=5,[3]SB1!K24&amp;";"&amp;[3]SB2!K24&amp;";"&amp;[3]SB3!K24&amp;";"&amp;[3]SB4!K24&amp;";"&amp;[3]SB5!K24,[3]SB1!K24&amp;";"&amp;[3]SB2!K24&amp;";"&amp;[3]SB3!K24&amp;";"&amp;[3]SB4!K24&amp;";"&amp;[3]SB5!K24&amp;";"&amp;[3]SB6!K24)))))</f>
        <v>NOKIA Flexi EDGE BTS;NOKIA Flexi WCDMA BTS;NSN FLEXI MULTIRADIO AIRSCALE</v>
      </c>
      <c r="O24" s="212">
        <f>[3]SB1!P24+[3]SB2!P24+[3]SB3!P24+[3]SB4!P24+[3]SB5!P24+[3]SB6!P24</f>
        <v>9</v>
      </c>
      <c r="P24" s="216" t="str">
        <f>IF(H24=1,[3]SB1!Q24,IF(H24=2,[3]SB1!Q24&amp;";"&amp;[3]SB2!Q24,IF(H24=3,[3]SB1!Q24&amp;";"&amp;[3]SB2!Q24&amp;";"&amp;[3]SB3!Q24,IF(H24=4,[3]SB1!Q24&amp;";"&amp;[3]SB2!Q24&amp;";"&amp;[3]SB3!Q24&amp;";"&amp;[3]SB4!Q24,IF(H24=5,[3]SB1!Q24&amp;";"&amp;[3]SB2!Q24&amp;";"&amp;[3]SB3!Q24&amp;";"&amp;[3]SB4!Q24&amp;";"&amp;[3]SB5!Q24,[3]SB1!Q24&amp;";"&amp;[3]SB2!Q24&amp;";"&amp;[3]SB3!Q24&amp;";"&amp;[3]SB4!Q24&amp;";"&amp;[3]SB5!Q24&amp;";"&amp;[3]SB6!Q24)))))</f>
        <v>2/2/2;2/2/2;1/1/1</v>
      </c>
      <c r="Q24" s="216" t="str">
        <f>IF(H24=1,[3]SB1!HS24,IF(H24=2,[3]SB1!HS24&amp;";"&amp;[3]SB2!HN24,IF(H24=3,[3]SB1!HS24&amp;";"&amp;[3]SB2!HN24&amp;";"&amp;[3]SB3!HN24,IF(H24=4,[3]SB1!HS24&amp;";"&amp;[3]SB2!HN24&amp;";"&amp;[3]SB3!HN24&amp;";"&amp;[3]SB4!HN24,IF(H24=5,[3]SB1!HS24&amp;";"&amp;[3]SB2!HN24&amp;";"&amp;[3]SB3!HN24&amp;";"&amp;[3]SB4!HN24&amp;";"&amp;[3]SB5!HN24,[3]SB1!HS24&amp;";"&amp;[3]SB2!HN24&amp;";"&amp;[3]SB3!HN24&amp;";"&amp;[3]SB4!HN24&amp;";"&amp;[3]SB5!HN24&amp;";"&amp;[3]SB6!HN24)))))</f>
        <v>41,7W/41,7W/41,7W;40W/40W/40W;40W/40W/40W</v>
      </c>
      <c r="R24" s="216" t="str">
        <f>IF(H24=1,[3]SB1!H24,IF(H24=2,[3]SB1!H24&amp;"/"&amp;[3]SB2!H24,IF(H24=3,[3]SB1!H24&amp;"/"&amp;[3]SB2!H24&amp;"/"&amp;[3]SB3!H24,IF(H24=4,[3]SB1!H24&amp;"/"&amp;[3]SB2!H24&amp;"/"&amp;[3]SB3!H24&amp;"/"&amp;[3]SB4!H24,IF(H24=5,[3]SB1!H24&amp;"/"&amp;[3]SB2!H24&amp;"/"&amp;[3]SB3!H24&amp;"/"&amp;[3]SB4!H24&amp;"/"&amp;[3]SB5!H24,[3]SB1!H24&amp;"/"&amp;[3]SB2!H24&amp;"/"&amp;[3]SB3!H24&amp;"/"&amp;[3]SB4!H24&amp;"/"&amp;[3]SB5!H24&amp;"/"&amp;[3]SB6!H24)))))</f>
        <v>G1800/U2100/L1800</v>
      </c>
      <c r="S24" s="216" t="str">
        <f>IF(H24=1,[3]SB1!HT24,IF(H24=2,[3]SB1!HT24&amp;";"&amp;[3]SB2!HO24,IF(H24=3,[3]SB1!HT24&amp;";"&amp;[3]SB2!HO24&amp;";"&amp;[3]SB3!HO24,IF(H24=4,[3]SB1!HT24&amp;";"&amp;[3]SB2!HO24&amp;";"&amp;[3]SB3!HO24&amp;";"&amp;[3]SB4!HO24,IF(H24=5,[3]SB1!HT24&amp;";"&amp;[3]SB2!HO24&amp;";"&amp;[3]SB3!HO24&amp;";"&amp;[3]SB4!HO24&amp;";"&amp;[3]SB5!HO24,[3]SB1!HT24&amp;";"&amp;[3]SB2!HO24&amp;";"&amp;[3]SB3!HO24&amp;";"&amp;[3]SB4!HO24&amp;";"&amp;[3]SB5!HO24&amp;";"&amp;[3]SB6!HO24)))))</f>
        <v>35m/ 35m/ 35m;40m/ 40m/ 40m;40m/ 40m/ 40m</v>
      </c>
      <c r="T24" s="215">
        <f>[3]SB1!GU24</f>
        <v>2</v>
      </c>
      <c r="U24" s="215" t="str">
        <f>IF(H24=1,[3]SB1!AS24,IF(H24=2,[3]SB1!AS24&amp;";"&amp;[3]SB2!AS24,IF(H24=3,[3]SB1!AS24&amp;";"&amp;[3]SB2!AS24&amp;";"&amp;[3]SB3!AS24,IF(H24=4,[3]SB1!AS24&amp;";"&amp;[3]SB2!AS24&amp;";"&amp;[3]SB3!AS24&amp;";"&amp;[3]SB4!AS24,IF(H24=5,[3]SB1!AS24&amp;";"&amp;[3]SB2!AS24&amp;";"&amp;[3]SB3!AS24&amp;";"&amp;[3]SB4!AS24&amp;";"&amp;[3]SB5!AS24,[3]SB1!AS24&amp;";"&amp;[3]SB2!AS24&amp;";"&amp;[3]SB3!AS24&amp;";"&amp;[3]SB4!AS24&amp;";"&amp;[3]SB5!AS24&amp;";"&amp;[3]SB6!AS24)))))</f>
        <v>Kathrein 736018;Kathrein 742215;Commscope HWXX-6516DS2-A2M</v>
      </c>
      <c r="V24" s="213" t="str">
        <f>IF([3]Source!AEE24="Yes","Có","Không")</f>
        <v>Có</v>
      </c>
      <c r="W24" s="213" t="str">
        <f>IF([3]Source!AEF24="Yes","Có","Không")</f>
        <v>Có</v>
      </c>
      <c r="X24" s="213">
        <f>[3]Source!AEG24</f>
        <v>35</v>
      </c>
      <c r="Y24" s="213" t="str">
        <f>IF([3]Source!AEH24="Yes","Có","Không")</f>
        <v>Có</v>
      </c>
      <c r="Z24" s="217">
        <f>[3]Source!AEI24</f>
        <v>24.5</v>
      </c>
      <c r="AA24" s="217" t="str">
        <f>IF([3]SB1!WBZ24="","",IF([3]SB1!WBZ24=0,"Có","Không"))</f>
        <v/>
      </c>
      <c r="AB24" s="217" t="str">
        <f>IF([3]Source!ADX24="Yes","Có","Không")</f>
        <v>Không</v>
      </c>
      <c r="AC24" s="217">
        <f>MIN([3]SB1!AH24,[3]SB2!AH24,[3]SB3!AH24,[3]SB4!AH24,[3]SB5!AH24,[3]SB6!AH24)+[3]SB1!AG24</f>
        <v>35</v>
      </c>
      <c r="AD24" s="217" t="str">
        <f>IF([3]SB1!HQ24="","",[3]SB1!HQ24)</f>
        <v>10,5</v>
      </c>
      <c r="AE24" s="218" t="str">
        <f>IF([3]SB1!HV24="","",[3]SB1!HV24)</f>
        <v/>
      </c>
    </row>
    <row r="25" spans="1:31" s="219" customFormat="1">
      <c r="A25" s="211" t="str">
        <f>[3]SB1!HM25</f>
        <v>Viettel Sóc Trăng - Chi nhánh Tập đoàn Công nghiệp - Viễn Thông Quân Đội</v>
      </c>
      <c r="B25" s="212">
        <f>[3]Source!A25</f>
        <v>22</v>
      </c>
      <c r="C25" s="212">
        <f>[3]SB1!GZ25</f>
        <v>761</v>
      </c>
      <c r="D25" s="213" t="str">
        <f>[3]SB1!GX25</f>
        <v>Số 29, đường Lê Duẩn, khóm 7, phường 3, thành phố Sóc Trăng, tỉnh Sóc Trăng.</v>
      </c>
      <c r="E25" s="211" t="str">
        <f>[3]SB1!GV25</f>
        <v>Sóc Trăng</v>
      </c>
      <c r="F25" s="211" t="str">
        <f>MID([3]SB1!GS25,1,FIND(";",[3]SB1!GS25,1)-1)</f>
        <v>105,97151</v>
      </c>
      <c r="G25" s="211" t="str">
        <f>RIGHT([3]SB1!GS25,LEN([3]SB1!GS25)-LEN(F25)-1)</f>
        <v>9,59535</v>
      </c>
      <c r="H25" s="213">
        <f>[3]SB1!GY25</f>
        <v>3</v>
      </c>
      <c r="I25" s="211" t="str">
        <f>[3]SB1!AY25</f>
        <v>1802427/2019/PTN-KĐ</v>
      </c>
      <c r="J25" s="214">
        <f>[3]SB1!HK25</f>
        <v>43497</v>
      </c>
      <c r="K25" s="214">
        <f>[3]SB1!GR25</f>
        <v>43486</v>
      </c>
      <c r="L25" s="215" t="str">
        <f>IF(H25=1,[3]SB1!HR25,IF(H25=2,[3]SB1!HR25&amp;"/"&amp;[3]SB2!HM25,IF(H25=3,[3]SB1!HR25&amp;"/"&amp;[3]SB2!HM25&amp;"/"&amp;[3]SB3!HM25,IF(H25=4,[3]SB1!HR25&amp;"/"&amp;[3]SB2!HM25&amp;"/"&amp;[3]SB3!HM25&amp;"/"&amp;[3]SB4!HM25,IF(H25=5,[3]SB1!HR25&amp;"/"&amp;[3]SB2!HM25&amp;"/"&amp;[3]SB3!HM25&amp;"/"&amp;[3]SB4!HM25&amp;"/"&amp;[3]SB5!HM25,[3]SB1!HR25&amp;"/"&amp;[3]SB2!HM25&amp;"/"&amp;[3]SB3!HM25&amp;"/"&amp;[3]SB4!HM25&amp;"/"&amp;[3]SB5!HM25&amp;"/"&amp;[3]SB6!HM25)))))</f>
        <v>TẬP ĐOÀN CÔNG NGHIỆP - VIỄN THÔNG QUÂN ĐỘI/TẬP ĐOÀN CÔNG NGHIỆP - VIỄN THÔNG QUÂN ĐỘI/TẬP ĐOÀN CÔNG NGHIỆP - VIỄN THÔNG QUÂN ĐỘI</v>
      </c>
      <c r="M25" s="216" t="str">
        <f>IF(H25=1,[3]SB1!C25,IF(H25=2,[3]SB1!C25&amp;";"&amp;[3]SB2!C25,IF(H25=3,[3]SB1!C25&amp;";"&amp;[3]SB2!C25&amp;";"&amp;[3]SB3!C25,IF(H25=4,[3]SB1!C25&amp;";"&amp;[3]SB2!C25&amp;";"&amp;[3]SB3!C25&amp;";"&amp;[3]SB4!C25,IF(H25=5,[3]SB1!C25&amp;";"&amp;[3]SB2!C25&amp;";"&amp;[3]SB3!C25&amp;";"&amp;[3]SB4!C25&amp;";"&amp;[3]SB5!C25,[3]SB1!C25&amp;";"&amp;[3]SB2!C25&amp;";"&amp;[3]SB3!C25&amp;";"&amp;[3]SB4!C25&amp;";"&amp;[3]SB5!C25&amp;";"&amp;[3]SB6!C25)))))</f>
        <v>STG0107;STG0107;STG0107</v>
      </c>
      <c r="N25" s="216" t="str">
        <f>IF(H25=1,[3]SB1!K25,IF(H25=2,[3]SB1!K25&amp;";"&amp;[3]SB2!K25,IF(H25=3,[3]SB1!K25&amp;";"&amp;[3]SB2!K25&amp;";"&amp;[3]SB3!K25,IF(H25=4,[3]SB1!K25&amp;";"&amp;[3]SB2!K25&amp;";"&amp;[3]SB3!K25&amp;";"&amp;[3]SB4!K25,IF(H25=5,[3]SB1!K25&amp;";"&amp;[3]SB2!K25&amp;";"&amp;[3]SB3!K25&amp;";"&amp;[3]SB4!K25&amp;";"&amp;[3]SB5!K25,[3]SB1!K25&amp;";"&amp;[3]SB2!K25&amp;";"&amp;[3]SB3!K25&amp;";"&amp;[3]SB4!K25&amp;";"&amp;[3]SB5!K25&amp;";"&amp;[3]SB6!K25)))))</f>
        <v>NOKIA Flexi EDGE BTS;NOKIA Flexi WCDMA BTS;NSN FLEXI MULTIRADIO AIRSCALE</v>
      </c>
      <c r="O25" s="212">
        <f>[3]SB1!P25+[3]SB2!P25+[3]SB3!P25+[3]SB4!P25+[3]SB5!P25+[3]SB6!P25</f>
        <v>9</v>
      </c>
      <c r="P25" s="216" t="str">
        <f>IF(H25=1,[3]SB1!Q25,IF(H25=2,[3]SB1!Q25&amp;";"&amp;[3]SB2!Q25,IF(H25=3,[3]SB1!Q25&amp;";"&amp;[3]SB2!Q25&amp;";"&amp;[3]SB3!Q25,IF(H25=4,[3]SB1!Q25&amp;";"&amp;[3]SB2!Q25&amp;";"&amp;[3]SB3!Q25&amp;";"&amp;[3]SB4!Q25,IF(H25=5,[3]SB1!Q25&amp;";"&amp;[3]SB2!Q25&amp;";"&amp;[3]SB3!Q25&amp;";"&amp;[3]SB4!Q25&amp;";"&amp;[3]SB5!Q25,[3]SB1!Q25&amp;";"&amp;[3]SB2!Q25&amp;";"&amp;[3]SB3!Q25&amp;";"&amp;[3]SB4!Q25&amp;";"&amp;[3]SB5!Q25&amp;";"&amp;[3]SB6!Q25)))))</f>
        <v>2/2/2;2/2/2;1/1/1</v>
      </c>
      <c r="Q25" s="216" t="str">
        <f>IF(H25=1,[3]SB1!HS25,IF(H25=2,[3]SB1!HS25&amp;";"&amp;[3]SB2!HN25,IF(H25=3,[3]SB1!HS25&amp;";"&amp;[3]SB2!HN25&amp;";"&amp;[3]SB3!HN25,IF(H25=4,[3]SB1!HS25&amp;";"&amp;[3]SB2!HN25&amp;";"&amp;[3]SB3!HN25&amp;";"&amp;[3]SB4!HN25,IF(H25=5,[3]SB1!HS25&amp;";"&amp;[3]SB2!HN25&amp;";"&amp;[3]SB3!HN25&amp;";"&amp;[3]SB4!HN25&amp;";"&amp;[3]SB5!HN25,[3]SB1!HS25&amp;";"&amp;[3]SB2!HN25&amp;";"&amp;[3]SB3!HN25&amp;";"&amp;[3]SB4!HN25&amp;";"&amp;[3]SB5!HN25&amp;";"&amp;[3]SB6!HN25)))))</f>
        <v>41,7W/41,7W/41,7W;40W/40W/40W;40W/40W/40W</v>
      </c>
      <c r="R25" s="216" t="str">
        <f>IF(H25=1,[3]SB1!H25,IF(H25=2,[3]SB1!H25&amp;"/"&amp;[3]SB2!H25,IF(H25=3,[3]SB1!H25&amp;"/"&amp;[3]SB2!H25&amp;"/"&amp;[3]SB3!H25,IF(H25=4,[3]SB1!H25&amp;"/"&amp;[3]SB2!H25&amp;"/"&amp;[3]SB3!H25&amp;"/"&amp;[3]SB4!H25,IF(H25=5,[3]SB1!H25&amp;"/"&amp;[3]SB2!H25&amp;"/"&amp;[3]SB3!H25&amp;"/"&amp;[3]SB4!H25&amp;"/"&amp;[3]SB5!H25,[3]SB1!H25&amp;"/"&amp;[3]SB2!H25&amp;"/"&amp;[3]SB3!H25&amp;"/"&amp;[3]SB4!H25&amp;"/"&amp;[3]SB5!H25&amp;"/"&amp;[3]SB6!H25)))))</f>
        <v>G1800/U2100/L1800</v>
      </c>
      <c r="S25" s="216" t="str">
        <f>IF(H25=1,[3]SB1!HT25,IF(H25=2,[3]SB1!HT25&amp;";"&amp;[3]SB2!HO25,IF(H25=3,[3]SB1!HT25&amp;";"&amp;[3]SB2!HO25&amp;";"&amp;[3]SB3!HO25,IF(H25=4,[3]SB1!HT25&amp;";"&amp;[3]SB2!HO25&amp;";"&amp;[3]SB3!HO25&amp;";"&amp;[3]SB4!HO25,IF(H25=5,[3]SB1!HT25&amp;";"&amp;[3]SB2!HO25&amp;";"&amp;[3]SB3!HO25&amp;";"&amp;[3]SB4!HO25&amp;";"&amp;[3]SB5!HO25,[3]SB1!HT25&amp;";"&amp;[3]SB2!HO25&amp;";"&amp;[3]SB3!HO25&amp;";"&amp;[3]SB4!HO25&amp;";"&amp;[3]SB5!HO25&amp;";"&amp;[3]SB6!HO25)))))</f>
        <v>28m/ 28m/ 28m;35m/ 35m/ 35m;35m/ 35m/ 35m</v>
      </c>
      <c r="T25" s="215">
        <f>[3]SB1!GU25</f>
        <v>2</v>
      </c>
      <c r="U25" s="215" t="str">
        <f>IF(H25=1,[3]SB1!AS25,IF(H25=2,[3]SB1!AS25&amp;";"&amp;[3]SB2!AS25,IF(H25=3,[3]SB1!AS25&amp;";"&amp;[3]SB2!AS25&amp;";"&amp;[3]SB3!AS25,IF(H25=4,[3]SB1!AS25&amp;";"&amp;[3]SB2!AS25&amp;";"&amp;[3]SB3!AS25&amp;";"&amp;[3]SB4!AS25,IF(H25=5,[3]SB1!AS25&amp;";"&amp;[3]SB2!AS25&amp;";"&amp;[3]SB3!AS25&amp;";"&amp;[3]SB4!AS25&amp;";"&amp;[3]SB5!AS25,[3]SB1!AS25&amp;";"&amp;[3]SB2!AS25&amp;";"&amp;[3]SB3!AS25&amp;";"&amp;[3]SB4!AS25&amp;";"&amp;[3]SB5!AS25&amp;";"&amp;[3]SB6!AS25)))))</f>
        <v>Kathrein 736018;Kathrein 742215;Commscope HWXX-6516DS2-A2M</v>
      </c>
      <c r="V25" s="213" t="str">
        <f>IF([3]Source!AEE25="Yes","Có","Không")</f>
        <v>Có</v>
      </c>
      <c r="W25" s="213" t="str">
        <f>IF([3]Source!AEF25="Yes","Có","Không")</f>
        <v>Không</v>
      </c>
      <c r="X25" s="213" t="str">
        <f>[3]Source!AEG25</f>
        <v/>
      </c>
      <c r="Y25" s="213" t="str">
        <f>IF([3]Source!AEH25="Yes","Có","Không")</f>
        <v>Có</v>
      </c>
      <c r="Z25" s="217">
        <f>[3]Source!AEI25</f>
        <v>7</v>
      </c>
      <c r="AA25" s="217" t="str">
        <f>IF([3]SB1!WBZ25="","",IF([3]SB1!WBZ25=0,"Có","Không"))</f>
        <v/>
      </c>
      <c r="AB25" s="217" t="str">
        <f>IF([3]Source!ADX25="Yes","Có","Không")</f>
        <v>Không</v>
      </c>
      <c r="AC25" s="217">
        <f>MIN([3]SB1!AH25,[3]SB2!AH25,[3]SB3!AH25,[3]SB4!AH25,[3]SB5!AH25,[3]SB6!AH25)+[3]SB1!AG25</f>
        <v>28</v>
      </c>
      <c r="AD25" s="217" t="str">
        <f>IF([3]SB1!HQ25="","",[3]SB1!HQ25)</f>
        <v>21</v>
      </c>
      <c r="AE25" s="218" t="str">
        <f>IF([3]SB1!HV25="","",[3]SB1!HV25)</f>
        <v/>
      </c>
    </row>
    <row r="26" spans="1:31" s="219" customFormat="1">
      <c r="A26" s="211" t="str">
        <f>[3]SB1!HM26</f>
        <v>Viettel Sóc Trăng - Chi nhánh Tập đoàn Công nghiệp - Viễn Thông Quân Đội</v>
      </c>
      <c r="B26" s="212">
        <f>[3]Source!A26</f>
        <v>23</v>
      </c>
      <c r="C26" s="212">
        <f>[3]SB1!GZ26</f>
        <v>761</v>
      </c>
      <c r="D26" s="213" t="str">
        <f>[3]SB1!GX26</f>
        <v>Số 342, đường Mạc Đỉnh Chi, phường 9, thành phố Sóc Trăng, tỉnh Sóc Trăng.</v>
      </c>
      <c r="E26" s="211" t="str">
        <f>[3]SB1!GV26</f>
        <v>Sóc Trăng</v>
      </c>
      <c r="F26" s="211" t="str">
        <f>MID([3]SB1!GS26,1,FIND(";",[3]SB1!GS26,1)-1)</f>
        <v>105,99796</v>
      </c>
      <c r="G26" s="211" t="str">
        <f>RIGHT([3]SB1!GS26,LEN([3]SB1!GS26)-LEN(F26)-1)</f>
        <v>9,59388</v>
      </c>
      <c r="H26" s="213">
        <f>[3]SB1!GY26</f>
        <v>3</v>
      </c>
      <c r="I26" s="211" t="str">
        <f>[3]SB1!AY26</f>
        <v>1802428/2019/PTN-KĐ</v>
      </c>
      <c r="J26" s="214">
        <f>[3]SB1!HK26</f>
        <v>43497</v>
      </c>
      <c r="K26" s="214">
        <f>[3]SB1!GR26</f>
        <v>43487</v>
      </c>
      <c r="L26" s="215" t="str">
        <f>IF(H26=1,[3]SB1!HR26,IF(H26=2,[3]SB1!HR26&amp;"/"&amp;[3]SB2!HM26,IF(H26=3,[3]SB1!HR26&amp;"/"&amp;[3]SB2!HM26&amp;"/"&amp;[3]SB3!HM26,IF(H26=4,[3]SB1!HR26&amp;"/"&amp;[3]SB2!HM26&amp;"/"&amp;[3]SB3!HM26&amp;"/"&amp;[3]SB4!HM26,IF(H26=5,[3]SB1!HR26&amp;"/"&amp;[3]SB2!HM26&amp;"/"&amp;[3]SB3!HM26&amp;"/"&amp;[3]SB4!HM26&amp;"/"&amp;[3]SB5!HM26,[3]SB1!HR26&amp;"/"&amp;[3]SB2!HM26&amp;"/"&amp;[3]SB3!HM26&amp;"/"&amp;[3]SB4!HM26&amp;"/"&amp;[3]SB5!HM26&amp;"/"&amp;[3]SB6!HM26)))))</f>
        <v>TẬP ĐOÀN CÔNG NGHIỆP - VIỄN THÔNG QUÂN ĐỘI/TẬP ĐOÀN CÔNG NGHIỆP - VIỄN THÔNG QUÂN ĐỘI/TẬP ĐOÀN CÔNG NGHIỆP - VIỄN THÔNG QUÂN ĐỘI</v>
      </c>
      <c r="M26" s="216" t="str">
        <f>IF(H26=1,[3]SB1!C26,IF(H26=2,[3]SB1!C26&amp;";"&amp;[3]SB2!C26,IF(H26=3,[3]SB1!C26&amp;";"&amp;[3]SB2!C26&amp;";"&amp;[3]SB3!C26,IF(H26=4,[3]SB1!C26&amp;";"&amp;[3]SB2!C26&amp;";"&amp;[3]SB3!C26&amp;";"&amp;[3]SB4!C26,IF(H26=5,[3]SB1!C26&amp;";"&amp;[3]SB2!C26&amp;";"&amp;[3]SB3!C26&amp;";"&amp;[3]SB4!C26&amp;";"&amp;[3]SB5!C26,[3]SB1!C26&amp;";"&amp;[3]SB2!C26&amp;";"&amp;[3]SB3!C26&amp;";"&amp;[3]SB4!C26&amp;";"&amp;[3]SB5!C26&amp;";"&amp;[3]SB6!C26)))))</f>
        <v>STG0109;STG0109;STG0109</v>
      </c>
      <c r="N26" s="216" t="str">
        <f>IF(H26=1,[3]SB1!K26,IF(H26=2,[3]SB1!K26&amp;";"&amp;[3]SB2!K26,IF(H26=3,[3]SB1!K26&amp;";"&amp;[3]SB2!K26&amp;";"&amp;[3]SB3!K26,IF(H26=4,[3]SB1!K26&amp;";"&amp;[3]SB2!K26&amp;";"&amp;[3]SB3!K26&amp;";"&amp;[3]SB4!K26,IF(H26=5,[3]SB1!K26&amp;";"&amp;[3]SB2!K26&amp;";"&amp;[3]SB3!K26&amp;";"&amp;[3]SB4!K26&amp;";"&amp;[3]SB5!K26,[3]SB1!K26&amp;";"&amp;[3]SB2!K26&amp;";"&amp;[3]SB3!K26&amp;";"&amp;[3]SB4!K26&amp;";"&amp;[3]SB5!K26&amp;";"&amp;[3]SB6!K26)))))</f>
        <v>NOKIA Flexi EDGE BTS;NOKIA Flexi WCDMA BTS;NSN FLEXI MULTIRADIO AIRSCALE</v>
      </c>
      <c r="O26" s="212">
        <f>[3]SB1!P26+[3]SB2!P26+[3]SB3!P26+[3]SB4!P26+[3]SB5!P26+[3]SB6!P26</f>
        <v>9</v>
      </c>
      <c r="P26" s="216" t="str">
        <f>IF(H26=1,[3]SB1!Q26,IF(H26=2,[3]SB1!Q26&amp;";"&amp;[3]SB2!Q26,IF(H26=3,[3]SB1!Q26&amp;";"&amp;[3]SB2!Q26&amp;";"&amp;[3]SB3!Q26,IF(H26=4,[3]SB1!Q26&amp;";"&amp;[3]SB2!Q26&amp;";"&amp;[3]SB3!Q26&amp;";"&amp;[3]SB4!Q26,IF(H26=5,[3]SB1!Q26&amp;";"&amp;[3]SB2!Q26&amp;";"&amp;[3]SB3!Q26&amp;";"&amp;[3]SB4!Q26&amp;";"&amp;[3]SB5!Q26,[3]SB1!Q26&amp;";"&amp;[3]SB2!Q26&amp;";"&amp;[3]SB3!Q26&amp;";"&amp;[3]SB4!Q26&amp;";"&amp;[3]SB5!Q26&amp;";"&amp;[3]SB6!Q26)))))</f>
        <v>2/2/2;2/2/2;1/1/1</v>
      </c>
      <c r="Q26" s="216" t="str">
        <f>IF(H26=1,[3]SB1!HS26,IF(H26=2,[3]SB1!HS26&amp;";"&amp;[3]SB2!HN26,IF(H26=3,[3]SB1!HS26&amp;";"&amp;[3]SB2!HN26&amp;";"&amp;[3]SB3!HN26,IF(H26=4,[3]SB1!HS26&amp;";"&amp;[3]SB2!HN26&amp;";"&amp;[3]SB3!HN26&amp;";"&amp;[3]SB4!HN26,IF(H26=5,[3]SB1!HS26&amp;";"&amp;[3]SB2!HN26&amp;";"&amp;[3]SB3!HN26&amp;";"&amp;[3]SB4!HN26&amp;";"&amp;[3]SB5!HN26,[3]SB1!HS26&amp;";"&amp;[3]SB2!HN26&amp;";"&amp;[3]SB3!HN26&amp;";"&amp;[3]SB4!HN26&amp;";"&amp;[3]SB5!HN26&amp;";"&amp;[3]SB6!HN26)))))</f>
        <v>41,7W/41,7W/41,7W;40W/40W/40W;40W/40W/40W</v>
      </c>
      <c r="R26" s="216" t="str">
        <f>IF(H26=1,[3]SB1!H26,IF(H26=2,[3]SB1!H26&amp;"/"&amp;[3]SB2!H26,IF(H26=3,[3]SB1!H26&amp;"/"&amp;[3]SB2!H26&amp;"/"&amp;[3]SB3!H26,IF(H26=4,[3]SB1!H26&amp;"/"&amp;[3]SB2!H26&amp;"/"&amp;[3]SB3!H26&amp;"/"&amp;[3]SB4!H26,IF(H26=5,[3]SB1!H26&amp;"/"&amp;[3]SB2!H26&amp;"/"&amp;[3]SB3!H26&amp;"/"&amp;[3]SB4!H26&amp;"/"&amp;[3]SB5!H26,[3]SB1!H26&amp;"/"&amp;[3]SB2!H26&amp;"/"&amp;[3]SB3!H26&amp;"/"&amp;[3]SB4!H26&amp;"/"&amp;[3]SB5!H26&amp;"/"&amp;[3]SB6!H26)))))</f>
        <v>G1800/U2100/L1800</v>
      </c>
      <c r="S26" s="216" t="str">
        <f>IF(H26=1,[3]SB1!HT26,IF(H26=2,[3]SB1!HT26&amp;";"&amp;[3]SB2!HO26,IF(H26=3,[3]SB1!HT26&amp;";"&amp;[3]SB2!HO26&amp;";"&amp;[3]SB3!HO26,IF(H26=4,[3]SB1!HT26&amp;";"&amp;[3]SB2!HO26&amp;";"&amp;[3]SB3!HO26&amp;";"&amp;[3]SB4!HO26,IF(H26=5,[3]SB1!HT26&amp;";"&amp;[3]SB2!HO26&amp;";"&amp;[3]SB3!HO26&amp;";"&amp;[3]SB4!HO26&amp;";"&amp;[3]SB5!HO26,[3]SB1!HT26&amp;";"&amp;[3]SB2!HO26&amp;";"&amp;[3]SB3!HO26&amp;";"&amp;[3]SB4!HO26&amp;";"&amp;[3]SB5!HO26&amp;";"&amp;[3]SB6!HO26)))))</f>
        <v>32m/ 32m/ 32m;28m/ 28m/ 28m;32m/ 32m/ 32m</v>
      </c>
      <c r="T26" s="215">
        <f>[3]SB1!GU26</f>
        <v>2</v>
      </c>
      <c r="U26" s="215" t="str">
        <f>IF(H26=1,[3]SB1!AS26,IF(H26=2,[3]SB1!AS26&amp;";"&amp;[3]SB2!AS26,IF(H26=3,[3]SB1!AS26&amp;";"&amp;[3]SB2!AS26&amp;";"&amp;[3]SB3!AS26,IF(H26=4,[3]SB1!AS26&amp;";"&amp;[3]SB2!AS26&amp;";"&amp;[3]SB3!AS26&amp;";"&amp;[3]SB4!AS26,IF(H26=5,[3]SB1!AS26&amp;";"&amp;[3]SB2!AS26&amp;";"&amp;[3]SB3!AS26&amp;";"&amp;[3]SB4!AS26&amp;";"&amp;[3]SB5!AS26,[3]SB1!AS26&amp;";"&amp;[3]SB2!AS26&amp;";"&amp;[3]SB3!AS26&amp;";"&amp;[3]SB4!AS26&amp;";"&amp;[3]SB5!AS26&amp;";"&amp;[3]SB6!AS26)))))</f>
        <v>Kathrein 736018;Kathrein 742215;Commscope HWXX-6516DS2-A2M</v>
      </c>
      <c r="V26" s="213" t="str">
        <f>IF([3]Source!AEE26="Yes","Có","Không")</f>
        <v>Có</v>
      </c>
      <c r="W26" s="213" t="str">
        <f>IF([3]Source!AEF26="Yes","Có","Không")</f>
        <v>Không</v>
      </c>
      <c r="X26" s="213" t="str">
        <f>[3]Source!AEG26</f>
        <v/>
      </c>
      <c r="Y26" s="213" t="str">
        <f>IF([3]Source!AEH26="Yes","Có","Không")</f>
        <v>Có</v>
      </c>
      <c r="Z26" s="217">
        <f>[3]Source!AEI26</f>
        <v>24</v>
      </c>
      <c r="AA26" s="217" t="str">
        <f>IF([3]SB1!WBZ26="","",IF([3]SB1!WBZ26=0,"Có","Không"))</f>
        <v/>
      </c>
      <c r="AB26" s="217" t="str">
        <f>IF([3]Source!ADX26="Yes","Có","Không")</f>
        <v>Không</v>
      </c>
      <c r="AC26" s="217">
        <f>MIN([3]SB1!AH26,[3]SB2!AH26,[3]SB3!AH26,[3]SB4!AH26,[3]SB5!AH26,[3]SB6!AH26)+[3]SB1!AG26</f>
        <v>28</v>
      </c>
      <c r="AD26" s="217" t="str">
        <f>IF([3]SB1!HQ26="","",[3]SB1!HQ26)</f>
        <v>4</v>
      </c>
      <c r="AE26" s="218" t="str">
        <f>IF([3]SB1!HV26="","",[3]SB1!HV26)</f>
        <v/>
      </c>
    </row>
    <row r="27" spans="1:31" s="219" customFormat="1">
      <c r="A27" s="211" t="str">
        <f>[3]SB1!HM27</f>
        <v>Viettel Sóc Trăng - Chi nhánh Tập đoàn Công nghiệp - Viễn Thông Quân Đội</v>
      </c>
      <c r="B27" s="212">
        <f>[3]Source!A27</f>
        <v>24</v>
      </c>
      <c r="C27" s="212">
        <f>[3]SB1!GZ27</f>
        <v>761</v>
      </c>
      <c r="D27" s="213" t="str">
        <f>[3]SB1!GX27</f>
        <v>Số 18B, đường Cao Thắng, khóm 5, phường 8, thành phố Sóc Trăng, tỉnh Sóc Trăng.</v>
      </c>
      <c r="E27" s="211" t="str">
        <f>[3]SB1!GV27</f>
        <v>Sóc Trăng</v>
      </c>
      <c r="F27" s="211" t="str">
        <f>MID([3]SB1!GS27,1,FIND(";",[3]SB1!GS27,1)-1)</f>
        <v>105,99285</v>
      </c>
      <c r="G27" s="211" t="str">
        <f>RIGHT([3]SB1!GS27,LEN([3]SB1!GS27)-LEN(F27)-1)</f>
        <v>9,60859</v>
      </c>
      <c r="H27" s="213">
        <f>[3]SB1!GY27</f>
        <v>4</v>
      </c>
      <c r="I27" s="211" t="str">
        <f>[3]SB1!AY27</f>
        <v>1802429/2019/PTN-KĐ</v>
      </c>
      <c r="J27" s="214">
        <f>[3]SB1!HK27</f>
        <v>43497</v>
      </c>
      <c r="K27" s="214">
        <f>[3]SB1!GR27</f>
        <v>43487</v>
      </c>
      <c r="L27" s="215" t="str">
        <f>IF(H27=1,[3]SB1!HR27,IF(H27=2,[3]SB1!HR27&amp;"/"&amp;[3]SB2!HM27,IF(H27=3,[3]SB1!HR27&amp;"/"&amp;[3]SB2!HM27&amp;"/"&amp;[3]SB3!HM27,IF(H27=4,[3]SB1!HR27&amp;"/"&amp;[3]SB2!HM27&amp;"/"&amp;[3]SB3!HM27&amp;"/"&amp;[3]SB4!HM27,IF(H27=5,[3]SB1!HR27&amp;"/"&amp;[3]SB2!HM27&amp;"/"&amp;[3]SB3!HM27&amp;"/"&amp;[3]SB4!HM27&amp;"/"&amp;[3]SB5!HM27,[3]SB1!HR27&amp;"/"&amp;[3]SB2!HM27&amp;"/"&amp;[3]SB3!HM27&amp;"/"&amp;[3]SB4!HM27&amp;"/"&amp;[3]SB5!HM27&amp;"/"&amp;[3]SB6!HM27)))))</f>
        <v>TẬP ĐOÀN CÔNG NGHIỆP - VIỄN THÔNG QUÂN ĐỘI/TẬP ĐOÀN CÔNG NGHIỆP - VIỄN THÔNG QUÂN ĐỘI/TẬP ĐOÀN CÔNG NGHIỆP - VIỄN THÔNG QUÂN ĐỘI/TẬP ĐOÀN CÔNG NGHIỆP - VIỄN THÔNG QUÂN ĐỘI</v>
      </c>
      <c r="M27" s="216" t="str">
        <f>IF(H27=1,[3]SB1!C27,IF(H27=2,[3]SB1!C27&amp;";"&amp;[3]SB2!C27,IF(H27=3,[3]SB1!C27&amp;";"&amp;[3]SB2!C27&amp;";"&amp;[3]SB3!C27,IF(H27=4,[3]SB1!C27&amp;";"&amp;[3]SB2!C27&amp;";"&amp;[3]SB3!C27&amp;";"&amp;[3]SB4!C27,IF(H27=5,[3]SB1!C27&amp;";"&amp;[3]SB2!C27&amp;";"&amp;[3]SB3!C27&amp;";"&amp;[3]SB4!C27&amp;";"&amp;[3]SB5!C27,[3]SB1!C27&amp;";"&amp;[3]SB2!C27&amp;";"&amp;[3]SB3!C27&amp;";"&amp;[3]SB4!C27&amp;";"&amp;[3]SB5!C27&amp;";"&amp;[3]SB6!C27)))))</f>
        <v>STG0110;STG0110;STG0110;STG0110</v>
      </c>
      <c r="N27" s="216" t="str">
        <f>IF(H27=1,[3]SB1!K27,IF(H27=2,[3]SB1!K27&amp;";"&amp;[3]SB2!K27,IF(H27=3,[3]SB1!K27&amp;";"&amp;[3]SB2!K27&amp;";"&amp;[3]SB3!K27,IF(H27=4,[3]SB1!K27&amp;";"&amp;[3]SB2!K27&amp;";"&amp;[3]SB3!K27&amp;";"&amp;[3]SB4!K27,IF(H27=5,[3]SB1!K27&amp;";"&amp;[3]SB2!K27&amp;";"&amp;[3]SB3!K27&amp;";"&amp;[3]SB4!K27&amp;";"&amp;[3]SB5!K27,[3]SB1!K27&amp;";"&amp;[3]SB2!K27&amp;";"&amp;[3]SB3!K27&amp;";"&amp;[3]SB4!K27&amp;";"&amp;[3]SB5!K27&amp;";"&amp;[3]SB6!K27)))))</f>
        <v>NOKIA Flexi EDGE BTS;NOKIA Flexi EDGE BTS;NOKIA Flexi WCDMA BTS;NSN FLEXI MULTIRADIO AIRSCALE</v>
      </c>
      <c r="O27" s="212">
        <f>[3]SB1!P27+[3]SB2!P27+[3]SB3!P27+[3]SB4!P27+[3]SB5!P27+[3]SB6!P27</f>
        <v>12</v>
      </c>
      <c r="P27" s="216" t="str">
        <f>IF(H27=1,[3]SB1!Q27,IF(H27=2,[3]SB1!Q27&amp;";"&amp;[3]SB2!Q27,IF(H27=3,[3]SB1!Q27&amp;";"&amp;[3]SB2!Q27&amp;";"&amp;[3]SB3!Q27,IF(H27=4,[3]SB1!Q27&amp;";"&amp;[3]SB2!Q27&amp;";"&amp;[3]SB3!Q27&amp;";"&amp;[3]SB4!Q27,IF(H27=5,[3]SB1!Q27&amp;";"&amp;[3]SB2!Q27&amp;";"&amp;[3]SB3!Q27&amp;";"&amp;[3]SB4!Q27&amp;";"&amp;[3]SB5!Q27,[3]SB1!Q27&amp;";"&amp;[3]SB2!Q27&amp;";"&amp;[3]SB3!Q27&amp;";"&amp;[3]SB4!Q27&amp;";"&amp;[3]SB5!Q27&amp;";"&amp;[3]SB6!Q27)))))</f>
        <v>4/4/4;4/2/4;2/2/2;1/1/1</v>
      </c>
      <c r="Q27" s="216" t="str">
        <f>IF(H27=1,[3]SB1!HS27,IF(H27=2,[3]SB1!HS27&amp;";"&amp;[3]SB2!HN27,IF(H27=3,[3]SB1!HS27&amp;";"&amp;[3]SB2!HN27&amp;";"&amp;[3]SB3!HN27,IF(H27=4,[3]SB1!HS27&amp;";"&amp;[3]SB2!HN27&amp;";"&amp;[3]SB3!HN27&amp;";"&amp;[3]SB4!HN27,IF(H27=5,[3]SB1!HS27&amp;";"&amp;[3]SB2!HN27&amp;";"&amp;[3]SB3!HN27&amp;";"&amp;[3]SB4!HN27&amp;";"&amp;[3]SB5!HN27,[3]SB1!HS27&amp;";"&amp;[3]SB2!HN27&amp;";"&amp;[3]SB3!HN27&amp;";"&amp;[3]SB4!HN27&amp;";"&amp;[3]SB5!HN27&amp;";"&amp;[3]SB6!HN27)))))</f>
        <v>37,24W/37,24W/37,24W;37,24W/41,7W/37,24W;40W/40W/40W;40W/40W/40W</v>
      </c>
      <c r="R27" s="216" t="str">
        <f>IF(H27=1,[3]SB1!H27,IF(H27=2,[3]SB1!H27&amp;"/"&amp;[3]SB2!H27,IF(H27=3,[3]SB1!H27&amp;"/"&amp;[3]SB2!H27&amp;"/"&amp;[3]SB3!H27,IF(H27=4,[3]SB1!H27&amp;"/"&amp;[3]SB2!H27&amp;"/"&amp;[3]SB3!H27&amp;"/"&amp;[3]SB4!H27,IF(H27=5,[3]SB1!H27&amp;"/"&amp;[3]SB2!H27&amp;"/"&amp;[3]SB3!H27&amp;"/"&amp;[3]SB4!H27&amp;"/"&amp;[3]SB5!H27,[3]SB1!H27&amp;"/"&amp;[3]SB2!H27&amp;"/"&amp;[3]SB3!H27&amp;"/"&amp;[3]SB4!H27&amp;"/"&amp;[3]SB5!H27&amp;"/"&amp;[3]SB6!H27)))))</f>
        <v>G900/G1800/U2100/L1800</v>
      </c>
      <c r="S27" s="216" t="str">
        <f>IF(H27=1,[3]SB1!HT27,IF(H27=2,[3]SB1!HT27&amp;";"&amp;[3]SB2!HO27,IF(H27=3,[3]SB1!HT27&amp;";"&amp;[3]SB2!HO27&amp;";"&amp;[3]SB3!HO27,IF(H27=4,[3]SB1!HT27&amp;";"&amp;[3]SB2!HO27&amp;";"&amp;[3]SB3!HO27&amp;";"&amp;[3]SB4!HO27,IF(H27=5,[3]SB1!HT27&amp;";"&amp;[3]SB2!HO27&amp;";"&amp;[3]SB3!HO27&amp;";"&amp;[3]SB4!HO27&amp;";"&amp;[3]SB5!HO27,[3]SB1!HT27&amp;";"&amp;[3]SB2!HO27&amp;";"&amp;[3]SB3!HO27&amp;";"&amp;[3]SB4!HO27&amp;";"&amp;[3]SB5!HO27&amp;";"&amp;[3]SB6!HO27)))))</f>
        <v>29m/ 29m/ 29m;37m/ 37m/ 37m;37m/ 37m/ 37m;37m/ 37m/ 37m</v>
      </c>
      <c r="T27" s="215">
        <f>[3]SB1!GU27</f>
        <v>2</v>
      </c>
      <c r="U27" s="215" t="str">
        <f>IF(H27=1,[3]SB1!AS27,IF(H27=2,[3]SB1!AS27&amp;";"&amp;[3]SB2!AS27,IF(H27=3,[3]SB1!AS27&amp;";"&amp;[3]SB2!AS27&amp;";"&amp;[3]SB3!AS27,IF(H27=4,[3]SB1!AS27&amp;";"&amp;[3]SB2!AS27&amp;";"&amp;[3]SB3!AS27&amp;";"&amp;[3]SB4!AS27,IF(H27=5,[3]SB1!AS27&amp;";"&amp;[3]SB2!AS27&amp;";"&amp;[3]SB3!AS27&amp;";"&amp;[3]SB4!AS27&amp;";"&amp;[3]SB5!AS27,[3]SB1!AS27&amp;";"&amp;[3]SB2!AS27&amp;";"&amp;[3]SB3!AS27&amp;";"&amp;[3]SB4!AS27&amp;";"&amp;[3]SB5!AS27&amp;";"&amp;[3]SB6!AS27)))))</f>
        <v>Kathrein 739636;Kathrein 736018;Kathrein 742215;Commscope HWXX-6516DS2-A2M</v>
      </c>
      <c r="V27" s="213" t="str">
        <f>IF([3]Source!AEE27="Yes","Có","Không")</f>
        <v>Có</v>
      </c>
      <c r="W27" s="213" t="str">
        <f>IF([3]Source!AEF27="Yes","Có","Không")</f>
        <v>Không</v>
      </c>
      <c r="X27" s="213" t="str">
        <f>[3]Source!AEG27</f>
        <v/>
      </c>
      <c r="Y27" s="213" t="str">
        <f>IF([3]Source!AEH27="Yes","Có","Không")</f>
        <v>Có</v>
      </c>
      <c r="Z27" s="217">
        <f>[3]Source!AEI27</f>
        <v>25</v>
      </c>
      <c r="AA27" s="217" t="str">
        <f>IF([3]SB1!WBZ27="","",IF([3]SB1!WBZ27=0,"Có","Không"))</f>
        <v/>
      </c>
      <c r="AB27" s="217" t="str">
        <f>IF([3]Source!ADX27="Yes","Có","Không")</f>
        <v>Không</v>
      </c>
      <c r="AC27" s="217">
        <f>MIN([3]SB1!AH27,[3]SB2!AH27,[3]SB3!AH27,[3]SB4!AH27,[3]SB5!AH27,[3]SB6!AH27)+[3]SB1!AG27</f>
        <v>29</v>
      </c>
      <c r="AD27" s="217" t="str">
        <f>IF([3]SB1!HQ27="","",[3]SB1!HQ27)</f>
        <v>4</v>
      </c>
      <c r="AE27" s="218" t="str">
        <f>IF([3]SB1!HV27="","",[3]SB1!HV27)</f>
        <v/>
      </c>
    </row>
    <row r="28" spans="1:31" s="219" customFormat="1">
      <c r="A28" s="211" t="str">
        <f>[3]SB1!HM28</f>
        <v>Viettel Sóc Trăng - Chi nhánh Tập đoàn Công nghiệp - Viễn Thông Quân Đội</v>
      </c>
      <c r="B28" s="212">
        <f>[3]Source!A28</f>
        <v>25</v>
      </c>
      <c r="C28" s="212">
        <f>[3]SB1!GZ28</f>
        <v>761</v>
      </c>
      <c r="D28" s="213" t="str">
        <f>[3]SB1!GX28</f>
        <v>Số 134, đường Nguyễn Văn Linh, phường 2, thành phố Sóc Trăng, tỉnh Sóc Trăng.</v>
      </c>
      <c r="E28" s="211" t="str">
        <f>[3]SB1!GV28</f>
        <v>Sóc Trăng</v>
      </c>
      <c r="F28" s="211" t="str">
        <f>MID([3]SB1!GS28,1,FIND(";",[3]SB1!GS28,1)-1)</f>
        <v>105,96445</v>
      </c>
      <c r="G28" s="211" t="str">
        <f>RIGHT([3]SB1!GS28,LEN([3]SB1!GS28)-LEN(F28)-1)</f>
        <v>9,60231</v>
      </c>
      <c r="H28" s="213">
        <f>[3]SB1!GY28</f>
        <v>3</v>
      </c>
      <c r="I28" s="211" t="str">
        <f>[3]SB1!AY28</f>
        <v>1802430/2019/PTN-KĐ</v>
      </c>
      <c r="J28" s="214">
        <f>[3]SB1!HK28</f>
        <v>43497</v>
      </c>
      <c r="K28" s="214">
        <f>[3]SB1!GR28</f>
        <v>43487</v>
      </c>
      <c r="L28" s="215" t="str">
        <f>IF(H28=1,[3]SB1!HR28,IF(H28=2,[3]SB1!HR28&amp;"/"&amp;[3]SB2!HM28,IF(H28=3,[3]SB1!HR28&amp;"/"&amp;[3]SB2!HM28&amp;"/"&amp;[3]SB3!HM28,IF(H28=4,[3]SB1!HR28&amp;"/"&amp;[3]SB2!HM28&amp;"/"&amp;[3]SB3!HM28&amp;"/"&amp;[3]SB4!HM28,IF(H28=5,[3]SB1!HR28&amp;"/"&amp;[3]SB2!HM28&amp;"/"&amp;[3]SB3!HM28&amp;"/"&amp;[3]SB4!HM28&amp;"/"&amp;[3]SB5!HM28,[3]SB1!HR28&amp;"/"&amp;[3]SB2!HM28&amp;"/"&amp;[3]SB3!HM28&amp;"/"&amp;[3]SB4!HM28&amp;"/"&amp;[3]SB5!HM28&amp;"/"&amp;[3]SB6!HM28)))))</f>
        <v>TẬP ĐOÀN CÔNG NGHIỆP - VIỄN THÔNG QUÂN ĐỘI/TẬP ĐOÀN CÔNG NGHIỆP - VIỄN THÔNG QUÂN ĐỘI/TẬP ĐOÀN CÔNG NGHIỆP - VIỄN THÔNG QUÂN ĐỘI</v>
      </c>
      <c r="M28" s="216" t="str">
        <f>IF(H28=1,[3]SB1!C28,IF(H28=2,[3]SB1!C28&amp;";"&amp;[3]SB2!C28,IF(H28=3,[3]SB1!C28&amp;";"&amp;[3]SB2!C28&amp;";"&amp;[3]SB3!C28,IF(H28=4,[3]SB1!C28&amp;";"&amp;[3]SB2!C28&amp;";"&amp;[3]SB3!C28&amp;";"&amp;[3]SB4!C28,IF(H28=5,[3]SB1!C28&amp;";"&amp;[3]SB2!C28&amp;";"&amp;[3]SB3!C28&amp;";"&amp;[3]SB4!C28&amp;";"&amp;[3]SB5!C28,[3]SB1!C28&amp;";"&amp;[3]SB2!C28&amp;";"&amp;[3]SB3!C28&amp;";"&amp;[3]SB4!C28&amp;";"&amp;[3]SB5!C28&amp;";"&amp;[3]SB6!C28)))))</f>
        <v>STG0316;STG0316;STG0316</v>
      </c>
      <c r="N28" s="216" t="str">
        <f>IF(H28=1,[3]SB1!K28,IF(H28=2,[3]SB1!K28&amp;";"&amp;[3]SB2!K28,IF(H28=3,[3]SB1!K28&amp;";"&amp;[3]SB2!K28&amp;";"&amp;[3]SB3!K28,IF(H28=4,[3]SB1!K28&amp;";"&amp;[3]SB2!K28&amp;";"&amp;[3]SB3!K28&amp;";"&amp;[3]SB4!K28,IF(H28=5,[3]SB1!K28&amp;";"&amp;[3]SB2!K28&amp;";"&amp;[3]SB3!K28&amp;";"&amp;[3]SB4!K28&amp;";"&amp;[3]SB5!K28,[3]SB1!K28&amp;";"&amp;[3]SB2!K28&amp;";"&amp;[3]SB3!K28&amp;";"&amp;[3]SB4!K28&amp;";"&amp;[3]SB5!K28&amp;";"&amp;[3]SB6!K28)))))</f>
        <v>NOKIA Flexi EDGE BTS;NOKIA Flexi WCDMA BTS;NSN FLEXI MULTIRADIO AIRSCALE</v>
      </c>
      <c r="O28" s="212">
        <f>[3]SB1!P28+[3]SB2!P28+[3]SB3!P28+[3]SB4!P28+[3]SB5!P28+[3]SB6!P28</f>
        <v>9</v>
      </c>
      <c r="P28" s="216" t="str">
        <f>IF(H28=1,[3]SB1!Q28,IF(H28=2,[3]SB1!Q28&amp;";"&amp;[3]SB2!Q28,IF(H28=3,[3]SB1!Q28&amp;";"&amp;[3]SB2!Q28&amp;";"&amp;[3]SB3!Q28,IF(H28=4,[3]SB1!Q28&amp;";"&amp;[3]SB2!Q28&amp;";"&amp;[3]SB3!Q28&amp;";"&amp;[3]SB4!Q28,IF(H28=5,[3]SB1!Q28&amp;";"&amp;[3]SB2!Q28&amp;";"&amp;[3]SB3!Q28&amp;";"&amp;[3]SB4!Q28&amp;";"&amp;[3]SB5!Q28,[3]SB1!Q28&amp;";"&amp;[3]SB2!Q28&amp;";"&amp;[3]SB3!Q28&amp;";"&amp;[3]SB4!Q28&amp;";"&amp;[3]SB5!Q28&amp;";"&amp;[3]SB6!Q28)))))</f>
        <v>2/2/2;2/2/2;1/1/1</v>
      </c>
      <c r="Q28" s="216" t="str">
        <f>IF(H28=1,[3]SB1!HS28,IF(H28=2,[3]SB1!HS28&amp;";"&amp;[3]SB2!HN28,IF(H28=3,[3]SB1!HS28&amp;";"&amp;[3]SB2!HN28&amp;";"&amp;[3]SB3!HN28,IF(H28=4,[3]SB1!HS28&amp;";"&amp;[3]SB2!HN28&amp;";"&amp;[3]SB3!HN28&amp;";"&amp;[3]SB4!HN28,IF(H28=5,[3]SB1!HS28&amp;";"&amp;[3]SB2!HN28&amp;";"&amp;[3]SB3!HN28&amp;";"&amp;[3]SB4!HN28&amp;";"&amp;[3]SB5!HN28,[3]SB1!HS28&amp;";"&amp;[3]SB2!HN28&amp;";"&amp;[3]SB3!HN28&amp;";"&amp;[3]SB4!HN28&amp;";"&amp;[3]SB5!HN28&amp;";"&amp;[3]SB6!HN28)))))</f>
        <v>41,7W/41,7W/41,7W;40W/40W/40W;40W/40W/40W</v>
      </c>
      <c r="R28" s="216" t="str">
        <f>IF(H28=1,[3]SB1!H28,IF(H28=2,[3]SB1!H28&amp;"/"&amp;[3]SB2!H28,IF(H28=3,[3]SB1!H28&amp;"/"&amp;[3]SB2!H28&amp;"/"&amp;[3]SB3!H28,IF(H28=4,[3]SB1!H28&amp;"/"&amp;[3]SB2!H28&amp;"/"&amp;[3]SB3!H28&amp;"/"&amp;[3]SB4!H28,IF(H28=5,[3]SB1!H28&amp;"/"&amp;[3]SB2!H28&amp;"/"&amp;[3]SB3!H28&amp;"/"&amp;[3]SB4!H28&amp;"/"&amp;[3]SB5!H28,[3]SB1!H28&amp;"/"&amp;[3]SB2!H28&amp;"/"&amp;[3]SB3!H28&amp;"/"&amp;[3]SB4!H28&amp;"/"&amp;[3]SB5!H28&amp;"/"&amp;[3]SB6!H28)))))</f>
        <v>G1800/U2100/L1800</v>
      </c>
      <c r="S28" s="216" t="str">
        <f>IF(H28=1,[3]SB1!HT28,IF(H28=2,[3]SB1!HT28&amp;";"&amp;[3]SB2!HO28,IF(H28=3,[3]SB1!HT28&amp;";"&amp;[3]SB2!HO28&amp;";"&amp;[3]SB3!HO28,IF(H28=4,[3]SB1!HT28&amp;";"&amp;[3]SB2!HO28&amp;";"&amp;[3]SB3!HO28&amp;";"&amp;[3]SB4!HO28,IF(H28=5,[3]SB1!HT28&amp;";"&amp;[3]SB2!HO28&amp;";"&amp;[3]SB3!HO28&amp;";"&amp;[3]SB4!HO28&amp;";"&amp;[3]SB5!HO28,[3]SB1!HT28&amp;";"&amp;[3]SB2!HO28&amp;";"&amp;[3]SB3!HO28&amp;";"&amp;[3]SB4!HO28&amp;";"&amp;[3]SB5!HO28&amp;";"&amp;[3]SB6!HO28)))))</f>
        <v>30m/ 30m/ 30m;30m/ 30m/ 30m;28m/ 28m/ 28m</v>
      </c>
      <c r="T28" s="215">
        <f>[3]SB1!GU28</f>
        <v>2</v>
      </c>
      <c r="U28" s="215" t="str">
        <f>IF(H28=1,[3]SB1!AS28,IF(H28=2,[3]SB1!AS28&amp;";"&amp;[3]SB2!AS28,IF(H28=3,[3]SB1!AS28&amp;";"&amp;[3]SB2!AS28&amp;";"&amp;[3]SB3!AS28,IF(H28=4,[3]SB1!AS28&amp;";"&amp;[3]SB2!AS28&amp;";"&amp;[3]SB3!AS28&amp;";"&amp;[3]SB4!AS28,IF(H28=5,[3]SB1!AS28&amp;";"&amp;[3]SB2!AS28&amp;";"&amp;[3]SB3!AS28&amp;";"&amp;[3]SB4!AS28&amp;";"&amp;[3]SB5!AS28,[3]SB1!AS28&amp;";"&amp;[3]SB2!AS28&amp;";"&amp;[3]SB3!AS28&amp;";"&amp;[3]SB4!AS28&amp;";"&amp;[3]SB5!AS28&amp;";"&amp;[3]SB6!AS28)))))</f>
        <v>Kathrein 736018;Kathrein 742215;Commscope HWXX-6516DS2-A2M</v>
      </c>
      <c r="V28" s="213" t="str">
        <f>IF([3]Source!AEE28="Yes","Có","Không")</f>
        <v>Có</v>
      </c>
      <c r="W28" s="213" t="str">
        <f>IF([3]Source!AEF28="Yes","Có","Không")</f>
        <v>Không</v>
      </c>
      <c r="X28" s="213" t="str">
        <f>[3]Source!AEG28</f>
        <v/>
      </c>
      <c r="Y28" s="213" t="str">
        <f>IF([3]Source!AEH28="Yes","Có","Không")</f>
        <v>Có</v>
      </c>
      <c r="Z28" s="217">
        <f>[3]Source!AEI28</f>
        <v>17.5</v>
      </c>
      <c r="AA28" s="217" t="str">
        <f>IF([3]SB1!WBZ28="","",IF([3]SB1!WBZ28=0,"Có","Không"))</f>
        <v/>
      </c>
      <c r="AB28" s="217" t="str">
        <f>IF([3]Source!ADX28="Yes","Có","Không")</f>
        <v>Không</v>
      </c>
      <c r="AC28" s="217">
        <f>MIN([3]SB1!AH28,[3]SB2!AH28,[3]SB3!AH28,[3]SB4!AH28,[3]SB5!AH28,[3]SB6!AH28)+[3]SB1!AG28</f>
        <v>28</v>
      </c>
      <c r="AD28" s="217" t="str">
        <f>IF([3]SB1!HQ28="","",[3]SB1!HQ28)</f>
        <v>10,5</v>
      </c>
      <c r="AE28" s="218" t="str">
        <f>IF([3]SB1!HV28="","",[3]SB1!HV28)</f>
        <v/>
      </c>
    </row>
    <row r="29" spans="1:31" s="219" customFormat="1">
      <c r="A29" s="211" t="str">
        <f>[3]SB1!HM29</f>
        <v>Viettel Sóc Trăng - Chi nhánh Tập đoàn Công nghiệp - Viễn Thông Quân Đội</v>
      </c>
      <c r="B29" s="212">
        <f>[3]Source!A29</f>
        <v>26</v>
      </c>
      <c r="C29" s="212">
        <f>[3]SB1!GZ29</f>
        <v>761</v>
      </c>
      <c r="D29" s="213" t="str">
        <f>[3]SB1!GX29</f>
        <v>Số 479/6, đường Nguyễn Huệ, khóm 4, phường 9, thành phố Sóc Trăng, tỉnh Sóc Trăng.</v>
      </c>
      <c r="E29" s="211" t="str">
        <f>[3]SB1!GV29</f>
        <v>Sóc Trăng</v>
      </c>
      <c r="F29" s="211" t="str">
        <f>MID([3]SB1!GS29,1,FIND(";",[3]SB1!GS29,1)-1)</f>
        <v>105,98090</v>
      </c>
      <c r="G29" s="211" t="str">
        <f>RIGHT([3]SB1!GS29,LEN([3]SB1!GS29)-LEN(F29)-1)</f>
        <v>9,59860</v>
      </c>
      <c r="H29" s="213">
        <f>[3]SB1!GY29</f>
        <v>3</v>
      </c>
      <c r="I29" s="211" t="str">
        <f>[3]SB1!AY29</f>
        <v>1802431/2019/PTN-KĐ</v>
      </c>
      <c r="J29" s="214">
        <f>[3]SB1!HK29</f>
        <v>43497</v>
      </c>
      <c r="K29" s="214">
        <f>[3]SB1!GR29</f>
        <v>43487</v>
      </c>
      <c r="L29" s="215" t="str">
        <f>IF(H29=1,[3]SB1!HR29,IF(H29=2,[3]SB1!HR29&amp;"/"&amp;[3]SB2!HM29,IF(H29=3,[3]SB1!HR29&amp;"/"&amp;[3]SB2!HM29&amp;"/"&amp;[3]SB3!HM29,IF(H29=4,[3]SB1!HR29&amp;"/"&amp;[3]SB2!HM29&amp;"/"&amp;[3]SB3!HM29&amp;"/"&amp;[3]SB4!HM29,IF(H29=5,[3]SB1!HR29&amp;"/"&amp;[3]SB2!HM29&amp;"/"&amp;[3]SB3!HM29&amp;"/"&amp;[3]SB4!HM29&amp;"/"&amp;[3]SB5!HM29,[3]SB1!HR29&amp;"/"&amp;[3]SB2!HM29&amp;"/"&amp;[3]SB3!HM29&amp;"/"&amp;[3]SB4!HM29&amp;"/"&amp;[3]SB5!HM29&amp;"/"&amp;[3]SB6!HM29)))))</f>
        <v>TẬP ĐOÀN CÔNG NGHIỆP - VIỄN THÔNG QUÂN ĐỘI/TẬP ĐOÀN CÔNG NGHIỆP - VIỄN THÔNG QUÂN ĐỘI/TẬP ĐOÀN CÔNG NGHIỆP - VIỄN THÔNG QUÂN ĐỘI</v>
      </c>
      <c r="M29" s="216" t="str">
        <f>IF(H29=1,[3]SB1!C29,IF(H29=2,[3]SB1!C29&amp;";"&amp;[3]SB2!C29,IF(H29=3,[3]SB1!C29&amp;";"&amp;[3]SB2!C29&amp;";"&amp;[3]SB3!C29,IF(H29=4,[3]SB1!C29&amp;";"&amp;[3]SB2!C29&amp;";"&amp;[3]SB3!C29&amp;";"&amp;[3]SB4!C29,IF(H29=5,[3]SB1!C29&amp;";"&amp;[3]SB2!C29&amp;";"&amp;[3]SB3!C29&amp;";"&amp;[3]SB4!C29&amp;";"&amp;[3]SB5!C29,[3]SB1!C29&amp;";"&amp;[3]SB2!C29&amp;";"&amp;[3]SB3!C29&amp;";"&amp;[3]SB4!C29&amp;";"&amp;[3]SB5!C29&amp;";"&amp;[3]SB6!C29)))))</f>
        <v>STG0317;STG0317;STG0317</v>
      </c>
      <c r="N29" s="216" t="str">
        <f>IF(H29=1,[3]SB1!K29,IF(H29=2,[3]SB1!K29&amp;";"&amp;[3]SB2!K29,IF(H29=3,[3]SB1!K29&amp;";"&amp;[3]SB2!K29&amp;";"&amp;[3]SB3!K29,IF(H29=4,[3]SB1!K29&amp;";"&amp;[3]SB2!K29&amp;";"&amp;[3]SB3!K29&amp;";"&amp;[3]SB4!K29,IF(H29=5,[3]SB1!K29&amp;";"&amp;[3]SB2!K29&amp;";"&amp;[3]SB3!K29&amp;";"&amp;[3]SB4!K29&amp;";"&amp;[3]SB5!K29,[3]SB1!K29&amp;";"&amp;[3]SB2!K29&amp;";"&amp;[3]SB3!K29&amp;";"&amp;[3]SB4!K29&amp;";"&amp;[3]SB5!K29&amp;";"&amp;[3]SB6!K29)))))</f>
        <v>NOKIA Flexi EDGE BTS;NOKIA Flexi WCDMA BTS;NSN FLEXI MULTIRADIO AIRSCALE</v>
      </c>
      <c r="O29" s="212">
        <f>[3]SB1!P29+[3]SB2!P29+[3]SB3!P29+[3]SB4!P29+[3]SB5!P29+[3]SB6!P29</f>
        <v>9</v>
      </c>
      <c r="P29" s="216" t="str">
        <f>IF(H29=1,[3]SB1!Q29,IF(H29=2,[3]SB1!Q29&amp;";"&amp;[3]SB2!Q29,IF(H29=3,[3]SB1!Q29&amp;";"&amp;[3]SB2!Q29&amp;";"&amp;[3]SB3!Q29,IF(H29=4,[3]SB1!Q29&amp;";"&amp;[3]SB2!Q29&amp;";"&amp;[3]SB3!Q29&amp;";"&amp;[3]SB4!Q29,IF(H29=5,[3]SB1!Q29&amp;";"&amp;[3]SB2!Q29&amp;";"&amp;[3]SB3!Q29&amp;";"&amp;[3]SB4!Q29&amp;";"&amp;[3]SB5!Q29,[3]SB1!Q29&amp;";"&amp;[3]SB2!Q29&amp;";"&amp;[3]SB3!Q29&amp;";"&amp;[3]SB4!Q29&amp;";"&amp;[3]SB5!Q29&amp;";"&amp;[3]SB6!Q29)))))</f>
        <v>2/2/2;2/2/2;1/1/1</v>
      </c>
      <c r="Q29" s="216" t="str">
        <f>IF(H29=1,[3]SB1!HS29,IF(H29=2,[3]SB1!HS29&amp;";"&amp;[3]SB2!HN29,IF(H29=3,[3]SB1!HS29&amp;";"&amp;[3]SB2!HN29&amp;";"&amp;[3]SB3!HN29,IF(H29=4,[3]SB1!HS29&amp;";"&amp;[3]SB2!HN29&amp;";"&amp;[3]SB3!HN29&amp;";"&amp;[3]SB4!HN29,IF(H29=5,[3]SB1!HS29&amp;";"&amp;[3]SB2!HN29&amp;";"&amp;[3]SB3!HN29&amp;";"&amp;[3]SB4!HN29&amp;";"&amp;[3]SB5!HN29,[3]SB1!HS29&amp;";"&amp;[3]SB2!HN29&amp;";"&amp;[3]SB3!HN29&amp;";"&amp;[3]SB4!HN29&amp;";"&amp;[3]SB5!HN29&amp;";"&amp;[3]SB6!HN29)))))</f>
        <v>41,7W/41,7W/41,7W;40W/40W/40W;40W/40W/40W</v>
      </c>
      <c r="R29" s="216" t="str">
        <f>IF(H29=1,[3]SB1!H29,IF(H29=2,[3]SB1!H29&amp;"/"&amp;[3]SB2!H29,IF(H29=3,[3]SB1!H29&amp;"/"&amp;[3]SB2!H29&amp;"/"&amp;[3]SB3!H29,IF(H29=4,[3]SB1!H29&amp;"/"&amp;[3]SB2!H29&amp;"/"&amp;[3]SB3!H29&amp;"/"&amp;[3]SB4!H29,IF(H29=5,[3]SB1!H29&amp;"/"&amp;[3]SB2!H29&amp;"/"&amp;[3]SB3!H29&amp;"/"&amp;[3]SB4!H29&amp;"/"&amp;[3]SB5!H29,[3]SB1!H29&amp;"/"&amp;[3]SB2!H29&amp;"/"&amp;[3]SB3!H29&amp;"/"&amp;[3]SB4!H29&amp;"/"&amp;[3]SB5!H29&amp;"/"&amp;[3]SB6!H29)))))</f>
        <v>G1800/U2100/L1800</v>
      </c>
      <c r="S29" s="216" t="str">
        <f>IF(H29=1,[3]SB1!HT29,IF(H29=2,[3]SB1!HT29&amp;";"&amp;[3]SB2!HO29,IF(H29=3,[3]SB1!HT29&amp;";"&amp;[3]SB2!HO29&amp;";"&amp;[3]SB3!HO29,IF(H29=4,[3]SB1!HT29&amp;";"&amp;[3]SB2!HO29&amp;";"&amp;[3]SB3!HO29&amp;";"&amp;[3]SB4!HO29,IF(H29=5,[3]SB1!HT29&amp;";"&amp;[3]SB2!HO29&amp;";"&amp;[3]SB3!HO29&amp;";"&amp;[3]SB4!HO29&amp;";"&amp;[3]SB5!HO29,[3]SB1!HT29&amp;";"&amp;[3]SB2!HO29&amp;";"&amp;[3]SB3!HO29&amp;";"&amp;[3]SB4!HO29&amp;";"&amp;[3]SB5!HO29&amp;";"&amp;[3]SB6!HO29)))))</f>
        <v>36m/ 36m/ 36m;40m/ 40m/ 40m;40m/ 40m/ 40m</v>
      </c>
      <c r="T29" s="215">
        <f>[3]SB1!GU29</f>
        <v>2</v>
      </c>
      <c r="U29" s="215" t="str">
        <f>IF(H29=1,[3]SB1!AS29,IF(H29=2,[3]SB1!AS29&amp;";"&amp;[3]SB2!AS29,IF(H29=3,[3]SB1!AS29&amp;";"&amp;[3]SB2!AS29&amp;";"&amp;[3]SB3!AS29,IF(H29=4,[3]SB1!AS29&amp;";"&amp;[3]SB2!AS29&amp;";"&amp;[3]SB3!AS29&amp;";"&amp;[3]SB4!AS29,IF(H29=5,[3]SB1!AS29&amp;";"&amp;[3]SB2!AS29&amp;";"&amp;[3]SB3!AS29&amp;";"&amp;[3]SB4!AS29&amp;";"&amp;[3]SB5!AS29,[3]SB1!AS29&amp;";"&amp;[3]SB2!AS29&amp;";"&amp;[3]SB3!AS29&amp;";"&amp;[3]SB4!AS29&amp;";"&amp;[3]SB5!AS29&amp;";"&amp;[3]SB6!AS29)))))</f>
        <v>Kathrein 736018;Kathrein 742215;Commscope HWXX-6516DS2-A2M</v>
      </c>
      <c r="V29" s="213" t="str">
        <f>IF([3]Source!AEE29="Yes","Có","Không")</f>
        <v>Có</v>
      </c>
      <c r="W29" s="213" t="str">
        <f>IF([3]Source!AEF29="Yes","Có","Không")</f>
        <v>Có</v>
      </c>
      <c r="X29" s="213">
        <f>[3]Source!AEG29</f>
        <v>36</v>
      </c>
      <c r="Y29" s="213" t="str">
        <f>IF([3]Source!AEH29="Yes","Có","Không")</f>
        <v>Có</v>
      </c>
      <c r="Z29" s="217">
        <f>[3]Source!AEI29</f>
        <v>28</v>
      </c>
      <c r="AA29" s="217" t="str">
        <f>IF([3]SB1!WBZ29="","",IF([3]SB1!WBZ29=0,"Có","Không"))</f>
        <v/>
      </c>
      <c r="AB29" s="217" t="str">
        <f>IF([3]Source!ADX29="Yes","Có","Không")</f>
        <v>Không</v>
      </c>
      <c r="AC29" s="217">
        <f>MIN([3]SB1!AH29,[3]SB2!AH29,[3]SB3!AH29,[3]SB4!AH29,[3]SB5!AH29,[3]SB6!AH29)+[3]SB1!AG29</f>
        <v>36</v>
      </c>
      <c r="AD29" s="217" t="str">
        <f>IF([3]SB1!HQ29="","",[3]SB1!HQ29)</f>
        <v>8</v>
      </c>
      <c r="AE29" s="218" t="str">
        <f>IF([3]SB1!HV29="","",[3]SB1!HV29)</f>
        <v/>
      </c>
    </row>
    <row r="30" spans="1:31" s="219" customFormat="1">
      <c r="A30" s="211" t="str">
        <f>[3]SB1!HM30</f>
        <v>Viettel Sóc Trăng - Chi nhánh Tập đoàn Công nghiệp - Viễn Thông Quân Đội</v>
      </c>
      <c r="B30" s="212">
        <f>[3]Source!A30</f>
        <v>27</v>
      </c>
      <c r="C30" s="212">
        <f>[3]SB1!GZ30</f>
        <v>761</v>
      </c>
      <c r="D30" s="213" t="str">
        <f>[3]SB1!GX30</f>
        <v>Khóm 5, phường 2, thành phố Sóc Trăng, tỉnh Sóc Trăng.</v>
      </c>
      <c r="E30" s="211" t="str">
        <f>[3]SB1!GV30</f>
        <v>Sóc Trăng</v>
      </c>
      <c r="F30" s="211" t="str">
        <f>MID([3]SB1!GS30,1,FIND(";",[3]SB1!GS30,1)-1)</f>
        <v>105,96487</v>
      </c>
      <c r="G30" s="211" t="str">
        <f>RIGHT([3]SB1!GS30,LEN([3]SB1!GS30)-LEN(F30)-1)</f>
        <v>9,60641</v>
      </c>
      <c r="H30" s="213">
        <f>[3]SB1!GY30</f>
        <v>3</v>
      </c>
      <c r="I30" s="211" t="str">
        <f>[3]SB1!AY30</f>
        <v>1802432/2019/PTN-KĐ</v>
      </c>
      <c r="J30" s="214">
        <f>[3]SB1!HK30</f>
        <v>43497</v>
      </c>
      <c r="K30" s="214">
        <f>[3]SB1!GR30</f>
        <v>43488</v>
      </c>
      <c r="L30" s="215" t="str">
        <f>IF(H30=1,[3]SB1!HR30,IF(H30=2,[3]SB1!HR30&amp;"/"&amp;[3]SB2!HM30,IF(H30=3,[3]SB1!HR30&amp;"/"&amp;[3]SB2!HM30&amp;"/"&amp;[3]SB3!HM30,IF(H30=4,[3]SB1!HR30&amp;"/"&amp;[3]SB2!HM30&amp;"/"&amp;[3]SB3!HM30&amp;"/"&amp;[3]SB4!HM30,IF(H30=5,[3]SB1!HR30&amp;"/"&amp;[3]SB2!HM30&amp;"/"&amp;[3]SB3!HM30&amp;"/"&amp;[3]SB4!HM30&amp;"/"&amp;[3]SB5!HM30,[3]SB1!HR30&amp;"/"&amp;[3]SB2!HM30&amp;"/"&amp;[3]SB3!HM30&amp;"/"&amp;[3]SB4!HM30&amp;"/"&amp;[3]SB5!HM30&amp;"/"&amp;[3]SB6!HM30)))))</f>
        <v>TẬP ĐOÀN CÔNG NGHIỆP - VIỄN THÔNG QUÂN ĐỘI/TẬP ĐOÀN CÔNG NGHIỆP - VIỄN THÔNG QUÂN ĐỘI/TẬP ĐOÀN CÔNG NGHIỆP - VIỄN THÔNG QUÂN ĐỘI</v>
      </c>
      <c r="M30" s="216" t="str">
        <f>IF(H30=1,[3]SB1!C30,IF(H30=2,[3]SB1!C30&amp;";"&amp;[3]SB2!C30,IF(H30=3,[3]SB1!C30&amp;";"&amp;[3]SB2!C30&amp;";"&amp;[3]SB3!C30,IF(H30=4,[3]SB1!C30&amp;";"&amp;[3]SB2!C30&amp;";"&amp;[3]SB3!C30&amp;";"&amp;[3]SB4!C30,IF(H30=5,[3]SB1!C30&amp;";"&amp;[3]SB2!C30&amp;";"&amp;[3]SB3!C30&amp;";"&amp;[3]SB4!C30&amp;";"&amp;[3]SB5!C30,[3]SB1!C30&amp;";"&amp;[3]SB2!C30&amp;";"&amp;[3]SB3!C30&amp;";"&amp;[3]SB4!C30&amp;";"&amp;[3]SB5!C30&amp;";"&amp;[3]SB6!C30)))))</f>
        <v>STG0379;STG0379;STG0379</v>
      </c>
      <c r="N30" s="216" t="str">
        <f>IF(H30=1,[3]SB1!K30,IF(H30=2,[3]SB1!K30&amp;";"&amp;[3]SB2!K30,IF(H30=3,[3]SB1!K30&amp;";"&amp;[3]SB2!K30&amp;";"&amp;[3]SB3!K30,IF(H30=4,[3]SB1!K30&amp;";"&amp;[3]SB2!K30&amp;";"&amp;[3]SB3!K30&amp;";"&amp;[3]SB4!K30,IF(H30=5,[3]SB1!K30&amp;";"&amp;[3]SB2!K30&amp;";"&amp;[3]SB3!K30&amp;";"&amp;[3]SB4!K30&amp;";"&amp;[3]SB5!K30,[3]SB1!K30&amp;";"&amp;[3]SB2!K30&amp;";"&amp;[3]SB3!K30&amp;";"&amp;[3]SB4!K30&amp;";"&amp;[3]SB5!K30&amp;";"&amp;[3]SB6!K30)))))</f>
        <v>NOKIA Flexi EDGE BTS;NOKIA Flexi WCDMA BTS;NSN FLEXI MULTIRADIO AIRSCALE</v>
      </c>
      <c r="O30" s="212">
        <f>[3]SB1!P30+[3]SB2!P30+[3]SB3!P30+[3]SB4!P30+[3]SB5!P30+[3]SB6!P30</f>
        <v>9</v>
      </c>
      <c r="P30" s="216" t="str">
        <f>IF(H30=1,[3]SB1!Q30,IF(H30=2,[3]SB1!Q30&amp;";"&amp;[3]SB2!Q30,IF(H30=3,[3]SB1!Q30&amp;";"&amp;[3]SB2!Q30&amp;";"&amp;[3]SB3!Q30,IF(H30=4,[3]SB1!Q30&amp;";"&amp;[3]SB2!Q30&amp;";"&amp;[3]SB3!Q30&amp;";"&amp;[3]SB4!Q30,IF(H30=5,[3]SB1!Q30&amp;";"&amp;[3]SB2!Q30&amp;";"&amp;[3]SB3!Q30&amp;";"&amp;[3]SB4!Q30&amp;";"&amp;[3]SB5!Q30,[3]SB1!Q30&amp;";"&amp;[3]SB2!Q30&amp;";"&amp;[3]SB3!Q30&amp;";"&amp;[3]SB4!Q30&amp;";"&amp;[3]SB5!Q30&amp;";"&amp;[3]SB6!Q30)))))</f>
        <v>2/2/2;2/2/2;1/1/1</v>
      </c>
      <c r="Q30" s="216" t="str">
        <f>IF(H30=1,[3]SB1!HS30,IF(H30=2,[3]SB1!HS30&amp;";"&amp;[3]SB2!HN30,IF(H30=3,[3]SB1!HS30&amp;";"&amp;[3]SB2!HN30&amp;";"&amp;[3]SB3!HN30,IF(H30=4,[3]SB1!HS30&amp;";"&amp;[3]SB2!HN30&amp;";"&amp;[3]SB3!HN30&amp;";"&amp;[3]SB4!HN30,IF(H30=5,[3]SB1!HS30&amp;";"&amp;[3]SB2!HN30&amp;";"&amp;[3]SB3!HN30&amp;";"&amp;[3]SB4!HN30&amp;";"&amp;[3]SB5!HN30,[3]SB1!HS30&amp;";"&amp;[3]SB2!HN30&amp;";"&amp;[3]SB3!HN30&amp;";"&amp;[3]SB4!HN30&amp;";"&amp;[3]SB5!HN30&amp;";"&amp;[3]SB6!HN30)))))</f>
        <v>41,7W/41,7W/41,7W;40W/40W/40W;40W/40W/40W</v>
      </c>
      <c r="R30" s="216" t="str">
        <f>IF(H30=1,[3]SB1!H30,IF(H30=2,[3]SB1!H30&amp;"/"&amp;[3]SB2!H30,IF(H30=3,[3]SB1!H30&amp;"/"&amp;[3]SB2!H30&amp;"/"&amp;[3]SB3!H30,IF(H30=4,[3]SB1!H30&amp;"/"&amp;[3]SB2!H30&amp;"/"&amp;[3]SB3!H30&amp;"/"&amp;[3]SB4!H30,IF(H30=5,[3]SB1!H30&amp;"/"&amp;[3]SB2!H30&amp;"/"&amp;[3]SB3!H30&amp;"/"&amp;[3]SB4!H30&amp;"/"&amp;[3]SB5!H30,[3]SB1!H30&amp;"/"&amp;[3]SB2!H30&amp;"/"&amp;[3]SB3!H30&amp;"/"&amp;[3]SB4!H30&amp;"/"&amp;[3]SB5!H30&amp;"/"&amp;[3]SB6!H30)))))</f>
        <v>G1800/U2100/L1800</v>
      </c>
      <c r="S30" s="216" t="str">
        <f>IF(H30=1,[3]SB1!HT30,IF(H30=2,[3]SB1!HT30&amp;";"&amp;[3]SB2!HO30,IF(H30=3,[3]SB1!HT30&amp;";"&amp;[3]SB2!HO30&amp;";"&amp;[3]SB3!HO30,IF(H30=4,[3]SB1!HT30&amp;";"&amp;[3]SB2!HO30&amp;";"&amp;[3]SB3!HO30&amp;";"&amp;[3]SB4!HO30,IF(H30=5,[3]SB1!HT30&amp;";"&amp;[3]SB2!HO30&amp;";"&amp;[3]SB3!HO30&amp;";"&amp;[3]SB4!HO30&amp;";"&amp;[3]SB5!HO30,[3]SB1!HT30&amp;";"&amp;[3]SB2!HO30&amp;";"&amp;[3]SB3!HO30&amp;";"&amp;[3]SB4!HO30&amp;";"&amp;[3]SB5!HO30&amp;";"&amp;[3]SB6!HO30)))))</f>
        <v>28m/ 28m/ 28m;28m/ 28m/ 28m;28m/ 28m/ 28m</v>
      </c>
      <c r="T30" s="215">
        <f>[3]SB1!GU30</f>
        <v>2</v>
      </c>
      <c r="U30" s="215" t="str">
        <f>IF(H30=1,[3]SB1!AS30,IF(H30=2,[3]SB1!AS30&amp;";"&amp;[3]SB2!AS30,IF(H30=3,[3]SB1!AS30&amp;";"&amp;[3]SB2!AS30&amp;";"&amp;[3]SB3!AS30,IF(H30=4,[3]SB1!AS30&amp;";"&amp;[3]SB2!AS30&amp;";"&amp;[3]SB3!AS30&amp;";"&amp;[3]SB4!AS30,IF(H30=5,[3]SB1!AS30&amp;";"&amp;[3]SB2!AS30&amp;";"&amp;[3]SB3!AS30&amp;";"&amp;[3]SB4!AS30&amp;";"&amp;[3]SB5!AS30,[3]SB1!AS30&amp;";"&amp;[3]SB2!AS30&amp;";"&amp;[3]SB3!AS30&amp;";"&amp;[3]SB4!AS30&amp;";"&amp;[3]SB5!AS30&amp;";"&amp;[3]SB6!AS30)))))</f>
        <v>Kathrein 736018;Kathrein 742215;Commscope HWXX-6516DS2-A2M</v>
      </c>
      <c r="V30" s="213" t="str">
        <f>IF([3]Source!AEE30="Yes","Có","Không")</f>
        <v>Có</v>
      </c>
      <c r="W30" s="213" t="str">
        <f>IF([3]Source!AEF30="Yes","Có","Không")</f>
        <v>Không</v>
      </c>
      <c r="X30" s="213" t="str">
        <f>[3]Source!AEG30</f>
        <v/>
      </c>
      <c r="Y30" s="213" t="str">
        <f>IF([3]Source!AEH30="Yes","Có","Không")</f>
        <v>Có</v>
      </c>
      <c r="Z30" s="217">
        <f>[3]Source!AEI30</f>
        <v>20</v>
      </c>
      <c r="AA30" s="217" t="str">
        <f>IF([3]SB1!WBZ30="","",IF([3]SB1!WBZ30=0,"Có","Không"))</f>
        <v/>
      </c>
      <c r="AB30" s="217" t="str">
        <f>IF([3]Source!ADX30="Yes","Có","Không")</f>
        <v>Không</v>
      </c>
      <c r="AC30" s="217">
        <f>MIN([3]SB1!AH30,[3]SB2!AH30,[3]SB3!AH30,[3]SB4!AH30,[3]SB5!AH30,[3]SB6!AH30)+[3]SB1!AG30</f>
        <v>28</v>
      </c>
      <c r="AD30" s="217" t="str">
        <f>IF([3]SB1!HQ30="","",[3]SB1!HQ30)</f>
        <v>8</v>
      </c>
      <c r="AE30" s="218" t="str">
        <f>IF([3]SB1!HV30="","",[3]SB1!HV30)</f>
        <v/>
      </c>
    </row>
    <row r="31" spans="1:31" s="219" customFormat="1">
      <c r="A31" s="211" t="str">
        <f>[3]SB1!HM31</f>
        <v>Viettel Sóc Trăng - Chi nhánh Tập đoàn Công nghiệp - Viễn Thông Quân Đội</v>
      </c>
      <c r="B31" s="212">
        <f>[3]Source!A31</f>
        <v>28</v>
      </c>
      <c r="C31" s="212">
        <f>[3]SB1!GZ31</f>
        <v>761</v>
      </c>
      <c r="D31" s="213" t="str">
        <f>[3]SB1!GX31</f>
        <v>Số 332, đường Điện Biên Phủ, khóm 1, phường 6, thành phố Sóc Trăng, tỉnh Sóc Trăng.</v>
      </c>
      <c r="E31" s="211" t="str">
        <f>[3]SB1!GV31</f>
        <v>Sóc Trăng</v>
      </c>
      <c r="F31" s="211" t="str">
        <f>MID([3]SB1!GS31,1,FIND(";",[3]SB1!GS31,1)-1)</f>
        <v>105,96679</v>
      </c>
      <c r="G31" s="211" t="str">
        <f>RIGHT([3]SB1!GS31,LEN([3]SB1!GS31)-LEN(F31)-1)</f>
        <v>9,61196</v>
      </c>
      <c r="H31" s="213">
        <f>[3]SB1!GY31</f>
        <v>3</v>
      </c>
      <c r="I31" s="211" t="str">
        <f>[3]SB1!AY31</f>
        <v>1802433/2019/PTN-KĐ</v>
      </c>
      <c r="J31" s="214">
        <f>[3]SB1!HK31</f>
        <v>43497</v>
      </c>
      <c r="K31" s="214">
        <f>[3]SB1!GR31</f>
        <v>43488</v>
      </c>
      <c r="L31" s="215" t="str">
        <f>IF(H31=1,[3]SB1!HR31,IF(H31=2,[3]SB1!HR31&amp;"/"&amp;[3]SB2!HM31,IF(H31=3,[3]SB1!HR31&amp;"/"&amp;[3]SB2!HM31&amp;"/"&amp;[3]SB3!HM31,IF(H31=4,[3]SB1!HR31&amp;"/"&amp;[3]SB2!HM31&amp;"/"&amp;[3]SB3!HM31&amp;"/"&amp;[3]SB4!HM31,IF(H31=5,[3]SB1!HR31&amp;"/"&amp;[3]SB2!HM31&amp;"/"&amp;[3]SB3!HM31&amp;"/"&amp;[3]SB4!HM31&amp;"/"&amp;[3]SB5!HM31,[3]SB1!HR31&amp;"/"&amp;[3]SB2!HM31&amp;"/"&amp;[3]SB3!HM31&amp;"/"&amp;[3]SB4!HM31&amp;"/"&amp;[3]SB5!HM31&amp;"/"&amp;[3]SB6!HM31)))))</f>
        <v>TẬP ĐOÀN CÔNG NGHIỆP - VIỄN THÔNG QUÂN ĐỘI/TẬP ĐOÀN CÔNG NGHIỆP - VIỄN THÔNG QUÂN ĐỘI/TẬP ĐOÀN CÔNG NGHIỆP - VIỄN THÔNG QUÂN ĐỘI</v>
      </c>
      <c r="M31" s="216" t="str">
        <f>IF(H31=1,[3]SB1!C31,IF(H31=2,[3]SB1!C31&amp;";"&amp;[3]SB2!C31,IF(H31=3,[3]SB1!C31&amp;";"&amp;[3]SB2!C31&amp;";"&amp;[3]SB3!C31,IF(H31=4,[3]SB1!C31&amp;";"&amp;[3]SB2!C31&amp;";"&amp;[3]SB3!C31&amp;";"&amp;[3]SB4!C31,IF(H31=5,[3]SB1!C31&amp;";"&amp;[3]SB2!C31&amp;";"&amp;[3]SB3!C31&amp;";"&amp;[3]SB4!C31&amp;";"&amp;[3]SB5!C31,[3]SB1!C31&amp;";"&amp;[3]SB2!C31&amp;";"&amp;[3]SB3!C31&amp;";"&amp;[3]SB4!C31&amp;";"&amp;[3]SB5!C31&amp;";"&amp;[3]SB6!C31)))))</f>
        <v>STG0380;STG0380;STG0380</v>
      </c>
      <c r="N31" s="216" t="str">
        <f>IF(H31=1,[3]SB1!K31,IF(H31=2,[3]SB1!K31&amp;";"&amp;[3]SB2!K31,IF(H31=3,[3]SB1!K31&amp;";"&amp;[3]SB2!K31&amp;";"&amp;[3]SB3!K31,IF(H31=4,[3]SB1!K31&amp;";"&amp;[3]SB2!K31&amp;";"&amp;[3]SB3!K31&amp;";"&amp;[3]SB4!K31,IF(H31=5,[3]SB1!K31&amp;";"&amp;[3]SB2!K31&amp;";"&amp;[3]SB3!K31&amp;";"&amp;[3]SB4!K31&amp;";"&amp;[3]SB5!K31,[3]SB1!K31&amp;";"&amp;[3]SB2!K31&amp;";"&amp;[3]SB3!K31&amp;";"&amp;[3]SB4!K31&amp;";"&amp;[3]SB5!K31&amp;";"&amp;[3]SB6!K31)))))</f>
        <v>NOKIA Flexi EDGE BTS;NOKIA Flexi WCDMA BTS;NSN FLEXI MULTIRADIO AIRSCALE</v>
      </c>
      <c r="O31" s="212">
        <f>[3]SB1!P31+[3]SB2!P31+[3]SB3!P31+[3]SB4!P31+[3]SB5!P31+[3]SB6!P31</f>
        <v>9</v>
      </c>
      <c r="P31" s="216" t="str">
        <f>IF(H31=1,[3]SB1!Q31,IF(H31=2,[3]SB1!Q31&amp;";"&amp;[3]SB2!Q31,IF(H31=3,[3]SB1!Q31&amp;";"&amp;[3]SB2!Q31&amp;";"&amp;[3]SB3!Q31,IF(H31=4,[3]SB1!Q31&amp;";"&amp;[3]SB2!Q31&amp;";"&amp;[3]SB3!Q31&amp;";"&amp;[3]SB4!Q31,IF(H31=5,[3]SB1!Q31&amp;";"&amp;[3]SB2!Q31&amp;";"&amp;[3]SB3!Q31&amp;";"&amp;[3]SB4!Q31&amp;";"&amp;[3]SB5!Q31,[3]SB1!Q31&amp;";"&amp;[3]SB2!Q31&amp;";"&amp;[3]SB3!Q31&amp;";"&amp;[3]SB4!Q31&amp;";"&amp;[3]SB5!Q31&amp;";"&amp;[3]SB6!Q31)))))</f>
        <v>4/4/2;2/2/2;1/1/1</v>
      </c>
      <c r="Q31" s="216" t="str">
        <f>IF(H31=1,[3]SB1!HS31,IF(H31=2,[3]SB1!HS31&amp;";"&amp;[3]SB2!HN31,IF(H31=3,[3]SB1!HS31&amp;";"&amp;[3]SB2!HN31&amp;";"&amp;[3]SB3!HN31,IF(H31=4,[3]SB1!HS31&amp;";"&amp;[3]SB2!HN31&amp;";"&amp;[3]SB3!HN31&amp;";"&amp;[3]SB4!HN31,IF(H31=5,[3]SB1!HS31&amp;";"&amp;[3]SB2!HN31&amp;";"&amp;[3]SB3!HN31&amp;";"&amp;[3]SB4!HN31&amp;";"&amp;[3]SB5!HN31,[3]SB1!HS31&amp;";"&amp;[3]SB2!HN31&amp;";"&amp;[3]SB3!HN31&amp;";"&amp;[3]SB4!HN31&amp;";"&amp;[3]SB5!HN31&amp;";"&amp;[3]SB6!HN31)))))</f>
        <v>37,24W/37,24W/41,7W;40W/40W/40W;40W/40W/40W</v>
      </c>
      <c r="R31" s="216" t="str">
        <f>IF(H31=1,[3]SB1!H31,IF(H31=2,[3]SB1!H31&amp;"/"&amp;[3]SB2!H31,IF(H31=3,[3]SB1!H31&amp;"/"&amp;[3]SB2!H31&amp;"/"&amp;[3]SB3!H31,IF(H31=4,[3]SB1!H31&amp;"/"&amp;[3]SB2!H31&amp;"/"&amp;[3]SB3!H31&amp;"/"&amp;[3]SB4!H31,IF(H31=5,[3]SB1!H31&amp;"/"&amp;[3]SB2!H31&amp;"/"&amp;[3]SB3!H31&amp;"/"&amp;[3]SB4!H31&amp;"/"&amp;[3]SB5!H31,[3]SB1!H31&amp;"/"&amp;[3]SB2!H31&amp;"/"&amp;[3]SB3!H31&amp;"/"&amp;[3]SB4!H31&amp;"/"&amp;[3]SB5!H31&amp;"/"&amp;[3]SB6!H31)))))</f>
        <v>G1800/U2100/L1800</v>
      </c>
      <c r="S31" s="216" t="str">
        <f>IF(H31=1,[3]SB1!HT31,IF(H31=2,[3]SB1!HT31&amp;";"&amp;[3]SB2!HO31,IF(H31=3,[3]SB1!HT31&amp;";"&amp;[3]SB2!HO31&amp;";"&amp;[3]SB3!HO31,IF(H31=4,[3]SB1!HT31&amp;";"&amp;[3]SB2!HO31&amp;";"&amp;[3]SB3!HO31&amp;";"&amp;[3]SB4!HO31,IF(H31=5,[3]SB1!HT31&amp;";"&amp;[3]SB2!HO31&amp;";"&amp;[3]SB3!HO31&amp;";"&amp;[3]SB4!HO31&amp;";"&amp;[3]SB5!HO31,[3]SB1!HT31&amp;";"&amp;[3]SB2!HO31&amp;";"&amp;[3]SB3!HO31&amp;";"&amp;[3]SB4!HO31&amp;";"&amp;[3]SB5!HO31&amp;";"&amp;[3]SB6!HO31)))))</f>
        <v>38m/ 38m/ 38m;38m/ 38m/ 38m;34m/ 34m/ 34m</v>
      </c>
      <c r="T31" s="215">
        <f>[3]SB1!GU31</f>
        <v>2</v>
      </c>
      <c r="U31" s="215" t="str">
        <f>IF(H31=1,[3]SB1!AS31,IF(H31=2,[3]SB1!AS31&amp;";"&amp;[3]SB2!AS31,IF(H31=3,[3]SB1!AS31&amp;";"&amp;[3]SB2!AS31&amp;";"&amp;[3]SB3!AS31,IF(H31=4,[3]SB1!AS31&amp;";"&amp;[3]SB2!AS31&amp;";"&amp;[3]SB3!AS31&amp;";"&amp;[3]SB4!AS31,IF(H31=5,[3]SB1!AS31&amp;";"&amp;[3]SB2!AS31&amp;";"&amp;[3]SB3!AS31&amp;";"&amp;[3]SB4!AS31&amp;";"&amp;[3]SB5!AS31,[3]SB1!AS31&amp;";"&amp;[3]SB2!AS31&amp;";"&amp;[3]SB3!AS31&amp;";"&amp;[3]SB4!AS31&amp;";"&amp;[3]SB5!AS31&amp;";"&amp;[3]SB6!AS31)))))</f>
        <v>Kathrein 736018;Kathrein 742215;Commscope HWXX-6516DS2-A2M</v>
      </c>
      <c r="V31" s="213" t="str">
        <f>IF([3]Source!AEE31="Yes","Có","Không")</f>
        <v>Có</v>
      </c>
      <c r="W31" s="213" t="str">
        <f>IF([3]Source!AEF31="Yes","Có","Không")</f>
        <v>Không</v>
      </c>
      <c r="X31" s="213" t="str">
        <f>[3]Source!AEG31</f>
        <v/>
      </c>
      <c r="Y31" s="213" t="str">
        <f>IF([3]Source!AEH31="Yes","Có","Không")</f>
        <v>Có</v>
      </c>
      <c r="Z31" s="217">
        <f>[3]Source!AEI31</f>
        <v>26</v>
      </c>
      <c r="AA31" s="217" t="str">
        <f>IF([3]SB1!WBZ31="","",IF([3]SB1!WBZ31=0,"Có","Không"))</f>
        <v/>
      </c>
      <c r="AB31" s="217" t="str">
        <f>IF([3]Source!ADX31="Yes","Có","Không")</f>
        <v>Không</v>
      </c>
      <c r="AC31" s="217">
        <f>MIN([3]SB1!AH31,[3]SB2!AH31,[3]SB3!AH31,[3]SB4!AH31,[3]SB5!AH31,[3]SB6!AH31)+[3]SB1!AG31</f>
        <v>34</v>
      </c>
      <c r="AD31" s="217" t="str">
        <f>IF([3]SB1!HQ31="","",[3]SB1!HQ31)</f>
        <v>8</v>
      </c>
      <c r="AE31" s="218" t="str">
        <f>IF([3]SB1!HV31="","",[3]SB1!HV31)</f>
        <v/>
      </c>
    </row>
    <row r="32" spans="1:31" s="219" customFormat="1">
      <c r="A32" s="211" t="str">
        <f>[3]SB1!HM32</f>
        <v>Viettel Sóc Trăng - Chi nhánh Tập đoàn Công nghiệp - Viễn Thông Quân Đội</v>
      </c>
      <c r="B32" s="212">
        <f>[3]Source!A32</f>
        <v>29</v>
      </c>
      <c r="C32" s="212">
        <f>[3]SB1!GZ32</f>
        <v>761</v>
      </c>
      <c r="D32" s="213" t="str">
        <f>[3]SB1!GX32</f>
        <v>Số 201, đường Nguyễn Thị Minh Khai, khóm 3, phường 3, thành phố Sóc Trăng, tỉnh Sóc Trăng.</v>
      </c>
      <c r="E32" s="211" t="str">
        <f>[3]SB1!GV32</f>
        <v>Sóc Trăng</v>
      </c>
      <c r="F32" s="211" t="str">
        <f>MID([3]SB1!GS32,1,FIND(";",[3]SB1!GS32,1)-1)</f>
        <v>105,97443</v>
      </c>
      <c r="G32" s="211" t="str">
        <f>RIGHT([3]SB1!GS32,LEN([3]SB1!GS32)-LEN(F32)-1)</f>
        <v>9,59706</v>
      </c>
      <c r="H32" s="213">
        <f>[3]SB1!GY32</f>
        <v>3</v>
      </c>
      <c r="I32" s="211" t="str">
        <f>[3]SB1!AY32</f>
        <v>1802434/2019/PTN-KĐ</v>
      </c>
      <c r="J32" s="214">
        <f>[3]SB1!HK32</f>
        <v>43497</v>
      </c>
      <c r="K32" s="214">
        <f>[3]SB1!GR32</f>
        <v>43488</v>
      </c>
      <c r="L32" s="215" t="str">
        <f>IF(H32=1,[3]SB1!HR32,IF(H32=2,[3]SB1!HR32&amp;"/"&amp;[3]SB2!HM32,IF(H32=3,[3]SB1!HR32&amp;"/"&amp;[3]SB2!HM32&amp;"/"&amp;[3]SB3!HM32,IF(H32=4,[3]SB1!HR32&amp;"/"&amp;[3]SB2!HM32&amp;"/"&amp;[3]SB3!HM32&amp;"/"&amp;[3]SB4!HM32,IF(H32=5,[3]SB1!HR32&amp;"/"&amp;[3]SB2!HM32&amp;"/"&amp;[3]SB3!HM32&amp;"/"&amp;[3]SB4!HM32&amp;"/"&amp;[3]SB5!HM32,[3]SB1!HR32&amp;"/"&amp;[3]SB2!HM32&amp;"/"&amp;[3]SB3!HM32&amp;"/"&amp;[3]SB4!HM32&amp;"/"&amp;[3]SB5!HM32&amp;"/"&amp;[3]SB6!HM32)))))</f>
        <v>TẬP ĐOÀN CÔNG NGHIỆP - VIỄN THÔNG QUÂN ĐỘI/TẬP ĐOÀN CÔNG NGHIỆP - VIỄN THÔNG QUÂN ĐỘI/TẬP ĐOÀN CÔNG NGHIỆP - VIỄN THÔNG QUÂN ĐỘI</v>
      </c>
      <c r="M32" s="216" t="str">
        <f>IF(H32=1,[3]SB1!C32,IF(H32=2,[3]SB1!C32&amp;";"&amp;[3]SB2!C32,IF(H32=3,[3]SB1!C32&amp;";"&amp;[3]SB2!C32&amp;";"&amp;[3]SB3!C32,IF(H32=4,[3]SB1!C32&amp;";"&amp;[3]SB2!C32&amp;";"&amp;[3]SB3!C32&amp;";"&amp;[3]SB4!C32,IF(H32=5,[3]SB1!C32&amp;";"&amp;[3]SB2!C32&amp;";"&amp;[3]SB3!C32&amp;";"&amp;[3]SB4!C32&amp;";"&amp;[3]SB5!C32,[3]SB1!C32&amp;";"&amp;[3]SB2!C32&amp;";"&amp;[3]SB3!C32&amp;";"&amp;[3]SB4!C32&amp;";"&amp;[3]SB5!C32&amp;";"&amp;[3]SB6!C32)))))</f>
        <v>STG0388;STG0388;STG0388</v>
      </c>
      <c r="N32" s="216" t="str">
        <f>IF(H32=1,[3]SB1!K32,IF(H32=2,[3]SB1!K32&amp;";"&amp;[3]SB2!K32,IF(H32=3,[3]SB1!K32&amp;";"&amp;[3]SB2!K32&amp;";"&amp;[3]SB3!K32,IF(H32=4,[3]SB1!K32&amp;";"&amp;[3]SB2!K32&amp;";"&amp;[3]SB3!K32&amp;";"&amp;[3]SB4!K32,IF(H32=5,[3]SB1!K32&amp;";"&amp;[3]SB2!K32&amp;";"&amp;[3]SB3!K32&amp;";"&amp;[3]SB4!K32&amp;";"&amp;[3]SB5!K32,[3]SB1!K32&amp;";"&amp;[3]SB2!K32&amp;";"&amp;[3]SB3!K32&amp;";"&amp;[3]SB4!K32&amp;";"&amp;[3]SB5!K32&amp;";"&amp;[3]SB6!K32)))))</f>
        <v>NOKIA Flexi EDGE BTS;NOKIA Flexi WCDMA BTS;NSN FLEXI MULTIRADIO AIRSCALE</v>
      </c>
      <c r="O32" s="212">
        <f>[3]SB1!P32+[3]SB2!P32+[3]SB3!P32+[3]SB4!P32+[3]SB5!P32+[3]SB6!P32</f>
        <v>9</v>
      </c>
      <c r="P32" s="216" t="str">
        <f>IF(H32=1,[3]SB1!Q32,IF(H32=2,[3]SB1!Q32&amp;";"&amp;[3]SB2!Q32,IF(H32=3,[3]SB1!Q32&amp;";"&amp;[3]SB2!Q32&amp;";"&amp;[3]SB3!Q32,IF(H32=4,[3]SB1!Q32&amp;";"&amp;[3]SB2!Q32&amp;";"&amp;[3]SB3!Q32&amp;";"&amp;[3]SB4!Q32,IF(H32=5,[3]SB1!Q32&amp;";"&amp;[3]SB2!Q32&amp;";"&amp;[3]SB3!Q32&amp;";"&amp;[3]SB4!Q32&amp;";"&amp;[3]SB5!Q32,[3]SB1!Q32&amp;";"&amp;[3]SB2!Q32&amp;";"&amp;[3]SB3!Q32&amp;";"&amp;[3]SB4!Q32&amp;";"&amp;[3]SB5!Q32&amp;";"&amp;[3]SB6!Q32)))))</f>
        <v>4/4/4;2/2/2;1/1/1</v>
      </c>
      <c r="Q32" s="216" t="str">
        <f>IF(H32=1,[3]SB1!HS32,IF(H32=2,[3]SB1!HS32&amp;";"&amp;[3]SB2!HN32,IF(H32=3,[3]SB1!HS32&amp;";"&amp;[3]SB2!HN32&amp;";"&amp;[3]SB3!HN32,IF(H32=4,[3]SB1!HS32&amp;";"&amp;[3]SB2!HN32&amp;";"&amp;[3]SB3!HN32&amp;";"&amp;[3]SB4!HN32,IF(H32=5,[3]SB1!HS32&amp;";"&amp;[3]SB2!HN32&amp;";"&amp;[3]SB3!HN32&amp;";"&amp;[3]SB4!HN32&amp;";"&amp;[3]SB5!HN32,[3]SB1!HS32&amp;";"&amp;[3]SB2!HN32&amp;";"&amp;[3]SB3!HN32&amp;";"&amp;[3]SB4!HN32&amp;";"&amp;[3]SB5!HN32&amp;";"&amp;[3]SB6!HN32)))))</f>
        <v>37,24W/37,24W/37,24W;40W/40W/40W;40W/40W/40W</v>
      </c>
      <c r="R32" s="216" t="str">
        <f>IF(H32=1,[3]SB1!H32,IF(H32=2,[3]SB1!H32&amp;"/"&amp;[3]SB2!H32,IF(H32=3,[3]SB1!H32&amp;"/"&amp;[3]SB2!H32&amp;"/"&amp;[3]SB3!H32,IF(H32=4,[3]SB1!H32&amp;"/"&amp;[3]SB2!H32&amp;"/"&amp;[3]SB3!H32&amp;"/"&amp;[3]SB4!H32,IF(H32=5,[3]SB1!H32&amp;"/"&amp;[3]SB2!H32&amp;"/"&amp;[3]SB3!H32&amp;"/"&amp;[3]SB4!H32&amp;"/"&amp;[3]SB5!H32,[3]SB1!H32&amp;"/"&amp;[3]SB2!H32&amp;"/"&amp;[3]SB3!H32&amp;"/"&amp;[3]SB4!H32&amp;"/"&amp;[3]SB5!H32&amp;"/"&amp;[3]SB6!H32)))))</f>
        <v>G1800/U2100/L1800</v>
      </c>
      <c r="S32" s="216" t="str">
        <f>IF(H32=1,[3]SB1!HT32,IF(H32=2,[3]SB1!HT32&amp;";"&amp;[3]SB2!HO32,IF(H32=3,[3]SB1!HT32&amp;";"&amp;[3]SB2!HO32&amp;";"&amp;[3]SB3!HO32,IF(H32=4,[3]SB1!HT32&amp;";"&amp;[3]SB2!HO32&amp;";"&amp;[3]SB3!HO32&amp;";"&amp;[3]SB4!HO32,IF(H32=5,[3]SB1!HT32&amp;";"&amp;[3]SB2!HO32&amp;";"&amp;[3]SB3!HO32&amp;";"&amp;[3]SB4!HO32&amp;";"&amp;[3]SB5!HO32,[3]SB1!HT32&amp;";"&amp;[3]SB2!HO32&amp;";"&amp;[3]SB3!HO32&amp;";"&amp;[3]SB4!HO32&amp;";"&amp;[3]SB5!HO32&amp;";"&amp;[3]SB6!HO32)))))</f>
        <v>25,5m/ 25,5m/ 25,5m;25,5m/ 25,5m/ 25,5m;25,5m/ 25,5m/ 25,5m</v>
      </c>
      <c r="T32" s="215">
        <f>[3]SB1!GU32</f>
        <v>2</v>
      </c>
      <c r="U32" s="215" t="str">
        <f>IF(H32=1,[3]SB1!AS32,IF(H32=2,[3]SB1!AS32&amp;";"&amp;[3]SB2!AS32,IF(H32=3,[3]SB1!AS32&amp;";"&amp;[3]SB2!AS32&amp;";"&amp;[3]SB3!AS32,IF(H32=4,[3]SB1!AS32&amp;";"&amp;[3]SB2!AS32&amp;";"&amp;[3]SB3!AS32&amp;";"&amp;[3]SB4!AS32,IF(H32=5,[3]SB1!AS32&amp;";"&amp;[3]SB2!AS32&amp;";"&amp;[3]SB3!AS32&amp;";"&amp;[3]SB4!AS32&amp;";"&amp;[3]SB5!AS32,[3]SB1!AS32&amp;";"&amp;[3]SB2!AS32&amp;";"&amp;[3]SB3!AS32&amp;";"&amp;[3]SB4!AS32&amp;";"&amp;[3]SB5!AS32&amp;";"&amp;[3]SB6!AS32)))))</f>
        <v>Kathrein 736018;Kathrein 742215;Commscope HWXX-6516DS2-A2M</v>
      </c>
      <c r="V32" s="213" t="str">
        <f>IF([3]Source!AEE32="Yes","Có","Không")</f>
        <v>Có</v>
      </c>
      <c r="W32" s="213" t="str">
        <f>IF([3]Source!AEF32="Yes","Có","Không")</f>
        <v>Không</v>
      </c>
      <c r="X32" s="213" t="str">
        <f>[3]Source!AEG32</f>
        <v/>
      </c>
      <c r="Y32" s="213" t="str">
        <f>IF([3]Source!AEH32="Yes","Có","Không")</f>
        <v>Có</v>
      </c>
      <c r="Z32" s="217">
        <f>[3]Source!AEI32</f>
        <v>-2.5</v>
      </c>
      <c r="AA32" s="217" t="str">
        <f>IF([3]SB1!WBZ32="","",IF([3]SB1!WBZ32=0,"Có","Không"))</f>
        <v/>
      </c>
      <c r="AB32" s="217" t="str">
        <f>IF([3]Source!ADX32="Yes","Có","Không")</f>
        <v>Không</v>
      </c>
      <c r="AC32" s="217">
        <f>MIN([3]SB1!AH32,[3]SB2!AH32,[3]SB3!AH32,[3]SB4!AH32,[3]SB5!AH32,[3]SB6!AH32)+[3]SB1!AG32</f>
        <v>25.5</v>
      </c>
      <c r="AD32" s="217" t="str">
        <f>IF([3]SB1!HQ32="","",[3]SB1!HQ32)</f>
        <v>28</v>
      </c>
      <c r="AE32" s="218" t="str">
        <f>IF([3]SB1!HV32="","",[3]SB1!HV32)</f>
        <v/>
      </c>
    </row>
    <row r="33" spans="1:31" s="219" customFormat="1">
      <c r="A33" s="211" t="str">
        <f>[3]SB1!HM33</f>
        <v>Viettel Sóc Trăng - Chi nhánh Tập đoàn Công nghiệp - Viễn Thông Quân Đội</v>
      </c>
      <c r="B33" s="212">
        <f>[3]Source!A33</f>
        <v>30</v>
      </c>
      <c r="C33" s="212">
        <f>[3]SB1!GZ33</f>
        <v>761</v>
      </c>
      <c r="D33" s="213" t="str">
        <f>[3]SB1!GX33</f>
        <v>Số 33/31, đường Calmette, phường 6, thành phố Sóc Trăng, tỉnh Sóc Trăng.</v>
      </c>
      <c r="E33" s="211" t="str">
        <f>[3]SB1!GV33</f>
        <v>Sóc Trăng</v>
      </c>
      <c r="F33" s="211" t="str">
        <f>MID([3]SB1!GS33,1,FIND(";",[3]SB1!GS33,1)-1)</f>
        <v>105,97449</v>
      </c>
      <c r="G33" s="211" t="str">
        <f>RIGHT([3]SB1!GS33,LEN([3]SB1!GS33)-LEN(F33)-1)</f>
        <v>9,60890</v>
      </c>
      <c r="H33" s="213">
        <f>[3]SB1!GY33</f>
        <v>3</v>
      </c>
      <c r="I33" s="211" t="str">
        <f>[3]SB1!AY33</f>
        <v>1802435/2019/PTN-KĐ</v>
      </c>
      <c r="J33" s="214">
        <f>[3]SB1!HK33</f>
        <v>43497</v>
      </c>
      <c r="K33" s="214">
        <f>[3]SB1!GR33</f>
        <v>43488</v>
      </c>
      <c r="L33" s="215" t="str">
        <f>IF(H33=1,[3]SB1!HR33,IF(H33=2,[3]SB1!HR33&amp;"/"&amp;[3]SB2!HM33,IF(H33=3,[3]SB1!HR33&amp;"/"&amp;[3]SB2!HM33&amp;"/"&amp;[3]SB3!HM33,IF(H33=4,[3]SB1!HR33&amp;"/"&amp;[3]SB2!HM33&amp;"/"&amp;[3]SB3!HM33&amp;"/"&amp;[3]SB4!HM33,IF(H33=5,[3]SB1!HR33&amp;"/"&amp;[3]SB2!HM33&amp;"/"&amp;[3]SB3!HM33&amp;"/"&amp;[3]SB4!HM33&amp;"/"&amp;[3]SB5!HM33,[3]SB1!HR33&amp;"/"&amp;[3]SB2!HM33&amp;"/"&amp;[3]SB3!HM33&amp;"/"&amp;[3]SB4!HM33&amp;"/"&amp;[3]SB5!HM33&amp;"/"&amp;[3]SB6!HM33)))))</f>
        <v>TẬP ĐOÀN CÔNG NGHIỆP - VIỄN THÔNG QUÂN ĐỘI/TẬP ĐOÀN CÔNG NGHIỆP - VIỄN THÔNG QUÂN ĐỘI/TẬP ĐOÀN CÔNG NGHIỆP - VIỄN THÔNG QUÂN ĐỘI</v>
      </c>
      <c r="M33" s="216" t="str">
        <f>IF(H33=1,[3]SB1!C33,IF(H33=2,[3]SB1!C33&amp;";"&amp;[3]SB2!C33,IF(H33=3,[3]SB1!C33&amp;";"&amp;[3]SB2!C33&amp;";"&amp;[3]SB3!C33,IF(H33=4,[3]SB1!C33&amp;";"&amp;[3]SB2!C33&amp;";"&amp;[3]SB3!C33&amp;";"&amp;[3]SB4!C33,IF(H33=5,[3]SB1!C33&amp;";"&amp;[3]SB2!C33&amp;";"&amp;[3]SB3!C33&amp;";"&amp;[3]SB4!C33&amp;";"&amp;[3]SB5!C33,[3]SB1!C33&amp;";"&amp;[3]SB2!C33&amp;";"&amp;[3]SB3!C33&amp;";"&amp;[3]SB4!C33&amp;";"&amp;[3]SB5!C33&amp;";"&amp;[3]SB6!C33)))))</f>
        <v>STG0393;STG0393;STG0393</v>
      </c>
      <c r="N33" s="216" t="str">
        <f>IF(H33=1,[3]SB1!K33,IF(H33=2,[3]SB1!K33&amp;";"&amp;[3]SB2!K33,IF(H33=3,[3]SB1!K33&amp;";"&amp;[3]SB2!K33&amp;";"&amp;[3]SB3!K33,IF(H33=4,[3]SB1!K33&amp;";"&amp;[3]SB2!K33&amp;";"&amp;[3]SB3!K33&amp;";"&amp;[3]SB4!K33,IF(H33=5,[3]SB1!K33&amp;";"&amp;[3]SB2!K33&amp;";"&amp;[3]SB3!K33&amp;";"&amp;[3]SB4!K33&amp;";"&amp;[3]SB5!K33,[3]SB1!K33&amp;";"&amp;[3]SB2!K33&amp;";"&amp;[3]SB3!K33&amp;";"&amp;[3]SB4!K33&amp;";"&amp;[3]SB5!K33&amp;";"&amp;[3]SB6!K33)))))</f>
        <v>NOKIA Flexi EDGE BTS;NOKIA Flexi WCDMA BTS;NSN FLEXI MULTIRADIO AIRSCALE</v>
      </c>
      <c r="O33" s="212">
        <f>[3]SB1!P33+[3]SB2!P33+[3]SB3!P33+[3]SB4!P33+[3]SB5!P33+[3]SB6!P33</f>
        <v>9</v>
      </c>
      <c r="P33" s="216" t="str">
        <f>IF(H33=1,[3]SB1!Q33,IF(H33=2,[3]SB1!Q33&amp;";"&amp;[3]SB2!Q33,IF(H33=3,[3]SB1!Q33&amp;";"&amp;[3]SB2!Q33&amp;";"&amp;[3]SB3!Q33,IF(H33=4,[3]SB1!Q33&amp;";"&amp;[3]SB2!Q33&amp;";"&amp;[3]SB3!Q33&amp;";"&amp;[3]SB4!Q33,IF(H33=5,[3]SB1!Q33&amp;";"&amp;[3]SB2!Q33&amp;";"&amp;[3]SB3!Q33&amp;";"&amp;[3]SB4!Q33&amp;";"&amp;[3]SB5!Q33,[3]SB1!Q33&amp;";"&amp;[3]SB2!Q33&amp;";"&amp;[3]SB3!Q33&amp;";"&amp;[3]SB4!Q33&amp;";"&amp;[3]SB5!Q33&amp;";"&amp;[3]SB6!Q33)))))</f>
        <v>4/4/4;2/2/2;1/1/1</v>
      </c>
      <c r="Q33" s="216" t="str">
        <f>IF(H33=1,[3]SB1!HS33,IF(H33=2,[3]SB1!HS33&amp;";"&amp;[3]SB2!HN33,IF(H33=3,[3]SB1!HS33&amp;";"&amp;[3]SB2!HN33&amp;";"&amp;[3]SB3!HN33,IF(H33=4,[3]SB1!HS33&amp;";"&amp;[3]SB2!HN33&amp;";"&amp;[3]SB3!HN33&amp;";"&amp;[3]SB4!HN33,IF(H33=5,[3]SB1!HS33&amp;";"&amp;[3]SB2!HN33&amp;";"&amp;[3]SB3!HN33&amp;";"&amp;[3]SB4!HN33&amp;";"&amp;[3]SB5!HN33,[3]SB1!HS33&amp;";"&amp;[3]SB2!HN33&amp;";"&amp;[3]SB3!HN33&amp;";"&amp;[3]SB4!HN33&amp;";"&amp;[3]SB5!HN33&amp;";"&amp;[3]SB6!HN33)))))</f>
        <v>37,24W/37,24W/37,24W;40W/40W/40W;40W/40W/40W</v>
      </c>
      <c r="R33" s="216" t="str">
        <f>IF(H33=1,[3]SB1!H33,IF(H33=2,[3]SB1!H33&amp;"/"&amp;[3]SB2!H33,IF(H33=3,[3]SB1!H33&amp;"/"&amp;[3]SB2!H33&amp;"/"&amp;[3]SB3!H33,IF(H33=4,[3]SB1!H33&amp;"/"&amp;[3]SB2!H33&amp;"/"&amp;[3]SB3!H33&amp;"/"&amp;[3]SB4!H33,IF(H33=5,[3]SB1!H33&amp;"/"&amp;[3]SB2!H33&amp;"/"&amp;[3]SB3!H33&amp;"/"&amp;[3]SB4!H33&amp;"/"&amp;[3]SB5!H33,[3]SB1!H33&amp;"/"&amp;[3]SB2!H33&amp;"/"&amp;[3]SB3!H33&amp;"/"&amp;[3]SB4!H33&amp;"/"&amp;[3]SB5!H33&amp;"/"&amp;[3]SB6!H33)))))</f>
        <v>G1800/U2100/L1800</v>
      </c>
      <c r="S33" s="216" t="str">
        <f>IF(H33=1,[3]SB1!HT33,IF(H33=2,[3]SB1!HT33&amp;";"&amp;[3]SB2!HO33,IF(H33=3,[3]SB1!HT33&amp;";"&amp;[3]SB2!HO33&amp;";"&amp;[3]SB3!HO33,IF(H33=4,[3]SB1!HT33&amp;";"&amp;[3]SB2!HO33&amp;";"&amp;[3]SB3!HO33&amp;";"&amp;[3]SB4!HO33,IF(H33=5,[3]SB1!HT33&amp;";"&amp;[3]SB2!HO33&amp;";"&amp;[3]SB3!HO33&amp;";"&amp;[3]SB4!HO33&amp;";"&amp;[3]SB5!HO33,[3]SB1!HT33&amp;";"&amp;[3]SB2!HO33&amp;";"&amp;[3]SB3!HO33&amp;";"&amp;[3]SB4!HO33&amp;";"&amp;[3]SB5!HO33&amp;";"&amp;[3]SB6!HO33)))))</f>
        <v>30m/ 30m/ 30m;36m/ 36m/ 36m;36m/ 36m/ 36m</v>
      </c>
      <c r="T33" s="215">
        <f>[3]SB1!GU33</f>
        <v>2</v>
      </c>
      <c r="U33" s="215" t="str">
        <f>IF(H33=1,[3]SB1!AS33,IF(H33=2,[3]SB1!AS33&amp;";"&amp;[3]SB2!AS33,IF(H33=3,[3]SB1!AS33&amp;";"&amp;[3]SB2!AS33&amp;";"&amp;[3]SB3!AS33,IF(H33=4,[3]SB1!AS33&amp;";"&amp;[3]SB2!AS33&amp;";"&amp;[3]SB3!AS33&amp;";"&amp;[3]SB4!AS33,IF(H33=5,[3]SB1!AS33&amp;";"&amp;[3]SB2!AS33&amp;";"&amp;[3]SB3!AS33&amp;";"&amp;[3]SB4!AS33&amp;";"&amp;[3]SB5!AS33,[3]SB1!AS33&amp;";"&amp;[3]SB2!AS33&amp;";"&amp;[3]SB3!AS33&amp;";"&amp;[3]SB4!AS33&amp;";"&amp;[3]SB5!AS33&amp;";"&amp;[3]SB6!AS33)))))</f>
        <v>Kathrein 736018;Kathrein 742215;Commscope HWXX-6516DS2-A2M</v>
      </c>
      <c r="V33" s="213" t="str">
        <f>IF([3]Source!AEE33="Yes","Có","Không")</f>
        <v>Có</v>
      </c>
      <c r="W33" s="213" t="str">
        <f>IF([3]Source!AEF33="Yes","Có","Không")</f>
        <v>Không</v>
      </c>
      <c r="X33" s="213" t="str">
        <f>[3]Source!AEG33</f>
        <v/>
      </c>
      <c r="Y33" s="213" t="str">
        <f>IF([3]Source!AEH33="Yes","Có","Không")</f>
        <v>Có</v>
      </c>
      <c r="Z33" s="217">
        <f>[3]Source!AEI33</f>
        <v>19.5</v>
      </c>
      <c r="AA33" s="217" t="str">
        <f>IF([3]SB1!WBZ33="","",IF([3]SB1!WBZ33=0,"Có","Không"))</f>
        <v/>
      </c>
      <c r="AB33" s="217" t="str">
        <f>IF([3]Source!ADX33="Yes","Có","Không")</f>
        <v>Không</v>
      </c>
      <c r="AC33" s="217">
        <f>MIN([3]SB1!AH33,[3]SB2!AH33,[3]SB3!AH33,[3]SB4!AH33,[3]SB5!AH33,[3]SB6!AH33)+[3]SB1!AG33</f>
        <v>30</v>
      </c>
      <c r="AD33" s="217" t="str">
        <f>IF([3]SB1!HQ33="","",[3]SB1!HQ33)</f>
        <v>10,5</v>
      </c>
      <c r="AE33" s="218" t="str">
        <f>IF([3]SB1!HV33="","",[3]SB1!HV33)</f>
        <v/>
      </c>
    </row>
    <row r="34" spans="1:31" s="219" customFormat="1">
      <c r="A34" s="211" t="str">
        <f>[3]SB1!HM34</f>
        <v>Viettel Sóc Trăng - Chi nhánh Tập đoàn Công nghiệp - Viễn Thông Quân Đội</v>
      </c>
      <c r="B34" s="212">
        <f>[3]Source!A34</f>
        <v>31</v>
      </c>
      <c r="C34" s="212">
        <f>[3]SB1!GZ34</f>
        <v>761</v>
      </c>
      <c r="D34" s="213" t="str">
        <f>[3]SB1!GX34</f>
        <v>Số 106, đường Mạc Đỉnh Chi, khóm 3, phường 9, thành phố Sóc Trăng, tỉnh Sóc Trăng.</v>
      </c>
      <c r="E34" s="211" t="str">
        <f>[3]SB1!GV34</f>
        <v>Sóc Trăng</v>
      </c>
      <c r="F34" s="211" t="str">
        <f>MID([3]SB1!GS34,1,FIND(";",[3]SB1!GS34,1)-1)</f>
        <v>105,97941</v>
      </c>
      <c r="G34" s="211" t="str">
        <f>RIGHT([3]SB1!GS34,LEN([3]SB1!GS34)-LEN(F34)-1)</f>
        <v>9,60193</v>
      </c>
      <c r="H34" s="213">
        <f>[3]SB1!GY34</f>
        <v>3</v>
      </c>
      <c r="I34" s="211" t="str">
        <f>[3]SB1!AY34</f>
        <v>1802436/2019/PTN-KĐ</v>
      </c>
      <c r="J34" s="214">
        <f>[3]SB1!HK34</f>
        <v>43497</v>
      </c>
      <c r="K34" s="214">
        <f>[3]SB1!GR34</f>
        <v>43489</v>
      </c>
      <c r="L34" s="215" t="str">
        <f>IF(H34=1,[3]SB1!HR34,IF(H34=2,[3]SB1!HR34&amp;"/"&amp;[3]SB2!HM34,IF(H34=3,[3]SB1!HR34&amp;"/"&amp;[3]SB2!HM34&amp;"/"&amp;[3]SB3!HM34,IF(H34=4,[3]SB1!HR34&amp;"/"&amp;[3]SB2!HM34&amp;"/"&amp;[3]SB3!HM34&amp;"/"&amp;[3]SB4!HM34,IF(H34=5,[3]SB1!HR34&amp;"/"&amp;[3]SB2!HM34&amp;"/"&amp;[3]SB3!HM34&amp;"/"&amp;[3]SB4!HM34&amp;"/"&amp;[3]SB5!HM34,[3]SB1!HR34&amp;"/"&amp;[3]SB2!HM34&amp;"/"&amp;[3]SB3!HM34&amp;"/"&amp;[3]SB4!HM34&amp;"/"&amp;[3]SB5!HM34&amp;"/"&amp;[3]SB6!HM34)))))</f>
        <v>TẬP ĐOÀN CÔNG NGHIỆP - VIỄN THÔNG QUÂN ĐỘI/TẬP ĐOÀN CÔNG NGHIỆP - VIỄN THÔNG QUÂN ĐỘI/TẬP ĐOÀN CÔNG NGHIỆP - VIỄN THÔNG QUÂN ĐỘI</v>
      </c>
      <c r="M34" s="216" t="str">
        <f>IF(H34=1,[3]SB1!C34,IF(H34=2,[3]SB1!C34&amp;";"&amp;[3]SB2!C34,IF(H34=3,[3]SB1!C34&amp;";"&amp;[3]SB2!C34&amp;";"&amp;[3]SB3!C34,IF(H34=4,[3]SB1!C34&amp;";"&amp;[3]SB2!C34&amp;";"&amp;[3]SB3!C34&amp;";"&amp;[3]SB4!C34,IF(H34=5,[3]SB1!C34&amp;";"&amp;[3]SB2!C34&amp;";"&amp;[3]SB3!C34&amp;";"&amp;[3]SB4!C34&amp;";"&amp;[3]SB5!C34,[3]SB1!C34&amp;";"&amp;[3]SB2!C34&amp;";"&amp;[3]SB3!C34&amp;";"&amp;[3]SB4!C34&amp;";"&amp;[3]SB5!C34&amp;";"&amp;[3]SB6!C34)))))</f>
        <v>STG0394;STG0394;STG0394</v>
      </c>
      <c r="N34" s="216" t="str">
        <f>IF(H34=1,[3]SB1!K34,IF(H34=2,[3]SB1!K34&amp;";"&amp;[3]SB2!K34,IF(H34=3,[3]SB1!K34&amp;";"&amp;[3]SB2!K34&amp;";"&amp;[3]SB3!K34,IF(H34=4,[3]SB1!K34&amp;";"&amp;[3]SB2!K34&amp;";"&amp;[3]SB3!K34&amp;";"&amp;[3]SB4!K34,IF(H34=5,[3]SB1!K34&amp;";"&amp;[3]SB2!K34&amp;";"&amp;[3]SB3!K34&amp;";"&amp;[3]SB4!K34&amp;";"&amp;[3]SB5!K34,[3]SB1!K34&amp;";"&amp;[3]SB2!K34&amp;";"&amp;[3]SB3!K34&amp;";"&amp;[3]SB4!K34&amp;";"&amp;[3]SB5!K34&amp;";"&amp;[3]SB6!K34)))))</f>
        <v>NOKIA Flexi EDGE BTS;NOKIA Flexi WCDMA BTS;NSN FLEXI MULTIRADIO AIRSCALE</v>
      </c>
      <c r="O34" s="212">
        <f>[3]SB1!P34+[3]SB2!P34+[3]SB3!P34+[3]SB4!P34+[3]SB5!P34+[3]SB6!P34</f>
        <v>9</v>
      </c>
      <c r="P34" s="216" t="str">
        <f>IF(H34=1,[3]SB1!Q34,IF(H34=2,[3]SB1!Q34&amp;";"&amp;[3]SB2!Q34,IF(H34=3,[3]SB1!Q34&amp;";"&amp;[3]SB2!Q34&amp;";"&amp;[3]SB3!Q34,IF(H34=4,[3]SB1!Q34&amp;";"&amp;[3]SB2!Q34&amp;";"&amp;[3]SB3!Q34&amp;";"&amp;[3]SB4!Q34,IF(H34=5,[3]SB1!Q34&amp;";"&amp;[3]SB2!Q34&amp;";"&amp;[3]SB3!Q34&amp;";"&amp;[3]SB4!Q34&amp;";"&amp;[3]SB5!Q34,[3]SB1!Q34&amp;";"&amp;[3]SB2!Q34&amp;";"&amp;[3]SB3!Q34&amp;";"&amp;[3]SB4!Q34&amp;";"&amp;[3]SB5!Q34&amp;";"&amp;[3]SB6!Q34)))))</f>
        <v>4/4/4;2/2/2;1/1/1</v>
      </c>
      <c r="Q34" s="216" t="str">
        <f>IF(H34=1,[3]SB1!HS34,IF(H34=2,[3]SB1!HS34&amp;";"&amp;[3]SB2!HN34,IF(H34=3,[3]SB1!HS34&amp;";"&amp;[3]SB2!HN34&amp;";"&amp;[3]SB3!HN34,IF(H34=4,[3]SB1!HS34&amp;";"&amp;[3]SB2!HN34&amp;";"&amp;[3]SB3!HN34&amp;";"&amp;[3]SB4!HN34,IF(H34=5,[3]SB1!HS34&amp;";"&amp;[3]SB2!HN34&amp;";"&amp;[3]SB3!HN34&amp;";"&amp;[3]SB4!HN34&amp;";"&amp;[3]SB5!HN34,[3]SB1!HS34&amp;";"&amp;[3]SB2!HN34&amp;";"&amp;[3]SB3!HN34&amp;";"&amp;[3]SB4!HN34&amp;";"&amp;[3]SB5!HN34&amp;";"&amp;[3]SB6!HN34)))))</f>
        <v>37,24W/37,24W/37,24W;40W/40W/40W;40W/40W/40W</v>
      </c>
      <c r="R34" s="216" t="str">
        <f>IF(H34=1,[3]SB1!H34,IF(H34=2,[3]SB1!H34&amp;"/"&amp;[3]SB2!H34,IF(H34=3,[3]SB1!H34&amp;"/"&amp;[3]SB2!H34&amp;"/"&amp;[3]SB3!H34,IF(H34=4,[3]SB1!H34&amp;"/"&amp;[3]SB2!H34&amp;"/"&amp;[3]SB3!H34&amp;"/"&amp;[3]SB4!H34,IF(H34=5,[3]SB1!H34&amp;"/"&amp;[3]SB2!H34&amp;"/"&amp;[3]SB3!H34&amp;"/"&amp;[3]SB4!H34&amp;"/"&amp;[3]SB5!H34,[3]SB1!H34&amp;"/"&amp;[3]SB2!H34&amp;"/"&amp;[3]SB3!H34&amp;"/"&amp;[3]SB4!H34&amp;"/"&amp;[3]SB5!H34&amp;"/"&amp;[3]SB6!H34)))))</f>
        <v>G1800/U2100/L1800</v>
      </c>
      <c r="S34" s="216" t="str">
        <f>IF(H34=1,[3]SB1!HT34,IF(H34=2,[3]SB1!HT34&amp;";"&amp;[3]SB2!HO34,IF(H34=3,[3]SB1!HT34&amp;";"&amp;[3]SB2!HO34&amp;";"&amp;[3]SB3!HO34,IF(H34=4,[3]SB1!HT34&amp;";"&amp;[3]SB2!HO34&amp;";"&amp;[3]SB3!HO34&amp;";"&amp;[3]SB4!HO34,IF(H34=5,[3]SB1!HT34&amp;";"&amp;[3]SB2!HO34&amp;";"&amp;[3]SB3!HO34&amp;";"&amp;[3]SB4!HO34&amp;";"&amp;[3]SB5!HO34,[3]SB1!HT34&amp;";"&amp;[3]SB2!HO34&amp;";"&amp;[3]SB3!HO34&amp;";"&amp;[3]SB4!HO34&amp;";"&amp;[3]SB5!HO34&amp;";"&amp;[3]SB6!HO34)))))</f>
        <v>22,5m/ 22,5m/ 22,5m;25,5m/ 25,5m/ 25,5m;25,5m/ 25,5m/ 25,5m</v>
      </c>
      <c r="T34" s="215">
        <f>[3]SB1!GU34</f>
        <v>2</v>
      </c>
      <c r="U34" s="215" t="str">
        <f>IF(H34=1,[3]SB1!AS34,IF(H34=2,[3]SB1!AS34&amp;";"&amp;[3]SB2!AS34,IF(H34=3,[3]SB1!AS34&amp;";"&amp;[3]SB2!AS34&amp;";"&amp;[3]SB3!AS34,IF(H34=4,[3]SB1!AS34&amp;";"&amp;[3]SB2!AS34&amp;";"&amp;[3]SB3!AS34&amp;";"&amp;[3]SB4!AS34,IF(H34=5,[3]SB1!AS34&amp;";"&amp;[3]SB2!AS34&amp;";"&amp;[3]SB3!AS34&amp;";"&amp;[3]SB4!AS34&amp;";"&amp;[3]SB5!AS34,[3]SB1!AS34&amp;";"&amp;[3]SB2!AS34&amp;";"&amp;[3]SB3!AS34&amp;";"&amp;[3]SB4!AS34&amp;";"&amp;[3]SB5!AS34&amp;";"&amp;[3]SB6!AS34)))))</f>
        <v>Kathrein 736018;Kathrein 742215;Commscope HWXX-6516DS2-A2M</v>
      </c>
      <c r="V34" s="213" t="str">
        <f>IF([3]Source!AEE34="Yes","Có","Không")</f>
        <v>Có</v>
      </c>
      <c r="W34" s="213" t="str">
        <f>IF([3]Source!AEF34="Yes","Có","Không")</f>
        <v>Không</v>
      </c>
      <c r="X34" s="213" t="str">
        <f>[3]Source!AEG34</f>
        <v/>
      </c>
      <c r="Y34" s="213" t="str">
        <f>IF([3]Source!AEH34="Yes","Có","Không")</f>
        <v>Có</v>
      </c>
      <c r="Z34" s="217">
        <f>[3]Source!AEI34</f>
        <v>8.5</v>
      </c>
      <c r="AA34" s="217" t="str">
        <f>IF([3]SB1!WBZ34="","",IF([3]SB1!WBZ34=0,"Có","Không"))</f>
        <v/>
      </c>
      <c r="AB34" s="217" t="str">
        <f>IF([3]Source!ADX34="Yes","Có","Không")</f>
        <v>Không</v>
      </c>
      <c r="AC34" s="217">
        <f>MIN([3]SB1!AH34,[3]SB2!AH34,[3]SB3!AH34,[3]SB4!AH34,[3]SB5!AH34,[3]SB6!AH34)+[3]SB1!AG34</f>
        <v>22.5</v>
      </c>
      <c r="AD34" s="217" t="str">
        <f>IF([3]SB1!HQ34="","",[3]SB1!HQ34)</f>
        <v>14</v>
      </c>
      <c r="AE34" s="218" t="str">
        <f>IF([3]SB1!HV34="","",[3]SB1!HV34)</f>
        <v/>
      </c>
    </row>
    <row r="35" spans="1:31" s="219" customFormat="1">
      <c r="A35" s="211" t="str">
        <f>[3]SB1!HM35</f>
        <v>Viettel Sóc Trăng - Chi nhánh Tập đoàn Công nghiệp - Viễn Thông Quân Đội</v>
      </c>
      <c r="B35" s="212">
        <f>[3]Source!A35</f>
        <v>32</v>
      </c>
      <c r="C35" s="212">
        <f>[3]SB1!GZ35</f>
        <v>761</v>
      </c>
      <c r="D35" s="213" t="str">
        <f>[3]SB1!GX35</f>
        <v>Số 33, đường Hàm Nghi, khóm 1, phường 1, thành phố Sóc Trăng, tỉnh Sóc Trăng.</v>
      </c>
      <c r="E35" s="211" t="str">
        <f>[3]SB1!GV35</f>
        <v>Sóc Trăng</v>
      </c>
      <c r="F35" s="211" t="str">
        <f>MID([3]SB1!GS35,1,FIND(";",[3]SB1!GS35,1)-1)</f>
        <v>105,97456</v>
      </c>
      <c r="G35" s="211" t="str">
        <f>RIGHT([3]SB1!GS35,LEN([3]SB1!GS35)-LEN(F35)-1)</f>
        <v>9,60361</v>
      </c>
      <c r="H35" s="213">
        <f>[3]SB1!GY35</f>
        <v>3</v>
      </c>
      <c r="I35" s="211" t="str">
        <f>[3]SB1!AY35</f>
        <v>1802437/2019/PTN-KĐ</v>
      </c>
      <c r="J35" s="214">
        <f>[3]SB1!HK35</f>
        <v>43497</v>
      </c>
      <c r="K35" s="214">
        <f>[3]SB1!GR35</f>
        <v>43489</v>
      </c>
      <c r="L35" s="215" t="str">
        <f>IF(H35=1,[3]SB1!HR35,IF(H35=2,[3]SB1!HR35&amp;"/"&amp;[3]SB2!HM35,IF(H35=3,[3]SB1!HR35&amp;"/"&amp;[3]SB2!HM35&amp;"/"&amp;[3]SB3!HM35,IF(H35=4,[3]SB1!HR35&amp;"/"&amp;[3]SB2!HM35&amp;"/"&amp;[3]SB3!HM35&amp;"/"&amp;[3]SB4!HM35,IF(H35=5,[3]SB1!HR35&amp;"/"&amp;[3]SB2!HM35&amp;"/"&amp;[3]SB3!HM35&amp;"/"&amp;[3]SB4!HM35&amp;"/"&amp;[3]SB5!HM35,[3]SB1!HR35&amp;"/"&amp;[3]SB2!HM35&amp;"/"&amp;[3]SB3!HM35&amp;"/"&amp;[3]SB4!HM35&amp;"/"&amp;[3]SB5!HM35&amp;"/"&amp;[3]SB6!HM35)))))</f>
        <v>TẬP ĐOÀN CÔNG NGHIỆP - VIỄN THÔNG QUÂN ĐỘI/TẬP ĐOÀN CÔNG NGHIỆP - VIỄN THÔNG QUÂN ĐỘI/TẬP ĐOÀN CÔNG NGHIỆP - VIỄN THÔNG QUÂN ĐỘI</v>
      </c>
      <c r="M35" s="216" t="str">
        <f>IF(H35=1,[3]SB1!C35,IF(H35=2,[3]SB1!C35&amp;";"&amp;[3]SB2!C35,IF(H35=3,[3]SB1!C35&amp;";"&amp;[3]SB2!C35&amp;";"&amp;[3]SB3!C35,IF(H35=4,[3]SB1!C35&amp;";"&amp;[3]SB2!C35&amp;";"&amp;[3]SB3!C35&amp;";"&amp;[3]SB4!C35,IF(H35=5,[3]SB1!C35&amp;";"&amp;[3]SB2!C35&amp;";"&amp;[3]SB3!C35&amp;";"&amp;[3]SB4!C35&amp;";"&amp;[3]SB5!C35,[3]SB1!C35&amp;";"&amp;[3]SB2!C35&amp;";"&amp;[3]SB3!C35&amp;";"&amp;[3]SB4!C35&amp;";"&amp;[3]SB5!C35&amp;";"&amp;[3]SB6!C35)))))</f>
        <v>STG0396;STG0396;STG0396</v>
      </c>
      <c r="N35" s="216" t="str">
        <f>IF(H35=1,[3]SB1!K35,IF(H35=2,[3]SB1!K35&amp;";"&amp;[3]SB2!K35,IF(H35=3,[3]SB1!K35&amp;";"&amp;[3]SB2!K35&amp;";"&amp;[3]SB3!K35,IF(H35=4,[3]SB1!K35&amp;";"&amp;[3]SB2!K35&amp;";"&amp;[3]SB3!K35&amp;";"&amp;[3]SB4!K35,IF(H35=5,[3]SB1!K35&amp;";"&amp;[3]SB2!K35&amp;";"&amp;[3]SB3!K35&amp;";"&amp;[3]SB4!K35&amp;";"&amp;[3]SB5!K35,[3]SB1!K35&amp;";"&amp;[3]SB2!K35&amp;";"&amp;[3]SB3!K35&amp;";"&amp;[3]SB4!K35&amp;";"&amp;[3]SB5!K35&amp;";"&amp;[3]SB6!K35)))))</f>
        <v>NOKIA Flexi EDGE BTS;NOKIA Flexi WCDMA BTS;NSN FLEXI MULTIRADIO AIRSCALE</v>
      </c>
      <c r="O35" s="212">
        <f>[3]SB1!P35+[3]SB2!P35+[3]SB3!P35+[3]SB4!P35+[3]SB5!P35+[3]SB6!P35</f>
        <v>9</v>
      </c>
      <c r="P35" s="216" t="str">
        <f>IF(H35=1,[3]SB1!Q35,IF(H35=2,[3]SB1!Q35&amp;";"&amp;[3]SB2!Q35,IF(H35=3,[3]SB1!Q35&amp;";"&amp;[3]SB2!Q35&amp;";"&amp;[3]SB3!Q35,IF(H35=4,[3]SB1!Q35&amp;";"&amp;[3]SB2!Q35&amp;";"&amp;[3]SB3!Q35&amp;";"&amp;[3]SB4!Q35,IF(H35=5,[3]SB1!Q35&amp;";"&amp;[3]SB2!Q35&amp;";"&amp;[3]SB3!Q35&amp;";"&amp;[3]SB4!Q35&amp;";"&amp;[3]SB5!Q35,[3]SB1!Q35&amp;";"&amp;[3]SB2!Q35&amp;";"&amp;[3]SB3!Q35&amp;";"&amp;[3]SB4!Q35&amp;";"&amp;[3]SB5!Q35&amp;";"&amp;[3]SB6!Q35)))))</f>
        <v>4/4/4;2/2/2;1/1/1</v>
      </c>
      <c r="Q35" s="216" t="str">
        <f>IF(H35=1,[3]SB1!HS35,IF(H35=2,[3]SB1!HS35&amp;";"&amp;[3]SB2!HN35,IF(H35=3,[3]SB1!HS35&amp;";"&amp;[3]SB2!HN35&amp;";"&amp;[3]SB3!HN35,IF(H35=4,[3]SB1!HS35&amp;";"&amp;[3]SB2!HN35&amp;";"&amp;[3]SB3!HN35&amp;";"&amp;[3]SB4!HN35,IF(H35=5,[3]SB1!HS35&amp;";"&amp;[3]SB2!HN35&amp;";"&amp;[3]SB3!HN35&amp;";"&amp;[3]SB4!HN35&amp;";"&amp;[3]SB5!HN35,[3]SB1!HS35&amp;";"&amp;[3]SB2!HN35&amp;";"&amp;[3]SB3!HN35&amp;";"&amp;[3]SB4!HN35&amp;";"&amp;[3]SB5!HN35&amp;";"&amp;[3]SB6!HN35)))))</f>
        <v>37,24W/37,24W/37,24W;40W/40W/40W;40W/40W/40W</v>
      </c>
      <c r="R35" s="216" t="str">
        <f>IF(H35=1,[3]SB1!H35,IF(H35=2,[3]SB1!H35&amp;"/"&amp;[3]SB2!H35,IF(H35=3,[3]SB1!H35&amp;"/"&amp;[3]SB2!H35&amp;"/"&amp;[3]SB3!H35,IF(H35=4,[3]SB1!H35&amp;"/"&amp;[3]SB2!H35&amp;"/"&amp;[3]SB3!H35&amp;"/"&amp;[3]SB4!H35,IF(H35=5,[3]SB1!H35&amp;"/"&amp;[3]SB2!H35&amp;"/"&amp;[3]SB3!H35&amp;"/"&amp;[3]SB4!H35&amp;"/"&amp;[3]SB5!H35,[3]SB1!H35&amp;"/"&amp;[3]SB2!H35&amp;"/"&amp;[3]SB3!H35&amp;"/"&amp;[3]SB4!H35&amp;"/"&amp;[3]SB5!H35&amp;"/"&amp;[3]SB6!H35)))))</f>
        <v>G1800/U2100/L1800</v>
      </c>
      <c r="S35" s="216" t="str">
        <f>IF(H35=1,[3]SB1!HT35,IF(H35=2,[3]SB1!HT35&amp;";"&amp;[3]SB2!HO35,IF(H35=3,[3]SB1!HT35&amp;";"&amp;[3]SB2!HO35&amp;";"&amp;[3]SB3!HO35,IF(H35=4,[3]SB1!HT35&amp;";"&amp;[3]SB2!HO35&amp;";"&amp;[3]SB3!HO35&amp;";"&amp;[3]SB4!HO35,IF(H35=5,[3]SB1!HT35&amp;";"&amp;[3]SB2!HO35&amp;";"&amp;[3]SB3!HO35&amp;";"&amp;[3]SB4!HO35&amp;";"&amp;[3]SB5!HO35,[3]SB1!HT35&amp;";"&amp;[3]SB2!HO35&amp;";"&amp;[3]SB3!HO35&amp;";"&amp;[3]SB4!HO35&amp;";"&amp;[3]SB5!HO35&amp;";"&amp;[3]SB6!HO35)))))</f>
        <v>23,5m/ 23,5m/ 23,5m;27,5m/ 27,5m/ 27,5m;27,5m/ 27,5m/ 27,5m</v>
      </c>
      <c r="T35" s="215">
        <f>[3]SB1!GU35</f>
        <v>2</v>
      </c>
      <c r="U35" s="215" t="str">
        <f>IF(H35=1,[3]SB1!AS35,IF(H35=2,[3]SB1!AS35&amp;";"&amp;[3]SB2!AS35,IF(H35=3,[3]SB1!AS35&amp;";"&amp;[3]SB2!AS35&amp;";"&amp;[3]SB3!AS35,IF(H35=4,[3]SB1!AS35&amp;";"&amp;[3]SB2!AS35&amp;";"&amp;[3]SB3!AS35&amp;";"&amp;[3]SB4!AS35,IF(H35=5,[3]SB1!AS35&amp;";"&amp;[3]SB2!AS35&amp;";"&amp;[3]SB3!AS35&amp;";"&amp;[3]SB4!AS35&amp;";"&amp;[3]SB5!AS35,[3]SB1!AS35&amp;";"&amp;[3]SB2!AS35&amp;";"&amp;[3]SB3!AS35&amp;";"&amp;[3]SB4!AS35&amp;";"&amp;[3]SB5!AS35&amp;";"&amp;[3]SB6!AS35)))))</f>
        <v>Kathrein 736018;Kathrein 742215;Commscope HWXX-6516DS2-A2M</v>
      </c>
      <c r="V35" s="213" t="str">
        <f>IF([3]Source!AEE35="Yes","Có","Không")</f>
        <v>Có</v>
      </c>
      <c r="W35" s="213" t="str">
        <f>IF([3]Source!AEF35="Yes","Có","Không")</f>
        <v>Không</v>
      </c>
      <c r="X35" s="213" t="str">
        <f>[3]Source!AEG35</f>
        <v/>
      </c>
      <c r="Y35" s="213" t="str">
        <f>IF([3]Source!AEH35="Yes","Có","Không")</f>
        <v>Có</v>
      </c>
      <c r="Z35" s="217">
        <f>[3]Source!AEI35</f>
        <v>-4.5</v>
      </c>
      <c r="AA35" s="217" t="str">
        <f>IF([3]SB1!WBZ35="","",IF([3]SB1!WBZ35=0,"Có","Không"))</f>
        <v/>
      </c>
      <c r="AB35" s="217" t="str">
        <f>IF([3]Source!ADX35="Yes","Có","Không")</f>
        <v>Không</v>
      </c>
      <c r="AC35" s="217">
        <f>MIN([3]SB1!AH35,[3]SB2!AH35,[3]SB3!AH35,[3]SB4!AH35,[3]SB5!AH35,[3]SB6!AH35)+[3]SB1!AG35</f>
        <v>23.5</v>
      </c>
      <c r="AD35" s="217" t="str">
        <f>IF([3]SB1!HQ35="","",[3]SB1!HQ35)</f>
        <v>28</v>
      </c>
      <c r="AE35" s="218" t="str">
        <f>IF([3]SB1!HV35="","",[3]SB1!HV35)</f>
        <v/>
      </c>
    </row>
    <row r="36" spans="1:31" s="219" customFormat="1">
      <c r="A36" s="211" t="str">
        <f>[3]SB1!HM36</f>
        <v>Viettel Sóc Trăng - Chi nhánh Tập đoàn Công nghiệp - Viễn Thông Quân Đội</v>
      </c>
      <c r="B36" s="212">
        <f>[3]Source!A36</f>
        <v>33</v>
      </c>
      <c r="C36" s="212">
        <f>[3]SB1!GZ36</f>
        <v>761</v>
      </c>
      <c r="D36" s="213" t="str">
        <f>[3]SB1!GX36</f>
        <v>Số 186, đường Lý Thường Kiệt, khóm 5, phường 1, thành phố Sóc Trăng, tỉnh Sóc Trăng.</v>
      </c>
      <c r="E36" s="211" t="str">
        <f>[3]SB1!GV36</f>
        <v>Sóc Trăng</v>
      </c>
      <c r="F36" s="211" t="str">
        <f>MID([3]SB1!GS36,1,FIND(";",[3]SB1!GS36,1)-1)</f>
        <v>105,97655</v>
      </c>
      <c r="G36" s="211" t="str">
        <f>RIGHT([3]SB1!GS36,LEN([3]SB1!GS36)-LEN(F36)-1)</f>
        <v>9,60571</v>
      </c>
      <c r="H36" s="213">
        <f>[3]SB1!GY36</f>
        <v>4</v>
      </c>
      <c r="I36" s="211" t="str">
        <f>[3]SB1!AY36</f>
        <v>1802438/2019/PTN-KĐ</v>
      </c>
      <c r="J36" s="214">
        <f>[3]SB1!HK36</f>
        <v>43497</v>
      </c>
      <c r="K36" s="214">
        <f>[3]SB1!GR36</f>
        <v>43489</v>
      </c>
      <c r="L36" s="215" t="str">
        <f>IF(H36=1,[3]SB1!HR36,IF(H36=2,[3]SB1!HR36&amp;"/"&amp;[3]SB2!HM36,IF(H36=3,[3]SB1!HR36&amp;"/"&amp;[3]SB2!HM36&amp;"/"&amp;[3]SB3!HM36,IF(H36=4,[3]SB1!HR36&amp;"/"&amp;[3]SB2!HM36&amp;"/"&amp;[3]SB3!HM36&amp;"/"&amp;[3]SB4!HM36,IF(H36=5,[3]SB1!HR36&amp;"/"&amp;[3]SB2!HM36&amp;"/"&amp;[3]SB3!HM36&amp;"/"&amp;[3]SB4!HM36&amp;"/"&amp;[3]SB5!HM36,[3]SB1!HR36&amp;"/"&amp;[3]SB2!HM36&amp;"/"&amp;[3]SB3!HM36&amp;"/"&amp;[3]SB4!HM36&amp;"/"&amp;[3]SB5!HM36&amp;"/"&amp;[3]SB6!HM36)))))</f>
        <v>TẬP ĐOÀN CÔNG NGHIỆP - VIỄN THÔNG QUÂN ĐỘI/TẬP ĐOÀN CÔNG NGHIỆP - VIỄN THÔNG QUÂN ĐỘI/TẬP ĐOÀN CÔNG NGHIỆP - VIỄN THÔNG QUÂN ĐỘI/TẬP ĐOÀN CÔNG NGHIỆP - VIỄN THÔNG QUÂN ĐỘI</v>
      </c>
      <c r="M36" s="216" t="str">
        <f>IF(H36=1,[3]SB1!C36,IF(H36=2,[3]SB1!C36&amp;";"&amp;[3]SB2!C36,IF(H36=3,[3]SB1!C36&amp;";"&amp;[3]SB2!C36&amp;";"&amp;[3]SB3!C36,IF(H36=4,[3]SB1!C36&amp;";"&amp;[3]SB2!C36&amp;";"&amp;[3]SB3!C36&amp;";"&amp;[3]SB4!C36,IF(H36=5,[3]SB1!C36&amp;";"&amp;[3]SB2!C36&amp;";"&amp;[3]SB3!C36&amp;";"&amp;[3]SB4!C36&amp;";"&amp;[3]SB5!C36,[3]SB1!C36&amp;";"&amp;[3]SB2!C36&amp;";"&amp;[3]SB3!C36&amp;";"&amp;[3]SB4!C36&amp;";"&amp;[3]SB5!C36&amp;";"&amp;[3]SB6!C36)))))</f>
        <v>STG0369;STG0369;STG0369;STG0369</v>
      </c>
      <c r="N36" s="216" t="str">
        <f>IF(H36=1,[3]SB1!K36,IF(H36=2,[3]SB1!K36&amp;";"&amp;[3]SB2!K36,IF(H36=3,[3]SB1!K36&amp;";"&amp;[3]SB2!K36&amp;";"&amp;[3]SB3!K36,IF(H36=4,[3]SB1!K36&amp;";"&amp;[3]SB2!K36&amp;";"&amp;[3]SB3!K36&amp;";"&amp;[3]SB4!K36,IF(H36=5,[3]SB1!K36&amp;";"&amp;[3]SB2!K36&amp;";"&amp;[3]SB3!K36&amp;";"&amp;[3]SB4!K36&amp;";"&amp;[3]SB5!K36,[3]SB1!K36&amp;";"&amp;[3]SB2!K36&amp;";"&amp;[3]SB3!K36&amp;";"&amp;[3]SB4!K36&amp;";"&amp;[3]SB5!K36&amp;";"&amp;[3]SB6!K36)))))</f>
        <v>NOKIA Flexi EDGE BTS;NOKIA Flexi EDGE BTS;NOKIA Flexi WCDMA BTS;NSN FLEXI MULTIRADIO AIRSCALE</v>
      </c>
      <c r="O36" s="212">
        <f>[3]SB1!P36+[3]SB2!P36+[3]SB3!P36+[3]SB4!P36+[3]SB5!P36+[3]SB6!P36</f>
        <v>12</v>
      </c>
      <c r="P36" s="216" t="str">
        <f>IF(H36=1,[3]SB1!Q36,IF(H36=2,[3]SB1!Q36&amp;";"&amp;[3]SB2!Q36,IF(H36=3,[3]SB1!Q36&amp;";"&amp;[3]SB2!Q36&amp;";"&amp;[3]SB3!Q36,IF(H36=4,[3]SB1!Q36&amp;";"&amp;[3]SB2!Q36&amp;";"&amp;[3]SB3!Q36&amp;";"&amp;[3]SB4!Q36,IF(H36=5,[3]SB1!Q36&amp;";"&amp;[3]SB2!Q36&amp;";"&amp;[3]SB3!Q36&amp;";"&amp;[3]SB4!Q36&amp;";"&amp;[3]SB5!Q36,[3]SB1!Q36&amp;";"&amp;[3]SB2!Q36&amp;";"&amp;[3]SB3!Q36&amp;";"&amp;[3]SB4!Q36&amp;";"&amp;[3]SB5!Q36&amp;";"&amp;[3]SB6!Q36)))))</f>
        <v>4/4/4;4/4/4;2/2/2;1/1/1</v>
      </c>
      <c r="Q36" s="216" t="str">
        <f>IF(H36=1,[3]SB1!HS36,IF(H36=2,[3]SB1!HS36&amp;";"&amp;[3]SB2!HN36,IF(H36=3,[3]SB1!HS36&amp;";"&amp;[3]SB2!HN36&amp;";"&amp;[3]SB3!HN36,IF(H36=4,[3]SB1!HS36&amp;";"&amp;[3]SB2!HN36&amp;";"&amp;[3]SB3!HN36&amp;";"&amp;[3]SB4!HN36,IF(H36=5,[3]SB1!HS36&amp;";"&amp;[3]SB2!HN36&amp;";"&amp;[3]SB3!HN36&amp;";"&amp;[3]SB4!HN36&amp;";"&amp;[3]SB5!HN36,[3]SB1!HS36&amp;";"&amp;[3]SB2!HN36&amp;";"&amp;[3]SB3!HN36&amp;";"&amp;[3]SB4!HN36&amp;";"&amp;[3]SB5!HN36&amp;";"&amp;[3]SB6!HN36)))))</f>
        <v>37,24W/37,24W/37,24W;37,24W/37,24W/37,24W;40W/40W/40W;40W/40W/40W</v>
      </c>
      <c r="R36" s="216" t="str">
        <f>IF(H36=1,[3]SB1!H36,IF(H36=2,[3]SB1!H36&amp;"/"&amp;[3]SB2!H36,IF(H36=3,[3]SB1!H36&amp;"/"&amp;[3]SB2!H36&amp;"/"&amp;[3]SB3!H36,IF(H36=4,[3]SB1!H36&amp;"/"&amp;[3]SB2!H36&amp;"/"&amp;[3]SB3!H36&amp;"/"&amp;[3]SB4!H36,IF(H36=5,[3]SB1!H36&amp;"/"&amp;[3]SB2!H36&amp;"/"&amp;[3]SB3!H36&amp;"/"&amp;[3]SB4!H36&amp;"/"&amp;[3]SB5!H36,[3]SB1!H36&amp;"/"&amp;[3]SB2!H36&amp;"/"&amp;[3]SB3!H36&amp;"/"&amp;[3]SB4!H36&amp;"/"&amp;[3]SB5!H36&amp;"/"&amp;[3]SB6!H36)))))</f>
        <v>G900/G1800/U2100/L1800</v>
      </c>
      <c r="S36" s="216" t="str">
        <f>IF(H36=1,[3]SB1!HT36,IF(H36=2,[3]SB1!HT36&amp;";"&amp;[3]SB2!HO36,IF(H36=3,[3]SB1!HT36&amp;";"&amp;[3]SB2!HO36&amp;";"&amp;[3]SB3!HO36,IF(H36=4,[3]SB1!HT36&amp;";"&amp;[3]SB2!HO36&amp;";"&amp;[3]SB3!HO36&amp;";"&amp;[3]SB4!HO36,IF(H36=5,[3]SB1!HT36&amp;";"&amp;[3]SB2!HO36&amp;";"&amp;[3]SB3!HO36&amp;";"&amp;[3]SB4!HO36&amp;";"&amp;[3]SB5!HO36,[3]SB1!HT36&amp;";"&amp;[3]SB2!HO36&amp;";"&amp;[3]SB3!HO36&amp;";"&amp;[3]SB4!HO36&amp;";"&amp;[3]SB5!HO36&amp;";"&amp;[3]SB6!HO36)))))</f>
        <v>26,5m/ 26,5m/ 26,5m;25,5m/ 25,5m/ 25,5m;27,5m/ 27,5m/ 27,5m;27,5m/ 27,5m/ 27,5m</v>
      </c>
      <c r="T36" s="215">
        <f>[3]SB1!GU36</f>
        <v>2</v>
      </c>
      <c r="U36" s="215" t="str">
        <f>IF(H36=1,[3]SB1!AS36,IF(H36=2,[3]SB1!AS36&amp;";"&amp;[3]SB2!AS36,IF(H36=3,[3]SB1!AS36&amp;";"&amp;[3]SB2!AS36&amp;";"&amp;[3]SB3!AS36,IF(H36=4,[3]SB1!AS36&amp;";"&amp;[3]SB2!AS36&amp;";"&amp;[3]SB3!AS36&amp;";"&amp;[3]SB4!AS36,IF(H36=5,[3]SB1!AS36&amp;";"&amp;[3]SB2!AS36&amp;";"&amp;[3]SB3!AS36&amp;";"&amp;[3]SB4!AS36&amp;";"&amp;[3]SB5!AS36,[3]SB1!AS36&amp;";"&amp;[3]SB2!AS36&amp;";"&amp;[3]SB3!AS36&amp;";"&amp;[3]SB4!AS36&amp;";"&amp;[3]SB5!AS36&amp;";"&amp;[3]SB6!AS36)))))</f>
        <v>Kathrein 739636;Kathrein 736018;Kathrein 742215;Commscope HWXX-6516DS2-A2M</v>
      </c>
      <c r="V36" s="213" t="str">
        <f>IF([3]Source!AEE36="Yes","Có","Không")</f>
        <v>Có</v>
      </c>
      <c r="W36" s="213" t="str">
        <f>IF([3]Source!AEF36="Yes","Có","Không")</f>
        <v>Không</v>
      </c>
      <c r="X36" s="213" t="str">
        <f>[3]Source!AEG36</f>
        <v/>
      </c>
      <c r="Y36" s="213" t="str">
        <f>IF([3]Source!AEH36="Yes","Có","Không")</f>
        <v>Có</v>
      </c>
      <c r="Z36" s="217">
        <f>[3]Source!AEI36</f>
        <v>4.5</v>
      </c>
      <c r="AA36" s="217" t="str">
        <f>IF([3]SB1!WBZ36="","",IF([3]SB1!WBZ36=0,"Có","Không"))</f>
        <v/>
      </c>
      <c r="AB36" s="217" t="str">
        <f>IF([3]Source!ADX36="Yes","Có","Không")</f>
        <v>Không</v>
      </c>
      <c r="AC36" s="217">
        <f>MIN([3]SB1!AH36,[3]SB2!AH36,[3]SB3!AH36,[3]SB4!AH36,[3]SB5!AH36,[3]SB6!AH36)+[3]SB1!AG36</f>
        <v>25.5</v>
      </c>
      <c r="AD36" s="217" t="str">
        <f>IF([3]SB1!HQ36="","",[3]SB1!HQ36)</f>
        <v>21</v>
      </c>
      <c r="AE36" s="218" t="str">
        <f>IF([3]SB1!HV36="","",[3]SB1!HV36)</f>
        <v/>
      </c>
    </row>
    <row r="37" spans="1:31" s="219" customFormat="1">
      <c r="A37" s="211" t="str">
        <f>[3]SB1!HM37</f>
        <v>Viettel Sóc Trăng - Chi nhánh Tập đoàn Công nghiệp - Viễn Thông Quân Đội</v>
      </c>
      <c r="B37" s="212">
        <f>[3]Source!A37</f>
        <v>34</v>
      </c>
      <c r="C37" s="212">
        <f>[3]SB1!GZ37</f>
        <v>761</v>
      </c>
      <c r="D37" s="213" t="str">
        <f>[3]SB1!GX37</f>
        <v>Ấp Ngãi Hội 2, thị trấn Đại Ngãi, huyện Long Phú, tỉnh Sóc Trăng.</v>
      </c>
      <c r="E37" s="211" t="str">
        <f>[3]SB1!GV37</f>
        <v>Sóc Trăng</v>
      </c>
      <c r="F37" s="211" t="str">
        <f>MID([3]SB1!GS37,1,FIND(";",[3]SB1!GS37,1)-1)</f>
        <v>106,07416</v>
      </c>
      <c r="G37" s="211" t="str">
        <f>RIGHT([3]SB1!GS37,LEN([3]SB1!GS37)-LEN(F37)-1)</f>
        <v>9,73033</v>
      </c>
      <c r="H37" s="213">
        <f>[3]SB1!GY37</f>
        <v>3</v>
      </c>
      <c r="I37" s="211" t="str">
        <f>[3]SB1!AY37</f>
        <v>1802439/2019/PTN-KĐ</v>
      </c>
      <c r="J37" s="214">
        <f>[3]SB1!HK37</f>
        <v>43497</v>
      </c>
      <c r="K37" s="214">
        <f>[3]SB1!GR37</f>
        <v>43489</v>
      </c>
      <c r="L37" s="215" t="str">
        <f>IF(H37=1,[3]SB1!HR37,IF(H37=2,[3]SB1!HR37&amp;"/"&amp;[3]SB2!HM37,IF(H37=3,[3]SB1!HR37&amp;"/"&amp;[3]SB2!HM37&amp;"/"&amp;[3]SB3!HM37,IF(H37=4,[3]SB1!HR37&amp;"/"&amp;[3]SB2!HM37&amp;"/"&amp;[3]SB3!HM37&amp;"/"&amp;[3]SB4!HM37,IF(H37=5,[3]SB1!HR37&amp;"/"&amp;[3]SB2!HM37&amp;"/"&amp;[3]SB3!HM37&amp;"/"&amp;[3]SB4!HM37&amp;"/"&amp;[3]SB5!HM37,[3]SB1!HR37&amp;"/"&amp;[3]SB2!HM37&amp;"/"&amp;[3]SB3!HM37&amp;"/"&amp;[3]SB4!HM37&amp;"/"&amp;[3]SB5!HM37&amp;"/"&amp;[3]SB6!HM37)))))</f>
        <v>TẬP ĐOÀN CÔNG NGHIỆP - VIỄN THÔNG QUÂN ĐỘI/TẬP ĐOÀN CÔNG NGHIỆP - VIỄN THÔNG QUÂN ĐỘI/TẬP ĐOÀN CÔNG NGHIỆP - VIỄN THÔNG QUÂN ĐỘI</v>
      </c>
      <c r="M37" s="216" t="str">
        <f>IF(H37=1,[3]SB1!C37,IF(H37=2,[3]SB1!C37&amp;";"&amp;[3]SB2!C37,IF(H37=3,[3]SB1!C37&amp;";"&amp;[3]SB2!C37&amp;";"&amp;[3]SB3!C37,IF(H37=4,[3]SB1!C37&amp;";"&amp;[3]SB2!C37&amp;";"&amp;[3]SB3!C37&amp;";"&amp;[3]SB4!C37,IF(H37=5,[3]SB1!C37&amp;";"&amp;[3]SB2!C37&amp;";"&amp;[3]SB3!C37&amp;";"&amp;[3]SB4!C37&amp;";"&amp;[3]SB5!C37,[3]SB1!C37&amp;";"&amp;[3]SB2!C37&amp;";"&amp;[3]SB3!C37&amp;";"&amp;[3]SB4!C37&amp;";"&amp;[3]SB5!C37&amp;";"&amp;[3]SB6!C37)))))</f>
        <v>STG0521;STG0521;STG0521</v>
      </c>
      <c r="N37" s="216" t="str">
        <f>IF(H37=1,[3]SB1!K37,IF(H37=2,[3]SB1!K37&amp;";"&amp;[3]SB2!K37,IF(H37=3,[3]SB1!K37&amp;";"&amp;[3]SB2!K37&amp;";"&amp;[3]SB3!K37,IF(H37=4,[3]SB1!K37&amp;";"&amp;[3]SB2!K37&amp;";"&amp;[3]SB3!K37&amp;";"&amp;[3]SB4!K37,IF(H37=5,[3]SB1!K37&amp;";"&amp;[3]SB2!K37&amp;";"&amp;[3]SB3!K37&amp;";"&amp;[3]SB4!K37&amp;";"&amp;[3]SB5!K37,[3]SB1!K37&amp;";"&amp;[3]SB2!K37&amp;";"&amp;[3]SB3!K37&amp;";"&amp;[3]SB4!K37&amp;";"&amp;[3]SB5!K37&amp;";"&amp;[3]SB6!K37)))))</f>
        <v>NOKIA Flexi EDGE BTS;NOKIA Flexi WCDMA BTS;NSN FLEXI MULTIRADIO AIRSCALE</v>
      </c>
      <c r="O37" s="212">
        <f>[3]SB1!P37+[3]SB2!P37+[3]SB3!P37+[3]SB4!P37+[3]SB5!P37+[3]SB6!P37</f>
        <v>9</v>
      </c>
      <c r="P37" s="216" t="str">
        <f>IF(H37=1,[3]SB1!Q37,IF(H37=2,[3]SB1!Q37&amp;";"&amp;[3]SB2!Q37,IF(H37=3,[3]SB1!Q37&amp;";"&amp;[3]SB2!Q37&amp;";"&amp;[3]SB3!Q37,IF(H37=4,[3]SB1!Q37&amp;";"&amp;[3]SB2!Q37&amp;";"&amp;[3]SB3!Q37&amp;";"&amp;[3]SB4!Q37,IF(H37=5,[3]SB1!Q37&amp;";"&amp;[3]SB2!Q37&amp;";"&amp;[3]SB3!Q37&amp;";"&amp;[3]SB4!Q37&amp;";"&amp;[3]SB5!Q37,[3]SB1!Q37&amp;";"&amp;[3]SB2!Q37&amp;";"&amp;[3]SB3!Q37&amp;";"&amp;[3]SB4!Q37&amp;";"&amp;[3]SB5!Q37&amp;";"&amp;[3]SB6!Q37)))))</f>
        <v>4/4/4;2/2/2;1/1/1</v>
      </c>
      <c r="Q37" s="216" t="str">
        <f>IF(H37=1,[3]SB1!HS37,IF(H37=2,[3]SB1!HS37&amp;";"&amp;[3]SB2!HN37,IF(H37=3,[3]SB1!HS37&amp;";"&amp;[3]SB2!HN37&amp;";"&amp;[3]SB3!HN37,IF(H37=4,[3]SB1!HS37&amp;";"&amp;[3]SB2!HN37&amp;";"&amp;[3]SB3!HN37&amp;";"&amp;[3]SB4!HN37,IF(H37=5,[3]SB1!HS37&amp;";"&amp;[3]SB2!HN37&amp;";"&amp;[3]SB3!HN37&amp;";"&amp;[3]SB4!HN37&amp;";"&amp;[3]SB5!HN37,[3]SB1!HS37&amp;";"&amp;[3]SB2!HN37&amp;";"&amp;[3]SB3!HN37&amp;";"&amp;[3]SB4!HN37&amp;";"&amp;[3]SB5!HN37&amp;";"&amp;[3]SB6!HN37)))))</f>
        <v>37,24W/37,24W/37,24W;40W/40W/40W;40W/40W/40W</v>
      </c>
      <c r="R37" s="216" t="str">
        <f>IF(H37=1,[3]SB1!H37,IF(H37=2,[3]SB1!H37&amp;"/"&amp;[3]SB2!H37,IF(H37=3,[3]SB1!H37&amp;"/"&amp;[3]SB2!H37&amp;"/"&amp;[3]SB3!H37,IF(H37=4,[3]SB1!H37&amp;"/"&amp;[3]SB2!H37&amp;"/"&amp;[3]SB3!H37&amp;"/"&amp;[3]SB4!H37,IF(H37=5,[3]SB1!H37&amp;"/"&amp;[3]SB2!H37&amp;"/"&amp;[3]SB3!H37&amp;"/"&amp;[3]SB4!H37&amp;"/"&amp;[3]SB5!H37,[3]SB1!H37&amp;"/"&amp;[3]SB2!H37&amp;"/"&amp;[3]SB3!H37&amp;"/"&amp;[3]SB4!H37&amp;"/"&amp;[3]SB5!H37&amp;"/"&amp;[3]SB6!H37)))))</f>
        <v>G900/U2100/L1800</v>
      </c>
      <c r="S37" s="216" t="str">
        <f>IF(H37=1,[3]SB1!HT37,IF(H37=2,[3]SB1!HT37&amp;";"&amp;[3]SB2!HO37,IF(H37=3,[3]SB1!HT37&amp;";"&amp;[3]SB2!HO37&amp;";"&amp;[3]SB3!HO37,IF(H37=4,[3]SB1!HT37&amp;";"&amp;[3]SB2!HO37&amp;";"&amp;[3]SB3!HO37&amp;";"&amp;[3]SB4!HO37,IF(H37=5,[3]SB1!HT37&amp;";"&amp;[3]SB2!HO37&amp;";"&amp;[3]SB3!HO37&amp;";"&amp;[3]SB4!HO37&amp;";"&amp;[3]SB5!HO37,[3]SB1!HT37&amp;";"&amp;[3]SB2!HO37&amp;";"&amp;[3]SB3!HO37&amp;";"&amp;[3]SB4!HO37&amp;";"&amp;[3]SB5!HO37&amp;";"&amp;[3]SB6!HO37)))))</f>
        <v>22,5m/ 22,5m/ 22,5m;27,5m/ 27,5m/ 27,5m;27,5m/ 27,5m/ 27,5m</v>
      </c>
      <c r="T37" s="215">
        <f>[3]SB1!GU37</f>
        <v>1</v>
      </c>
      <c r="U37" s="215" t="str">
        <f>IF(H37=1,[3]SB1!AS37,IF(H37=2,[3]SB1!AS37&amp;";"&amp;[3]SB2!AS37,IF(H37=3,[3]SB1!AS37&amp;";"&amp;[3]SB2!AS37&amp;";"&amp;[3]SB3!AS37,IF(H37=4,[3]SB1!AS37&amp;";"&amp;[3]SB2!AS37&amp;";"&amp;[3]SB3!AS37&amp;";"&amp;[3]SB4!AS37,IF(H37=5,[3]SB1!AS37&amp;";"&amp;[3]SB2!AS37&amp;";"&amp;[3]SB3!AS37&amp;";"&amp;[3]SB4!AS37&amp;";"&amp;[3]SB5!AS37,[3]SB1!AS37&amp;";"&amp;[3]SB2!AS37&amp;";"&amp;[3]SB3!AS37&amp;";"&amp;[3]SB4!AS37&amp;";"&amp;[3]SB5!AS37&amp;";"&amp;[3]SB6!AS37)))))</f>
        <v>Kathrein 739636;Kathrein 742215;Commscope HWXX-6516DS2-A2M</v>
      </c>
      <c r="V37" s="213" t="str">
        <f>IF([3]Source!AEE37="Yes","Có","Không")</f>
        <v>Có</v>
      </c>
      <c r="W37" s="213" t="str">
        <f>IF([3]Source!AEF37="Yes","Có","Không")</f>
        <v>Không</v>
      </c>
      <c r="X37" s="213" t="str">
        <f>[3]Source!AEG37</f>
        <v/>
      </c>
      <c r="Y37" s="213" t="str">
        <f>IF([3]Source!AEH37="Yes","Có","Không")</f>
        <v>Có</v>
      </c>
      <c r="Z37" s="217">
        <f>[3]Source!AEI37</f>
        <v>8.5</v>
      </c>
      <c r="AA37" s="217" t="str">
        <f>IF([3]SB1!WBZ37="","",IF([3]SB1!WBZ37=0,"Có","Không"))</f>
        <v/>
      </c>
      <c r="AB37" s="217" t="str">
        <f>IF([3]Source!ADX37="Yes","Có","Không")</f>
        <v>Không</v>
      </c>
      <c r="AC37" s="217">
        <f>MIN([3]SB1!AH37,[3]SB2!AH37,[3]SB3!AH37,[3]SB4!AH37,[3]SB5!AH37,[3]SB6!AH37)+[3]SB1!AG37</f>
        <v>22.5</v>
      </c>
      <c r="AD37" s="217" t="str">
        <f>IF([3]SB1!HQ37="","",[3]SB1!HQ37)</f>
        <v>14</v>
      </c>
      <c r="AE37" s="218" t="str">
        <f>IF([3]SB1!HV37="","",[3]SB1!HV37)</f>
        <v/>
      </c>
    </row>
    <row r="38" spans="1:31" s="219" customFormat="1">
      <c r="A38" s="211" t="str">
        <f>[3]SB1!HM38</f>
        <v>Viettel Sóc Trăng - Chi nhánh Tập đoàn Công nghiệp - Viễn Thông Quân Đội</v>
      </c>
      <c r="B38" s="212">
        <f>[3]Source!A38</f>
        <v>35</v>
      </c>
      <c r="C38" s="212">
        <f>[3]SB1!GZ38</f>
        <v>761</v>
      </c>
      <c r="D38" s="213" t="str">
        <f>[3]SB1!GX38</f>
        <v>Đường Đoàn Thế Trung, ấp Chợ, thị trấn Cù Lao Dung, huyện Cù Lao Dung, tỉnh Sóc Trăng.</v>
      </c>
      <c r="E38" s="211" t="str">
        <f>[3]SB1!GV38</f>
        <v>Sóc Trăng</v>
      </c>
      <c r="F38" s="211" t="str">
        <f>MID([3]SB1!GS38,1,FIND(";",[3]SB1!GS38,1)-1)</f>
        <v>106,15624</v>
      </c>
      <c r="G38" s="211" t="str">
        <f>RIGHT([3]SB1!GS38,LEN([3]SB1!GS38)-LEN(F38)-1)</f>
        <v>9,66987</v>
      </c>
      <c r="H38" s="213">
        <f>[3]SB1!GY38</f>
        <v>3</v>
      </c>
      <c r="I38" s="211" t="str">
        <f>[3]SB1!AY38</f>
        <v>1802440/2019/PTN-KĐ</v>
      </c>
      <c r="J38" s="214">
        <f>[3]SB1!HK38</f>
        <v>43497</v>
      </c>
      <c r="K38" s="214">
        <f>[3]SB1!GR38</f>
        <v>43490</v>
      </c>
      <c r="L38" s="215" t="str">
        <f>IF(H38=1,[3]SB1!HR38,IF(H38=2,[3]SB1!HR38&amp;"/"&amp;[3]SB2!HM38,IF(H38=3,[3]SB1!HR38&amp;"/"&amp;[3]SB2!HM38&amp;"/"&amp;[3]SB3!HM38,IF(H38=4,[3]SB1!HR38&amp;"/"&amp;[3]SB2!HM38&amp;"/"&amp;[3]SB3!HM38&amp;"/"&amp;[3]SB4!HM38,IF(H38=5,[3]SB1!HR38&amp;"/"&amp;[3]SB2!HM38&amp;"/"&amp;[3]SB3!HM38&amp;"/"&amp;[3]SB4!HM38&amp;"/"&amp;[3]SB5!HM38,[3]SB1!HR38&amp;"/"&amp;[3]SB2!HM38&amp;"/"&amp;[3]SB3!HM38&amp;"/"&amp;[3]SB4!HM38&amp;"/"&amp;[3]SB5!HM38&amp;"/"&amp;[3]SB6!HM38)))))</f>
        <v>TẬP ĐOÀN CÔNG NGHIỆP - VIỄN THÔNG QUÂN ĐỘI/TẬP ĐOÀN CÔNG NGHIỆP - VIỄN THÔNG QUÂN ĐỘI/TẬP ĐOÀN CÔNG NGHIỆP - VIỄN THÔNG QUÂN ĐỘI</v>
      </c>
      <c r="M38" s="216" t="str">
        <f>IF(H38=1,[3]SB1!C38,IF(H38=2,[3]SB1!C38&amp;";"&amp;[3]SB2!C38,IF(H38=3,[3]SB1!C38&amp;";"&amp;[3]SB2!C38&amp;";"&amp;[3]SB3!C38,IF(H38=4,[3]SB1!C38&amp;";"&amp;[3]SB2!C38&amp;";"&amp;[3]SB3!C38&amp;";"&amp;[3]SB4!C38,IF(H38=5,[3]SB1!C38&amp;";"&amp;[3]SB2!C38&amp;";"&amp;[3]SB3!C38&amp;";"&amp;[3]SB4!C38&amp;";"&amp;[3]SB5!C38,[3]SB1!C38&amp;";"&amp;[3]SB2!C38&amp;";"&amp;[3]SB3!C38&amp;";"&amp;[3]SB4!C38&amp;";"&amp;[3]SB5!C38&amp;";"&amp;[3]SB6!C38)))))</f>
        <v>STG0530;STG0530;STG0530</v>
      </c>
      <c r="N38" s="216" t="str">
        <f>IF(H38=1,[3]SB1!K38,IF(H38=2,[3]SB1!K38&amp;";"&amp;[3]SB2!K38,IF(H38=3,[3]SB1!K38&amp;";"&amp;[3]SB2!K38&amp;";"&amp;[3]SB3!K38,IF(H38=4,[3]SB1!K38&amp;";"&amp;[3]SB2!K38&amp;";"&amp;[3]SB3!K38&amp;";"&amp;[3]SB4!K38,IF(H38=5,[3]SB1!K38&amp;";"&amp;[3]SB2!K38&amp;";"&amp;[3]SB3!K38&amp;";"&amp;[3]SB4!K38&amp;";"&amp;[3]SB5!K38,[3]SB1!K38&amp;";"&amp;[3]SB2!K38&amp;";"&amp;[3]SB3!K38&amp;";"&amp;[3]SB4!K38&amp;";"&amp;[3]SB5!K38&amp;";"&amp;[3]SB6!K38)))))</f>
        <v>NOKIA Flexi EDGE BTS;NOKIA Flexi WCDMA BTS;NSN FLEXI MULTIRADIO AIRSCALE</v>
      </c>
      <c r="O38" s="212">
        <f>[3]SB1!P38+[3]SB2!P38+[3]SB3!P38+[3]SB4!P38+[3]SB5!P38+[3]SB6!P38</f>
        <v>10</v>
      </c>
      <c r="P38" s="216" t="str">
        <f>IF(H38=1,[3]SB1!Q38,IF(H38=2,[3]SB1!Q38&amp;";"&amp;[3]SB2!Q38,IF(H38=3,[3]SB1!Q38&amp;";"&amp;[3]SB2!Q38&amp;";"&amp;[3]SB3!Q38,IF(H38=4,[3]SB1!Q38&amp;";"&amp;[3]SB2!Q38&amp;";"&amp;[3]SB3!Q38&amp;";"&amp;[3]SB4!Q38,IF(H38=5,[3]SB1!Q38&amp;";"&amp;[3]SB2!Q38&amp;";"&amp;[3]SB3!Q38&amp;";"&amp;[3]SB4!Q38&amp;";"&amp;[3]SB5!Q38,[3]SB1!Q38&amp;";"&amp;[3]SB2!Q38&amp;";"&amp;[3]SB3!Q38&amp;";"&amp;[3]SB4!Q38&amp;";"&amp;[3]SB5!Q38&amp;";"&amp;[3]SB6!Q38)))))</f>
        <v>4/4/4/4;2/2/2;1/1/1</v>
      </c>
      <c r="Q38" s="216" t="str">
        <f>IF(H38=1,[3]SB1!HS38,IF(H38=2,[3]SB1!HS38&amp;";"&amp;[3]SB2!HN38,IF(H38=3,[3]SB1!HS38&amp;";"&amp;[3]SB2!HN38&amp;";"&amp;[3]SB3!HN38,IF(H38=4,[3]SB1!HS38&amp;";"&amp;[3]SB2!HN38&amp;";"&amp;[3]SB3!HN38&amp;";"&amp;[3]SB4!HN38,IF(H38=5,[3]SB1!HS38&amp;";"&amp;[3]SB2!HN38&amp;";"&amp;[3]SB3!HN38&amp;";"&amp;[3]SB4!HN38&amp;";"&amp;[3]SB5!HN38,[3]SB1!HS38&amp;";"&amp;[3]SB2!HN38&amp;";"&amp;[3]SB3!HN38&amp;";"&amp;[3]SB4!HN38&amp;";"&amp;[3]SB5!HN38&amp;";"&amp;[3]SB6!HN38)))))</f>
        <v>37,24W/37,24W/37,24W/37,24W;40W/40W/40W;40W/40W/40W</v>
      </c>
      <c r="R38" s="216" t="str">
        <f>IF(H38=1,[3]SB1!H38,IF(H38=2,[3]SB1!H38&amp;"/"&amp;[3]SB2!H38,IF(H38=3,[3]SB1!H38&amp;"/"&amp;[3]SB2!H38&amp;"/"&amp;[3]SB3!H38,IF(H38=4,[3]SB1!H38&amp;"/"&amp;[3]SB2!H38&amp;"/"&amp;[3]SB3!H38&amp;"/"&amp;[3]SB4!H38,IF(H38=5,[3]SB1!H38&amp;"/"&amp;[3]SB2!H38&amp;"/"&amp;[3]SB3!H38&amp;"/"&amp;[3]SB4!H38&amp;"/"&amp;[3]SB5!H38,[3]SB1!H38&amp;"/"&amp;[3]SB2!H38&amp;"/"&amp;[3]SB3!H38&amp;"/"&amp;[3]SB4!H38&amp;"/"&amp;[3]SB5!H38&amp;"/"&amp;[3]SB6!H38)))))</f>
        <v>G900/U2100/L1800</v>
      </c>
      <c r="S38" s="216" t="str">
        <f>IF(H38=1,[3]SB1!HT38,IF(H38=2,[3]SB1!HT38&amp;";"&amp;[3]SB2!HO38,IF(H38=3,[3]SB1!HT38&amp;";"&amp;[3]SB2!HO38&amp;";"&amp;[3]SB3!HO38,IF(H38=4,[3]SB1!HT38&amp;";"&amp;[3]SB2!HO38&amp;";"&amp;[3]SB3!HO38&amp;";"&amp;[3]SB4!HO38,IF(H38=5,[3]SB1!HT38&amp;";"&amp;[3]SB2!HO38&amp;";"&amp;[3]SB3!HO38&amp;";"&amp;[3]SB4!HO38&amp;";"&amp;[3]SB5!HO38,[3]SB1!HT38&amp;";"&amp;[3]SB2!HO38&amp;";"&amp;[3]SB3!HO38&amp;";"&amp;[3]SB4!HO38&amp;";"&amp;[3]SB5!HO38&amp;";"&amp;[3]SB6!HO38)))))</f>
        <v>36m/ 36m/ 36m/ 36m;40m/ 40m/ 40m;40m/ 40m/ 40m</v>
      </c>
      <c r="T38" s="215">
        <f>[3]SB1!GU38</f>
        <v>1</v>
      </c>
      <c r="U38" s="215" t="str">
        <f>IF(H38=1,[3]SB1!AS38,IF(H38=2,[3]SB1!AS38&amp;";"&amp;[3]SB2!AS38,IF(H38=3,[3]SB1!AS38&amp;";"&amp;[3]SB2!AS38&amp;";"&amp;[3]SB3!AS38,IF(H38=4,[3]SB1!AS38&amp;";"&amp;[3]SB2!AS38&amp;";"&amp;[3]SB3!AS38&amp;";"&amp;[3]SB4!AS38,IF(H38=5,[3]SB1!AS38&amp;";"&amp;[3]SB2!AS38&amp;";"&amp;[3]SB3!AS38&amp;";"&amp;[3]SB4!AS38&amp;";"&amp;[3]SB5!AS38,[3]SB1!AS38&amp;";"&amp;[3]SB2!AS38&amp;";"&amp;[3]SB3!AS38&amp;";"&amp;[3]SB4!AS38&amp;";"&amp;[3]SB5!AS38&amp;";"&amp;[3]SB6!AS38)))))</f>
        <v>Kathrein 739636;Kathrein 742215;Commscope HWXX-6516DS2-A2M</v>
      </c>
      <c r="V38" s="213" t="str">
        <f>IF([3]Source!AEE38="Yes","Có","Không")</f>
        <v>Có</v>
      </c>
      <c r="W38" s="213" t="str">
        <f>IF([3]Source!AEF38="Yes","Có","Không")</f>
        <v>Có</v>
      </c>
      <c r="X38" s="213">
        <f>[3]Source!AEG38</f>
        <v>36</v>
      </c>
      <c r="Y38" s="213" t="str">
        <f>IF([3]Source!AEH38="Yes","Có","Không")</f>
        <v>Có</v>
      </c>
      <c r="Z38" s="217">
        <f>[3]Source!AEI38</f>
        <v>25.5</v>
      </c>
      <c r="AA38" s="217" t="str">
        <f>IF([3]SB1!WBZ38="","",IF([3]SB1!WBZ38=0,"Có","Không"))</f>
        <v/>
      </c>
      <c r="AB38" s="217" t="str">
        <f>IF([3]Source!ADX38="Yes","Có","Không")</f>
        <v>Không</v>
      </c>
      <c r="AC38" s="217">
        <f>MIN([3]SB1!AH38,[3]SB2!AH38,[3]SB3!AH38,[3]SB4!AH38,[3]SB5!AH38,[3]SB6!AH38)+[3]SB1!AG38</f>
        <v>36</v>
      </c>
      <c r="AD38" s="217" t="str">
        <f>IF([3]SB1!HQ38="","",[3]SB1!HQ38)</f>
        <v>10,5</v>
      </c>
      <c r="AE38" s="218" t="str">
        <f>IF([3]SB1!HV38="","",[3]SB1!HV38)</f>
        <v/>
      </c>
    </row>
    <row r="39" spans="1:31" s="219" customFormat="1">
      <c r="A39" s="211" t="str">
        <f>[3]SB1!HM39</f>
        <v>Viettel Sóc Trăng - Chi nhánh Tập đoàn Công nghiệp - Viễn Thông Quân Đội</v>
      </c>
      <c r="B39" s="212">
        <f>[3]Source!A39</f>
        <v>36</v>
      </c>
      <c r="C39" s="212">
        <f>[3]SB1!GZ39</f>
        <v>761</v>
      </c>
      <c r="D39" s="213" t="str">
        <f>[3]SB1!GX39</f>
        <v>Ấp An Nghiệp, xã An Thạnh 3, huyện Cù Lao Dung, tỉnh Sóc Trăng.</v>
      </c>
      <c r="E39" s="211" t="str">
        <f>[3]SB1!GV39</f>
        <v>Sóc Trăng</v>
      </c>
      <c r="F39" s="211" t="str">
        <f>MID([3]SB1!GS39,1,FIND(";",[3]SB1!GS39,1)-1)</f>
        <v>106,24937</v>
      </c>
      <c r="G39" s="211" t="str">
        <f>RIGHT([3]SB1!GS39,LEN([3]SB1!GS39)-LEN(F39)-1)</f>
        <v>9,57340</v>
      </c>
      <c r="H39" s="213">
        <f>[3]SB1!GY39</f>
        <v>4</v>
      </c>
      <c r="I39" s="211" t="str">
        <f>[3]SB1!AY39</f>
        <v>1802441/2019/PTN-KĐ</v>
      </c>
      <c r="J39" s="214">
        <f>[3]SB1!HK39</f>
        <v>43497</v>
      </c>
      <c r="K39" s="214">
        <f>[3]SB1!GR39</f>
        <v>43490</v>
      </c>
      <c r="L39" s="215" t="str">
        <f>IF(H39=1,[3]SB1!HR39,IF(H39=2,[3]SB1!HR39&amp;"/"&amp;[3]SB2!HM39,IF(H39=3,[3]SB1!HR39&amp;"/"&amp;[3]SB2!HM39&amp;"/"&amp;[3]SB3!HM39,IF(H39=4,[3]SB1!HR39&amp;"/"&amp;[3]SB2!HM39&amp;"/"&amp;[3]SB3!HM39&amp;"/"&amp;[3]SB4!HM39,IF(H39=5,[3]SB1!HR39&amp;"/"&amp;[3]SB2!HM39&amp;"/"&amp;[3]SB3!HM39&amp;"/"&amp;[3]SB4!HM39&amp;"/"&amp;[3]SB5!HM39,[3]SB1!HR39&amp;"/"&amp;[3]SB2!HM39&amp;"/"&amp;[3]SB3!HM39&amp;"/"&amp;[3]SB4!HM39&amp;"/"&amp;[3]SB5!HM39&amp;"/"&amp;[3]SB6!HM39)))))</f>
        <v>TẬP ĐOÀN CÔNG NGHIỆP - VIỄN THÔNG QUÂN ĐỘI/TẬP ĐOÀN CÔNG NGHIỆP - VIỄN THÔNG QUÂN ĐỘI/TẬP ĐOÀN CÔNG NGHIỆP - VIỄN THÔNG QUÂN ĐỘI/TẬP ĐOÀN CÔNG NGHIỆP - VIỄN THÔNG QUÂN ĐỘI</v>
      </c>
      <c r="M39" s="216" t="str">
        <f>IF(H39=1,[3]SB1!C39,IF(H39=2,[3]SB1!C39&amp;";"&amp;[3]SB2!C39,IF(H39=3,[3]SB1!C39&amp;";"&amp;[3]SB2!C39&amp;";"&amp;[3]SB3!C39,IF(H39=4,[3]SB1!C39&amp;";"&amp;[3]SB2!C39&amp;";"&amp;[3]SB3!C39&amp;";"&amp;[3]SB4!C39,IF(H39=5,[3]SB1!C39&amp;";"&amp;[3]SB2!C39&amp;";"&amp;[3]SB3!C39&amp;";"&amp;[3]SB4!C39&amp;";"&amp;[3]SB5!C39,[3]SB1!C39&amp;";"&amp;[3]SB2!C39&amp;";"&amp;[3]SB3!C39&amp;";"&amp;[3]SB4!C39&amp;";"&amp;[3]SB5!C39&amp;";"&amp;[3]SB6!C39)))))</f>
        <v>STG0023;STG0023;STG0023;STG0023</v>
      </c>
      <c r="N39" s="216" t="str">
        <f>IF(H39=1,[3]SB1!K39,IF(H39=2,[3]SB1!K39&amp;";"&amp;[3]SB2!K39,IF(H39=3,[3]SB1!K39&amp;";"&amp;[3]SB2!K39&amp;";"&amp;[3]SB3!K39,IF(H39=4,[3]SB1!K39&amp;";"&amp;[3]SB2!K39&amp;";"&amp;[3]SB3!K39&amp;";"&amp;[3]SB4!K39,IF(H39=5,[3]SB1!K39&amp;";"&amp;[3]SB2!K39&amp;";"&amp;[3]SB3!K39&amp;";"&amp;[3]SB4!K39&amp;";"&amp;[3]SB5!K39,[3]SB1!K39&amp;";"&amp;[3]SB2!K39&amp;";"&amp;[3]SB3!K39&amp;";"&amp;[3]SB4!K39&amp;";"&amp;[3]SB5!K39&amp;";"&amp;[3]SB6!K39)))))</f>
        <v>NOKIA Flexi EDGE BTS;NOKIA Flexi EDGE BTS;NOKIA Flexi WCDMA BTS;NSN FLEXI MULTIRADIO AIRSCALE</v>
      </c>
      <c r="O39" s="212">
        <f>[3]SB1!P39+[3]SB2!P39+[3]SB3!P39+[3]SB4!P39+[3]SB5!P39+[3]SB6!P39</f>
        <v>12</v>
      </c>
      <c r="P39" s="216" t="str">
        <f>IF(H39=1,[3]SB1!Q39,IF(H39=2,[3]SB1!Q39&amp;";"&amp;[3]SB2!Q39,IF(H39=3,[3]SB1!Q39&amp;";"&amp;[3]SB2!Q39&amp;";"&amp;[3]SB3!Q39,IF(H39=4,[3]SB1!Q39&amp;";"&amp;[3]SB2!Q39&amp;";"&amp;[3]SB3!Q39&amp;";"&amp;[3]SB4!Q39,IF(H39=5,[3]SB1!Q39&amp;";"&amp;[3]SB2!Q39&amp;";"&amp;[3]SB3!Q39&amp;";"&amp;[3]SB4!Q39&amp;";"&amp;[3]SB5!Q39,[3]SB1!Q39&amp;";"&amp;[3]SB2!Q39&amp;";"&amp;[3]SB3!Q39&amp;";"&amp;[3]SB4!Q39&amp;";"&amp;[3]SB5!Q39&amp;";"&amp;[3]SB6!Q39)))))</f>
        <v>4/4/4;2/2/2;2/2/2;1/1/1</v>
      </c>
      <c r="Q39" s="216" t="str">
        <f>IF(H39=1,[3]SB1!HS39,IF(H39=2,[3]SB1!HS39&amp;";"&amp;[3]SB2!HN39,IF(H39=3,[3]SB1!HS39&amp;";"&amp;[3]SB2!HN39&amp;";"&amp;[3]SB3!HN39,IF(H39=4,[3]SB1!HS39&amp;";"&amp;[3]SB2!HN39&amp;";"&amp;[3]SB3!HN39&amp;";"&amp;[3]SB4!HN39,IF(H39=5,[3]SB1!HS39&amp;";"&amp;[3]SB2!HN39&amp;";"&amp;[3]SB3!HN39&amp;";"&amp;[3]SB4!HN39&amp;";"&amp;[3]SB5!HN39,[3]SB1!HS39&amp;";"&amp;[3]SB2!HN39&amp;";"&amp;[3]SB3!HN39&amp;";"&amp;[3]SB4!HN39&amp;";"&amp;[3]SB5!HN39&amp;";"&amp;[3]SB6!HN39)))))</f>
        <v>37,24W/37,24W/37,24W;41,7W/41,7W/41,7W;40W/40W/40W;40W/40W/40W</v>
      </c>
      <c r="R39" s="216" t="str">
        <f>IF(H39=1,[3]SB1!H39,IF(H39=2,[3]SB1!H39&amp;"/"&amp;[3]SB2!H39,IF(H39=3,[3]SB1!H39&amp;"/"&amp;[3]SB2!H39&amp;"/"&amp;[3]SB3!H39,IF(H39=4,[3]SB1!H39&amp;"/"&amp;[3]SB2!H39&amp;"/"&amp;[3]SB3!H39&amp;"/"&amp;[3]SB4!H39,IF(H39=5,[3]SB1!H39&amp;"/"&amp;[3]SB2!H39&amp;"/"&amp;[3]SB3!H39&amp;"/"&amp;[3]SB4!H39&amp;"/"&amp;[3]SB5!H39,[3]SB1!H39&amp;"/"&amp;[3]SB2!H39&amp;"/"&amp;[3]SB3!H39&amp;"/"&amp;[3]SB4!H39&amp;"/"&amp;[3]SB5!H39&amp;"/"&amp;[3]SB6!H39)))))</f>
        <v>G900/G1800/U2100/L1800</v>
      </c>
      <c r="S39" s="216" t="str">
        <f>IF(H39=1,[3]SB1!HT39,IF(H39=2,[3]SB1!HT39&amp;";"&amp;[3]SB2!HO39,IF(H39=3,[3]SB1!HT39&amp;";"&amp;[3]SB2!HO39&amp;";"&amp;[3]SB3!HO39,IF(H39=4,[3]SB1!HT39&amp;";"&amp;[3]SB2!HO39&amp;";"&amp;[3]SB3!HO39&amp;";"&amp;[3]SB4!HO39,IF(H39=5,[3]SB1!HT39&amp;";"&amp;[3]SB2!HO39&amp;";"&amp;[3]SB3!HO39&amp;";"&amp;[3]SB4!HO39&amp;";"&amp;[3]SB5!HO39,[3]SB1!HT39&amp;";"&amp;[3]SB2!HO39&amp;";"&amp;[3]SB3!HO39&amp;";"&amp;[3]SB4!HO39&amp;";"&amp;[3]SB5!HO39&amp;";"&amp;[3]SB6!HO39)))))</f>
        <v>36m/ 36m/ 36m;29m/ 29m/ 29m;34m/ 34m/ 34m;37m/ 37m/ 37m</v>
      </c>
      <c r="T39" s="215">
        <f>[3]SB1!GU39</f>
        <v>2</v>
      </c>
      <c r="U39" s="215" t="str">
        <f>IF(H39=1,[3]SB1!AS39,IF(H39=2,[3]SB1!AS39&amp;";"&amp;[3]SB2!AS39,IF(H39=3,[3]SB1!AS39&amp;";"&amp;[3]SB2!AS39&amp;";"&amp;[3]SB3!AS39,IF(H39=4,[3]SB1!AS39&amp;";"&amp;[3]SB2!AS39&amp;";"&amp;[3]SB3!AS39&amp;";"&amp;[3]SB4!AS39,IF(H39=5,[3]SB1!AS39&amp;";"&amp;[3]SB2!AS39&amp;";"&amp;[3]SB3!AS39&amp;";"&amp;[3]SB4!AS39&amp;";"&amp;[3]SB5!AS39,[3]SB1!AS39&amp;";"&amp;[3]SB2!AS39&amp;";"&amp;[3]SB3!AS39&amp;";"&amp;[3]SB4!AS39&amp;";"&amp;[3]SB5!AS39&amp;";"&amp;[3]SB6!AS39)))))</f>
        <v>Kathrein 739636;Kathrein 736018;Commscope HWXX-6516DS2-A2M;Commscope HWXX-6516DS2-A2M</v>
      </c>
      <c r="V39" s="213" t="str">
        <f>IF([3]Source!AEE39="Yes","Có","Không")</f>
        <v>Có</v>
      </c>
      <c r="W39" s="213" t="str">
        <f>IF([3]Source!AEF39="Yes","Có","Không")</f>
        <v>Không</v>
      </c>
      <c r="X39" s="213" t="str">
        <f>[3]Source!AEG39</f>
        <v/>
      </c>
      <c r="Y39" s="213" t="str">
        <f>IF([3]Source!AEH39="Yes","Có","Không")</f>
        <v>Có</v>
      </c>
      <c r="Z39" s="217">
        <f>[3]Source!AEI39</f>
        <v>25</v>
      </c>
      <c r="AA39" s="217" t="str">
        <f>IF([3]SB1!WBZ39="","",IF([3]SB1!WBZ39=0,"Có","Không"))</f>
        <v/>
      </c>
      <c r="AB39" s="217" t="str">
        <f>IF([3]Source!ADX39="Yes","Có","Không")</f>
        <v>Không</v>
      </c>
      <c r="AC39" s="217">
        <f>MIN([3]SB1!AH39,[3]SB2!AH39,[3]SB3!AH39,[3]SB4!AH39,[3]SB5!AH39,[3]SB6!AH39)+[3]SB1!AG39</f>
        <v>29</v>
      </c>
      <c r="AD39" s="217" t="str">
        <f>IF([3]SB1!HQ39="","",[3]SB1!HQ39)</f>
        <v>4</v>
      </c>
      <c r="AE39" s="218" t="str">
        <f>IF([3]SB1!HV39="","",[3]SB1!HV39)</f>
        <v/>
      </c>
    </row>
    <row r="40" spans="1:31" s="219" customFormat="1">
      <c r="A40" s="211" t="str">
        <f>[3]SB1!HM40</f>
        <v>Viettel Sóc Trăng - Chi nhánh Tập đoàn Công nghiệp - Viễn Thông Quân Đội</v>
      </c>
      <c r="B40" s="212">
        <f>[3]Source!A40</f>
        <v>37</v>
      </c>
      <c r="C40" s="212">
        <f>[3]SB1!GZ40</f>
        <v>761</v>
      </c>
      <c r="D40" s="213" t="str">
        <f>[3]SB1!GX40</f>
        <v>Ấp An Thường, xã An Thạnh 1, huyện Cù Lao Dung, tỉnh Sóc Trăng.</v>
      </c>
      <c r="E40" s="211" t="str">
        <f>[3]SB1!GV40</f>
        <v>Sóc Trăng</v>
      </c>
      <c r="F40" s="211" t="str">
        <f>MID([3]SB1!GS40,1,FIND(";",[3]SB1!GS40,1)-1)</f>
        <v>106,09315</v>
      </c>
      <c r="G40" s="211" t="str">
        <f>RIGHT([3]SB1!GS40,LEN([3]SB1!GS40)-LEN(F40)-1)</f>
        <v>9,74261</v>
      </c>
      <c r="H40" s="213">
        <f>[3]SB1!GY40</f>
        <v>3</v>
      </c>
      <c r="I40" s="211" t="str">
        <f>[3]SB1!AY40</f>
        <v>1802442/2019/PTN-KĐ</v>
      </c>
      <c r="J40" s="214">
        <f>[3]SB1!HK40</f>
        <v>43497</v>
      </c>
      <c r="K40" s="214">
        <f>[3]SB1!GR40</f>
        <v>43490</v>
      </c>
      <c r="L40" s="215" t="str">
        <f>IF(H40=1,[3]SB1!HR40,IF(H40=2,[3]SB1!HR40&amp;"/"&amp;[3]SB2!HM40,IF(H40=3,[3]SB1!HR40&amp;"/"&amp;[3]SB2!HM40&amp;"/"&amp;[3]SB3!HM40,IF(H40=4,[3]SB1!HR40&amp;"/"&amp;[3]SB2!HM40&amp;"/"&amp;[3]SB3!HM40&amp;"/"&amp;[3]SB4!HM40,IF(H40=5,[3]SB1!HR40&amp;"/"&amp;[3]SB2!HM40&amp;"/"&amp;[3]SB3!HM40&amp;"/"&amp;[3]SB4!HM40&amp;"/"&amp;[3]SB5!HM40,[3]SB1!HR40&amp;"/"&amp;[3]SB2!HM40&amp;"/"&amp;[3]SB3!HM40&amp;"/"&amp;[3]SB4!HM40&amp;"/"&amp;[3]SB5!HM40&amp;"/"&amp;[3]SB6!HM40)))))</f>
        <v>TẬP ĐOÀN CÔNG NGHIỆP - VIỄN THÔNG QUÂN ĐỘI/TẬP ĐOÀN CÔNG NGHIỆP - VIỄN THÔNG QUÂN ĐỘI/TẬP ĐOÀN CÔNG NGHIỆP - VIỄN THÔNG QUÂN ĐỘI</v>
      </c>
      <c r="M40" s="216" t="str">
        <f>IF(H40=1,[3]SB1!C40,IF(H40=2,[3]SB1!C40&amp;";"&amp;[3]SB2!C40,IF(H40=3,[3]SB1!C40&amp;";"&amp;[3]SB2!C40&amp;";"&amp;[3]SB3!C40,IF(H40=4,[3]SB1!C40&amp;";"&amp;[3]SB2!C40&amp;";"&amp;[3]SB3!C40&amp;";"&amp;[3]SB4!C40,IF(H40=5,[3]SB1!C40&amp;";"&amp;[3]SB2!C40&amp;";"&amp;[3]SB3!C40&amp;";"&amp;[3]SB4!C40&amp;";"&amp;[3]SB5!C40,[3]SB1!C40&amp;";"&amp;[3]SB2!C40&amp;";"&amp;[3]SB3!C40&amp;";"&amp;[3]SB4!C40&amp;";"&amp;[3]SB5!C40&amp;";"&amp;[3]SB6!C40)))))</f>
        <v>STG0133;STG0133;STG0133</v>
      </c>
      <c r="N40" s="216" t="str">
        <f>IF(H40=1,[3]SB1!K40,IF(H40=2,[3]SB1!K40&amp;";"&amp;[3]SB2!K40,IF(H40=3,[3]SB1!K40&amp;";"&amp;[3]SB2!K40&amp;";"&amp;[3]SB3!K40,IF(H40=4,[3]SB1!K40&amp;";"&amp;[3]SB2!K40&amp;";"&amp;[3]SB3!K40&amp;";"&amp;[3]SB4!K40,IF(H40=5,[3]SB1!K40&amp;";"&amp;[3]SB2!K40&amp;";"&amp;[3]SB3!K40&amp;";"&amp;[3]SB4!K40&amp;";"&amp;[3]SB5!K40,[3]SB1!K40&amp;";"&amp;[3]SB2!K40&amp;";"&amp;[3]SB3!K40&amp;";"&amp;[3]SB4!K40&amp;";"&amp;[3]SB5!K40&amp;";"&amp;[3]SB6!K40)))))</f>
        <v>NOKIA Flexi EDGE BTS;NOKIA Flexi WCDMA BTS;NSN FLEXI MULTIRADIO AIRSCALE</v>
      </c>
      <c r="O40" s="212">
        <f>[3]SB1!P40+[3]SB2!P40+[3]SB3!P40+[3]SB4!P40+[3]SB5!P40+[3]SB6!P40</f>
        <v>10</v>
      </c>
      <c r="P40" s="216" t="str">
        <f>IF(H40=1,[3]SB1!Q40,IF(H40=2,[3]SB1!Q40&amp;";"&amp;[3]SB2!Q40,IF(H40=3,[3]SB1!Q40&amp;";"&amp;[3]SB2!Q40&amp;";"&amp;[3]SB3!Q40,IF(H40=4,[3]SB1!Q40&amp;";"&amp;[3]SB2!Q40&amp;";"&amp;[3]SB3!Q40&amp;";"&amp;[3]SB4!Q40,IF(H40=5,[3]SB1!Q40&amp;";"&amp;[3]SB2!Q40&amp;";"&amp;[3]SB3!Q40&amp;";"&amp;[3]SB4!Q40&amp;";"&amp;[3]SB5!Q40,[3]SB1!Q40&amp;";"&amp;[3]SB2!Q40&amp;";"&amp;[3]SB3!Q40&amp;";"&amp;[3]SB4!Q40&amp;";"&amp;[3]SB5!Q40&amp;";"&amp;[3]SB6!Q40)))))</f>
        <v>4/4/2/4;2/2/2;1/1/1</v>
      </c>
      <c r="Q40" s="216" t="str">
        <f>IF(H40=1,[3]SB1!HS40,IF(H40=2,[3]SB1!HS40&amp;";"&amp;[3]SB2!HN40,IF(H40=3,[3]SB1!HS40&amp;";"&amp;[3]SB2!HN40&amp;";"&amp;[3]SB3!HN40,IF(H40=4,[3]SB1!HS40&amp;";"&amp;[3]SB2!HN40&amp;";"&amp;[3]SB3!HN40&amp;";"&amp;[3]SB4!HN40,IF(H40=5,[3]SB1!HS40&amp;";"&amp;[3]SB2!HN40&amp;";"&amp;[3]SB3!HN40&amp;";"&amp;[3]SB4!HN40&amp;";"&amp;[3]SB5!HN40,[3]SB1!HS40&amp;";"&amp;[3]SB2!HN40&amp;";"&amp;[3]SB3!HN40&amp;";"&amp;[3]SB4!HN40&amp;";"&amp;[3]SB5!HN40&amp;";"&amp;[3]SB6!HN40)))))</f>
        <v>37,24W/37,24W/41,7W/37,24W;40W/40W/40W;40W/40W/40W</v>
      </c>
      <c r="R40" s="216" t="str">
        <f>IF(H40=1,[3]SB1!H40,IF(H40=2,[3]SB1!H40&amp;"/"&amp;[3]SB2!H40,IF(H40=3,[3]SB1!H40&amp;"/"&amp;[3]SB2!H40&amp;"/"&amp;[3]SB3!H40,IF(H40=4,[3]SB1!H40&amp;"/"&amp;[3]SB2!H40&amp;"/"&amp;[3]SB3!H40&amp;"/"&amp;[3]SB4!H40,IF(H40=5,[3]SB1!H40&amp;"/"&amp;[3]SB2!H40&amp;"/"&amp;[3]SB3!H40&amp;"/"&amp;[3]SB4!H40&amp;"/"&amp;[3]SB5!H40,[3]SB1!H40&amp;"/"&amp;[3]SB2!H40&amp;"/"&amp;[3]SB3!H40&amp;"/"&amp;[3]SB4!H40&amp;"/"&amp;[3]SB5!H40&amp;"/"&amp;[3]SB6!H40)))))</f>
        <v>G900/U2100/L1800</v>
      </c>
      <c r="S40" s="216" t="str">
        <f>IF(H40=1,[3]SB1!HT40,IF(H40=2,[3]SB1!HT40&amp;";"&amp;[3]SB2!HO40,IF(H40=3,[3]SB1!HT40&amp;";"&amp;[3]SB2!HO40&amp;";"&amp;[3]SB3!HO40,IF(H40=4,[3]SB1!HT40&amp;";"&amp;[3]SB2!HO40&amp;";"&amp;[3]SB3!HO40&amp;";"&amp;[3]SB4!HO40,IF(H40=5,[3]SB1!HT40&amp;";"&amp;[3]SB2!HO40&amp;";"&amp;[3]SB3!HO40&amp;";"&amp;[3]SB4!HO40&amp;";"&amp;[3]SB5!HO40,[3]SB1!HT40&amp;";"&amp;[3]SB2!HO40&amp;";"&amp;[3]SB3!HO40&amp;";"&amp;[3]SB4!HO40&amp;";"&amp;[3]SB5!HO40&amp;";"&amp;[3]SB6!HO40)))))</f>
        <v>40m/ 40m/ 40m/ 40m;37m/ 37m/ 37m;40m/ 40m/ 40m</v>
      </c>
      <c r="T40" s="215">
        <f>[3]SB1!GU40</f>
        <v>2</v>
      </c>
      <c r="U40" s="215" t="str">
        <f>IF(H40=1,[3]SB1!AS40,IF(H40=2,[3]SB1!AS40&amp;";"&amp;[3]SB2!AS40,IF(H40=3,[3]SB1!AS40&amp;";"&amp;[3]SB2!AS40&amp;";"&amp;[3]SB3!AS40,IF(H40=4,[3]SB1!AS40&amp;";"&amp;[3]SB2!AS40&amp;";"&amp;[3]SB3!AS40&amp;";"&amp;[3]SB4!AS40,IF(H40=5,[3]SB1!AS40&amp;";"&amp;[3]SB2!AS40&amp;";"&amp;[3]SB3!AS40&amp;";"&amp;[3]SB4!AS40&amp;";"&amp;[3]SB5!AS40,[3]SB1!AS40&amp;";"&amp;[3]SB2!AS40&amp;";"&amp;[3]SB3!AS40&amp;";"&amp;[3]SB4!AS40&amp;";"&amp;[3]SB5!AS40&amp;";"&amp;[3]SB6!AS40)))))</f>
        <v>Kathrein 739636;Kathrein 742215;Commscope HWXX-6516DS2-A2M</v>
      </c>
      <c r="V40" s="213" t="str">
        <f>IF([3]Source!AEE40="Yes","Có","Không")</f>
        <v>Có</v>
      </c>
      <c r="W40" s="213" t="str">
        <f>IF([3]Source!AEF40="Yes","Có","Không")</f>
        <v>Có</v>
      </c>
      <c r="X40" s="213">
        <f>[3]Source!AEG40</f>
        <v>37</v>
      </c>
      <c r="Y40" s="213" t="str">
        <f>IF([3]Source!AEH40="Yes","Có","Không")</f>
        <v>Có</v>
      </c>
      <c r="Z40" s="217">
        <f>[3]Source!AEI40</f>
        <v>33</v>
      </c>
      <c r="AA40" s="217" t="str">
        <f>IF([3]SB1!WBZ40="","",IF([3]SB1!WBZ40=0,"Có","Không"))</f>
        <v/>
      </c>
      <c r="AB40" s="217" t="str">
        <f>IF([3]Source!ADX40="Yes","Có","Không")</f>
        <v>Không</v>
      </c>
      <c r="AC40" s="217">
        <f>MIN([3]SB1!AH40,[3]SB2!AH40,[3]SB3!AH40,[3]SB4!AH40,[3]SB5!AH40,[3]SB6!AH40)+[3]SB1!AG40</f>
        <v>37</v>
      </c>
      <c r="AD40" s="217" t="str">
        <f>IF([3]SB1!HQ40="","",[3]SB1!HQ40)</f>
        <v>4</v>
      </c>
      <c r="AE40" s="218" t="str">
        <f>IF([3]SB1!HV40="","",[3]SB1!HV40)</f>
        <v/>
      </c>
    </row>
    <row r="41" spans="1:31" s="219" customFormat="1">
      <c r="A41" s="211" t="str">
        <f>[3]SB1!HM41</f>
        <v>Viettel Sóc Trăng - Chi nhánh Tập đoàn Công nghiệp - Viễn Thông Quân Đội</v>
      </c>
      <c r="B41" s="212">
        <f>[3]Source!A41</f>
        <v>38</v>
      </c>
      <c r="C41" s="212">
        <f>[3]SB1!GZ41</f>
        <v>761</v>
      </c>
      <c r="D41" s="213" t="str">
        <f>[3]SB1!GX41</f>
        <v>Đồn Biên phòng 638, ấp Đầu Giồng, xã Trung Bình, huyện Trần Đề, tỉnh Sóc Trăng.</v>
      </c>
      <c r="E41" s="211" t="str">
        <f>[3]SB1!GV41</f>
        <v>Sóc Trăng</v>
      </c>
      <c r="F41" s="211" t="str">
        <f>MID([3]SB1!GS41,1,FIND(";",[3]SB1!GS41,1)-1)</f>
        <v>106,20065</v>
      </c>
      <c r="G41" s="211" t="str">
        <f>RIGHT([3]SB1!GS41,LEN([3]SB1!GS41)-LEN(F41)-1)</f>
        <v>9,49712</v>
      </c>
      <c r="H41" s="213">
        <f>[3]SB1!GY41</f>
        <v>4</v>
      </c>
      <c r="I41" s="211" t="str">
        <f>[3]SB1!AY41</f>
        <v>1802443/2019/PTN-KĐ</v>
      </c>
      <c r="J41" s="214">
        <f>[3]SB1!HK41</f>
        <v>43497</v>
      </c>
      <c r="K41" s="214">
        <f>[3]SB1!GR41</f>
        <v>43490</v>
      </c>
      <c r="L41" s="215" t="str">
        <f>IF(H41=1,[3]SB1!HR41,IF(H41=2,[3]SB1!HR41&amp;"/"&amp;[3]SB2!HM41,IF(H41=3,[3]SB1!HR41&amp;"/"&amp;[3]SB2!HM41&amp;"/"&amp;[3]SB3!HM41,IF(H41=4,[3]SB1!HR41&amp;"/"&amp;[3]SB2!HM41&amp;"/"&amp;[3]SB3!HM41&amp;"/"&amp;[3]SB4!HM41,IF(H41=5,[3]SB1!HR41&amp;"/"&amp;[3]SB2!HM41&amp;"/"&amp;[3]SB3!HM41&amp;"/"&amp;[3]SB4!HM41&amp;"/"&amp;[3]SB5!HM41,[3]SB1!HR41&amp;"/"&amp;[3]SB2!HM41&amp;"/"&amp;[3]SB3!HM41&amp;"/"&amp;[3]SB4!HM41&amp;"/"&amp;[3]SB5!HM41&amp;"/"&amp;[3]SB6!HM41)))))</f>
        <v>TẬP ĐOÀN CÔNG NGHIỆP - VIỄN THÔNG QUÂN ĐỘI/TẬP ĐOÀN CÔNG NGHIỆP - VIỄN THÔNG QUÂN ĐỘI/TẬP ĐOÀN CÔNG NGHIỆP - VIỄN THÔNG QUÂN ĐỘI/TẬP ĐOÀN CÔNG NGHIỆP - VIỄN THÔNG QUÂN ĐỘI</v>
      </c>
      <c r="M41" s="216" t="str">
        <f>IF(H41=1,[3]SB1!C41,IF(H41=2,[3]SB1!C41&amp;";"&amp;[3]SB2!C41,IF(H41=3,[3]SB1!C41&amp;";"&amp;[3]SB2!C41&amp;";"&amp;[3]SB3!C41,IF(H41=4,[3]SB1!C41&amp;";"&amp;[3]SB2!C41&amp;";"&amp;[3]SB3!C41&amp;";"&amp;[3]SB4!C41,IF(H41=5,[3]SB1!C41&amp;";"&amp;[3]SB2!C41&amp;";"&amp;[3]SB3!C41&amp;";"&amp;[3]SB4!C41&amp;";"&amp;[3]SB5!C41,[3]SB1!C41&amp;";"&amp;[3]SB2!C41&amp;";"&amp;[3]SB3!C41&amp;";"&amp;[3]SB4!C41&amp;";"&amp;[3]SB5!C41&amp;";"&amp;[3]SB6!C41)))))</f>
        <v>STG0141;STG0141;STG0141;STG0141</v>
      </c>
      <c r="N41" s="216" t="str">
        <f>IF(H41=1,[3]SB1!K41,IF(H41=2,[3]SB1!K41&amp;";"&amp;[3]SB2!K41,IF(H41=3,[3]SB1!K41&amp;";"&amp;[3]SB2!K41&amp;";"&amp;[3]SB3!K41,IF(H41=4,[3]SB1!K41&amp;";"&amp;[3]SB2!K41&amp;";"&amp;[3]SB3!K41&amp;";"&amp;[3]SB4!K41,IF(H41=5,[3]SB1!K41&amp;";"&amp;[3]SB2!K41&amp;";"&amp;[3]SB3!K41&amp;";"&amp;[3]SB4!K41&amp;";"&amp;[3]SB5!K41,[3]SB1!K41&amp;";"&amp;[3]SB2!K41&amp;";"&amp;[3]SB3!K41&amp;";"&amp;[3]SB4!K41&amp;";"&amp;[3]SB5!K41&amp;";"&amp;[3]SB6!K41)))))</f>
        <v>NOKIA Flexi EDGE BTS;NOKIA Flexi EDGE BTS;NOKIA Flexi WCDMA BTS;NSN FLEXI MULTIRADIO AIRSCALE</v>
      </c>
      <c r="O41" s="212">
        <f>[3]SB1!P41+[3]SB2!P41+[3]SB3!P41+[3]SB4!P41+[3]SB5!P41+[3]SB6!P41</f>
        <v>12</v>
      </c>
      <c r="P41" s="216" t="str">
        <f>IF(H41=1,[3]SB1!Q41,IF(H41=2,[3]SB1!Q41&amp;";"&amp;[3]SB2!Q41,IF(H41=3,[3]SB1!Q41&amp;";"&amp;[3]SB2!Q41&amp;";"&amp;[3]SB3!Q41,IF(H41=4,[3]SB1!Q41&amp;";"&amp;[3]SB2!Q41&amp;";"&amp;[3]SB3!Q41&amp;";"&amp;[3]SB4!Q41,IF(H41=5,[3]SB1!Q41&amp;";"&amp;[3]SB2!Q41&amp;";"&amp;[3]SB3!Q41&amp;";"&amp;[3]SB4!Q41&amp;";"&amp;[3]SB5!Q41,[3]SB1!Q41&amp;";"&amp;[3]SB2!Q41&amp;";"&amp;[3]SB3!Q41&amp;";"&amp;[3]SB4!Q41&amp;";"&amp;[3]SB5!Q41&amp;";"&amp;[3]SB6!Q41)))))</f>
        <v>4/4/4;2/2/2;2/2/2;1/1/1</v>
      </c>
      <c r="Q41" s="216" t="str">
        <f>IF(H41=1,[3]SB1!HS41,IF(H41=2,[3]SB1!HS41&amp;";"&amp;[3]SB2!HN41,IF(H41=3,[3]SB1!HS41&amp;";"&amp;[3]SB2!HN41&amp;";"&amp;[3]SB3!HN41,IF(H41=4,[3]SB1!HS41&amp;";"&amp;[3]SB2!HN41&amp;";"&amp;[3]SB3!HN41&amp;";"&amp;[3]SB4!HN41,IF(H41=5,[3]SB1!HS41&amp;";"&amp;[3]SB2!HN41&amp;";"&amp;[3]SB3!HN41&amp;";"&amp;[3]SB4!HN41&amp;";"&amp;[3]SB5!HN41,[3]SB1!HS41&amp;";"&amp;[3]SB2!HN41&amp;";"&amp;[3]SB3!HN41&amp;";"&amp;[3]SB4!HN41&amp;";"&amp;[3]SB5!HN41&amp;";"&amp;[3]SB6!HN41)))))</f>
        <v>37,24W/37,24W/37,24W;41,7W/41,7W/41,7W;40W/40W/40W;40W/40W/40W</v>
      </c>
      <c r="R41" s="216" t="str">
        <f>IF(H41=1,[3]SB1!H41,IF(H41=2,[3]SB1!H41&amp;"/"&amp;[3]SB2!H41,IF(H41=3,[3]SB1!H41&amp;"/"&amp;[3]SB2!H41&amp;"/"&amp;[3]SB3!H41,IF(H41=4,[3]SB1!H41&amp;"/"&amp;[3]SB2!H41&amp;"/"&amp;[3]SB3!H41&amp;"/"&amp;[3]SB4!H41,IF(H41=5,[3]SB1!H41&amp;"/"&amp;[3]SB2!H41&amp;"/"&amp;[3]SB3!H41&amp;"/"&amp;[3]SB4!H41&amp;"/"&amp;[3]SB5!H41,[3]SB1!H41&amp;"/"&amp;[3]SB2!H41&amp;"/"&amp;[3]SB3!H41&amp;"/"&amp;[3]SB4!H41&amp;"/"&amp;[3]SB5!H41&amp;"/"&amp;[3]SB6!H41)))))</f>
        <v>G900/G1800/U2100/L1800</v>
      </c>
      <c r="S41" s="216" t="str">
        <f>IF(H41=1,[3]SB1!HT41,IF(H41=2,[3]SB1!HT41&amp;";"&amp;[3]SB2!HO41,IF(H41=3,[3]SB1!HT41&amp;";"&amp;[3]SB2!HO41&amp;";"&amp;[3]SB3!HO41,IF(H41=4,[3]SB1!HT41&amp;";"&amp;[3]SB2!HO41&amp;";"&amp;[3]SB3!HO41&amp;";"&amp;[3]SB4!HO41,IF(H41=5,[3]SB1!HT41&amp;";"&amp;[3]SB2!HO41&amp;";"&amp;[3]SB3!HO41&amp;";"&amp;[3]SB4!HO41&amp;";"&amp;[3]SB5!HO41,[3]SB1!HT41&amp;";"&amp;[3]SB2!HO41&amp;";"&amp;[3]SB3!HO41&amp;";"&amp;[3]SB4!HO41&amp;";"&amp;[3]SB5!HO41&amp;";"&amp;[3]SB6!HO41)))))</f>
        <v>40m/ 40m/ 40m;36m/ 36m/ 36m;42m/ 42m/ 42m;40m/ 40m/ 40m</v>
      </c>
      <c r="T41" s="215">
        <f>[3]SB1!GU41</f>
        <v>2</v>
      </c>
      <c r="U41" s="215" t="str">
        <f>IF(H41=1,[3]SB1!AS41,IF(H41=2,[3]SB1!AS41&amp;";"&amp;[3]SB2!AS41,IF(H41=3,[3]SB1!AS41&amp;";"&amp;[3]SB2!AS41&amp;";"&amp;[3]SB3!AS41,IF(H41=4,[3]SB1!AS41&amp;";"&amp;[3]SB2!AS41&amp;";"&amp;[3]SB3!AS41&amp;";"&amp;[3]SB4!AS41,IF(H41=5,[3]SB1!AS41&amp;";"&amp;[3]SB2!AS41&amp;";"&amp;[3]SB3!AS41&amp;";"&amp;[3]SB4!AS41&amp;";"&amp;[3]SB5!AS41,[3]SB1!AS41&amp;";"&amp;[3]SB2!AS41&amp;";"&amp;[3]SB3!AS41&amp;";"&amp;[3]SB4!AS41&amp;";"&amp;[3]SB5!AS41&amp;";"&amp;[3]SB6!AS41)))))</f>
        <v>Kathrein 739636;Kathrein 736018;Kathrein 742215;Commscope HWXX-6516DS2-A2M</v>
      </c>
      <c r="V41" s="213" t="str">
        <f>IF([3]Source!AEE41="Yes","Có","Không")</f>
        <v>Có</v>
      </c>
      <c r="W41" s="213" t="str">
        <f>IF([3]Source!AEF41="Yes","Có","Không")</f>
        <v>Có</v>
      </c>
      <c r="X41" s="213">
        <f>[3]Source!AEG41</f>
        <v>36</v>
      </c>
      <c r="Y41" s="213" t="str">
        <f>IF([3]Source!AEH41="Yes","Có","Không")</f>
        <v>Có</v>
      </c>
      <c r="Z41" s="217">
        <f>[3]Source!AEI41</f>
        <v>32</v>
      </c>
      <c r="AA41" s="217" t="str">
        <f>IF([3]SB1!WBZ41="","",IF([3]SB1!WBZ41=0,"Có","Không"))</f>
        <v/>
      </c>
      <c r="AB41" s="217" t="str">
        <f>IF([3]Source!ADX41="Yes","Có","Không")</f>
        <v>Không</v>
      </c>
      <c r="AC41" s="217">
        <f>MIN([3]SB1!AH41,[3]SB2!AH41,[3]SB3!AH41,[3]SB4!AH41,[3]SB5!AH41,[3]SB6!AH41)+[3]SB1!AG41</f>
        <v>36</v>
      </c>
      <c r="AD41" s="217" t="str">
        <f>IF([3]SB1!HQ41="","",[3]SB1!HQ41)</f>
        <v>4</v>
      </c>
      <c r="AE41" s="218" t="str">
        <f>IF([3]SB1!HV41="","",[3]SB1!HV41)</f>
        <v/>
      </c>
    </row>
    <row r="42" spans="1:31" s="219" customFormat="1">
      <c r="A42" s="211" t="str">
        <f>[3]SB1!HM42</f>
        <v>Viettel Sóc Trăng - Chi nhánh Tập đoàn Công nghiệp - Viễn Thông Quân Đội</v>
      </c>
      <c r="B42" s="212">
        <f>[3]Source!A42</f>
        <v>39</v>
      </c>
      <c r="C42" s="212">
        <f>[3]SB1!GZ42</f>
        <v>761</v>
      </c>
      <c r="D42" s="213" t="str">
        <f>[3]SB1!GX42</f>
        <v>Số 1055/5, ấp Cảng, thị trấn Trần Đề, huyện Trần Đề, tỉnh Sóc Trăng.</v>
      </c>
      <c r="E42" s="211" t="str">
        <f>[3]SB1!GV42</f>
        <v>Sóc Trăng</v>
      </c>
      <c r="F42" s="211" t="str">
        <f>MID([3]SB1!GS42,1,FIND(";",[3]SB1!GS42,1)-1)</f>
        <v>106,19856</v>
      </c>
      <c r="G42" s="211" t="str">
        <f>RIGHT([3]SB1!GS42,LEN([3]SB1!GS42)-LEN(F42)-1)</f>
        <v>9,52306</v>
      </c>
      <c r="H42" s="213">
        <f>[3]SB1!GY42</f>
        <v>4</v>
      </c>
      <c r="I42" s="211" t="str">
        <f>[3]SB1!AY42</f>
        <v>1802444/2019/PTN-KĐ</v>
      </c>
      <c r="J42" s="214">
        <f>[3]SB1!HK42</f>
        <v>43497</v>
      </c>
      <c r="K42" s="214">
        <f>[3]SB1!GR42</f>
        <v>43491</v>
      </c>
      <c r="L42" s="215" t="str">
        <f>IF(H42=1,[3]SB1!HR42,IF(H42=2,[3]SB1!HR42&amp;"/"&amp;[3]SB2!HM42,IF(H42=3,[3]SB1!HR42&amp;"/"&amp;[3]SB2!HM42&amp;"/"&amp;[3]SB3!HM42,IF(H42=4,[3]SB1!HR42&amp;"/"&amp;[3]SB2!HM42&amp;"/"&amp;[3]SB3!HM42&amp;"/"&amp;[3]SB4!HM42,IF(H42=5,[3]SB1!HR42&amp;"/"&amp;[3]SB2!HM42&amp;"/"&amp;[3]SB3!HM42&amp;"/"&amp;[3]SB4!HM42&amp;"/"&amp;[3]SB5!HM42,[3]SB1!HR42&amp;"/"&amp;[3]SB2!HM42&amp;"/"&amp;[3]SB3!HM42&amp;"/"&amp;[3]SB4!HM42&amp;"/"&amp;[3]SB5!HM42&amp;"/"&amp;[3]SB6!HM42)))))</f>
        <v>TẬP ĐOÀN CÔNG NGHIỆP - VIỄN THÔNG QUÂN ĐỘI/TẬP ĐOÀN CÔNG NGHIỆP - VIỄN THÔNG QUÂN ĐỘI/TẬP ĐOÀN CÔNG NGHIỆP - VIỄN THÔNG QUÂN ĐỘI/TẬP ĐOÀN CÔNG NGHIỆP - VIỄN THÔNG QUÂN ĐỘI</v>
      </c>
      <c r="M42" s="216" t="str">
        <f>IF(H42=1,[3]SB1!C42,IF(H42=2,[3]SB1!C42&amp;";"&amp;[3]SB2!C42,IF(H42=3,[3]SB1!C42&amp;";"&amp;[3]SB2!C42&amp;";"&amp;[3]SB3!C42,IF(H42=4,[3]SB1!C42&amp;";"&amp;[3]SB2!C42&amp;";"&amp;[3]SB3!C42&amp;";"&amp;[3]SB4!C42,IF(H42=5,[3]SB1!C42&amp;";"&amp;[3]SB2!C42&amp;";"&amp;[3]SB3!C42&amp;";"&amp;[3]SB4!C42&amp;";"&amp;[3]SB5!C42,[3]SB1!C42&amp;";"&amp;[3]SB2!C42&amp;";"&amp;[3]SB3!C42&amp;";"&amp;[3]SB4!C42&amp;";"&amp;[3]SB5!C42&amp;";"&amp;[3]SB6!C42)))))</f>
        <v>STG0211;STG0211;STG0211;STG0211</v>
      </c>
      <c r="N42" s="216" t="str">
        <f>IF(H42=1,[3]SB1!K42,IF(H42=2,[3]SB1!K42&amp;";"&amp;[3]SB2!K42,IF(H42=3,[3]SB1!K42&amp;";"&amp;[3]SB2!K42&amp;";"&amp;[3]SB3!K42,IF(H42=4,[3]SB1!K42&amp;";"&amp;[3]SB2!K42&amp;";"&amp;[3]SB3!K42&amp;";"&amp;[3]SB4!K42,IF(H42=5,[3]SB1!K42&amp;";"&amp;[3]SB2!K42&amp;";"&amp;[3]SB3!K42&amp;";"&amp;[3]SB4!K42&amp;";"&amp;[3]SB5!K42,[3]SB1!K42&amp;";"&amp;[3]SB2!K42&amp;";"&amp;[3]SB3!K42&amp;";"&amp;[3]SB4!K42&amp;";"&amp;[3]SB5!K42&amp;";"&amp;[3]SB6!K42)))))</f>
        <v>NOKIA Flexi EDGE BTS;NOKIA Flexi EDGE BTS;NOKIA Flexi WCDMA BTS;NSN FLEXI MULTIRADIO AIRSCALE</v>
      </c>
      <c r="O42" s="212">
        <f>[3]SB1!P42+[3]SB2!P42+[3]SB3!P42+[3]SB4!P42+[3]SB5!P42+[3]SB6!P42</f>
        <v>12</v>
      </c>
      <c r="P42" s="216" t="str">
        <f>IF(H42=1,[3]SB1!Q42,IF(H42=2,[3]SB1!Q42&amp;";"&amp;[3]SB2!Q42,IF(H42=3,[3]SB1!Q42&amp;";"&amp;[3]SB2!Q42&amp;";"&amp;[3]SB3!Q42,IF(H42=4,[3]SB1!Q42&amp;";"&amp;[3]SB2!Q42&amp;";"&amp;[3]SB3!Q42&amp;";"&amp;[3]SB4!Q42,IF(H42=5,[3]SB1!Q42&amp;";"&amp;[3]SB2!Q42&amp;";"&amp;[3]SB3!Q42&amp;";"&amp;[3]SB4!Q42&amp;";"&amp;[3]SB5!Q42,[3]SB1!Q42&amp;";"&amp;[3]SB2!Q42&amp;";"&amp;[3]SB3!Q42&amp;";"&amp;[3]SB4!Q42&amp;";"&amp;[3]SB5!Q42&amp;";"&amp;[3]SB6!Q42)))))</f>
        <v>4/4/4;4/4/4;2/2/2;1/1/1</v>
      </c>
      <c r="Q42" s="216" t="str">
        <f>IF(H42=1,[3]SB1!HS42,IF(H42=2,[3]SB1!HS42&amp;";"&amp;[3]SB2!HN42,IF(H42=3,[3]SB1!HS42&amp;";"&amp;[3]SB2!HN42&amp;";"&amp;[3]SB3!HN42,IF(H42=4,[3]SB1!HS42&amp;";"&amp;[3]SB2!HN42&amp;";"&amp;[3]SB3!HN42&amp;";"&amp;[3]SB4!HN42,IF(H42=5,[3]SB1!HS42&amp;";"&amp;[3]SB2!HN42&amp;";"&amp;[3]SB3!HN42&amp;";"&amp;[3]SB4!HN42&amp;";"&amp;[3]SB5!HN42,[3]SB1!HS42&amp;";"&amp;[3]SB2!HN42&amp;";"&amp;[3]SB3!HN42&amp;";"&amp;[3]SB4!HN42&amp;";"&amp;[3]SB5!HN42&amp;";"&amp;[3]SB6!HN42)))))</f>
        <v>37,24W/37,24W/37,24W;37,24W/37,24W/37,24W;40W/40W/40W;40W/40W/40W</v>
      </c>
      <c r="R42" s="216" t="str">
        <f>IF(H42=1,[3]SB1!H42,IF(H42=2,[3]SB1!H42&amp;"/"&amp;[3]SB2!H42,IF(H42=3,[3]SB1!H42&amp;"/"&amp;[3]SB2!H42&amp;"/"&amp;[3]SB3!H42,IF(H42=4,[3]SB1!H42&amp;"/"&amp;[3]SB2!H42&amp;"/"&amp;[3]SB3!H42&amp;"/"&amp;[3]SB4!H42,IF(H42=5,[3]SB1!H42&amp;"/"&amp;[3]SB2!H42&amp;"/"&amp;[3]SB3!H42&amp;"/"&amp;[3]SB4!H42&amp;"/"&amp;[3]SB5!H42,[3]SB1!H42&amp;"/"&amp;[3]SB2!H42&amp;"/"&amp;[3]SB3!H42&amp;"/"&amp;[3]SB4!H42&amp;"/"&amp;[3]SB5!H42&amp;"/"&amp;[3]SB6!H42)))))</f>
        <v>G900/G1800/U2100/L1800</v>
      </c>
      <c r="S42" s="216" t="str">
        <f>IF(H42=1,[3]SB1!HT42,IF(H42=2,[3]SB1!HT42&amp;";"&amp;[3]SB2!HO42,IF(H42=3,[3]SB1!HT42&amp;";"&amp;[3]SB2!HO42&amp;";"&amp;[3]SB3!HO42,IF(H42=4,[3]SB1!HT42&amp;";"&amp;[3]SB2!HO42&amp;";"&amp;[3]SB3!HO42&amp;";"&amp;[3]SB4!HO42,IF(H42=5,[3]SB1!HT42&amp;";"&amp;[3]SB2!HO42&amp;";"&amp;[3]SB3!HO42&amp;";"&amp;[3]SB4!HO42&amp;";"&amp;[3]SB5!HO42,[3]SB1!HT42&amp;";"&amp;[3]SB2!HO42&amp;";"&amp;[3]SB3!HO42&amp;";"&amp;[3]SB4!HO42&amp;";"&amp;[3]SB5!HO42&amp;";"&amp;[3]SB6!HO42)))))</f>
        <v>40m/ 40m/ 40m;40m/ 40m/ 40m;36m/ 36m/ 36m;41m/ 41m/ 41m</v>
      </c>
      <c r="T42" s="215">
        <f>[3]SB1!GU42</f>
        <v>2</v>
      </c>
      <c r="U42" s="215" t="str">
        <f>IF(H42=1,[3]SB1!AS42,IF(H42=2,[3]SB1!AS42&amp;";"&amp;[3]SB2!AS42,IF(H42=3,[3]SB1!AS42&amp;";"&amp;[3]SB2!AS42&amp;";"&amp;[3]SB3!AS42,IF(H42=4,[3]SB1!AS42&amp;";"&amp;[3]SB2!AS42&amp;";"&amp;[3]SB3!AS42&amp;";"&amp;[3]SB4!AS42,IF(H42=5,[3]SB1!AS42&amp;";"&amp;[3]SB2!AS42&amp;";"&amp;[3]SB3!AS42&amp;";"&amp;[3]SB4!AS42&amp;";"&amp;[3]SB5!AS42,[3]SB1!AS42&amp;";"&amp;[3]SB2!AS42&amp;";"&amp;[3]SB3!AS42&amp;";"&amp;[3]SB4!AS42&amp;";"&amp;[3]SB5!AS42&amp;";"&amp;[3]SB6!AS42)))))</f>
        <v>Kathrein 739636;Kathrein 736018;Kathrein 742215;Commscope HWXX-6516DS2-A2M</v>
      </c>
      <c r="V42" s="213" t="str">
        <f>IF([3]Source!AEE42="Yes","Có","Không")</f>
        <v>Có</v>
      </c>
      <c r="W42" s="213" t="str">
        <f>IF([3]Source!AEF42="Yes","Có","Không")</f>
        <v>Có</v>
      </c>
      <c r="X42" s="213">
        <f>[3]Source!AEG42</f>
        <v>36</v>
      </c>
      <c r="Y42" s="213" t="str">
        <f>IF([3]Source!AEH42="Yes","Có","Không")</f>
        <v>Có</v>
      </c>
      <c r="Z42" s="217">
        <f>[3]Source!AEI42</f>
        <v>22</v>
      </c>
      <c r="AA42" s="217" t="str">
        <f>IF([3]SB1!WBZ42="","",IF([3]SB1!WBZ42=0,"Có","Không"))</f>
        <v/>
      </c>
      <c r="AB42" s="217" t="str">
        <f>IF([3]Source!ADX42="Yes","Có","Không")</f>
        <v>Không</v>
      </c>
      <c r="AC42" s="217">
        <f>MIN([3]SB1!AH42,[3]SB2!AH42,[3]SB3!AH42,[3]SB4!AH42,[3]SB5!AH42,[3]SB6!AH42)+[3]SB1!AG42</f>
        <v>36</v>
      </c>
      <c r="AD42" s="217" t="str">
        <f>IF([3]SB1!HQ42="","",[3]SB1!HQ42)</f>
        <v>14</v>
      </c>
      <c r="AE42" s="218" t="str">
        <f>IF([3]SB1!HV42="","",[3]SB1!HV42)</f>
        <v/>
      </c>
    </row>
    <row r="43" spans="1:31" s="219" customFormat="1">
      <c r="A43" s="211" t="str">
        <f>[3]SB1!HM44</f>
        <v>Viettel Sóc Trăng - Chi nhánh Tập đoàn Công nghiệp - Viễn Thông Quân Đội</v>
      </c>
      <c r="B43" s="212">
        <f>[3]Source!A44</f>
        <v>41</v>
      </c>
      <c r="C43" s="212">
        <f>[3]SB1!GZ44</f>
        <v>761</v>
      </c>
      <c r="D43" s="213" t="str">
        <f>[3]SB1!GX44</f>
        <v>Đường Lý Thường Kiệt, khóm 1, phường 1, thị xã Vĩnh Châu, tỉnh Sóc Trăng.</v>
      </c>
      <c r="E43" s="211" t="str">
        <f>[3]SB1!GV44</f>
        <v>Sóc Trăng</v>
      </c>
      <c r="F43" s="211" t="str">
        <f>MID([3]SB1!GS44,1,FIND(";",[3]SB1!GS44,1)-1)</f>
        <v>105,98586</v>
      </c>
      <c r="G43" s="211" t="str">
        <f>RIGHT([3]SB1!GS44,LEN([3]SB1!GS44)-LEN(F43)-1)</f>
        <v>9,32452</v>
      </c>
      <c r="H43" s="213">
        <f>[3]SB1!GY44</f>
        <v>2</v>
      </c>
      <c r="I43" s="211" t="str">
        <f>[3]SB1!AY44</f>
        <v>1802445/2019/PTN-KĐ</v>
      </c>
      <c r="J43" s="214">
        <f>[3]SB1!HK44</f>
        <v>43497</v>
      </c>
      <c r="K43" s="214">
        <f>[3]SB1!GR44</f>
        <v>43491</v>
      </c>
      <c r="L43" s="215" t="str">
        <f>IF(H43=1,[3]SB1!HR44,IF(H43=2,[3]SB1!HR44&amp;"/"&amp;[3]SB2!HM44,IF(H43=3,[3]SB1!HR44&amp;"/"&amp;[3]SB2!HM44&amp;"/"&amp;[3]SB3!HM44,IF(H43=4,[3]SB1!HR44&amp;"/"&amp;[3]SB2!HM44&amp;"/"&amp;[3]SB3!HM44&amp;"/"&amp;[3]SB4!HM44,IF(H43=5,[3]SB1!HR44&amp;"/"&amp;[3]SB2!HM44&amp;"/"&amp;[3]SB3!HM44&amp;"/"&amp;[3]SB4!HM44&amp;"/"&amp;[3]SB5!HM44,[3]SB1!HR44&amp;"/"&amp;[3]SB2!HM44&amp;"/"&amp;[3]SB3!HM44&amp;"/"&amp;[3]SB4!HM44&amp;"/"&amp;[3]SB5!HM44&amp;"/"&amp;[3]SB6!HM44)))))</f>
        <v>TẬP ĐOÀN CÔNG NGHIỆP - VIỄN THÔNG QUÂN ĐỘI/TẬP ĐOÀN CÔNG NGHIỆP - VIỄN THÔNG QUÂN ĐỘI</v>
      </c>
      <c r="M43" s="216" t="str">
        <f>IF(H43=1,[3]SB1!C44,IF(H43=2,[3]SB1!C44&amp;";"&amp;[3]SB2!C44,IF(H43=3,[3]SB1!C44&amp;";"&amp;[3]SB2!C44&amp;";"&amp;[3]SB3!C44,IF(H43=4,[3]SB1!C44&amp;";"&amp;[3]SB2!C44&amp;";"&amp;[3]SB3!C44&amp;";"&amp;[3]SB4!C44,IF(H43=5,[3]SB1!C44&amp;";"&amp;[3]SB2!C44&amp;";"&amp;[3]SB3!C44&amp;";"&amp;[3]SB4!C44&amp;";"&amp;[3]SB5!C44,[3]SB1!C44&amp;";"&amp;[3]SB2!C44&amp;";"&amp;[3]SB3!C44&amp;";"&amp;[3]SB4!C44&amp;";"&amp;[3]SB5!C44&amp;";"&amp;[3]SB6!C44)))))</f>
        <v>STG0444;STG0444</v>
      </c>
      <c r="N43" s="216" t="str">
        <f>IF(H43=1,[3]SB1!K44,IF(H43=2,[3]SB1!K44&amp;";"&amp;[3]SB2!K44,IF(H43=3,[3]SB1!K44&amp;";"&amp;[3]SB2!K44&amp;";"&amp;[3]SB3!K44,IF(H43=4,[3]SB1!K44&amp;";"&amp;[3]SB2!K44&amp;";"&amp;[3]SB3!K44&amp;";"&amp;[3]SB4!K44,IF(H43=5,[3]SB1!K44&amp;";"&amp;[3]SB2!K44&amp;";"&amp;[3]SB3!K44&amp;";"&amp;[3]SB4!K44&amp;";"&amp;[3]SB5!K44,[3]SB1!K44&amp;";"&amp;[3]SB2!K44&amp;";"&amp;[3]SB3!K44&amp;";"&amp;[3]SB4!K44&amp;";"&amp;[3]SB5!K44&amp;";"&amp;[3]SB6!K44)))))</f>
        <v>NOKIA Flexi WCDMA BTS;NSN FLEXI MULTIRADIO AIRSCALE</v>
      </c>
      <c r="O43" s="212">
        <f>[3]SB1!P44+[3]SB2!P44+[3]SB3!P44+[3]SB4!P44+[3]SB5!P44+[3]SB6!P44</f>
        <v>6</v>
      </c>
      <c r="P43" s="216" t="str">
        <f>IF(H43=1,[3]SB1!Q44,IF(H43=2,[3]SB1!Q44&amp;";"&amp;[3]SB2!Q44,IF(H43=3,[3]SB1!Q44&amp;";"&amp;[3]SB2!Q44&amp;";"&amp;[3]SB3!Q44,IF(H43=4,[3]SB1!Q44&amp;";"&amp;[3]SB2!Q44&amp;";"&amp;[3]SB3!Q44&amp;";"&amp;[3]SB4!Q44,IF(H43=5,[3]SB1!Q44&amp;";"&amp;[3]SB2!Q44&amp;";"&amp;[3]SB3!Q44&amp;";"&amp;[3]SB4!Q44&amp;";"&amp;[3]SB5!Q44,[3]SB1!Q44&amp;";"&amp;[3]SB2!Q44&amp;";"&amp;[3]SB3!Q44&amp;";"&amp;[3]SB4!Q44&amp;";"&amp;[3]SB5!Q44&amp;";"&amp;[3]SB6!Q44)))))</f>
        <v>2/2/2;1/1/1</v>
      </c>
      <c r="Q43" s="216" t="str">
        <f>IF(H43=1,[3]SB1!HS44,IF(H43=2,[3]SB1!HS44&amp;";"&amp;[3]SB2!HN44,IF(H43=3,[3]SB1!HS44&amp;";"&amp;[3]SB2!HN44&amp;";"&amp;[3]SB3!HN44,IF(H43=4,[3]SB1!HS44&amp;";"&amp;[3]SB2!HN44&amp;";"&amp;[3]SB3!HN44&amp;";"&amp;[3]SB4!HN44,IF(H43=5,[3]SB1!HS44&amp;";"&amp;[3]SB2!HN44&amp;";"&amp;[3]SB3!HN44&amp;";"&amp;[3]SB4!HN44&amp;";"&amp;[3]SB5!HN44,[3]SB1!HS44&amp;";"&amp;[3]SB2!HN44&amp;";"&amp;[3]SB3!HN44&amp;";"&amp;[3]SB4!HN44&amp;";"&amp;[3]SB5!HN44&amp;";"&amp;[3]SB6!HN44)))))</f>
        <v>40W/40W/40W;40W/40W/40W</v>
      </c>
      <c r="R43" s="216" t="str">
        <f>IF(H43=1,[3]SB1!H44,IF(H43=2,[3]SB1!H44&amp;"/"&amp;[3]SB2!H44,IF(H43=3,[3]SB1!H44&amp;"/"&amp;[3]SB2!H44&amp;"/"&amp;[3]SB3!H44,IF(H43=4,[3]SB1!H44&amp;"/"&amp;[3]SB2!H44&amp;"/"&amp;[3]SB3!H44&amp;"/"&amp;[3]SB4!H44,IF(H43=5,[3]SB1!H44&amp;"/"&amp;[3]SB2!H44&amp;"/"&amp;[3]SB3!H44&amp;"/"&amp;[3]SB4!H44&amp;"/"&amp;[3]SB5!H44,[3]SB1!H44&amp;"/"&amp;[3]SB2!H44&amp;"/"&amp;[3]SB3!H44&amp;"/"&amp;[3]SB4!H44&amp;"/"&amp;[3]SB5!H44&amp;"/"&amp;[3]SB6!H44)))))</f>
        <v>U2100/L1800</v>
      </c>
      <c r="S43" s="216" t="str">
        <f>IF(H43=1,[3]SB1!HT44,IF(H43=2,[3]SB1!HT44&amp;";"&amp;[3]SB2!HO44,IF(H43=3,[3]SB1!HT44&amp;";"&amp;[3]SB2!HO44&amp;";"&amp;[3]SB3!HO44,IF(H43=4,[3]SB1!HT44&amp;";"&amp;[3]SB2!HO44&amp;";"&amp;[3]SB3!HO44&amp;";"&amp;[3]SB4!HO44,IF(H43=5,[3]SB1!HT44&amp;";"&amp;[3]SB2!HO44&amp;";"&amp;[3]SB3!HO44&amp;";"&amp;[3]SB4!HO44&amp;";"&amp;[3]SB5!HO44,[3]SB1!HT44&amp;";"&amp;[3]SB2!HO44&amp;";"&amp;[3]SB3!HO44&amp;";"&amp;[3]SB4!HO44&amp;";"&amp;[3]SB5!HO44&amp;";"&amp;[3]SB6!HO44)))))</f>
        <v>40m/ 40m/ 40m;40m/ 40m/ 40m</v>
      </c>
      <c r="T43" s="215">
        <f>[3]SB1!GU44</f>
        <v>2</v>
      </c>
      <c r="U43" s="215" t="str">
        <f>IF(H43=1,[3]SB1!AS44,IF(H43=2,[3]SB1!AS44&amp;";"&amp;[3]SB2!AS44,IF(H43=3,[3]SB1!AS44&amp;";"&amp;[3]SB2!AS44&amp;";"&amp;[3]SB3!AS44,IF(H43=4,[3]SB1!AS44&amp;";"&amp;[3]SB2!AS44&amp;";"&amp;[3]SB3!AS44&amp;";"&amp;[3]SB4!AS44,IF(H43=5,[3]SB1!AS44&amp;";"&amp;[3]SB2!AS44&amp;";"&amp;[3]SB3!AS44&amp;";"&amp;[3]SB4!AS44&amp;";"&amp;[3]SB5!AS44,[3]SB1!AS44&amp;";"&amp;[3]SB2!AS44&amp;";"&amp;[3]SB3!AS44&amp;";"&amp;[3]SB4!AS44&amp;";"&amp;[3]SB5!AS44&amp;";"&amp;[3]SB6!AS44)))))</f>
        <v>Kathrein 742215;Commscope HWXX-6516DS2-A2M</v>
      </c>
      <c r="V43" s="213" t="str">
        <f>IF([3]Source!AEE44="Yes","Có","Không")</f>
        <v>Có</v>
      </c>
      <c r="W43" s="213" t="str">
        <f>IF([3]Source!AEF44="Yes","Có","Không")</f>
        <v>Có</v>
      </c>
      <c r="X43" s="213">
        <f>[3]Source!AEG44</f>
        <v>40</v>
      </c>
      <c r="Y43" s="213" t="str">
        <f>IF([3]Source!AEH44="Yes","Có","Không")</f>
        <v>Có</v>
      </c>
      <c r="Z43" s="217">
        <f>[3]Source!AEI44</f>
        <v>29.5</v>
      </c>
      <c r="AA43" s="217" t="str">
        <f>IF([3]SB1!WBZ44="","",IF([3]SB1!WBZ44=0,"Có","Không"))</f>
        <v/>
      </c>
      <c r="AB43" s="217" t="str">
        <f>IF([3]Source!ADX44="Yes","Có","Không")</f>
        <v>Không</v>
      </c>
      <c r="AC43" s="217">
        <f>MIN([3]SB1!AH44,[3]SB2!AH44,[3]SB3!AH44,[3]SB4!AH44,[3]SB5!AH44,[3]SB6!AH44)+[3]SB1!AG44</f>
        <v>40</v>
      </c>
      <c r="AD43" s="217" t="str">
        <f>IF([3]SB1!HQ44="","",[3]SB1!HQ44)</f>
        <v>10,5</v>
      </c>
      <c r="AE43" s="218" t="str">
        <f>IF([3]SB1!HV44="","",[3]SB1!HV44)</f>
        <v/>
      </c>
    </row>
    <row r="44" spans="1:31" s="219" customFormat="1">
      <c r="A44" s="211" t="str">
        <f>[3]SB1!HM45</f>
        <v>Viettel Sóc Trăng - Chi nhánh Tập đoàn Công nghiệp - Viễn Thông Quân Đội</v>
      </c>
      <c r="B44" s="212">
        <f>[3]Source!A45</f>
        <v>42</v>
      </c>
      <c r="C44" s="212">
        <f>[3]SB1!GZ45</f>
        <v>761</v>
      </c>
      <c r="D44" s="213" t="str">
        <f>[3]SB1!GX45</f>
        <v>Ấp No Pol, xã Vĩnh Tân, thị xã Vĩnh Châu, tỉnh Sóc Trăng.</v>
      </c>
      <c r="E44" s="211" t="str">
        <f>[3]SB1!GV45</f>
        <v>Sóc Trăng</v>
      </c>
      <c r="F44" s="211" t="str">
        <f>MID([3]SB1!GS45,1,FIND(";",[3]SB1!GS45,1)-1)</f>
        <v>105,88826</v>
      </c>
      <c r="G44" s="211" t="str">
        <f>RIGHT([3]SB1!GS45,LEN([3]SB1!GS45)-LEN(F44)-1)</f>
        <v>9,28863</v>
      </c>
      <c r="H44" s="213">
        <f>[3]SB1!GY45</f>
        <v>1</v>
      </c>
      <c r="I44" s="211" t="str">
        <f>[3]SB1!AY45</f>
        <v>1802446/2019/PTN-KĐ</v>
      </c>
      <c r="J44" s="214">
        <f>[3]SB1!HK45</f>
        <v>43497</v>
      </c>
      <c r="K44" s="214">
        <f>[3]SB1!GR45</f>
        <v>43491</v>
      </c>
      <c r="L44" s="215" t="str">
        <f>IF(H44=1,[3]SB1!HR45,IF(H44=2,[3]SB1!HR45&amp;"/"&amp;[3]SB2!HM45,IF(H44=3,[3]SB1!HR45&amp;"/"&amp;[3]SB2!HM45&amp;"/"&amp;[3]SB3!HM45,IF(H44=4,[3]SB1!HR45&amp;"/"&amp;[3]SB2!HM45&amp;"/"&amp;[3]SB3!HM45&amp;"/"&amp;[3]SB4!HM45,IF(H44=5,[3]SB1!HR45&amp;"/"&amp;[3]SB2!HM45&amp;"/"&amp;[3]SB3!HM45&amp;"/"&amp;[3]SB4!HM45&amp;"/"&amp;[3]SB5!HM45,[3]SB1!HR45&amp;"/"&amp;[3]SB2!HM45&amp;"/"&amp;[3]SB3!HM45&amp;"/"&amp;[3]SB4!HM45&amp;"/"&amp;[3]SB5!HM45&amp;"/"&amp;[3]SB6!HM45)))))</f>
        <v>TẬP ĐOÀN CÔNG NGHIỆP - VIỄN THÔNG QUÂN ĐỘI</v>
      </c>
      <c r="M44" s="216" t="str">
        <f>IF(H44=1,[3]SB1!C45,IF(H44=2,[3]SB1!C45&amp;";"&amp;[3]SB2!C45,IF(H44=3,[3]SB1!C45&amp;";"&amp;[3]SB2!C45&amp;";"&amp;[3]SB3!C45,IF(H44=4,[3]SB1!C45&amp;";"&amp;[3]SB2!C45&amp;";"&amp;[3]SB3!C45&amp;";"&amp;[3]SB4!C45,IF(H44=5,[3]SB1!C45&amp;";"&amp;[3]SB2!C45&amp;";"&amp;[3]SB3!C45&amp;";"&amp;[3]SB4!C45&amp;";"&amp;[3]SB5!C45,[3]SB1!C45&amp;";"&amp;[3]SB2!C45&amp;";"&amp;[3]SB3!C45&amp;";"&amp;[3]SB4!C45&amp;";"&amp;[3]SB5!C45&amp;";"&amp;[3]SB6!C45)))))</f>
        <v>STG0073-11</v>
      </c>
      <c r="N44" s="216" t="str">
        <f>IF(H44=1,[3]SB1!K45,IF(H44=2,[3]SB1!K45&amp;";"&amp;[3]SB2!K45,IF(H44=3,[3]SB1!K45&amp;";"&amp;[3]SB2!K45&amp;";"&amp;[3]SB3!K45,IF(H44=4,[3]SB1!K45&amp;";"&amp;[3]SB2!K45&amp;";"&amp;[3]SB3!K45&amp;";"&amp;[3]SB4!K45,IF(H44=5,[3]SB1!K45&amp;";"&amp;[3]SB2!K45&amp;";"&amp;[3]SB3!K45&amp;";"&amp;[3]SB4!K45&amp;";"&amp;[3]SB5!K45,[3]SB1!K45&amp;";"&amp;[3]SB2!K45&amp;";"&amp;[3]SB3!K45&amp;";"&amp;[3]SB4!K45&amp;";"&amp;[3]SB5!K45&amp;";"&amp;[3]SB6!K45)))))</f>
        <v>NOKIA Flexi WCDMA BTS</v>
      </c>
      <c r="O44" s="212">
        <f>[3]SB1!P45+[3]SB2!P45+[3]SB3!P45+[3]SB4!P45+[3]SB5!P45+[3]SB6!P45</f>
        <v>2</v>
      </c>
      <c r="P44" s="216" t="str">
        <f>IF(H44=1,[3]SB1!Q45,IF(H44=2,[3]SB1!Q45&amp;";"&amp;[3]SB2!Q45,IF(H44=3,[3]SB1!Q45&amp;";"&amp;[3]SB2!Q45&amp;";"&amp;[3]SB3!Q45,IF(H44=4,[3]SB1!Q45&amp;";"&amp;[3]SB2!Q45&amp;";"&amp;[3]SB3!Q45&amp;";"&amp;[3]SB4!Q45,IF(H44=5,[3]SB1!Q45&amp;";"&amp;[3]SB2!Q45&amp;";"&amp;[3]SB3!Q45&amp;";"&amp;[3]SB4!Q45&amp;";"&amp;[3]SB5!Q45,[3]SB1!Q45&amp;";"&amp;[3]SB2!Q45&amp;";"&amp;[3]SB3!Q45&amp;";"&amp;[3]SB4!Q45&amp;";"&amp;[3]SB5!Q45&amp;";"&amp;[3]SB6!Q45)))))</f>
        <v>2/2</v>
      </c>
      <c r="Q44" s="216" t="str">
        <f>IF(H44=1,[3]SB1!HS45,IF(H44=2,[3]SB1!HS45&amp;";"&amp;[3]SB2!HN45,IF(H44=3,[3]SB1!HS45&amp;";"&amp;[3]SB2!HN45&amp;";"&amp;[3]SB3!HN45,IF(H44=4,[3]SB1!HS45&amp;";"&amp;[3]SB2!HN45&amp;";"&amp;[3]SB3!HN45&amp;";"&amp;[3]SB4!HN45,IF(H44=5,[3]SB1!HS45&amp;";"&amp;[3]SB2!HN45&amp;";"&amp;[3]SB3!HN45&amp;";"&amp;[3]SB4!HN45&amp;";"&amp;[3]SB5!HN45,[3]SB1!HS45&amp;";"&amp;[3]SB2!HN45&amp;";"&amp;[3]SB3!HN45&amp;";"&amp;[3]SB4!HN45&amp;";"&amp;[3]SB5!HN45&amp;";"&amp;[3]SB6!HN45)))))</f>
        <v>40W/40W</v>
      </c>
      <c r="R44" s="216" t="str">
        <f>IF(H44=1,[3]SB1!H45,IF(H44=2,[3]SB1!H45&amp;"/"&amp;[3]SB2!H45,IF(H44=3,[3]SB1!H45&amp;"/"&amp;[3]SB2!H45&amp;"/"&amp;[3]SB3!H45,IF(H44=4,[3]SB1!H45&amp;"/"&amp;[3]SB2!H45&amp;"/"&amp;[3]SB3!H45&amp;"/"&amp;[3]SB4!H45,IF(H44=5,[3]SB1!H45&amp;"/"&amp;[3]SB2!H45&amp;"/"&amp;[3]SB3!H45&amp;"/"&amp;[3]SB4!H45&amp;"/"&amp;[3]SB5!H45,[3]SB1!H45&amp;"/"&amp;[3]SB2!H45&amp;"/"&amp;[3]SB3!H45&amp;"/"&amp;[3]SB4!H45&amp;"/"&amp;[3]SB5!H45&amp;"/"&amp;[3]SB6!H45)))))</f>
        <v>U2100</v>
      </c>
      <c r="S44" s="216" t="str">
        <f>IF(H44=1,[3]SB1!HT45,IF(H44=2,[3]SB1!HT45&amp;";"&amp;[3]SB2!HO45,IF(H44=3,[3]SB1!HT45&amp;";"&amp;[3]SB2!HO45&amp;";"&amp;[3]SB3!HO45,IF(H44=4,[3]SB1!HT45&amp;";"&amp;[3]SB2!HO45&amp;";"&amp;[3]SB3!HO45&amp;";"&amp;[3]SB4!HO45,IF(H44=5,[3]SB1!HT45&amp;";"&amp;[3]SB2!HO45&amp;";"&amp;[3]SB3!HO45&amp;";"&amp;[3]SB4!HO45&amp;";"&amp;[3]SB5!HO45,[3]SB1!HT45&amp;";"&amp;[3]SB2!HO45&amp;";"&amp;[3]SB3!HO45&amp;";"&amp;[3]SB4!HO45&amp;";"&amp;[3]SB5!HO45&amp;";"&amp;[3]SB6!HO45)))))</f>
        <v>17m/ 17m</v>
      </c>
      <c r="T44" s="215">
        <f>[3]SB1!GU45</f>
        <v>1</v>
      </c>
      <c r="U44" s="215" t="str">
        <f>IF(H44=1,[3]SB1!AS45,IF(H44=2,[3]SB1!AS45&amp;";"&amp;[3]SB2!AS45,IF(H44=3,[3]SB1!AS45&amp;";"&amp;[3]SB2!AS45&amp;";"&amp;[3]SB3!AS45,IF(H44=4,[3]SB1!AS45&amp;";"&amp;[3]SB2!AS45&amp;";"&amp;[3]SB3!AS45&amp;";"&amp;[3]SB4!AS45,IF(H44=5,[3]SB1!AS45&amp;";"&amp;[3]SB2!AS45&amp;";"&amp;[3]SB3!AS45&amp;";"&amp;[3]SB4!AS45&amp;";"&amp;[3]SB5!AS45,[3]SB1!AS45&amp;";"&amp;[3]SB2!AS45&amp;";"&amp;[3]SB3!AS45&amp;";"&amp;[3]SB4!AS45&amp;";"&amp;[3]SB5!AS45&amp;";"&amp;[3]SB6!AS45)))))</f>
        <v>Kathrein 742215</v>
      </c>
      <c r="V44" s="213" t="str">
        <f>IF([3]Source!AEE45="Yes","Có","Không")</f>
        <v>Có</v>
      </c>
      <c r="W44" s="213" t="str">
        <f>IF([3]Source!AEF45="Yes","Có","Không")</f>
        <v>Không</v>
      </c>
      <c r="X44" s="213" t="str">
        <f>[3]Source!AEG45</f>
        <v/>
      </c>
      <c r="Y44" s="213" t="str">
        <f>IF([3]Source!AEH45="Yes","Có","Không")</f>
        <v>Có</v>
      </c>
      <c r="Z44" s="217">
        <f>[3]Source!AEI45</f>
        <v>13</v>
      </c>
      <c r="AA44" s="217" t="str">
        <f>IF([3]SB1!WBZ45="","",IF([3]SB1!WBZ45=0,"Có","Không"))</f>
        <v/>
      </c>
      <c r="AB44" s="217" t="str">
        <f>IF([3]Source!ADX45="Yes","Có","Không")</f>
        <v>Không</v>
      </c>
      <c r="AC44" s="217">
        <f>MIN([3]SB1!AH45,[3]SB2!AH45,[3]SB3!AH45,[3]SB4!AH45,[3]SB5!AH45,[3]SB6!AH45)+[3]SB1!AG45</f>
        <v>17</v>
      </c>
      <c r="AD44" s="217" t="str">
        <f>IF([3]SB1!HQ45="","",[3]SB1!HQ45)</f>
        <v>4</v>
      </c>
      <c r="AE44" s="218" t="str">
        <f>IF([3]SB1!HV45="","",[3]SB1!HV45)</f>
        <v/>
      </c>
    </row>
    <row r="45" spans="1:31" s="219" customFormat="1">
      <c r="A45" s="211" t="str">
        <f>[3]SB1!HM46</f>
        <v>Viettel Sóc Trăng - Chi nhánh Tập đoàn Công nghiệp - Viễn Thông Quân Đội</v>
      </c>
      <c r="B45" s="212">
        <f>[3]Source!A46</f>
        <v>43</v>
      </c>
      <c r="C45" s="212">
        <f>[3]SB1!GZ46</f>
        <v>761</v>
      </c>
      <c r="D45" s="213" t="str">
        <f>[3]SB1!GX46</f>
        <v>Trường Cao đẳng Sư phạm Sóc Trăng, số 77, tỉnh lộ 934, thị trấn Mỹ Xuyên, huyện Mỹ Xuyên, tỉnh Sóc Trăng.</v>
      </c>
      <c r="E45" s="211" t="str">
        <f>[3]SB1!GV46</f>
        <v>Sóc Trăng</v>
      </c>
      <c r="F45" s="211" t="str">
        <f>MID([3]SB1!GS46,1,FIND(";",[3]SB1!GS46,1)-1)</f>
        <v>105,98080</v>
      </c>
      <c r="G45" s="211" t="str">
        <f>RIGHT([3]SB1!GS46,LEN([3]SB1!GS46)-LEN(F45)-1)</f>
        <v>9,56802</v>
      </c>
      <c r="H45" s="213">
        <f>[3]SB1!GY46</f>
        <v>3</v>
      </c>
      <c r="I45" s="211" t="str">
        <f>[3]SB1!AY46</f>
        <v>1802447/2019/PTN-KĐ</v>
      </c>
      <c r="J45" s="214">
        <f>[3]SB1!HK46</f>
        <v>43497</v>
      </c>
      <c r="K45" s="214">
        <f>[3]SB1!GR46</f>
        <v>43492</v>
      </c>
      <c r="L45" s="215" t="str">
        <f>IF(H45=1,[3]SB1!HR46,IF(H45=2,[3]SB1!HR46&amp;"/"&amp;[3]SB2!HM46,IF(H45=3,[3]SB1!HR46&amp;"/"&amp;[3]SB2!HM46&amp;"/"&amp;[3]SB3!HM46,IF(H45=4,[3]SB1!HR46&amp;"/"&amp;[3]SB2!HM46&amp;"/"&amp;[3]SB3!HM46&amp;"/"&amp;[3]SB4!HM46,IF(H45=5,[3]SB1!HR46&amp;"/"&amp;[3]SB2!HM46&amp;"/"&amp;[3]SB3!HM46&amp;"/"&amp;[3]SB4!HM46&amp;"/"&amp;[3]SB5!HM46,[3]SB1!HR46&amp;"/"&amp;[3]SB2!HM46&amp;"/"&amp;[3]SB3!HM46&amp;"/"&amp;[3]SB4!HM46&amp;"/"&amp;[3]SB5!HM46&amp;"/"&amp;[3]SB6!HM46)))))</f>
        <v>TẬP ĐOÀN CÔNG NGHIỆP - VIỄN THÔNG QUÂN ĐỘI/TẬP ĐOÀN CÔNG NGHIỆP - VIỄN THÔNG QUÂN ĐỘI/TẬP ĐOÀN CÔNG NGHIỆP - VIỄN THÔNG QUÂN ĐỘI</v>
      </c>
      <c r="M45" s="216" t="str">
        <f>IF(H45=1,[3]SB1!C46,IF(H45=2,[3]SB1!C46&amp;";"&amp;[3]SB2!C46,IF(H45=3,[3]SB1!C46&amp;";"&amp;[3]SB2!C46&amp;";"&amp;[3]SB3!C46,IF(H45=4,[3]SB1!C46&amp;";"&amp;[3]SB2!C46&amp;";"&amp;[3]SB3!C46&amp;";"&amp;[3]SB4!C46,IF(H45=5,[3]SB1!C46&amp;";"&amp;[3]SB2!C46&amp;";"&amp;[3]SB3!C46&amp;";"&amp;[3]SB4!C46&amp;";"&amp;[3]SB5!C46,[3]SB1!C46&amp;";"&amp;[3]SB2!C46&amp;";"&amp;[3]SB3!C46&amp;";"&amp;[3]SB4!C46&amp;";"&amp;[3]SB5!C46&amp;";"&amp;[3]SB6!C46)))))</f>
        <v>STG0182;STG0182;STG0182</v>
      </c>
      <c r="N45" s="216" t="str">
        <f>IF(H45=1,[3]SB1!K46,IF(H45=2,[3]SB1!K46&amp;";"&amp;[3]SB2!K46,IF(H45=3,[3]SB1!K46&amp;";"&amp;[3]SB2!K46&amp;";"&amp;[3]SB3!K46,IF(H45=4,[3]SB1!K46&amp;";"&amp;[3]SB2!K46&amp;";"&amp;[3]SB3!K46&amp;";"&amp;[3]SB4!K46,IF(H45=5,[3]SB1!K46&amp;";"&amp;[3]SB2!K46&amp;";"&amp;[3]SB3!K46&amp;";"&amp;[3]SB4!K46&amp;";"&amp;[3]SB5!K46,[3]SB1!K46&amp;";"&amp;[3]SB2!K46&amp;";"&amp;[3]SB3!K46&amp;";"&amp;[3]SB4!K46&amp;";"&amp;[3]SB5!K46&amp;";"&amp;[3]SB6!K46)))))</f>
        <v>NOKIA Flexi EDGE BTS;NOKIA Flexi WCDMA BTS;NSN FLEXI MULTIRADIO AIRSCALE</v>
      </c>
      <c r="O45" s="212">
        <f>[3]SB1!P46+[3]SB2!P46+[3]SB3!P46+[3]SB4!P46+[3]SB5!P46+[3]SB6!P46</f>
        <v>9</v>
      </c>
      <c r="P45" s="216" t="str">
        <f>IF(H45=1,[3]SB1!Q46,IF(H45=2,[3]SB1!Q46&amp;";"&amp;[3]SB2!Q46,IF(H45=3,[3]SB1!Q46&amp;";"&amp;[3]SB2!Q46&amp;";"&amp;[3]SB3!Q46,IF(H45=4,[3]SB1!Q46&amp;";"&amp;[3]SB2!Q46&amp;";"&amp;[3]SB3!Q46&amp;";"&amp;[3]SB4!Q46,IF(H45=5,[3]SB1!Q46&amp;";"&amp;[3]SB2!Q46&amp;";"&amp;[3]SB3!Q46&amp;";"&amp;[3]SB4!Q46&amp;";"&amp;[3]SB5!Q46,[3]SB1!Q46&amp;";"&amp;[3]SB2!Q46&amp;";"&amp;[3]SB3!Q46&amp;";"&amp;[3]SB4!Q46&amp;";"&amp;[3]SB5!Q46&amp;";"&amp;[3]SB6!Q46)))))</f>
        <v>2/2/4;2/2/2;1/1/1</v>
      </c>
      <c r="Q45" s="216" t="str">
        <f>IF(H45=1,[3]SB1!HS46,IF(H45=2,[3]SB1!HS46&amp;";"&amp;[3]SB2!HN46,IF(H45=3,[3]SB1!HS46&amp;";"&amp;[3]SB2!HN46&amp;";"&amp;[3]SB3!HN46,IF(H45=4,[3]SB1!HS46&amp;";"&amp;[3]SB2!HN46&amp;";"&amp;[3]SB3!HN46&amp;";"&amp;[3]SB4!HN46,IF(H45=5,[3]SB1!HS46&amp;";"&amp;[3]SB2!HN46&amp;";"&amp;[3]SB3!HN46&amp;";"&amp;[3]SB4!HN46&amp;";"&amp;[3]SB5!HN46,[3]SB1!HS46&amp;";"&amp;[3]SB2!HN46&amp;";"&amp;[3]SB3!HN46&amp;";"&amp;[3]SB4!HN46&amp;";"&amp;[3]SB5!HN46&amp;";"&amp;[3]SB6!HN46)))))</f>
        <v>41,7W/41,7W/37,24W;40W/40W/40W;40W/40W/40W</v>
      </c>
      <c r="R45" s="216" t="str">
        <f>IF(H45=1,[3]SB1!H46,IF(H45=2,[3]SB1!H46&amp;"/"&amp;[3]SB2!H46,IF(H45=3,[3]SB1!H46&amp;"/"&amp;[3]SB2!H46&amp;"/"&amp;[3]SB3!H46,IF(H45=4,[3]SB1!H46&amp;"/"&amp;[3]SB2!H46&amp;"/"&amp;[3]SB3!H46&amp;"/"&amp;[3]SB4!H46,IF(H45=5,[3]SB1!H46&amp;"/"&amp;[3]SB2!H46&amp;"/"&amp;[3]SB3!H46&amp;"/"&amp;[3]SB4!H46&amp;"/"&amp;[3]SB5!H46,[3]SB1!H46&amp;"/"&amp;[3]SB2!H46&amp;"/"&amp;[3]SB3!H46&amp;"/"&amp;[3]SB4!H46&amp;"/"&amp;[3]SB5!H46&amp;"/"&amp;[3]SB6!H46)))))</f>
        <v>G900/U2100/L1800</v>
      </c>
      <c r="S45" s="216" t="str">
        <f>IF(H45=1,[3]SB1!HT46,IF(H45=2,[3]SB1!HT46&amp;";"&amp;[3]SB2!HO46,IF(H45=3,[3]SB1!HT46&amp;";"&amp;[3]SB2!HO46&amp;";"&amp;[3]SB3!HO46,IF(H45=4,[3]SB1!HT46&amp;";"&amp;[3]SB2!HO46&amp;";"&amp;[3]SB3!HO46&amp;";"&amp;[3]SB4!HO46,IF(H45=5,[3]SB1!HT46&amp;";"&amp;[3]SB2!HO46&amp;";"&amp;[3]SB3!HO46&amp;";"&amp;[3]SB4!HO46&amp;";"&amp;[3]SB5!HO46,[3]SB1!HT46&amp;";"&amp;[3]SB2!HO46&amp;";"&amp;[3]SB3!HO46&amp;";"&amp;[3]SB4!HO46&amp;";"&amp;[3]SB5!HO46&amp;";"&amp;[3]SB6!HO46)))))</f>
        <v>28m/ 28m/ 28m;34m/ 34m/ 34m;34m/ 34m/ 34m</v>
      </c>
      <c r="T45" s="215">
        <f>[3]SB1!GU46</f>
        <v>2</v>
      </c>
      <c r="U45" s="215" t="str">
        <f>IF(H45=1,[3]SB1!AS46,IF(H45=2,[3]SB1!AS46&amp;";"&amp;[3]SB2!AS46,IF(H45=3,[3]SB1!AS46&amp;";"&amp;[3]SB2!AS46&amp;";"&amp;[3]SB3!AS46,IF(H45=4,[3]SB1!AS46&amp;";"&amp;[3]SB2!AS46&amp;";"&amp;[3]SB3!AS46&amp;";"&amp;[3]SB4!AS46,IF(H45=5,[3]SB1!AS46&amp;";"&amp;[3]SB2!AS46&amp;";"&amp;[3]SB3!AS46&amp;";"&amp;[3]SB4!AS46&amp;";"&amp;[3]SB5!AS46,[3]SB1!AS46&amp;";"&amp;[3]SB2!AS46&amp;";"&amp;[3]SB3!AS46&amp;";"&amp;[3]SB4!AS46&amp;";"&amp;[3]SB5!AS46&amp;";"&amp;[3]SB6!AS46)))))</f>
        <v>Kathrein 739636;Kathrein 742215;</v>
      </c>
      <c r="V45" s="213" t="str">
        <f>IF([3]Source!AEE46="Yes","Có","Không")</f>
        <v>Có</v>
      </c>
      <c r="W45" s="213" t="str">
        <f>IF([3]Source!AEF46="Yes","Có","Không")</f>
        <v>Không</v>
      </c>
      <c r="X45" s="213" t="str">
        <f>[3]Source!AEG46</f>
        <v/>
      </c>
      <c r="Y45" s="213" t="str">
        <f>IF([3]Source!AEH46="Yes","Có","Không")</f>
        <v>Có</v>
      </c>
      <c r="Z45" s="217">
        <f>[3]Source!AEI46</f>
        <v>14</v>
      </c>
      <c r="AA45" s="217" t="str">
        <f>IF([3]SB1!WBZ46="","",IF([3]SB1!WBZ46=0,"Có","Không"))</f>
        <v/>
      </c>
      <c r="AB45" s="217" t="str">
        <f>IF([3]Source!ADX46="Yes","Có","Không")</f>
        <v>Không</v>
      </c>
      <c r="AC45" s="217">
        <f>MIN([3]SB1!AH46,[3]SB2!AH46,[3]SB3!AH46,[3]SB4!AH46,[3]SB5!AH46,[3]SB6!AH46)+[3]SB1!AG46</f>
        <v>28</v>
      </c>
      <c r="AD45" s="217" t="str">
        <f>IF([3]SB1!HQ46="","",[3]SB1!HQ46)</f>
        <v>14</v>
      </c>
      <c r="AE45" s="218" t="str">
        <f>IF([3]SB1!HV46="","",[3]SB1!HV46)</f>
        <v/>
      </c>
    </row>
    <row r="46" spans="1:31" s="219" customFormat="1">
      <c r="A46" s="211" t="str">
        <f>[3]SB1!HM47</f>
        <v>Viettel Sóc Trăng - Chi nhánh Tập đoàn Công nghiệp - Viễn Thông Quân Đội</v>
      </c>
      <c r="B46" s="212">
        <f>[3]Source!A47</f>
        <v>44</v>
      </c>
      <c r="C46" s="212">
        <f>[3]SB1!GZ47</f>
        <v>761</v>
      </c>
      <c r="D46" s="213" t="str">
        <f>[3]SB1!GX47</f>
        <v>Ấp Hòa Khanh, xã Thạnh Quới, huyện Mỹ Xuyên, tỉnh Sóc Trăng.</v>
      </c>
      <c r="E46" s="211" t="str">
        <f>[3]SB1!GV47</f>
        <v>Sóc Trăng</v>
      </c>
      <c r="F46" s="211" t="str">
        <f>MID([3]SB1!GS47,1,FIND(";",[3]SB1!GS47,1)-1)</f>
        <v>105,80170</v>
      </c>
      <c r="G46" s="211" t="str">
        <f>RIGHT([3]SB1!GS47,LEN([3]SB1!GS47)-LEN(F46)-1)</f>
        <v>9,45373</v>
      </c>
      <c r="H46" s="213">
        <f>[3]SB1!GY47</f>
        <v>1</v>
      </c>
      <c r="I46" s="211" t="str">
        <f>[3]SB1!AY47</f>
        <v>1802448/2019/PTN-KĐ</v>
      </c>
      <c r="J46" s="214">
        <f>[3]SB1!HK47</f>
        <v>43497</v>
      </c>
      <c r="K46" s="214">
        <f>[3]SB1!GR47</f>
        <v>43492</v>
      </c>
      <c r="L46" s="215" t="str">
        <f>IF(H46=1,[3]SB1!HR47,IF(H46=2,[3]SB1!HR47&amp;"/"&amp;[3]SB2!HM47,IF(H46=3,[3]SB1!HR47&amp;"/"&amp;[3]SB2!HM47&amp;"/"&amp;[3]SB3!HM47,IF(H46=4,[3]SB1!HR47&amp;"/"&amp;[3]SB2!HM47&amp;"/"&amp;[3]SB3!HM47&amp;"/"&amp;[3]SB4!HM47,IF(H46=5,[3]SB1!HR47&amp;"/"&amp;[3]SB2!HM47&amp;"/"&amp;[3]SB3!HM47&amp;"/"&amp;[3]SB4!HM47&amp;"/"&amp;[3]SB5!HM47,[3]SB1!HR47&amp;"/"&amp;[3]SB2!HM47&amp;"/"&amp;[3]SB3!HM47&amp;"/"&amp;[3]SB4!HM47&amp;"/"&amp;[3]SB5!HM47&amp;"/"&amp;[3]SB6!HM47)))))</f>
        <v>TẬP ĐOÀN CÔNG NGHIỆP - VIỄN THÔNG QUÂN ĐỘI</v>
      </c>
      <c r="M46" s="216" t="str">
        <f>IF(H46=1,[3]SB1!C47,IF(H46=2,[3]SB1!C47&amp;";"&amp;[3]SB2!C47,IF(H46=3,[3]SB1!C47&amp;";"&amp;[3]SB2!C47&amp;";"&amp;[3]SB3!C47,IF(H46=4,[3]SB1!C47&amp;";"&amp;[3]SB2!C47&amp;";"&amp;[3]SB3!C47&amp;";"&amp;[3]SB4!C47,IF(H46=5,[3]SB1!C47&amp;";"&amp;[3]SB2!C47&amp;";"&amp;[3]SB3!C47&amp;";"&amp;[3]SB4!C47&amp;";"&amp;[3]SB5!C47,[3]SB1!C47&amp;";"&amp;[3]SB2!C47&amp;";"&amp;[3]SB3!C47&amp;";"&amp;[3]SB4!C47&amp;";"&amp;[3]SB5!C47&amp;";"&amp;[3]SB6!C47)))))</f>
        <v>STG0465-11</v>
      </c>
      <c r="N46" s="216" t="str">
        <f>IF(H46=1,[3]SB1!K47,IF(H46=2,[3]SB1!K47&amp;";"&amp;[3]SB2!K47,IF(H46=3,[3]SB1!K47&amp;";"&amp;[3]SB2!K47&amp;";"&amp;[3]SB3!K47,IF(H46=4,[3]SB1!K47&amp;";"&amp;[3]SB2!K47&amp;";"&amp;[3]SB3!K47&amp;";"&amp;[3]SB4!K47,IF(H46=5,[3]SB1!K47&amp;";"&amp;[3]SB2!K47&amp;";"&amp;[3]SB3!K47&amp;";"&amp;[3]SB4!K47&amp;";"&amp;[3]SB5!K47,[3]SB1!K47&amp;";"&amp;[3]SB2!K47&amp;";"&amp;[3]SB3!K47&amp;";"&amp;[3]SB4!K47&amp;";"&amp;[3]SB5!K47&amp;";"&amp;[3]SB6!K47)))))</f>
        <v>NOKIA Flexi WCDMA BTS</v>
      </c>
      <c r="O46" s="212">
        <f>[3]SB1!P47+[3]SB2!P47+[3]SB3!P47+[3]SB4!P47+[3]SB5!P47+[3]SB6!P47</f>
        <v>2</v>
      </c>
      <c r="P46" s="216" t="str">
        <f>IF(H46=1,[3]SB1!Q47,IF(H46=2,[3]SB1!Q47&amp;";"&amp;[3]SB2!Q47,IF(H46=3,[3]SB1!Q47&amp;";"&amp;[3]SB2!Q47&amp;";"&amp;[3]SB3!Q47,IF(H46=4,[3]SB1!Q47&amp;";"&amp;[3]SB2!Q47&amp;";"&amp;[3]SB3!Q47&amp;";"&amp;[3]SB4!Q47,IF(H46=5,[3]SB1!Q47&amp;";"&amp;[3]SB2!Q47&amp;";"&amp;[3]SB3!Q47&amp;";"&amp;[3]SB4!Q47&amp;";"&amp;[3]SB5!Q47,[3]SB1!Q47&amp;";"&amp;[3]SB2!Q47&amp;";"&amp;[3]SB3!Q47&amp;";"&amp;[3]SB4!Q47&amp;";"&amp;[3]SB5!Q47&amp;";"&amp;[3]SB6!Q47)))))</f>
        <v>2/2</v>
      </c>
      <c r="Q46" s="216" t="str">
        <f>IF(H46=1,[3]SB1!HS47,IF(H46=2,[3]SB1!HS47&amp;";"&amp;[3]SB2!HN47,IF(H46=3,[3]SB1!HS47&amp;";"&amp;[3]SB2!HN47&amp;";"&amp;[3]SB3!HN47,IF(H46=4,[3]SB1!HS47&amp;";"&amp;[3]SB2!HN47&amp;";"&amp;[3]SB3!HN47&amp;";"&amp;[3]SB4!HN47,IF(H46=5,[3]SB1!HS47&amp;";"&amp;[3]SB2!HN47&amp;";"&amp;[3]SB3!HN47&amp;";"&amp;[3]SB4!HN47&amp;";"&amp;[3]SB5!HN47,[3]SB1!HS47&amp;";"&amp;[3]SB2!HN47&amp;";"&amp;[3]SB3!HN47&amp;";"&amp;[3]SB4!HN47&amp;";"&amp;[3]SB5!HN47&amp;";"&amp;[3]SB6!HN47)))))</f>
        <v>40W/40W</v>
      </c>
      <c r="R46" s="216" t="str">
        <f>IF(H46=1,[3]SB1!H47,IF(H46=2,[3]SB1!H47&amp;"/"&amp;[3]SB2!H47,IF(H46=3,[3]SB1!H47&amp;"/"&amp;[3]SB2!H47&amp;"/"&amp;[3]SB3!H47,IF(H46=4,[3]SB1!H47&amp;"/"&amp;[3]SB2!H47&amp;"/"&amp;[3]SB3!H47&amp;"/"&amp;[3]SB4!H47,IF(H46=5,[3]SB1!H47&amp;"/"&amp;[3]SB2!H47&amp;"/"&amp;[3]SB3!H47&amp;"/"&amp;[3]SB4!H47&amp;"/"&amp;[3]SB5!H47,[3]SB1!H47&amp;"/"&amp;[3]SB2!H47&amp;"/"&amp;[3]SB3!H47&amp;"/"&amp;[3]SB4!H47&amp;"/"&amp;[3]SB5!H47&amp;"/"&amp;[3]SB6!H47)))))</f>
        <v>U2100</v>
      </c>
      <c r="S46" s="216" t="str">
        <f>IF(H46=1,[3]SB1!HT47,IF(H46=2,[3]SB1!HT47&amp;";"&amp;[3]SB2!HO47,IF(H46=3,[3]SB1!HT47&amp;";"&amp;[3]SB2!HO47&amp;";"&amp;[3]SB3!HO47,IF(H46=4,[3]SB1!HT47&amp;";"&amp;[3]SB2!HO47&amp;";"&amp;[3]SB3!HO47&amp;";"&amp;[3]SB4!HO47,IF(H46=5,[3]SB1!HT47&amp;";"&amp;[3]SB2!HO47&amp;";"&amp;[3]SB3!HO47&amp;";"&amp;[3]SB4!HO47&amp;";"&amp;[3]SB5!HO47,[3]SB1!HT47&amp;";"&amp;[3]SB2!HO47&amp;";"&amp;[3]SB3!HO47&amp;";"&amp;[3]SB4!HO47&amp;";"&amp;[3]SB5!HO47&amp;";"&amp;[3]SB6!HO47)))))</f>
        <v>16m/ 16m</v>
      </c>
      <c r="T46" s="215">
        <f>[3]SB1!GU47</f>
        <v>1</v>
      </c>
      <c r="U46" s="215" t="str">
        <f>IF(H46=1,[3]SB1!AS47,IF(H46=2,[3]SB1!AS47&amp;";"&amp;[3]SB2!AS47,IF(H46=3,[3]SB1!AS47&amp;";"&amp;[3]SB2!AS47&amp;";"&amp;[3]SB3!AS47,IF(H46=4,[3]SB1!AS47&amp;";"&amp;[3]SB2!AS47&amp;";"&amp;[3]SB3!AS47&amp;";"&amp;[3]SB4!AS47,IF(H46=5,[3]SB1!AS47&amp;";"&amp;[3]SB2!AS47&amp;";"&amp;[3]SB3!AS47&amp;";"&amp;[3]SB4!AS47&amp;";"&amp;[3]SB5!AS47,[3]SB1!AS47&amp;";"&amp;[3]SB2!AS47&amp;";"&amp;[3]SB3!AS47&amp;";"&amp;[3]SB4!AS47&amp;";"&amp;[3]SB5!AS47&amp;";"&amp;[3]SB6!AS47)))))</f>
        <v>Kathrein 742215</v>
      </c>
      <c r="V46" s="213" t="str">
        <f>IF([3]Source!AEE47="Yes","Có","Không")</f>
        <v>Có</v>
      </c>
      <c r="W46" s="213" t="str">
        <f>IF([3]Source!AEF47="Yes","Có","Không")</f>
        <v>Không</v>
      </c>
      <c r="X46" s="213" t="str">
        <f>[3]Source!AEG47</f>
        <v/>
      </c>
      <c r="Y46" s="213" t="str">
        <f>IF([3]Source!AEH47="Yes","Có","Không")</f>
        <v>Có</v>
      </c>
      <c r="Z46" s="217">
        <f>[3]Source!AEI47</f>
        <v>12</v>
      </c>
      <c r="AA46" s="217" t="str">
        <f>IF([3]SB1!WBZ47="","",IF([3]SB1!WBZ47=0,"Có","Không"))</f>
        <v/>
      </c>
      <c r="AB46" s="217" t="str">
        <f>IF([3]Source!ADX47="Yes","Có","Không")</f>
        <v>Không</v>
      </c>
      <c r="AC46" s="217">
        <f>MIN([3]SB1!AH47,[3]SB2!AH47,[3]SB3!AH47,[3]SB4!AH47,[3]SB5!AH47,[3]SB6!AH47)+[3]SB1!AG47</f>
        <v>16</v>
      </c>
      <c r="AD46" s="217" t="str">
        <f>IF([3]SB1!HQ47="","",[3]SB1!HQ47)</f>
        <v>4</v>
      </c>
      <c r="AE46" s="218" t="str">
        <f>IF([3]SB1!HV47="","",[3]SB1!HV47)</f>
        <v/>
      </c>
    </row>
    <row r="47" spans="1:31" s="219" customFormat="1">
      <c r="A47" s="211" t="str">
        <f>[3]SB1!HM48</f>
        <v>Viettel Sóc Trăng - Chi nhánh Tập đoàn Công nghiệp - Viễn Thông Quân Đội</v>
      </c>
      <c r="B47" s="212">
        <f>[3]Source!A48</f>
        <v>45</v>
      </c>
      <c r="C47" s="212">
        <f>[3]SB1!GZ48</f>
        <v>761</v>
      </c>
      <c r="D47" s="213" t="str">
        <f>[3]SB1!GX48</f>
        <v>Ấp Phú Thành B, xã Phú Tâm, huyện Châu Thành, tỉnh Sóc Trăng.</v>
      </c>
      <c r="E47" s="211" t="str">
        <f>[3]SB1!GV48</f>
        <v>Sóc Trăng</v>
      </c>
      <c r="F47" s="211" t="str">
        <f>MID([3]SB1!GS48,1,FIND(";",[3]SB1!GS48,1)-1)</f>
        <v>105,96131</v>
      </c>
      <c r="G47" s="211" t="str">
        <f>RIGHT([3]SB1!GS48,LEN([3]SB1!GS48)-LEN(F47)-1)</f>
        <v>9,68876</v>
      </c>
      <c r="H47" s="213">
        <f>[3]SB1!GY48</f>
        <v>4</v>
      </c>
      <c r="I47" s="211" t="str">
        <f>[3]SB1!AY48</f>
        <v>1802449/2019/PTN-KĐ</v>
      </c>
      <c r="J47" s="214">
        <f>[3]SB1!HK48</f>
        <v>43497</v>
      </c>
      <c r="K47" s="214">
        <f>[3]SB1!GR48</f>
        <v>43492</v>
      </c>
      <c r="L47" s="215" t="str">
        <f>IF(H47=1,[3]SB1!HR48,IF(H47=2,[3]SB1!HR48&amp;"/"&amp;[3]SB2!HM48,IF(H47=3,[3]SB1!HR48&amp;"/"&amp;[3]SB2!HM48&amp;"/"&amp;[3]SB3!HM48,IF(H47=4,[3]SB1!HR48&amp;"/"&amp;[3]SB2!HM48&amp;"/"&amp;[3]SB3!HM48&amp;"/"&amp;[3]SB4!HM48,IF(H47=5,[3]SB1!HR48&amp;"/"&amp;[3]SB2!HM48&amp;"/"&amp;[3]SB3!HM48&amp;"/"&amp;[3]SB4!HM48&amp;"/"&amp;[3]SB5!HM48,[3]SB1!HR48&amp;"/"&amp;[3]SB2!HM48&amp;"/"&amp;[3]SB3!HM48&amp;"/"&amp;[3]SB4!HM48&amp;"/"&amp;[3]SB5!HM48&amp;"/"&amp;[3]SB6!HM48)))))</f>
        <v>TẬP ĐOÀN CÔNG NGHIỆP - VIỄN THÔNG QUÂN ĐỘI/TẬP ĐOÀN CÔNG NGHIỆP - VIỄN THÔNG QUÂN ĐỘI/TẬP ĐOÀN CÔNG NGHIỆP - VIỄN THÔNG QUÂN ĐỘI/TẬP ĐOÀN CÔNG NGHIỆP - VIỄN THÔNG QUÂN ĐỘI</v>
      </c>
      <c r="M47" s="216" t="str">
        <f>IF(H47=1,[3]SB1!C48,IF(H47=2,[3]SB1!C48&amp;";"&amp;[3]SB2!C48,IF(H47=3,[3]SB1!C48&amp;";"&amp;[3]SB2!C48&amp;";"&amp;[3]SB3!C48,IF(H47=4,[3]SB1!C48&amp;";"&amp;[3]SB2!C48&amp;";"&amp;[3]SB3!C48&amp;";"&amp;[3]SB4!C48,IF(H47=5,[3]SB1!C48&amp;";"&amp;[3]SB2!C48&amp;";"&amp;[3]SB3!C48&amp;";"&amp;[3]SB4!C48&amp;";"&amp;[3]SB5!C48,[3]SB1!C48&amp;";"&amp;[3]SB2!C48&amp;";"&amp;[3]SB3!C48&amp;";"&amp;[3]SB4!C48&amp;";"&amp;[3]SB5!C48&amp;";"&amp;[3]SB6!C48)))))</f>
        <v>STG0026;STG0026;STG0026;STG0026</v>
      </c>
      <c r="N47" s="216" t="str">
        <f>IF(H47=1,[3]SB1!K48,IF(H47=2,[3]SB1!K48&amp;";"&amp;[3]SB2!K48,IF(H47=3,[3]SB1!K48&amp;";"&amp;[3]SB2!K48&amp;";"&amp;[3]SB3!K48,IF(H47=4,[3]SB1!K48&amp;";"&amp;[3]SB2!K48&amp;";"&amp;[3]SB3!K48&amp;";"&amp;[3]SB4!K48,IF(H47=5,[3]SB1!K48&amp;";"&amp;[3]SB2!K48&amp;";"&amp;[3]SB3!K48&amp;";"&amp;[3]SB4!K48&amp;";"&amp;[3]SB5!K48,[3]SB1!K48&amp;";"&amp;[3]SB2!K48&amp;";"&amp;[3]SB3!K48&amp;";"&amp;[3]SB4!K48&amp;";"&amp;[3]SB5!K48&amp;";"&amp;[3]SB6!K48)))))</f>
        <v>NOKIA Flexi EDGE BTS;NOKIA Flexi EDGE BTS;NOKIA Flexi WCDMA BTS;NSN FLEXI MULTIRADIO AIRSCALE</v>
      </c>
      <c r="O47" s="212">
        <f>[3]SB1!P48+[3]SB2!P48+[3]SB3!P48+[3]SB4!P48+[3]SB5!P48+[3]SB6!P48</f>
        <v>12</v>
      </c>
      <c r="P47" s="216" t="str">
        <f>IF(H47=1,[3]SB1!Q48,IF(H47=2,[3]SB1!Q48&amp;";"&amp;[3]SB2!Q48,IF(H47=3,[3]SB1!Q48&amp;";"&amp;[3]SB2!Q48&amp;";"&amp;[3]SB3!Q48,IF(H47=4,[3]SB1!Q48&amp;";"&amp;[3]SB2!Q48&amp;";"&amp;[3]SB3!Q48&amp;";"&amp;[3]SB4!Q48,IF(H47=5,[3]SB1!Q48&amp;";"&amp;[3]SB2!Q48&amp;";"&amp;[3]SB3!Q48&amp;";"&amp;[3]SB4!Q48&amp;";"&amp;[3]SB5!Q48,[3]SB1!Q48&amp;";"&amp;[3]SB2!Q48&amp;";"&amp;[3]SB3!Q48&amp;";"&amp;[3]SB4!Q48&amp;";"&amp;[3]SB5!Q48&amp;";"&amp;[3]SB6!Q48)))))</f>
        <v>4/4/4;2/2/2;2/2/2;1/1/1</v>
      </c>
      <c r="Q47" s="216" t="str">
        <f>IF(H47=1,[3]SB1!HS48,IF(H47=2,[3]SB1!HS48&amp;";"&amp;[3]SB2!HN48,IF(H47=3,[3]SB1!HS48&amp;";"&amp;[3]SB2!HN48&amp;";"&amp;[3]SB3!HN48,IF(H47=4,[3]SB1!HS48&amp;";"&amp;[3]SB2!HN48&amp;";"&amp;[3]SB3!HN48&amp;";"&amp;[3]SB4!HN48,IF(H47=5,[3]SB1!HS48&amp;";"&amp;[3]SB2!HN48&amp;";"&amp;[3]SB3!HN48&amp;";"&amp;[3]SB4!HN48&amp;";"&amp;[3]SB5!HN48,[3]SB1!HS48&amp;";"&amp;[3]SB2!HN48&amp;";"&amp;[3]SB3!HN48&amp;";"&amp;[3]SB4!HN48&amp;";"&amp;[3]SB5!HN48&amp;";"&amp;[3]SB6!HN48)))))</f>
        <v>37,24W/37,24W/37,24W;41,7W/41,7W/41,7W;40W/40W/40W;40W/40W/40W</v>
      </c>
      <c r="R47" s="216" t="str">
        <f>IF(H47=1,[3]SB1!H48,IF(H47=2,[3]SB1!H48&amp;"/"&amp;[3]SB2!H48,IF(H47=3,[3]SB1!H48&amp;"/"&amp;[3]SB2!H48&amp;"/"&amp;[3]SB3!H48,IF(H47=4,[3]SB1!H48&amp;"/"&amp;[3]SB2!H48&amp;"/"&amp;[3]SB3!H48&amp;"/"&amp;[3]SB4!H48,IF(H47=5,[3]SB1!H48&amp;"/"&amp;[3]SB2!H48&amp;"/"&amp;[3]SB3!H48&amp;"/"&amp;[3]SB4!H48&amp;"/"&amp;[3]SB5!H48,[3]SB1!H48&amp;"/"&amp;[3]SB2!H48&amp;"/"&amp;[3]SB3!H48&amp;"/"&amp;[3]SB4!H48&amp;"/"&amp;[3]SB5!H48&amp;"/"&amp;[3]SB6!H48)))))</f>
        <v>G900/G1800/U2100/L1800</v>
      </c>
      <c r="S47" s="216" t="str">
        <f>IF(H47=1,[3]SB1!HT48,IF(H47=2,[3]SB1!HT48&amp;";"&amp;[3]SB2!HO48,IF(H47=3,[3]SB1!HT48&amp;";"&amp;[3]SB2!HO48&amp;";"&amp;[3]SB3!HO48,IF(H47=4,[3]SB1!HT48&amp;";"&amp;[3]SB2!HO48&amp;";"&amp;[3]SB3!HO48&amp;";"&amp;[3]SB4!HO48,IF(H47=5,[3]SB1!HT48&amp;";"&amp;[3]SB2!HO48&amp;";"&amp;[3]SB3!HO48&amp;";"&amp;[3]SB4!HO48&amp;";"&amp;[3]SB5!HO48,[3]SB1!HT48&amp;";"&amp;[3]SB2!HO48&amp;";"&amp;[3]SB3!HO48&amp;";"&amp;[3]SB4!HO48&amp;";"&amp;[3]SB5!HO48&amp;";"&amp;[3]SB6!HO48)))))</f>
        <v>21,5m/ 21,5m/ 21,5m;27,5m/ 27,5m/ 27,5m;29,5m/ 29,5m/ 29,5m;29,5m/ 29,5m/ 29,5m</v>
      </c>
      <c r="T47" s="215">
        <f>[3]SB1!GU48</f>
        <v>2</v>
      </c>
      <c r="U47" s="215" t="str">
        <f>IF(H47=1,[3]SB1!AS48,IF(H47=2,[3]SB1!AS48&amp;";"&amp;[3]SB2!AS48,IF(H47=3,[3]SB1!AS48&amp;";"&amp;[3]SB2!AS48&amp;";"&amp;[3]SB3!AS48,IF(H47=4,[3]SB1!AS48&amp;";"&amp;[3]SB2!AS48&amp;";"&amp;[3]SB3!AS48&amp;";"&amp;[3]SB4!AS48,IF(H47=5,[3]SB1!AS48&amp;";"&amp;[3]SB2!AS48&amp;";"&amp;[3]SB3!AS48&amp;";"&amp;[3]SB4!AS48&amp;";"&amp;[3]SB5!AS48,[3]SB1!AS48&amp;";"&amp;[3]SB2!AS48&amp;";"&amp;[3]SB3!AS48&amp;";"&amp;[3]SB4!AS48&amp;";"&amp;[3]SB5!AS48&amp;";"&amp;[3]SB6!AS48)))))</f>
        <v>Kathrein 739636;Kathrein 736018;Kathrein 742215;Commscope HWXX-6516DS2-A2M</v>
      </c>
      <c r="V47" s="213" t="str">
        <f>IF([3]Source!AEE48="Yes","Có","Không")</f>
        <v>Có</v>
      </c>
      <c r="W47" s="213" t="str">
        <f>IF([3]Source!AEF48="Yes","Có","Không")</f>
        <v>Không</v>
      </c>
      <c r="X47" s="213" t="str">
        <f>[3]Source!AEG48</f>
        <v/>
      </c>
      <c r="Y47" s="213" t="str">
        <f>IF([3]Source!AEH48="Yes","Có","Không")</f>
        <v>Có</v>
      </c>
      <c r="Z47" s="217">
        <f>[3]Source!AEI48</f>
        <v>7.5</v>
      </c>
      <c r="AA47" s="217" t="str">
        <f>IF([3]SB1!WBZ48="","",IF([3]SB1!WBZ48=0,"Có","Không"))</f>
        <v/>
      </c>
      <c r="AB47" s="217" t="str">
        <f>IF([3]Source!ADX48="Yes","Có","Không")</f>
        <v>Không</v>
      </c>
      <c r="AC47" s="217">
        <f>MIN([3]SB1!AH48,[3]SB2!AH48,[3]SB3!AH48,[3]SB4!AH48,[3]SB5!AH48,[3]SB6!AH48)+[3]SB1!AG48</f>
        <v>21.5</v>
      </c>
      <c r="AD47" s="217" t="str">
        <f>IF([3]SB1!HQ48="","",[3]SB1!HQ48)</f>
        <v>14</v>
      </c>
      <c r="AE47" s="218" t="str">
        <f>IF([3]SB1!HV48="","",[3]SB1!HV48)</f>
        <v/>
      </c>
    </row>
    <row r="48" spans="1:31" s="219" customFormat="1">
      <c r="A48" s="211" t="str">
        <f>[3]SB1!HM49</f>
        <v>Viettel Sóc Trăng - Chi nhánh Tập đoàn Công nghiệp - Viễn Thông Quân Đội</v>
      </c>
      <c r="B48" s="212">
        <f>[3]Source!A49</f>
        <v>46</v>
      </c>
      <c r="C48" s="212">
        <f>[3]SB1!GZ49</f>
        <v>761</v>
      </c>
      <c r="D48" s="213" t="str">
        <f>[3]SB1!GX49</f>
        <v>Ấp Tập Rèn, xã Thới An Hội, huyện Kế Sách, tỉnh Sóc Trăng.</v>
      </c>
      <c r="E48" s="211" t="str">
        <f>[3]SB1!GV49</f>
        <v>Sóc Trăng</v>
      </c>
      <c r="F48" s="211" t="str">
        <f>MID([3]SB1!GS49,1,FIND(";",[3]SB1!GS49,1)-1)</f>
        <v>105,98109</v>
      </c>
      <c r="G48" s="211" t="str">
        <f>RIGHT([3]SB1!GS49,LEN([3]SB1!GS49)-LEN(F48)-1)</f>
        <v>9,80097</v>
      </c>
      <c r="H48" s="213">
        <f>[3]SB1!GY49</f>
        <v>3</v>
      </c>
      <c r="I48" s="211" t="str">
        <f>[3]SB1!AY49</f>
        <v>1802450/2019/PTN-KĐ</v>
      </c>
      <c r="J48" s="214">
        <f>[3]SB1!HK49</f>
        <v>43497</v>
      </c>
      <c r="K48" s="214">
        <f>[3]SB1!GR49</f>
        <v>43492</v>
      </c>
      <c r="L48" s="215" t="str">
        <f>IF(H48=1,[3]SB1!HR49,IF(H48=2,[3]SB1!HR49&amp;"/"&amp;[3]SB2!HM49,IF(H48=3,[3]SB1!HR49&amp;"/"&amp;[3]SB2!HM49&amp;"/"&amp;[3]SB3!HM49,IF(H48=4,[3]SB1!HR49&amp;"/"&amp;[3]SB2!HM49&amp;"/"&amp;[3]SB3!HM49&amp;"/"&amp;[3]SB4!HM49,IF(H48=5,[3]SB1!HR49&amp;"/"&amp;[3]SB2!HM49&amp;"/"&amp;[3]SB3!HM49&amp;"/"&amp;[3]SB4!HM49&amp;"/"&amp;[3]SB5!HM49,[3]SB1!HR49&amp;"/"&amp;[3]SB2!HM49&amp;"/"&amp;[3]SB3!HM49&amp;"/"&amp;[3]SB4!HM49&amp;"/"&amp;[3]SB5!HM49&amp;"/"&amp;[3]SB6!HM49)))))</f>
        <v>TẬP ĐOÀN CÔNG NGHIỆP - VIỄN THÔNG QUÂN ĐỘI/TẬP ĐOÀN CÔNG NGHIỆP - VIỄN THÔNG QUÂN ĐỘI/TẬP ĐOÀN CÔNG NGHIỆP - VIỄN THÔNG QUÂN ĐỘI</v>
      </c>
      <c r="M48" s="216" t="str">
        <f>IF(H48=1,[3]SB1!C49,IF(H48=2,[3]SB1!C49&amp;";"&amp;[3]SB2!C49,IF(H48=3,[3]SB1!C49&amp;";"&amp;[3]SB2!C49&amp;";"&amp;[3]SB3!C49,IF(H48=4,[3]SB1!C49&amp;";"&amp;[3]SB2!C49&amp;";"&amp;[3]SB3!C49&amp;";"&amp;[3]SB4!C49,IF(H48=5,[3]SB1!C49&amp;";"&amp;[3]SB2!C49&amp;";"&amp;[3]SB3!C49&amp;";"&amp;[3]SB4!C49&amp;";"&amp;[3]SB5!C49,[3]SB1!C49&amp;";"&amp;[3]SB2!C49&amp;";"&amp;[3]SB3!C49&amp;";"&amp;[3]SB4!C49&amp;";"&amp;[3]SB5!C49&amp;";"&amp;[3]SB6!C49)))))</f>
        <v>STG0093;STG0093;STG0093</v>
      </c>
      <c r="N48" s="216" t="str">
        <f>IF(H48=1,[3]SB1!K49,IF(H48=2,[3]SB1!K49&amp;";"&amp;[3]SB2!K49,IF(H48=3,[3]SB1!K49&amp;";"&amp;[3]SB2!K49&amp;";"&amp;[3]SB3!K49,IF(H48=4,[3]SB1!K49&amp;";"&amp;[3]SB2!K49&amp;";"&amp;[3]SB3!K49&amp;";"&amp;[3]SB4!K49,IF(H48=5,[3]SB1!K49&amp;";"&amp;[3]SB2!K49&amp;";"&amp;[3]SB3!K49&amp;";"&amp;[3]SB4!K49&amp;";"&amp;[3]SB5!K49,[3]SB1!K49&amp;";"&amp;[3]SB2!K49&amp;";"&amp;[3]SB3!K49&amp;";"&amp;[3]SB4!K49&amp;";"&amp;[3]SB5!K49&amp;";"&amp;[3]SB6!K49)))))</f>
        <v>NOKIA Flexi EDGE BTS;NOKIA Flexi WCDMA BTS;NSN FLEXI MULTIRADIO AIRSCALE</v>
      </c>
      <c r="O48" s="212">
        <f>[3]SB1!P49+[3]SB2!P49+[3]SB3!P49+[3]SB4!P49+[3]SB5!P49+[3]SB6!P49</f>
        <v>10</v>
      </c>
      <c r="P48" s="216" t="str">
        <f>IF(H48=1,[3]SB1!Q49,IF(H48=2,[3]SB1!Q49&amp;";"&amp;[3]SB2!Q49,IF(H48=3,[3]SB1!Q49&amp;";"&amp;[3]SB2!Q49&amp;";"&amp;[3]SB3!Q49,IF(H48=4,[3]SB1!Q49&amp;";"&amp;[3]SB2!Q49&amp;";"&amp;[3]SB3!Q49&amp;";"&amp;[3]SB4!Q49,IF(H48=5,[3]SB1!Q49&amp;";"&amp;[3]SB2!Q49&amp;";"&amp;[3]SB3!Q49&amp;";"&amp;[3]SB4!Q49&amp;";"&amp;[3]SB5!Q49,[3]SB1!Q49&amp;";"&amp;[3]SB2!Q49&amp;";"&amp;[3]SB3!Q49&amp;";"&amp;[3]SB4!Q49&amp;";"&amp;[3]SB5!Q49&amp;";"&amp;[3]SB6!Q49)))))</f>
        <v>2/2/2/2;2/2/2;1/1/1</v>
      </c>
      <c r="Q48" s="216" t="str">
        <f>IF(H48=1,[3]SB1!HS49,IF(H48=2,[3]SB1!HS49&amp;";"&amp;[3]SB2!HN49,IF(H48=3,[3]SB1!HS49&amp;";"&amp;[3]SB2!HN49&amp;";"&amp;[3]SB3!HN49,IF(H48=4,[3]SB1!HS49&amp;";"&amp;[3]SB2!HN49&amp;";"&amp;[3]SB3!HN49&amp;";"&amp;[3]SB4!HN49,IF(H48=5,[3]SB1!HS49&amp;";"&amp;[3]SB2!HN49&amp;";"&amp;[3]SB3!HN49&amp;";"&amp;[3]SB4!HN49&amp;";"&amp;[3]SB5!HN49,[3]SB1!HS49&amp;";"&amp;[3]SB2!HN49&amp;";"&amp;[3]SB3!HN49&amp;";"&amp;[3]SB4!HN49&amp;";"&amp;[3]SB5!HN49&amp;";"&amp;[3]SB6!HN49)))))</f>
        <v>41,7W/41,7W/41,7W/41,7W;40W/40W/40W;40W/40W/40W</v>
      </c>
      <c r="R48" s="216" t="str">
        <f>IF(H48=1,[3]SB1!H49,IF(H48=2,[3]SB1!H49&amp;"/"&amp;[3]SB2!H49,IF(H48=3,[3]SB1!H49&amp;"/"&amp;[3]SB2!H49&amp;"/"&amp;[3]SB3!H49,IF(H48=4,[3]SB1!H49&amp;"/"&amp;[3]SB2!H49&amp;"/"&amp;[3]SB3!H49&amp;"/"&amp;[3]SB4!H49,IF(H48=5,[3]SB1!H49&amp;"/"&amp;[3]SB2!H49&amp;"/"&amp;[3]SB3!H49&amp;"/"&amp;[3]SB4!H49&amp;"/"&amp;[3]SB5!H49,[3]SB1!H49&amp;"/"&amp;[3]SB2!H49&amp;"/"&amp;[3]SB3!H49&amp;"/"&amp;[3]SB4!H49&amp;"/"&amp;[3]SB5!H49&amp;"/"&amp;[3]SB6!H49)))))</f>
        <v>G900/U2100/L1800</v>
      </c>
      <c r="S48" s="216" t="str">
        <f>IF(H48=1,[3]SB1!HT49,IF(H48=2,[3]SB1!HT49&amp;";"&amp;[3]SB2!HO49,IF(H48=3,[3]SB1!HT49&amp;";"&amp;[3]SB2!HO49&amp;";"&amp;[3]SB3!HO49,IF(H48=4,[3]SB1!HT49&amp;";"&amp;[3]SB2!HO49&amp;";"&amp;[3]SB3!HO49&amp;";"&amp;[3]SB4!HO49,IF(H48=5,[3]SB1!HT49&amp;";"&amp;[3]SB2!HO49&amp;";"&amp;[3]SB3!HO49&amp;";"&amp;[3]SB4!HO49&amp;";"&amp;[3]SB5!HO49,[3]SB1!HT49&amp;";"&amp;[3]SB2!HO49&amp;";"&amp;[3]SB3!HO49&amp;";"&amp;[3]SB4!HO49&amp;";"&amp;[3]SB5!HO49&amp;";"&amp;[3]SB6!HO49)))))</f>
        <v>34m/ 34m/ 34m/ 34m;40m/ 40m/ 40m;40m/ 40m/ 40m</v>
      </c>
      <c r="T48" s="215">
        <f>[3]SB1!GU49</f>
        <v>2</v>
      </c>
      <c r="U48" s="215" t="str">
        <f>IF(H48=1,[3]SB1!AS49,IF(H48=2,[3]SB1!AS49&amp;";"&amp;[3]SB2!AS49,IF(H48=3,[3]SB1!AS49&amp;";"&amp;[3]SB2!AS49&amp;";"&amp;[3]SB3!AS49,IF(H48=4,[3]SB1!AS49&amp;";"&amp;[3]SB2!AS49&amp;";"&amp;[3]SB3!AS49&amp;";"&amp;[3]SB4!AS49,IF(H48=5,[3]SB1!AS49&amp;";"&amp;[3]SB2!AS49&amp;";"&amp;[3]SB3!AS49&amp;";"&amp;[3]SB4!AS49&amp;";"&amp;[3]SB5!AS49,[3]SB1!AS49&amp;";"&amp;[3]SB2!AS49&amp;";"&amp;[3]SB3!AS49&amp;";"&amp;[3]SB4!AS49&amp;";"&amp;[3]SB5!AS49&amp;";"&amp;[3]SB6!AS49)))))</f>
        <v>Kathrein 739636;Kathrein 742215;Commscope HWXX-6516DS2-A2M</v>
      </c>
      <c r="V48" s="213" t="str">
        <f>IF([3]Source!AEE49="Yes","Có","Không")</f>
        <v>Có</v>
      </c>
      <c r="W48" s="213" t="str">
        <f>IF([3]Source!AEF49="Yes","Có","Không")</f>
        <v>Có</v>
      </c>
      <c r="X48" s="213">
        <f>[3]Source!AEG49</f>
        <v>34</v>
      </c>
      <c r="Y48" s="213" t="str">
        <f>IF([3]Source!AEH49="Yes","Có","Không")</f>
        <v>Có</v>
      </c>
      <c r="Z48" s="217">
        <f>[3]Source!AEI49</f>
        <v>30</v>
      </c>
      <c r="AA48" s="217" t="str">
        <f>IF([3]SB1!WBZ49="","",IF([3]SB1!WBZ49=0,"Có","Không"))</f>
        <v/>
      </c>
      <c r="AB48" s="217" t="str">
        <f>IF([3]Source!ADX49="Yes","Có","Không")</f>
        <v>Không</v>
      </c>
      <c r="AC48" s="217">
        <f>MIN([3]SB1!AH49,[3]SB2!AH49,[3]SB3!AH49,[3]SB4!AH49,[3]SB5!AH49,[3]SB6!AH49)+[3]SB1!AG49</f>
        <v>34</v>
      </c>
      <c r="AD48" s="217" t="str">
        <f>IF([3]SB1!HQ49="","",[3]SB1!HQ49)</f>
        <v>4</v>
      </c>
      <c r="AE48" s="218" t="str">
        <f>IF([3]SB1!HV49="","",[3]SB1!HV49)</f>
        <v/>
      </c>
    </row>
    <row r="49" spans="1:31" s="219" customFormat="1">
      <c r="A49" s="211" t="str">
        <f>[3]SB1!HM50</f>
        <v>Viettel Sóc Trăng - Chi nhánh Tập đoàn Công nghiệp - Viễn Thông Quân Đội</v>
      </c>
      <c r="B49" s="212">
        <f>[3]Source!A50</f>
        <v>47</v>
      </c>
      <c r="C49" s="212">
        <f>[3]SB1!GZ50</f>
        <v>761</v>
      </c>
      <c r="D49" s="213" t="str">
        <f>[3]SB1!GX50</f>
        <v>Ấp Phú Tây, xã An Mỹ, huyện Kế Sách, tỉnh Sóc Trăng.</v>
      </c>
      <c r="E49" s="211" t="str">
        <f>[3]SB1!GV50</f>
        <v>Sóc Trăng</v>
      </c>
      <c r="F49" s="211" t="str">
        <f>MID([3]SB1!GS50,1,FIND(";",[3]SB1!GS50,1)-1)</f>
        <v>106,01891</v>
      </c>
      <c r="G49" s="211" t="str">
        <f>RIGHT([3]SB1!GS50,LEN([3]SB1!GS50)-LEN(F49)-1)</f>
        <v>9,75757</v>
      </c>
      <c r="H49" s="213">
        <f>[3]SB1!GY50</f>
        <v>3</v>
      </c>
      <c r="I49" s="211" t="str">
        <f>[3]SB1!AY50</f>
        <v>1802451/2019/PTN-KĐ</v>
      </c>
      <c r="J49" s="214">
        <f>[3]SB1!HK50</f>
        <v>43497</v>
      </c>
      <c r="K49" s="214">
        <f>[3]SB1!GR50</f>
        <v>43493</v>
      </c>
      <c r="L49" s="215" t="str">
        <f>IF(H49=1,[3]SB1!HR50,IF(H49=2,[3]SB1!HR50&amp;"/"&amp;[3]SB2!HM50,IF(H49=3,[3]SB1!HR50&amp;"/"&amp;[3]SB2!HM50&amp;"/"&amp;[3]SB3!HM50,IF(H49=4,[3]SB1!HR50&amp;"/"&amp;[3]SB2!HM50&amp;"/"&amp;[3]SB3!HM50&amp;"/"&amp;[3]SB4!HM50,IF(H49=5,[3]SB1!HR50&amp;"/"&amp;[3]SB2!HM50&amp;"/"&amp;[3]SB3!HM50&amp;"/"&amp;[3]SB4!HM50&amp;"/"&amp;[3]SB5!HM50,[3]SB1!HR50&amp;"/"&amp;[3]SB2!HM50&amp;"/"&amp;[3]SB3!HM50&amp;"/"&amp;[3]SB4!HM50&amp;"/"&amp;[3]SB5!HM50&amp;"/"&amp;[3]SB6!HM50)))))</f>
        <v>TẬP ĐOÀN CÔNG NGHIỆP - VIỄN THÔNG QUÂN ĐỘI/TẬP ĐOÀN CÔNG NGHIỆP - VIỄN THÔNG QUÂN ĐỘI/TẬP ĐOÀN CÔNG NGHIỆP - VIỄN THÔNG QUÂN ĐỘI</v>
      </c>
      <c r="M49" s="216" t="str">
        <f>IF(H49=1,[3]SB1!C50,IF(H49=2,[3]SB1!C50&amp;";"&amp;[3]SB2!C50,IF(H49=3,[3]SB1!C50&amp;";"&amp;[3]SB2!C50&amp;";"&amp;[3]SB3!C50,IF(H49=4,[3]SB1!C50&amp;";"&amp;[3]SB2!C50&amp;";"&amp;[3]SB3!C50&amp;";"&amp;[3]SB4!C50,IF(H49=5,[3]SB1!C50&amp;";"&amp;[3]SB2!C50&amp;";"&amp;[3]SB3!C50&amp;";"&amp;[3]SB4!C50&amp;";"&amp;[3]SB5!C50,[3]SB1!C50&amp;";"&amp;[3]SB2!C50&amp;";"&amp;[3]SB3!C50&amp;";"&amp;[3]SB4!C50&amp;";"&amp;[3]SB5!C50&amp;";"&amp;[3]SB6!C50)))))</f>
        <v>STG0124;STG0124;STG0124</v>
      </c>
      <c r="N49" s="216" t="str">
        <f>IF(H49=1,[3]SB1!K50,IF(H49=2,[3]SB1!K50&amp;";"&amp;[3]SB2!K50,IF(H49=3,[3]SB1!K50&amp;";"&amp;[3]SB2!K50&amp;";"&amp;[3]SB3!K50,IF(H49=4,[3]SB1!K50&amp;";"&amp;[3]SB2!K50&amp;";"&amp;[3]SB3!K50&amp;";"&amp;[3]SB4!K50,IF(H49=5,[3]SB1!K50&amp;";"&amp;[3]SB2!K50&amp;";"&amp;[3]SB3!K50&amp;";"&amp;[3]SB4!K50&amp;";"&amp;[3]SB5!K50,[3]SB1!K50&amp;";"&amp;[3]SB2!K50&amp;";"&amp;[3]SB3!K50&amp;";"&amp;[3]SB4!K50&amp;";"&amp;[3]SB5!K50&amp;";"&amp;[3]SB6!K50)))))</f>
        <v>NOKIA Flexi EDGE BTS;NOKIA Flexi WCDMA BTS;NSN FLEXI MULTIRADIO AIRSCALE</v>
      </c>
      <c r="O49" s="212">
        <f>[3]SB1!P50+[3]SB2!P50+[3]SB3!P50+[3]SB4!P50+[3]SB5!P50+[3]SB6!P50</f>
        <v>10</v>
      </c>
      <c r="P49" s="216" t="str">
        <f>IF(H49=1,[3]SB1!Q50,IF(H49=2,[3]SB1!Q50&amp;";"&amp;[3]SB2!Q50,IF(H49=3,[3]SB1!Q50&amp;";"&amp;[3]SB2!Q50&amp;";"&amp;[3]SB3!Q50,IF(H49=4,[3]SB1!Q50&amp;";"&amp;[3]SB2!Q50&amp;";"&amp;[3]SB3!Q50&amp;";"&amp;[3]SB4!Q50,IF(H49=5,[3]SB1!Q50&amp;";"&amp;[3]SB2!Q50&amp;";"&amp;[3]SB3!Q50&amp;";"&amp;[3]SB4!Q50&amp;";"&amp;[3]SB5!Q50,[3]SB1!Q50&amp;";"&amp;[3]SB2!Q50&amp;";"&amp;[3]SB3!Q50&amp;";"&amp;[3]SB4!Q50&amp;";"&amp;[3]SB5!Q50&amp;";"&amp;[3]SB6!Q50)))))</f>
        <v>2/4/2/2;2/2/2;1/1/1</v>
      </c>
      <c r="Q49" s="216" t="str">
        <f>IF(H49=1,[3]SB1!HS50,IF(H49=2,[3]SB1!HS50&amp;";"&amp;[3]SB2!HN50,IF(H49=3,[3]SB1!HS50&amp;";"&amp;[3]SB2!HN50&amp;";"&amp;[3]SB3!HN50,IF(H49=4,[3]SB1!HS50&amp;";"&amp;[3]SB2!HN50&amp;";"&amp;[3]SB3!HN50&amp;";"&amp;[3]SB4!HN50,IF(H49=5,[3]SB1!HS50&amp;";"&amp;[3]SB2!HN50&amp;";"&amp;[3]SB3!HN50&amp;";"&amp;[3]SB4!HN50&amp;";"&amp;[3]SB5!HN50,[3]SB1!HS50&amp;";"&amp;[3]SB2!HN50&amp;";"&amp;[3]SB3!HN50&amp;";"&amp;[3]SB4!HN50&amp;";"&amp;[3]SB5!HN50&amp;";"&amp;[3]SB6!HN50)))))</f>
        <v>41,7W/37,24W/41,7W/W;40W/40W/40W;40W/40W/40W</v>
      </c>
      <c r="R49" s="216" t="str">
        <f>IF(H49=1,[3]SB1!H50,IF(H49=2,[3]SB1!H50&amp;"/"&amp;[3]SB2!H50,IF(H49=3,[3]SB1!H50&amp;"/"&amp;[3]SB2!H50&amp;"/"&amp;[3]SB3!H50,IF(H49=4,[3]SB1!H50&amp;"/"&amp;[3]SB2!H50&amp;"/"&amp;[3]SB3!H50&amp;"/"&amp;[3]SB4!H50,IF(H49=5,[3]SB1!H50&amp;"/"&amp;[3]SB2!H50&amp;"/"&amp;[3]SB3!H50&amp;"/"&amp;[3]SB4!H50&amp;"/"&amp;[3]SB5!H50,[3]SB1!H50&amp;"/"&amp;[3]SB2!H50&amp;"/"&amp;[3]SB3!H50&amp;"/"&amp;[3]SB4!H50&amp;"/"&amp;[3]SB5!H50&amp;"/"&amp;[3]SB6!H50)))))</f>
        <v>G900/U2100/L1800</v>
      </c>
      <c r="S49" s="216" t="str">
        <f>IF(H49=1,[3]SB1!HT50,IF(H49=2,[3]SB1!HT50&amp;";"&amp;[3]SB2!HO50,IF(H49=3,[3]SB1!HT50&amp;";"&amp;[3]SB2!HO50&amp;";"&amp;[3]SB3!HO50,IF(H49=4,[3]SB1!HT50&amp;";"&amp;[3]SB2!HO50&amp;";"&amp;[3]SB3!HO50&amp;";"&amp;[3]SB4!HO50,IF(H49=5,[3]SB1!HT50&amp;";"&amp;[3]SB2!HO50&amp;";"&amp;[3]SB3!HO50&amp;";"&amp;[3]SB4!HO50&amp;";"&amp;[3]SB5!HO50,[3]SB1!HT50&amp;";"&amp;[3]SB2!HO50&amp;";"&amp;[3]SB3!HO50&amp;";"&amp;[3]SB4!HO50&amp;";"&amp;[3]SB5!HO50&amp;";"&amp;[3]SB6!HO50)))))</f>
        <v>36m/ 38m/ 38m/ 38m;41m/ 41m/ 41m;41m/ 41m/ 41m</v>
      </c>
      <c r="T49" s="215">
        <f>[3]SB1!GU50</f>
        <v>2</v>
      </c>
      <c r="U49" s="215" t="str">
        <f>IF(H49=1,[3]SB1!AS50,IF(H49=2,[3]SB1!AS50&amp;";"&amp;[3]SB2!AS50,IF(H49=3,[3]SB1!AS50&amp;";"&amp;[3]SB2!AS50&amp;";"&amp;[3]SB3!AS50,IF(H49=4,[3]SB1!AS50&amp;";"&amp;[3]SB2!AS50&amp;";"&amp;[3]SB3!AS50&amp;";"&amp;[3]SB4!AS50,IF(H49=5,[3]SB1!AS50&amp;";"&amp;[3]SB2!AS50&amp;";"&amp;[3]SB3!AS50&amp;";"&amp;[3]SB4!AS50&amp;";"&amp;[3]SB5!AS50,[3]SB1!AS50&amp;";"&amp;[3]SB2!AS50&amp;";"&amp;[3]SB3!AS50&amp;";"&amp;[3]SB4!AS50&amp;";"&amp;[3]SB5!AS50&amp;";"&amp;[3]SB6!AS50)))))</f>
        <v>Kathrein 739636;Kathrein 742215;</v>
      </c>
      <c r="V49" s="213" t="str">
        <f>IF([3]Source!AEE50="Yes","Có","Không")</f>
        <v>Có</v>
      </c>
      <c r="W49" s="213" t="str">
        <f>IF([3]Source!AEF50="Yes","Có","Không")</f>
        <v>Có</v>
      </c>
      <c r="X49" s="213">
        <f>[3]Source!AEG50</f>
        <v>36</v>
      </c>
      <c r="Y49" s="213" t="str">
        <f>IF([3]Source!AEH50="Yes","Có","Không")</f>
        <v>Có</v>
      </c>
      <c r="Z49" s="217">
        <f>[3]Source!AEI50</f>
        <v>32</v>
      </c>
      <c r="AA49" s="217" t="str">
        <f>IF([3]SB1!WBZ50="","",IF([3]SB1!WBZ50=0,"Có","Không"))</f>
        <v/>
      </c>
      <c r="AB49" s="217" t="str">
        <f>IF([3]Source!ADX50="Yes","Có","Không")</f>
        <v>Không</v>
      </c>
      <c r="AC49" s="217">
        <f>MIN([3]SB1!AH50,[3]SB2!AH50,[3]SB3!AH50,[3]SB4!AH50,[3]SB5!AH50,[3]SB6!AH50)+[3]SB1!AG50</f>
        <v>36</v>
      </c>
      <c r="AD49" s="217" t="str">
        <f>IF([3]SB1!HQ50="","",[3]SB1!HQ50)</f>
        <v>4</v>
      </c>
      <c r="AE49" s="218" t="str">
        <f>IF([3]SB1!HV50="","",[3]SB1!HV50)</f>
        <v/>
      </c>
    </row>
    <row r="50" spans="1:31" s="219" customFormat="1">
      <c r="A50" s="211" t="str">
        <f>[3]SB1!HM51</f>
        <v>Viettel Sóc Trăng - Chi nhánh Tập đoàn Công nghiệp - Viễn Thông Quân Đội</v>
      </c>
      <c r="B50" s="212">
        <f>[3]Source!A51</f>
        <v>48</v>
      </c>
      <c r="C50" s="212">
        <f>[3]SB1!GZ51</f>
        <v>761</v>
      </c>
      <c r="D50" s="213" t="str">
        <f>[3]SB1!GX51</f>
        <v>Ấp Hòa Lộc 2, xã Xuân Hòa, huyện Kế Sách, tỉnh Sóc Trăng.</v>
      </c>
      <c r="E50" s="211" t="str">
        <f>[3]SB1!GV51</f>
        <v>Sóc Trăng</v>
      </c>
      <c r="F50" s="211" t="str">
        <f>MID([3]SB1!GS51,1,FIND(";",[3]SB1!GS51,1)-1)</f>
        <v>105,87718</v>
      </c>
      <c r="G50" s="211" t="str">
        <f>RIGHT([3]SB1!GS51,LEN([3]SB1!GS51)-LEN(F50)-1)</f>
        <v>9,87930</v>
      </c>
      <c r="H50" s="213">
        <f>[3]SB1!GY51</f>
        <v>1</v>
      </c>
      <c r="I50" s="211" t="str">
        <f>[3]SB1!AY51</f>
        <v>1802452/2019/PTN-KĐ</v>
      </c>
      <c r="J50" s="214">
        <f>[3]SB1!HK51</f>
        <v>43497</v>
      </c>
      <c r="K50" s="214">
        <f>[3]SB1!GR51</f>
        <v>43493</v>
      </c>
      <c r="L50" s="215" t="str">
        <f>IF(H50=1,[3]SB1!HR51,IF(H50=2,[3]SB1!HR51&amp;"/"&amp;[3]SB2!HM51,IF(H50=3,[3]SB1!HR51&amp;"/"&amp;[3]SB2!HM51&amp;"/"&amp;[3]SB3!HM51,IF(H50=4,[3]SB1!HR51&amp;"/"&amp;[3]SB2!HM51&amp;"/"&amp;[3]SB3!HM51&amp;"/"&amp;[3]SB4!HM51,IF(H50=5,[3]SB1!HR51&amp;"/"&amp;[3]SB2!HM51&amp;"/"&amp;[3]SB3!HM51&amp;"/"&amp;[3]SB4!HM51&amp;"/"&amp;[3]SB5!HM51,[3]SB1!HR51&amp;"/"&amp;[3]SB2!HM51&amp;"/"&amp;[3]SB3!HM51&amp;"/"&amp;[3]SB4!HM51&amp;"/"&amp;[3]SB5!HM51&amp;"/"&amp;[3]SB6!HM51)))))</f>
        <v>TẬP ĐOÀN CÔNG NGHIỆP - VIỄN THÔNG QUÂN ĐỘI</v>
      </c>
      <c r="M50" s="216" t="str">
        <f>IF(H50=1,[3]SB1!C51,IF(H50=2,[3]SB1!C51&amp;";"&amp;[3]SB2!C51,IF(H50=3,[3]SB1!C51&amp;";"&amp;[3]SB2!C51&amp;";"&amp;[3]SB3!C51,IF(H50=4,[3]SB1!C51&amp;";"&amp;[3]SB2!C51&amp;";"&amp;[3]SB3!C51&amp;";"&amp;[3]SB4!C51,IF(H50=5,[3]SB1!C51&amp;";"&amp;[3]SB2!C51&amp;";"&amp;[3]SB3!C51&amp;";"&amp;[3]SB4!C51&amp;";"&amp;[3]SB5!C51,[3]SB1!C51&amp;";"&amp;[3]SB2!C51&amp;";"&amp;[3]SB3!C51&amp;";"&amp;[3]SB4!C51&amp;";"&amp;[3]SB5!C51&amp;";"&amp;[3]SB6!C51)))))</f>
        <v>STG0123-11</v>
      </c>
      <c r="N50" s="216" t="str">
        <f>IF(H50=1,[3]SB1!K51,IF(H50=2,[3]SB1!K51&amp;";"&amp;[3]SB2!K51,IF(H50=3,[3]SB1!K51&amp;";"&amp;[3]SB2!K51&amp;";"&amp;[3]SB3!K51,IF(H50=4,[3]SB1!K51&amp;";"&amp;[3]SB2!K51&amp;";"&amp;[3]SB3!K51&amp;";"&amp;[3]SB4!K51,IF(H50=5,[3]SB1!K51&amp;";"&amp;[3]SB2!K51&amp;";"&amp;[3]SB3!K51&amp;";"&amp;[3]SB4!K51&amp;";"&amp;[3]SB5!K51,[3]SB1!K51&amp;";"&amp;[3]SB2!K51&amp;";"&amp;[3]SB3!K51&amp;";"&amp;[3]SB4!K51&amp;";"&amp;[3]SB5!K51&amp;";"&amp;[3]SB6!K51)))))</f>
        <v>NOKIA Flexi WCDMA BTS</v>
      </c>
      <c r="O50" s="212">
        <f>[3]SB1!P51+[3]SB2!P51+[3]SB3!P51+[3]SB4!P51+[3]SB5!P51+[3]SB6!P51</f>
        <v>2</v>
      </c>
      <c r="P50" s="216" t="str">
        <f>IF(H50=1,[3]SB1!Q51,IF(H50=2,[3]SB1!Q51&amp;";"&amp;[3]SB2!Q51,IF(H50=3,[3]SB1!Q51&amp;";"&amp;[3]SB2!Q51&amp;";"&amp;[3]SB3!Q51,IF(H50=4,[3]SB1!Q51&amp;";"&amp;[3]SB2!Q51&amp;";"&amp;[3]SB3!Q51&amp;";"&amp;[3]SB4!Q51,IF(H50=5,[3]SB1!Q51&amp;";"&amp;[3]SB2!Q51&amp;";"&amp;[3]SB3!Q51&amp;";"&amp;[3]SB4!Q51&amp;";"&amp;[3]SB5!Q51,[3]SB1!Q51&amp;";"&amp;[3]SB2!Q51&amp;";"&amp;[3]SB3!Q51&amp;";"&amp;[3]SB4!Q51&amp;";"&amp;[3]SB5!Q51&amp;";"&amp;[3]SB6!Q51)))))</f>
        <v>2/2</v>
      </c>
      <c r="Q50" s="216" t="str">
        <f>IF(H50=1,[3]SB1!HS51,IF(H50=2,[3]SB1!HS51&amp;";"&amp;[3]SB2!HN51,IF(H50=3,[3]SB1!HS51&amp;";"&amp;[3]SB2!HN51&amp;";"&amp;[3]SB3!HN51,IF(H50=4,[3]SB1!HS51&amp;";"&amp;[3]SB2!HN51&amp;";"&amp;[3]SB3!HN51&amp;";"&amp;[3]SB4!HN51,IF(H50=5,[3]SB1!HS51&amp;";"&amp;[3]SB2!HN51&amp;";"&amp;[3]SB3!HN51&amp;";"&amp;[3]SB4!HN51&amp;";"&amp;[3]SB5!HN51,[3]SB1!HS51&amp;";"&amp;[3]SB2!HN51&amp;";"&amp;[3]SB3!HN51&amp;";"&amp;[3]SB4!HN51&amp;";"&amp;[3]SB5!HN51&amp;";"&amp;[3]SB6!HN51)))))</f>
        <v>40W/40W</v>
      </c>
      <c r="R50" s="216" t="str">
        <f>IF(H50=1,[3]SB1!H51,IF(H50=2,[3]SB1!H51&amp;"/"&amp;[3]SB2!H51,IF(H50=3,[3]SB1!H51&amp;"/"&amp;[3]SB2!H51&amp;"/"&amp;[3]SB3!H51,IF(H50=4,[3]SB1!H51&amp;"/"&amp;[3]SB2!H51&amp;"/"&amp;[3]SB3!H51&amp;"/"&amp;[3]SB4!H51,IF(H50=5,[3]SB1!H51&amp;"/"&amp;[3]SB2!H51&amp;"/"&amp;[3]SB3!H51&amp;"/"&amp;[3]SB4!H51&amp;"/"&amp;[3]SB5!H51,[3]SB1!H51&amp;"/"&amp;[3]SB2!H51&amp;"/"&amp;[3]SB3!H51&amp;"/"&amp;[3]SB4!H51&amp;"/"&amp;[3]SB5!H51&amp;"/"&amp;[3]SB6!H51)))))</f>
        <v>U2100</v>
      </c>
      <c r="S50" s="216" t="str">
        <f>IF(H50=1,[3]SB1!HT51,IF(H50=2,[3]SB1!HT51&amp;";"&amp;[3]SB2!HO51,IF(H50=3,[3]SB1!HT51&amp;";"&amp;[3]SB2!HO51&amp;";"&amp;[3]SB3!HO51,IF(H50=4,[3]SB1!HT51&amp;";"&amp;[3]SB2!HO51&amp;";"&amp;[3]SB3!HO51&amp;";"&amp;[3]SB4!HO51,IF(H50=5,[3]SB1!HT51&amp;";"&amp;[3]SB2!HO51&amp;";"&amp;[3]SB3!HO51&amp;";"&amp;[3]SB4!HO51&amp;";"&amp;[3]SB5!HO51,[3]SB1!HT51&amp;";"&amp;[3]SB2!HO51&amp;";"&amp;[3]SB3!HO51&amp;";"&amp;[3]SB4!HO51&amp;";"&amp;[3]SB5!HO51&amp;";"&amp;[3]SB6!HO51)))))</f>
        <v>22m/ 22m</v>
      </c>
      <c r="T50" s="215">
        <f>[3]SB1!GU51</f>
        <v>1</v>
      </c>
      <c r="U50" s="215" t="str">
        <f>IF(H50=1,[3]SB1!AS51,IF(H50=2,[3]SB1!AS51&amp;";"&amp;[3]SB2!AS51,IF(H50=3,[3]SB1!AS51&amp;";"&amp;[3]SB2!AS51&amp;";"&amp;[3]SB3!AS51,IF(H50=4,[3]SB1!AS51&amp;";"&amp;[3]SB2!AS51&amp;";"&amp;[3]SB3!AS51&amp;";"&amp;[3]SB4!AS51,IF(H50=5,[3]SB1!AS51&amp;";"&amp;[3]SB2!AS51&amp;";"&amp;[3]SB3!AS51&amp;";"&amp;[3]SB4!AS51&amp;";"&amp;[3]SB5!AS51,[3]SB1!AS51&amp;";"&amp;[3]SB2!AS51&amp;";"&amp;[3]SB3!AS51&amp;";"&amp;[3]SB4!AS51&amp;";"&amp;[3]SB5!AS51&amp;";"&amp;[3]SB6!AS51)))))</f>
        <v>Kathrein 742215</v>
      </c>
      <c r="V50" s="213" t="str">
        <f>IF([3]Source!AEE51="Yes","Có","Không")</f>
        <v>Có</v>
      </c>
      <c r="W50" s="213" t="str">
        <f>IF([3]Source!AEF51="Yes","Có","Không")</f>
        <v>Không</v>
      </c>
      <c r="X50" s="213" t="str">
        <f>[3]Source!AEG51</f>
        <v/>
      </c>
      <c r="Y50" s="213" t="str">
        <f>IF([3]Source!AEH51="Yes","Có","Không")</f>
        <v>Có</v>
      </c>
      <c r="Z50" s="217">
        <f>[3]Source!AEI51</f>
        <v>18</v>
      </c>
      <c r="AA50" s="217" t="str">
        <f>IF([3]SB1!WBZ51="","",IF([3]SB1!WBZ51=0,"Có","Không"))</f>
        <v/>
      </c>
      <c r="AB50" s="217" t="str">
        <f>IF([3]Source!ADX51="Yes","Có","Không")</f>
        <v>Không</v>
      </c>
      <c r="AC50" s="217">
        <f>MIN([3]SB1!AH51,[3]SB2!AH51,[3]SB3!AH51,[3]SB4!AH51,[3]SB5!AH51,[3]SB6!AH51)+[3]SB1!AG51</f>
        <v>22</v>
      </c>
      <c r="AD50" s="217" t="str">
        <f>IF([3]SB1!HQ51="","",[3]SB1!HQ51)</f>
        <v>4</v>
      </c>
      <c r="AE50" s="218" t="str">
        <f>IF([3]SB1!HV51="","",[3]SB1!HV51)</f>
        <v/>
      </c>
    </row>
  </sheetData>
  <conditionalFormatting sqref="V1:V4 V5:AD50">
    <cfRule type="containsText" dxfId="3" priority="7" operator="containsText" text="no">
      <formula>NOT(ISERROR(SEARCH("no",V1)))</formula>
    </cfRule>
  </conditionalFormatting>
  <conditionalFormatting sqref="W1:W3">
    <cfRule type="containsText" dxfId="2" priority="6" operator="containsText" text="no">
      <formula>NOT(ISERROR(SEARCH("no",W1)))</formula>
    </cfRule>
  </conditionalFormatting>
  <conditionalFormatting sqref="W4">
    <cfRule type="containsText" dxfId="1" priority="5" operator="containsText" text="no">
      <formula>NOT(ISERROR(SEARCH("no",W4)))</formula>
    </cfRule>
  </conditionalFormatting>
  <conditionalFormatting sqref="X4:AD4">
    <cfRule type="containsText" dxfId="0" priority="4" operator="containsText" text="no">
      <formula>NOT(ISERROR(SEARCH("no",X4)))</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vt:i4>
      </vt:variant>
    </vt:vector>
  </HeadingPairs>
  <TitlesOfParts>
    <vt:vector size="17" baseType="lpstr">
      <vt:lpstr>Hướng dẫn</vt:lpstr>
      <vt:lpstr>Temp</vt:lpstr>
      <vt:lpstr>Tonghop</vt:lpstr>
      <vt:lpstr>DSCAP</vt:lpstr>
      <vt:lpstr>LP</vt:lpstr>
      <vt:lpstr>DS1</vt:lpstr>
      <vt:lpstr>DS2</vt:lpstr>
      <vt:lpstr>GCN1</vt:lpstr>
      <vt:lpstr>GCN2</vt:lpstr>
      <vt:lpstr>GCN3</vt:lpstr>
      <vt:lpstr>GCN4</vt:lpstr>
      <vt:lpstr>TH</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KHANH</dc:creator>
  <cp:lastModifiedBy>PC04111901</cp:lastModifiedBy>
  <cp:lastPrinted>2017-08-31T04:40:47Z</cp:lastPrinted>
  <dcterms:created xsi:type="dcterms:W3CDTF">2006-09-16T00:00:00Z</dcterms:created>
  <dcterms:modified xsi:type="dcterms:W3CDTF">2020-11-17T08:42:42Z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c364501a-8ca0-4ab3-a338-ef42042f5133</vt:lpwstr>
  </property>
</Properties>
</file>