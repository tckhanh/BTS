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120" yWindow="-120" windowWidth="20730" windowHeight="11160" tabRatio="989" firstSheet="1" activeTab="17"/>
  </bookViews>
  <sheets>
    <sheet name="Menu" sheetId="63" r:id="rId1"/>
    <sheet name="Guide" sheetId="64" r:id="rId2"/>
    <sheet name="City" sheetId="35" r:id="rId3"/>
    <sheet name="Operator" sheetId="36" r:id="rId4"/>
    <sheet name="Applicant" sheetId="37" r:id="rId5"/>
    <sheet name="InCaseOf" sheetId="33" r:id="rId6"/>
    <sheet name="Lab" sheetId="34" r:id="rId7"/>
    <sheet name="Area" sheetId="57" r:id="rId8"/>
    <sheet name="Equipment" sheetId="55"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4" hidden="1">Applicant!$A$1:$H$36</definedName>
    <definedName name="_xlnm._FilterDatabase" localSheetId="7" hidden="1">Area!$A$1:$F$2832</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City!$A$1:$D$64</definedName>
    <definedName name="_xlnm._FilterDatabase" localSheetId="8" hidden="1">Equipment!$A$1:$I$236</definedName>
    <definedName name="_xlnm._FilterDatabase" localSheetId="5" hidden="1">InCaseOf!$A$1:$C$5</definedName>
    <definedName name="_xlnm._FilterDatabase" localSheetId="14" hidden="1">Input!$A$1:$AA$2</definedName>
    <definedName name="_xlnm._FilterDatabase" localSheetId="6" hidden="1">Lab!$A$1:$F$9</definedName>
    <definedName name="_xlnm._FilterDatabase" localSheetId="17" hidden="1">NoCertificate!$A$1:$IJ$1</definedName>
    <definedName name="_xlnm._FilterDatabase" localSheetId="3" hidden="1">Operator!$A$1:$D$7</definedName>
    <definedName name="_xlnm._FilterDatabase" localSheetId="11" hidden="1">'TT08'!$A$1:$V$2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Operator!$A$1:$C$1</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8">Equipment!$A$1:$J$1</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Profile!$F$3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65" i="29" l="1"/>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c r="AQ29" i="28"/>
  <c r="AO29" i="28"/>
  <c r="C28" i="28" s="1"/>
  <c r="Y26" i="28"/>
  <c r="S26" i="28"/>
  <c r="M26" i="28"/>
  <c r="Y25" i="28"/>
  <c r="S25" i="28"/>
  <c r="M25" i="28"/>
  <c r="Y24" i="28"/>
  <c r="Y23" i="28"/>
  <c r="S23" i="28"/>
  <c r="M23" i="28"/>
  <c r="Y22" i="28"/>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N4" i="1" s="1"/>
  <c r="C4" i="1"/>
  <c r="II1" i="54"/>
  <c r="IH1" i="54"/>
  <c r="IG1" i="54"/>
  <c r="IF1" i="54"/>
  <c r="IE1" i="54"/>
  <c r="ID1" i="54"/>
  <c r="IC1" i="54"/>
  <c r="IB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S1" i="54"/>
  <c r="R1" i="54"/>
  <c r="Q1" i="54"/>
  <c r="P1" i="54"/>
  <c r="O1" i="54"/>
  <c r="N1" i="54"/>
  <c r="M1" i="54"/>
  <c r="L1" i="54"/>
  <c r="K1" i="54"/>
  <c r="J1" i="54"/>
  <c r="I1" i="54"/>
  <c r="H1" i="54"/>
  <c r="G1" i="54"/>
  <c r="F1" i="54"/>
  <c r="E1" i="54"/>
  <c r="D1" i="54"/>
  <c r="A1" i="54"/>
  <c r="II1" i="50"/>
  <c r="IH1" i="50"/>
  <c r="IG1" i="50"/>
  <c r="IF1" i="50"/>
  <c r="IE1" i="50"/>
  <c r="ID1" i="50"/>
  <c r="IC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S1" i="50"/>
  <c r="R1" i="50"/>
  <c r="Q1" i="50"/>
  <c r="P1" i="50"/>
  <c r="O1" i="50"/>
  <c r="N1" i="50"/>
  <c r="M1" i="50"/>
  <c r="L1" i="50"/>
  <c r="K1" i="50"/>
  <c r="J1" i="50"/>
  <c r="I1" i="50"/>
  <c r="H1" i="50"/>
  <c r="G1" i="50"/>
  <c r="F1" i="50"/>
  <c r="E1" i="50"/>
  <c r="D1" i="50"/>
  <c r="A1" i="50"/>
  <c r="IE39" i="53"/>
  <c r="IG39" i="53" s="1"/>
  <c r="IH39" i="53" s="1"/>
  <c r="BF39" i="53"/>
  <c r="AK39" i="53"/>
  <c r="AJ39" i="53"/>
  <c r="AI39" i="53"/>
  <c r="AG39" i="53"/>
  <c r="AF39" i="53"/>
  <c r="AE39" i="53"/>
  <c r="AD39" i="53"/>
  <c r="AC39" i="53"/>
  <c r="AB39" i="53"/>
  <c r="Z39" i="53"/>
  <c r="Y39" i="53"/>
  <c r="X39" i="53"/>
  <c r="W39" i="53"/>
  <c r="V39" i="53"/>
  <c r="HT39" i="53" s="1"/>
  <c r="U39" i="53"/>
  <c r="T39" i="53"/>
  <c r="IF39" i="53" s="1"/>
  <c r="S39" i="53"/>
  <c r="R39" i="53"/>
  <c r="Q39" i="53"/>
  <c r="P39" i="53"/>
  <c r="O39" i="53"/>
  <c r="N39" i="53"/>
  <c r="M39" i="53"/>
  <c r="L39" i="53"/>
  <c r="J39" i="53"/>
  <c r="FW39" i="53" s="1"/>
  <c r="I39" i="53"/>
  <c r="H39" i="53"/>
  <c r="G39" i="53"/>
  <c r="F39" i="53"/>
  <c r="AS39" i="53" s="1"/>
  <c r="E39" i="53"/>
  <c r="AO39" i="53" s="1"/>
  <c r="D39" i="53"/>
  <c r="B39" i="53"/>
  <c r="AM39" i="53" s="1"/>
  <c r="A39" i="53"/>
  <c r="HL38" i="53"/>
  <c r="GZ38" i="53"/>
  <c r="GV38" i="53"/>
  <c r="GF38" i="53"/>
  <c r="FV38" i="53"/>
  <c r="FT38" i="53"/>
  <c r="EY38" i="53"/>
  <c r="ET38" i="53"/>
  <c r="EP38" i="53"/>
  <c r="EI38" i="53"/>
  <c r="DA38" i="53"/>
  <c r="CW38" i="53"/>
  <c r="CT38" i="53"/>
  <c r="CS38" i="53"/>
  <c r="CO38" i="53"/>
  <c r="BY38" i="53"/>
  <c r="BV38" i="53"/>
  <c r="HB38" i="53" s="1"/>
  <c r="BU38" i="53"/>
  <c r="BR38" i="53"/>
  <c r="BQ38" i="53"/>
  <c r="BM38" i="53"/>
  <c r="BJ38" i="53"/>
  <c r="BI38" i="53"/>
  <c r="BF38" i="53"/>
  <c r="BE38" i="53"/>
  <c r="BB38" i="53"/>
  <c r="BA38" i="53"/>
  <c r="AX38" i="53"/>
  <c r="AW38" i="53"/>
  <c r="AS38" i="53"/>
  <c r="AO38" i="53"/>
  <c r="AK38" i="53"/>
  <c r="AJ38" i="53"/>
  <c r="AI38" i="53"/>
  <c r="AG38" i="53"/>
  <c r="AF38" i="53"/>
  <c r="AE38" i="53"/>
  <c r="AD38" i="53"/>
  <c r="AC38" i="53"/>
  <c r="AB38" i="53"/>
  <c r="Z38" i="53"/>
  <c r="Y38" i="53"/>
  <c r="X38" i="53"/>
  <c r="W38" i="53"/>
  <c r="V38" i="53"/>
  <c r="HT38" i="53" s="1"/>
  <c r="U38" i="53"/>
  <c r="T38" i="53"/>
  <c r="S38" i="53"/>
  <c r="R38" i="53"/>
  <c r="Q38" i="53"/>
  <c r="P38" i="53"/>
  <c r="O38" i="53"/>
  <c r="N38" i="53"/>
  <c r="M38" i="53"/>
  <c r="BN38" i="53" s="1"/>
  <c r="L38" i="53"/>
  <c r="J38" i="53"/>
  <c r="I38" i="53"/>
  <c r="H38" i="53"/>
  <c r="G38" i="53"/>
  <c r="F38" i="53"/>
  <c r="E38" i="53"/>
  <c r="D38" i="53"/>
  <c r="B38" i="53"/>
  <c r="AM38" i="53" s="1"/>
  <c r="A38" i="53"/>
  <c r="IE37" i="53"/>
  <c r="ID37" i="53"/>
  <c r="BF37" i="53"/>
  <c r="AQ37" i="53"/>
  <c r="AK37" i="53"/>
  <c r="AJ37" i="53"/>
  <c r="AI37" i="53"/>
  <c r="AG37" i="53"/>
  <c r="AF37" i="53"/>
  <c r="AE37" i="53"/>
  <c r="AD37" i="53"/>
  <c r="AC37" i="53"/>
  <c r="AB37" i="53"/>
  <c r="Z37" i="53"/>
  <c r="Y37" i="53"/>
  <c r="X37" i="53"/>
  <c r="W37" i="53"/>
  <c r="V37" i="53"/>
  <c r="HT37" i="53" s="1"/>
  <c r="U37" i="53"/>
  <c r="T37" i="53"/>
  <c r="IF37" i="53" s="1"/>
  <c r="S37" i="53"/>
  <c r="R37" i="53"/>
  <c r="Q37" i="53"/>
  <c r="P37" i="53"/>
  <c r="O37" i="53"/>
  <c r="N37" i="53"/>
  <c r="M37" i="53"/>
  <c r="L37" i="53"/>
  <c r="J37" i="53"/>
  <c r="I37" i="53"/>
  <c r="H37" i="53"/>
  <c r="G37" i="53"/>
  <c r="F37" i="53"/>
  <c r="AS37" i="53" s="1"/>
  <c r="E37" i="53"/>
  <c r="AO37" i="53" s="1"/>
  <c r="AP37" i="53" s="1"/>
  <c r="D37" i="53"/>
  <c r="B37" i="53"/>
  <c r="AM37" i="53" s="1"/>
  <c r="A37" i="53"/>
  <c r="IE36" i="53"/>
  <c r="FW36" i="53"/>
  <c r="FH36" i="53"/>
  <c r="BO36" i="53"/>
  <c r="BF36" i="53"/>
  <c r="AR36" i="53"/>
  <c r="AQ36" i="53"/>
  <c r="AO36" i="53"/>
  <c r="AP36" i="53" s="1"/>
  <c r="AK36" i="53"/>
  <c r="AJ36" i="53"/>
  <c r="AI36" i="53"/>
  <c r="AG36" i="53"/>
  <c r="AF36" i="53"/>
  <c r="AE36" i="53"/>
  <c r="AD36" i="53"/>
  <c r="AC36" i="53"/>
  <c r="AB36" i="53"/>
  <c r="Z36" i="53"/>
  <c r="Y36" i="53"/>
  <c r="X36" i="53"/>
  <c r="W36" i="53"/>
  <c r="V36" i="53"/>
  <c r="HT36" i="53" s="1"/>
  <c r="U36" i="53"/>
  <c r="T36" i="53"/>
  <c r="ID36" i="53" s="1"/>
  <c r="S36" i="53"/>
  <c r="IC36" i="53" s="1"/>
  <c r="R36" i="53"/>
  <c r="Q36" i="53"/>
  <c r="P36" i="53"/>
  <c r="O36" i="53"/>
  <c r="N36" i="53"/>
  <c r="M36" i="53"/>
  <c r="L36" i="53"/>
  <c r="J36" i="53"/>
  <c r="I36" i="53"/>
  <c r="H36" i="53"/>
  <c r="G36" i="53"/>
  <c r="F36" i="53"/>
  <c r="AS36" i="53" s="1"/>
  <c r="E36" i="53"/>
  <c r="D36" i="53"/>
  <c r="B36" i="53"/>
  <c r="AM36" i="53" s="1"/>
  <c r="A36" i="53"/>
  <c r="HT35" i="53"/>
  <c r="HL35" i="53"/>
  <c r="HD35" i="53"/>
  <c r="GV35" i="53"/>
  <c r="GL35" i="53"/>
  <c r="GK35" i="53"/>
  <c r="GF35" i="53"/>
  <c r="FV35" i="53"/>
  <c r="FU35" i="53"/>
  <c r="FJ35" i="53"/>
  <c r="EP35" i="53"/>
  <c r="ED35" i="53"/>
  <c r="CT35" i="53"/>
  <c r="CJ35" i="53"/>
  <c r="BY35" i="53"/>
  <c r="BX35" i="53"/>
  <c r="BT35" i="53"/>
  <c r="BR35" i="53"/>
  <c r="BN35" i="53"/>
  <c r="BM35" i="53"/>
  <c r="BI35" i="53"/>
  <c r="BF35" i="53"/>
  <c r="BD35" i="53"/>
  <c r="BB35" i="53"/>
  <c r="AX35" i="53"/>
  <c r="AW35" i="53"/>
  <c r="AS35" i="53"/>
  <c r="AK35" i="53"/>
  <c r="AJ35" i="53"/>
  <c r="AI35" i="53"/>
  <c r="AG35" i="53"/>
  <c r="AF35" i="53"/>
  <c r="AE35" i="53"/>
  <c r="AD35" i="53"/>
  <c r="AC35" i="53"/>
  <c r="AB35" i="53"/>
  <c r="Z35" i="53"/>
  <c r="Y35" i="53"/>
  <c r="X35" i="53"/>
  <c r="W35" i="53"/>
  <c r="V35" i="53"/>
  <c r="U35" i="53"/>
  <c r="T35" i="53"/>
  <c r="IC35" i="53" s="1"/>
  <c r="S35" i="53"/>
  <c r="R35" i="53"/>
  <c r="Q35" i="53"/>
  <c r="P35" i="53"/>
  <c r="O35" i="53"/>
  <c r="N35" i="53"/>
  <c r="M35" i="53"/>
  <c r="L35" i="53"/>
  <c r="BH35" i="53" s="1"/>
  <c r="J35" i="53"/>
  <c r="FT35" i="53" s="1"/>
  <c r="I35" i="53"/>
  <c r="H35" i="53"/>
  <c r="G35" i="53"/>
  <c r="F35" i="53"/>
  <c r="E35" i="53"/>
  <c r="AO35" i="53" s="1"/>
  <c r="D35" i="53"/>
  <c r="B35" i="53"/>
  <c r="AM35" i="53" s="1"/>
  <c r="A35" i="53"/>
  <c r="IH34" i="53"/>
  <c r="IE34" i="53"/>
  <c r="ID34" i="53"/>
  <c r="FW34" i="53"/>
  <c r="BV34" i="53"/>
  <c r="BJ34" i="53"/>
  <c r="BF34" i="53"/>
  <c r="AY34" i="53"/>
  <c r="AP34" i="53"/>
  <c r="AK34" i="53"/>
  <c r="AJ34" i="53"/>
  <c r="AI34" i="53"/>
  <c r="AG34" i="53"/>
  <c r="AF34" i="53"/>
  <c r="AE34" i="53"/>
  <c r="AD34" i="53"/>
  <c r="AC34" i="53"/>
  <c r="AB34" i="53"/>
  <c r="Z34" i="53"/>
  <c r="Y34" i="53"/>
  <c r="X34" i="53"/>
  <c r="W34" i="53"/>
  <c r="V34" i="53"/>
  <c r="HT34" i="53" s="1"/>
  <c r="U34" i="53"/>
  <c r="T34" i="53"/>
  <c r="IF34" i="53" s="1"/>
  <c r="S34" i="53"/>
  <c r="IG34" i="53" s="1"/>
  <c r="R34" i="53"/>
  <c r="Q34" i="53"/>
  <c r="P34" i="53"/>
  <c r="O34" i="53"/>
  <c r="N34" i="53"/>
  <c r="M34" i="53"/>
  <c r="L34" i="53"/>
  <c r="J34" i="53"/>
  <c r="FR34" i="53" s="1"/>
  <c r="I34" i="53"/>
  <c r="H34" i="53"/>
  <c r="G34" i="53"/>
  <c r="F34" i="53"/>
  <c r="AS34" i="53" s="1"/>
  <c r="E34" i="53"/>
  <c r="AO34" i="53" s="1"/>
  <c r="AR34" i="53" s="1"/>
  <c r="D34" i="53"/>
  <c r="B34" i="53"/>
  <c r="AM34" i="53" s="1"/>
  <c r="A34" i="53"/>
  <c r="ID33" i="53"/>
  <c r="HT33" i="53"/>
  <c r="GF33" i="53"/>
  <c r="FX33" i="53"/>
  <c r="FW33" i="53"/>
  <c r="FH33" i="53"/>
  <c r="EP33" i="53"/>
  <c r="CY33" i="53"/>
  <c r="CJ33" i="53"/>
  <c r="BV33" i="53"/>
  <c r="BT33" i="53"/>
  <c r="BO33" i="53"/>
  <c r="BI33" i="53"/>
  <c r="BF33" i="53"/>
  <c r="BC33" i="53"/>
  <c r="BB33" i="53"/>
  <c r="AX33" i="53"/>
  <c r="AW33" i="53"/>
  <c r="AS33" i="53"/>
  <c r="AK33" i="53"/>
  <c r="AJ33" i="53"/>
  <c r="AI33" i="53"/>
  <c r="AG33" i="53"/>
  <c r="AF33" i="53"/>
  <c r="AE33" i="53"/>
  <c r="AD33" i="53"/>
  <c r="AC33" i="53"/>
  <c r="AB33" i="53"/>
  <c r="Z33" i="53"/>
  <c r="Y33" i="53"/>
  <c r="X33" i="53"/>
  <c r="W33" i="53"/>
  <c r="V33" i="53"/>
  <c r="U33" i="53"/>
  <c r="T33" i="53"/>
  <c r="IF33" i="53" s="1"/>
  <c r="S33" i="53"/>
  <c r="R33" i="53"/>
  <c r="Q33" i="53"/>
  <c r="FR33" i="53" s="1"/>
  <c r="P33" i="53"/>
  <c r="O33" i="53"/>
  <c r="N33" i="53"/>
  <c r="M33" i="53"/>
  <c r="BN33" i="53" s="1"/>
  <c r="L33" i="53"/>
  <c r="BG33" i="53" s="1"/>
  <c r="J33" i="53"/>
  <c r="GV33" i="53" s="1"/>
  <c r="I33" i="53"/>
  <c r="H33" i="53"/>
  <c r="G33" i="53"/>
  <c r="F33" i="53"/>
  <c r="E33" i="53"/>
  <c r="AO33" i="53" s="1"/>
  <c r="D33" i="53"/>
  <c r="B33" i="53"/>
  <c r="AM33" i="53" s="1"/>
  <c r="A33" i="53"/>
  <c r="IF32" i="53"/>
  <c r="IE32" i="53"/>
  <c r="ID32" i="53"/>
  <c r="HT32" i="53"/>
  <c r="HD32" i="53"/>
  <c r="GY32" i="53"/>
  <c r="GN32" i="53"/>
  <c r="GJ32" i="53"/>
  <c r="FX32" i="53"/>
  <c r="FT32" i="53"/>
  <c r="FS32" i="53"/>
  <c r="FH32" i="53"/>
  <c r="EY32" i="53"/>
  <c r="ED32" i="53"/>
  <c r="EB32" i="53"/>
  <c r="DX32" i="53"/>
  <c r="DH32" i="53"/>
  <c r="DG32" i="53"/>
  <c r="CV32" i="53"/>
  <c r="CM32" i="53"/>
  <c r="CL32" i="53"/>
  <c r="CH32" i="53"/>
  <c r="CF32" i="53"/>
  <c r="BW32" i="53"/>
  <c r="BV32" i="53"/>
  <c r="GZ32" i="53" s="1"/>
  <c r="BT32" i="53"/>
  <c r="GL32" i="53" s="1"/>
  <c r="BR32" i="53"/>
  <c r="BP32" i="53"/>
  <c r="BO32" i="53"/>
  <c r="BL32" i="53"/>
  <c r="BK32" i="53"/>
  <c r="BJ32" i="53"/>
  <c r="BG32" i="53"/>
  <c r="BF32" i="53"/>
  <c r="BD32" i="53"/>
  <c r="BB32" i="53"/>
  <c r="AZ32" i="53"/>
  <c r="AT32" i="53" s="1"/>
  <c r="AY32" i="53"/>
  <c r="AV32" i="53"/>
  <c r="AK32" i="53"/>
  <c r="AJ32" i="53"/>
  <c r="AI32" i="53"/>
  <c r="AG32" i="53"/>
  <c r="AF32" i="53"/>
  <c r="AE32" i="53"/>
  <c r="AD32" i="53"/>
  <c r="AC32" i="53"/>
  <c r="AB32" i="53"/>
  <c r="Z32" i="53"/>
  <c r="Y32" i="53"/>
  <c r="X32" i="53"/>
  <c r="W32" i="53"/>
  <c r="V32" i="53"/>
  <c r="U32" i="53"/>
  <c r="T32" i="53"/>
  <c r="S32" i="53"/>
  <c r="R32" i="53"/>
  <c r="Q32" i="53"/>
  <c r="P32" i="53"/>
  <c r="O32" i="53"/>
  <c r="N32" i="53"/>
  <c r="M32" i="53"/>
  <c r="L32" i="53"/>
  <c r="J32" i="53"/>
  <c r="I32" i="53"/>
  <c r="H32" i="53"/>
  <c r="G32" i="53"/>
  <c r="F32" i="53"/>
  <c r="AS32" i="53" s="1"/>
  <c r="E32" i="53"/>
  <c r="AO32" i="53" s="1"/>
  <c r="AR32" i="53" s="1"/>
  <c r="D32" i="53"/>
  <c r="B32" i="53"/>
  <c r="AM32" i="53" s="1"/>
  <c r="A32" i="53"/>
  <c r="HM31" i="53"/>
  <c r="HL31" i="53"/>
  <c r="GV31" i="53"/>
  <c r="GR31" i="53"/>
  <c r="GQ31" i="53"/>
  <c r="GG31" i="53"/>
  <c r="GF31" i="53"/>
  <c r="FW31" i="53"/>
  <c r="FU31" i="53"/>
  <c r="FL31" i="53"/>
  <c r="EK31" i="53"/>
  <c r="EJ31" i="53"/>
  <c r="EG31" i="53"/>
  <c r="DO31" i="53"/>
  <c r="DA31" i="53"/>
  <c r="CS31" i="53"/>
  <c r="CO31" i="53"/>
  <c r="CN31" i="53"/>
  <c r="CJ31" i="53"/>
  <c r="BY31" i="53"/>
  <c r="BX31" i="53"/>
  <c r="BU31" i="53"/>
  <c r="BT31" i="53"/>
  <c r="BS31" i="53"/>
  <c r="BP31" i="53"/>
  <c r="BO31" i="53"/>
  <c r="BM31" i="53"/>
  <c r="BK31" i="53"/>
  <c r="BI31" i="53"/>
  <c r="BF31" i="53"/>
  <c r="BE31" i="53"/>
  <c r="BD31" i="53"/>
  <c r="BA31" i="53"/>
  <c r="AZ31" i="53"/>
  <c r="AY31" i="53"/>
  <c r="AV31" i="53"/>
  <c r="AU31" i="53"/>
  <c r="AS31" i="53"/>
  <c r="AO31" i="53"/>
  <c r="AK31" i="53"/>
  <c r="AJ31" i="53"/>
  <c r="AI31" i="53"/>
  <c r="AG31" i="53"/>
  <c r="AF31" i="53"/>
  <c r="AE31" i="53"/>
  <c r="AD31" i="53"/>
  <c r="AC31" i="53"/>
  <c r="AB31" i="53"/>
  <c r="Z31" i="53"/>
  <c r="Y31" i="53"/>
  <c r="X31" i="53"/>
  <c r="W31" i="53"/>
  <c r="V31" i="53"/>
  <c r="HT31" i="53" s="1"/>
  <c r="U31" i="53"/>
  <c r="T31" i="53"/>
  <c r="S31" i="53"/>
  <c r="R31" i="53"/>
  <c r="Q31" i="53"/>
  <c r="P31" i="53"/>
  <c r="O31" i="53"/>
  <c r="CF31" i="53" s="1"/>
  <c r="CI31" i="53" s="1"/>
  <c r="N31" i="53"/>
  <c r="M31" i="53"/>
  <c r="L31" i="53"/>
  <c r="BH31" i="53" s="1"/>
  <c r="J31" i="53"/>
  <c r="HD31" i="53" s="1"/>
  <c r="I31" i="53"/>
  <c r="H31" i="53"/>
  <c r="G31" i="53"/>
  <c r="F31" i="53"/>
  <c r="E31" i="53"/>
  <c r="D31" i="53"/>
  <c r="B31" i="53"/>
  <c r="AM31" i="53" s="1"/>
  <c r="A31" i="53"/>
  <c r="IC30" i="53"/>
  <c r="HT30" i="53"/>
  <c r="HL30" i="53"/>
  <c r="HD30" i="53"/>
  <c r="HB30" i="53"/>
  <c r="HA30" i="53"/>
  <c r="GX30" i="53"/>
  <c r="GW30" i="53"/>
  <c r="GV30" i="53"/>
  <c r="GS30" i="53"/>
  <c r="GR30" i="53"/>
  <c r="GP30" i="53"/>
  <c r="GN30" i="53"/>
  <c r="GK30" i="53"/>
  <c r="GF30" i="53"/>
  <c r="FX30" i="53"/>
  <c r="FV30" i="53"/>
  <c r="FU30" i="53"/>
  <c r="FT30" i="53"/>
  <c r="FR30" i="53"/>
  <c r="FH30" i="53"/>
  <c r="EV30" i="53"/>
  <c r="ET30" i="53"/>
  <c r="ER30" i="53"/>
  <c r="EP30" i="53"/>
  <c r="EL30" i="53"/>
  <c r="EJ30" i="53"/>
  <c r="EG30" i="53"/>
  <c r="DZ30" i="53"/>
  <c r="DH30" i="53"/>
  <c r="DA30" i="53"/>
  <c r="CZ30" i="53"/>
  <c r="CX30" i="53"/>
  <c r="CV30" i="53"/>
  <c r="CT30" i="53"/>
  <c r="CS30" i="53"/>
  <c r="CP30" i="53"/>
  <c r="CN30" i="53"/>
  <c r="CK30" i="53"/>
  <c r="CF30" i="53"/>
  <c r="BY30" i="53"/>
  <c r="BX30" i="53"/>
  <c r="BV30" i="53"/>
  <c r="BU30" i="53"/>
  <c r="BT30" i="53"/>
  <c r="GH30" i="53" s="1"/>
  <c r="BR30" i="53"/>
  <c r="BQ30" i="53"/>
  <c r="BP30" i="53"/>
  <c r="BN30" i="53"/>
  <c r="BM30" i="53"/>
  <c r="BL30" i="53"/>
  <c r="BJ30" i="53"/>
  <c r="BI30" i="53"/>
  <c r="BH30" i="53"/>
  <c r="BF30" i="53"/>
  <c r="BE30" i="53"/>
  <c r="BD30" i="53"/>
  <c r="BB30" i="53"/>
  <c r="BA30" i="53"/>
  <c r="AZ30" i="53"/>
  <c r="AX30" i="53"/>
  <c r="AW30" i="53"/>
  <c r="AV30" i="53"/>
  <c r="AT30" i="53"/>
  <c r="AS30" i="53"/>
  <c r="AR30" i="53"/>
  <c r="AK30" i="53"/>
  <c r="AJ30" i="53"/>
  <c r="AI30" i="53"/>
  <c r="AG30" i="53"/>
  <c r="AF30" i="53"/>
  <c r="AE30" i="53"/>
  <c r="AD30" i="53"/>
  <c r="AC30" i="53"/>
  <c r="AB30" i="53"/>
  <c r="Z30" i="53"/>
  <c r="Y30" i="53"/>
  <c r="X30" i="53"/>
  <c r="W30" i="53"/>
  <c r="V30" i="53"/>
  <c r="U30" i="53"/>
  <c r="T30" i="53"/>
  <c r="S30" i="53"/>
  <c r="R30" i="53"/>
  <c r="Q30" i="53"/>
  <c r="P30" i="53"/>
  <c r="DX30" i="53" s="1"/>
  <c r="O30" i="53"/>
  <c r="N30" i="53"/>
  <c r="M30" i="53"/>
  <c r="L30" i="53"/>
  <c r="J30" i="53"/>
  <c r="FW30" i="53" s="1"/>
  <c r="I30" i="53"/>
  <c r="H30" i="53"/>
  <c r="G30" i="53"/>
  <c r="F30" i="53"/>
  <c r="E30" i="53"/>
  <c r="AO30" i="53" s="1"/>
  <c r="D30" i="53"/>
  <c r="B30" i="53"/>
  <c r="AM30" i="53" s="1"/>
  <c r="A30" i="53"/>
  <c r="FV29" i="53"/>
  <c r="FU29" i="53"/>
  <c r="EY29" i="53"/>
  <c r="EP29" i="53"/>
  <c r="DS29" i="53"/>
  <c r="CT29" i="53"/>
  <c r="CM29" i="53"/>
  <c r="CC29" i="53"/>
  <c r="BY29" i="53"/>
  <c r="BW29" i="53"/>
  <c r="BS29" i="53"/>
  <c r="BR29" i="53"/>
  <c r="BN29" i="53"/>
  <c r="BM29" i="53"/>
  <c r="BI29" i="53"/>
  <c r="BF29" i="53"/>
  <c r="BC29" i="53"/>
  <c r="BB29" i="53"/>
  <c r="AX29" i="53"/>
  <c r="AW29" i="53"/>
  <c r="AS29" i="53"/>
  <c r="AK29" i="53"/>
  <c r="AJ29" i="53"/>
  <c r="AI29" i="53"/>
  <c r="AG29" i="53"/>
  <c r="AF29" i="53"/>
  <c r="AE29" i="53"/>
  <c r="AD29" i="53"/>
  <c r="AC29" i="53"/>
  <c r="AB29" i="53"/>
  <c r="Z29" i="53"/>
  <c r="Y29" i="53"/>
  <c r="X29" i="53"/>
  <c r="W29" i="53"/>
  <c r="V29" i="53"/>
  <c r="HT29" i="53" s="1"/>
  <c r="U29" i="53"/>
  <c r="T29" i="53"/>
  <c r="S29" i="53"/>
  <c r="R29" i="53"/>
  <c r="Q29" i="53"/>
  <c r="P29" i="53"/>
  <c r="DO29" i="53" s="1"/>
  <c r="O29" i="53"/>
  <c r="N29" i="53"/>
  <c r="M29" i="53"/>
  <c r="L29" i="53"/>
  <c r="BG29" i="53" s="1"/>
  <c r="J29" i="53"/>
  <c r="I29" i="53"/>
  <c r="H29" i="53"/>
  <c r="G29" i="53"/>
  <c r="F29" i="53"/>
  <c r="E29" i="53"/>
  <c r="AO29" i="53" s="1"/>
  <c r="D29" i="53"/>
  <c r="B29" i="53"/>
  <c r="AM29" i="53" s="1"/>
  <c r="A29" i="53"/>
  <c r="IF28" i="53"/>
  <c r="IE28" i="53"/>
  <c r="HD28" i="53"/>
  <c r="GN28" i="53"/>
  <c r="FX28" i="53"/>
  <c r="FH28" i="53"/>
  <c r="FC28" i="53"/>
  <c r="DX28" i="53"/>
  <c r="DB28" i="53"/>
  <c r="CF28" i="53"/>
  <c r="BW28" i="53"/>
  <c r="BV28" i="53"/>
  <c r="BP28" i="53"/>
  <c r="BL28" i="53"/>
  <c r="BK28" i="53"/>
  <c r="BF28" i="53"/>
  <c r="BC28" i="53"/>
  <c r="BB28" i="53"/>
  <c r="AX28" i="53"/>
  <c r="AK28" i="53"/>
  <c r="AJ28" i="53"/>
  <c r="AI28" i="53"/>
  <c r="AG28" i="53"/>
  <c r="AF28" i="53"/>
  <c r="AE28" i="53"/>
  <c r="AD28" i="53"/>
  <c r="AC28" i="53"/>
  <c r="AB28" i="53"/>
  <c r="Z28" i="53"/>
  <c r="Y28" i="53"/>
  <c r="X28" i="53"/>
  <c r="W28" i="53"/>
  <c r="V28" i="53"/>
  <c r="HT28" i="53" s="1"/>
  <c r="U28" i="53"/>
  <c r="T28" i="53"/>
  <c r="ID28" i="53" s="1"/>
  <c r="S28" i="53"/>
  <c r="R28" i="53"/>
  <c r="Q28" i="53"/>
  <c r="FS28" i="53" s="1"/>
  <c r="P28" i="53"/>
  <c r="O28" i="53"/>
  <c r="N28" i="53"/>
  <c r="M28" i="53"/>
  <c r="L28" i="53"/>
  <c r="J28" i="53"/>
  <c r="I28" i="53"/>
  <c r="H28" i="53"/>
  <c r="G28" i="53"/>
  <c r="F28" i="53"/>
  <c r="AS28" i="53" s="1"/>
  <c r="E28" i="53"/>
  <c r="AO28" i="53" s="1"/>
  <c r="AR28" i="53" s="1"/>
  <c r="D28" i="53"/>
  <c r="B28" i="53"/>
  <c r="AM28" i="53" s="1"/>
  <c r="A28" i="53"/>
  <c r="IF27" i="53"/>
  <c r="IE27" i="53"/>
  <c r="ID27" i="53"/>
  <c r="HP27" i="53"/>
  <c r="HO27" i="53"/>
  <c r="FS27" i="53"/>
  <c r="FL27" i="53"/>
  <c r="FK27" i="53"/>
  <c r="DX27" i="53"/>
  <c r="DO27" i="53"/>
  <c r="DH27" i="53"/>
  <c r="BX27" i="53"/>
  <c r="BT27" i="53"/>
  <c r="EB27" i="53" s="1"/>
  <c r="BS27" i="53"/>
  <c r="BP27" i="53"/>
  <c r="BL27" i="53"/>
  <c r="BK27" i="53"/>
  <c r="BH27" i="53"/>
  <c r="BF27" i="53"/>
  <c r="BD27" i="53"/>
  <c r="BC27" i="53"/>
  <c r="AY27" i="53"/>
  <c r="AP27" i="53"/>
  <c r="AK27" i="53"/>
  <c r="AJ27" i="53"/>
  <c r="AI27" i="53"/>
  <c r="AG27" i="53"/>
  <c r="AF27" i="53"/>
  <c r="AE27" i="53"/>
  <c r="AD27" i="53"/>
  <c r="AC27" i="53"/>
  <c r="AB27" i="53"/>
  <c r="Z27" i="53"/>
  <c r="Y27" i="53"/>
  <c r="X27" i="53"/>
  <c r="W27" i="53"/>
  <c r="V27" i="53"/>
  <c r="HT27" i="53" s="1"/>
  <c r="U27" i="53"/>
  <c r="T27" i="53"/>
  <c r="S27" i="53"/>
  <c r="R27" i="53"/>
  <c r="Q27" i="53"/>
  <c r="FT27" i="53" s="1"/>
  <c r="P27" i="53"/>
  <c r="O27" i="53"/>
  <c r="CF27" i="53" s="1"/>
  <c r="CI27" i="53" s="1"/>
  <c r="N27" i="53"/>
  <c r="M27" i="53"/>
  <c r="L27" i="53"/>
  <c r="J27" i="53"/>
  <c r="HL27" i="53" s="1"/>
  <c r="I27" i="53"/>
  <c r="H27" i="53"/>
  <c r="G27" i="53"/>
  <c r="F27" i="53"/>
  <c r="AS27" i="53" s="1"/>
  <c r="E27" i="53"/>
  <c r="AO27" i="53" s="1"/>
  <c r="AR27" i="53" s="1"/>
  <c r="D27" i="53"/>
  <c r="B27" i="53"/>
  <c r="AM27" i="53" s="1"/>
  <c r="A27" i="53"/>
  <c r="HQ26" i="53"/>
  <c r="HL26" i="53"/>
  <c r="GV26" i="53"/>
  <c r="GK26" i="53"/>
  <c r="GF26" i="53"/>
  <c r="FW26" i="53"/>
  <c r="FU26" i="53"/>
  <c r="FK26" i="53"/>
  <c r="DO26" i="53"/>
  <c r="DI26" i="53"/>
  <c r="BX26" i="53"/>
  <c r="BT26" i="53"/>
  <c r="GJ26" i="53" s="1"/>
  <c r="BS26" i="53"/>
  <c r="BO26" i="53"/>
  <c r="BM26" i="53"/>
  <c r="BI26" i="53"/>
  <c r="BH26" i="53"/>
  <c r="BF26" i="53"/>
  <c r="BE26" i="53"/>
  <c r="BD26" i="53"/>
  <c r="AZ26" i="53"/>
  <c r="AY26" i="53"/>
  <c r="AS26" i="53"/>
  <c r="AO26" i="53"/>
  <c r="AP26" i="53" s="1"/>
  <c r="AK26" i="53"/>
  <c r="AJ26" i="53"/>
  <c r="AI26" i="53"/>
  <c r="AG26" i="53"/>
  <c r="AF26" i="53"/>
  <c r="AE26" i="53"/>
  <c r="AD26" i="53"/>
  <c r="AC26" i="53"/>
  <c r="AB26" i="53"/>
  <c r="Z26" i="53"/>
  <c r="Y26" i="53"/>
  <c r="X26" i="53"/>
  <c r="W26" i="53"/>
  <c r="V26" i="53"/>
  <c r="HT26" i="53" s="1"/>
  <c r="U26" i="53"/>
  <c r="T26" i="53"/>
  <c r="ID26" i="53" s="1"/>
  <c r="S26" i="53"/>
  <c r="R26" i="53"/>
  <c r="Q26" i="53"/>
  <c r="P26" i="53"/>
  <c r="O26" i="53"/>
  <c r="BY26" i="53" s="1"/>
  <c r="N26" i="53"/>
  <c r="M26" i="53"/>
  <c r="L26" i="53"/>
  <c r="J26" i="53"/>
  <c r="I26" i="53"/>
  <c r="H26" i="53"/>
  <c r="G26" i="53"/>
  <c r="F26" i="53"/>
  <c r="E26" i="53"/>
  <c r="D26" i="53"/>
  <c r="B26" i="53"/>
  <c r="AM26" i="53" s="1"/>
  <c r="A26" i="53"/>
  <c r="HQ25" i="53"/>
  <c r="HL25" i="53"/>
  <c r="GV25" i="53"/>
  <c r="GP25" i="53"/>
  <c r="GF25" i="53"/>
  <c r="FV25" i="53"/>
  <c r="FU25" i="53"/>
  <c r="FL25" i="53"/>
  <c r="FH25" i="53"/>
  <c r="EJ25" i="53"/>
  <c r="EG25" i="53"/>
  <c r="DH25" i="53"/>
  <c r="DA25" i="53"/>
  <c r="CR25" i="53"/>
  <c r="CN25" i="53"/>
  <c r="CF25" i="53"/>
  <c r="BX25" i="53"/>
  <c r="BU25" i="53"/>
  <c r="GQ25" i="53" s="1"/>
  <c r="BT25" i="53"/>
  <c r="BQ25" i="53"/>
  <c r="BP25" i="53"/>
  <c r="BM25" i="53"/>
  <c r="BL25" i="53"/>
  <c r="BI25" i="53"/>
  <c r="BF25" i="53"/>
  <c r="BE25" i="53"/>
  <c r="BD25" i="53"/>
  <c r="BA25" i="53"/>
  <c r="AZ25" i="53"/>
  <c r="AW25" i="53"/>
  <c r="AV25" i="53"/>
  <c r="AS25" i="53"/>
  <c r="AO25" i="53"/>
  <c r="AK25" i="53"/>
  <c r="AJ25" i="53"/>
  <c r="AI25" i="53"/>
  <c r="AG25" i="53"/>
  <c r="AF25" i="53"/>
  <c r="AE25" i="53"/>
  <c r="AD25" i="53"/>
  <c r="AC25" i="53"/>
  <c r="AB25" i="53"/>
  <c r="Z25" i="53"/>
  <c r="Y25" i="53"/>
  <c r="X25" i="53"/>
  <c r="W25" i="53"/>
  <c r="V25" i="53"/>
  <c r="HT25" i="53" s="1"/>
  <c r="U25" i="53"/>
  <c r="T25" i="53"/>
  <c r="S25" i="53"/>
  <c r="R25" i="53"/>
  <c r="Q25" i="53"/>
  <c r="P25" i="53"/>
  <c r="DX25" i="53" s="1"/>
  <c r="O25" i="53"/>
  <c r="BY25" i="53" s="1"/>
  <c r="N25" i="53"/>
  <c r="M25" i="53"/>
  <c r="L25" i="53"/>
  <c r="BH25" i="53" s="1"/>
  <c r="J25" i="53"/>
  <c r="I25" i="53"/>
  <c r="H25" i="53"/>
  <c r="G25" i="53"/>
  <c r="F25" i="53"/>
  <c r="E25" i="53"/>
  <c r="D25" i="53"/>
  <c r="B25" i="53"/>
  <c r="AM25" i="53" s="1"/>
  <c r="A25" i="53"/>
  <c r="IC24" i="53"/>
  <c r="HT24" i="53"/>
  <c r="HR24" i="53"/>
  <c r="HQ24" i="53"/>
  <c r="HN24" i="53"/>
  <c r="HM24" i="53"/>
  <c r="HL24" i="53"/>
  <c r="HD24" i="53"/>
  <c r="HB24" i="53"/>
  <c r="GV24" i="53"/>
  <c r="GN24" i="53"/>
  <c r="GL24" i="53"/>
  <c r="GK24" i="53"/>
  <c r="GH24" i="53"/>
  <c r="GG24" i="53"/>
  <c r="GF24" i="53"/>
  <c r="FX24" i="53"/>
  <c r="FV24" i="53"/>
  <c r="FU24" i="53"/>
  <c r="FN24" i="53"/>
  <c r="FM24" i="53"/>
  <c r="FJ24" i="53"/>
  <c r="FI24" i="53"/>
  <c r="FH24" i="53"/>
  <c r="ED24" i="53"/>
  <c r="EC24" i="53"/>
  <c r="DN24" i="53"/>
  <c r="DM24" i="53"/>
  <c r="DJ24" i="53"/>
  <c r="DI24" i="53"/>
  <c r="DH24" i="53"/>
  <c r="DA24" i="53"/>
  <c r="CX24" i="53"/>
  <c r="CW24" i="53"/>
  <c r="CT24" i="53"/>
  <c r="CL24" i="53"/>
  <c r="CK24" i="53"/>
  <c r="BY24" i="53"/>
  <c r="BX24" i="53"/>
  <c r="HO24" i="53" s="1"/>
  <c r="BV24" i="53"/>
  <c r="HA24" i="53" s="1"/>
  <c r="BU24" i="53"/>
  <c r="BT24" i="53"/>
  <c r="GI24" i="53" s="1"/>
  <c r="BR24" i="53"/>
  <c r="BQ24" i="53"/>
  <c r="BN24" i="53"/>
  <c r="BM24" i="53"/>
  <c r="BL24" i="53"/>
  <c r="BI24" i="53"/>
  <c r="BF24" i="53"/>
  <c r="AZ24" i="53" s="1"/>
  <c r="BE24" i="53"/>
  <c r="BD24" i="53"/>
  <c r="BB24" i="53"/>
  <c r="AV24" i="53" s="1"/>
  <c r="BA24" i="53"/>
  <c r="AX24" i="53"/>
  <c r="AT24" i="53"/>
  <c r="AS24" i="53"/>
  <c r="AK24" i="53"/>
  <c r="AJ24" i="53"/>
  <c r="AI24" i="53"/>
  <c r="AG24" i="53"/>
  <c r="AF24" i="53"/>
  <c r="AE24" i="53"/>
  <c r="AD24" i="53"/>
  <c r="AC24" i="53"/>
  <c r="AB24" i="53"/>
  <c r="Z24" i="53"/>
  <c r="Y24" i="53"/>
  <c r="X24" i="53"/>
  <c r="W24" i="53"/>
  <c r="V24" i="53"/>
  <c r="U24" i="53"/>
  <c r="T24" i="53"/>
  <c r="S24" i="53"/>
  <c r="R24" i="53"/>
  <c r="Q24" i="53"/>
  <c r="FT24" i="53" s="1"/>
  <c r="P24" i="53"/>
  <c r="DX24" i="53" s="1"/>
  <c r="DY24" i="53" s="1"/>
  <c r="O24" i="53"/>
  <c r="CF24" i="53" s="1"/>
  <c r="N24" i="53"/>
  <c r="M24" i="53"/>
  <c r="BP24" i="53" s="1"/>
  <c r="L24" i="53"/>
  <c r="BH24" i="53" s="1"/>
  <c r="J24" i="53"/>
  <c r="FW24" i="53" s="1"/>
  <c r="I24" i="53"/>
  <c r="H24" i="53"/>
  <c r="G24" i="53"/>
  <c r="F24" i="53"/>
  <c r="E24" i="53"/>
  <c r="AO24" i="53" s="1"/>
  <c r="D24" i="53"/>
  <c r="B24" i="53"/>
  <c r="AM24" i="53" s="1"/>
  <c r="A24" i="53"/>
  <c r="IH23" i="53"/>
  <c r="IE23" i="53"/>
  <c r="IG23" i="53" s="1"/>
  <c r="ID23" i="53"/>
  <c r="FW23" i="53"/>
  <c r="DC23" i="53"/>
  <c r="BW23" i="53"/>
  <c r="BO23" i="53"/>
  <c r="BF23" i="53"/>
  <c r="AY23" i="53"/>
  <c r="AQ23" i="53"/>
  <c r="AK23" i="53"/>
  <c r="AJ23" i="53"/>
  <c r="AI23" i="53"/>
  <c r="AG23" i="53"/>
  <c r="AF23" i="53"/>
  <c r="AE23" i="53"/>
  <c r="AD23" i="53"/>
  <c r="AC23" i="53"/>
  <c r="AB23" i="53"/>
  <c r="Z23" i="53"/>
  <c r="Y23" i="53"/>
  <c r="X23" i="53"/>
  <c r="W23" i="53"/>
  <c r="V23" i="53"/>
  <c r="HT23" i="53" s="1"/>
  <c r="U23" i="53"/>
  <c r="T23" i="53"/>
  <c r="IF23" i="53" s="1"/>
  <c r="S23" i="53"/>
  <c r="R23" i="53"/>
  <c r="Q23" i="53"/>
  <c r="P23" i="53"/>
  <c r="O23" i="53"/>
  <c r="N23" i="53"/>
  <c r="M23" i="53"/>
  <c r="L23" i="53"/>
  <c r="J23" i="53"/>
  <c r="I23" i="53"/>
  <c r="H23" i="53"/>
  <c r="G23" i="53"/>
  <c r="F23" i="53"/>
  <c r="AS23" i="53" s="1"/>
  <c r="E23" i="53"/>
  <c r="AO23" i="53" s="1"/>
  <c r="AR23" i="53" s="1"/>
  <c r="D23" i="53"/>
  <c r="B23" i="53"/>
  <c r="AM23" i="53" s="1"/>
  <c r="A23" i="53"/>
  <c r="IF22" i="53"/>
  <c r="IE22" i="53"/>
  <c r="ID22" i="53"/>
  <c r="HL22" i="53"/>
  <c r="HD22" i="53"/>
  <c r="GF22" i="53"/>
  <c r="FX22" i="53"/>
  <c r="CF22" i="53"/>
  <c r="BH22" i="53"/>
  <c r="BF22" i="53"/>
  <c r="AK22" i="53"/>
  <c r="AJ22" i="53"/>
  <c r="AI22" i="53"/>
  <c r="AG22" i="53"/>
  <c r="AF22" i="53"/>
  <c r="AE22" i="53"/>
  <c r="AD22" i="53"/>
  <c r="AC22" i="53"/>
  <c r="AB22" i="53"/>
  <c r="Z22" i="53"/>
  <c r="Y22" i="53"/>
  <c r="X22" i="53"/>
  <c r="W22" i="53"/>
  <c r="V22" i="53"/>
  <c r="HT22" i="53" s="1"/>
  <c r="U22" i="53"/>
  <c r="T22" i="53"/>
  <c r="S22" i="53"/>
  <c r="R22" i="53"/>
  <c r="Q22" i="53"/>
  <c r="P22" i="53"/>
  <c r="O22" i="53"/>
  <c r="N22" i="53"/>
  <c r="M22" i="53"/>
  <c r="L22" i="53"/>
  <c r="J22" i="53"/>
  <c r="GN22" i="53" s="1"/>
  <c r="I22" i="53"/>
  <c r="H22" i="53"/>
  <c r="G22" i="53"/>
  <c r="F22" i="53"/>
  <c r="AS22" i="53" s="1"/>
  <c r="E22" i="53"/>
  <c r="AO22" i="53" s="1"/>
  <c r="AP22" i="53" s="1"/>
  <c r="D22" i="53"/>
  <c r="B22" i="53"/>
  <c r="AM22" i="53" s="1"/>
  <c r="A22" i="53"/>
  <c r="HT21" i="53"/>
  <c r="HM21" i="53"/>
  <c r="HL21" i="53"/>
  <c r="HD21" i="53"/>
  <c r="GV21" i="53"/>
  <c r="GR21" i="53"/>
  <c r="GO21" i="53"/>
  <c r="GN21" i="53"/>
  <c r="GG21" i="53"/>
  <c r="GF21" i="53"/>
  <c r="FX21" i="53"/>
  <c r="FU21" i="53"/>
  <c r="FT21" i="53"/>
  <c r="FI21" i="53"/>
  <c r="FH21" i="53"/>
  <c r="EK21" i="53"/>
  <c r="EJ21" i="53"/>
  <c r="EG21" i="53"/>
  <c r="EC21" i="53"/>
  <c r="EB21" i="53"/>
  <c r="DM21" i="53"/>
  <c r="DH21" i="53"/>
  <c r="DA21" i="53"/>
  <c r="CR21" i="53"/>
  <c r="CO21" i="53"/>
  <c r="CN21" i="53"/>
  <c r="CG21" i="53"/>
  <c r="CF21" i="53"/>
  <c r="BY21" i="53"/>
  <c r="BX21" i="53"/>
  <c r="BU21" i="53"/>
  <c r="BT21" i="53"/>
  <c r="BQ21" i="53"/>
  <c r="BP21" i="53"/>
  <c r="BM21" i="53"/>
  <c r="BL21" i="53"/>
  <c r="BI21" i="53"/>
  <c r="BF21" i="53"/>
  <c r="BE21" i="53"/>
  <c r="BD21" i="53"/>
  <c r="BA21" i="53"/>
  <c r="AZ21" i="53"/>
  <c r="AW21" i="53"/>
  <c r="AV21" i="53"/>
  <c r="AS21" i="53"/>
  <c r="AO21" i="53"/>
  <c r="AK21" i="53"/>
  <c r="AJ21" i="53"/>
  <c r="AI21" i="53"/>
  <c r="AG21" i="53"/>
  <c r="AF21" i="53"/>
  <c r="AE21" i="53"/>
  <c r="AD21" i="53"/>
  <c r="AC21" i="53"/>
  <c r="AB21" i="53"/>
  <c r="Z21" i="53"/>
  <c r="Y21" i="53"/>
  <c r="X21" i="53"/>
  <c r="W21" i="53"/>
  <c r="V21" i="53"/>
  <c r="U21" i="53"/>
  <c r="T21" i="53"/>
  <c r="S21" i="53"/>
  <c r="R21" i="53"/>
  <c r="Q21" i="53"/>
  <c r="P21" i="53"/>
  <c r="DX21" i="53" s="1"/>
  <c r="O21" i="53"/>
  <c r="N21" i="53"/>
  <c r="M21" i="53"/>
  <c r="L21" i="53"/>
  <c r="BH21" i="53" s="1"/>
  <c r="J21" i="53"/>
  <c r="FV21" i="53" s="1"/>
  <c r="I21" i="53"/>
  <c r="H21" i="53"/>
  <c r="G21" i="53"/>
  <c r="F21" i="53"/>
  <c r="E21" i="53"/>
  <c r="D21" i="53"/>
  <c r="B21" i="53"/>
  <c r="AM21" i="53" s="1"/>
  <c r="A21" i="53"/>
  <c r="IF20" i="53"/>
  <c r="ID20" i="53"/>
  <c r="IC20" i="53"/>
  <c r="HT20" i="53"/>
  <c r="HR20" i="53"/>
  <c r="HP20" i="53"/>
  <c r="HN20" i="53"/>
  <c r="HM20" i="53"/>
  <c r="HL20" i="53"/>
  <c r="HD20" i="53"/>
  <c r="HB20" i="53"/>
  <c r="GX20" i="53"/>
  <c r="GW20" i="53"/>
  <c r="GV20" i="53"/>
  <c r="GN20" i="53"/>
  <c r="GF20" i="53"/>
  <c r="FX20" i="53"/>
  <c r="FV20" i="53"/>
  <c r="FU20" i="53"/>
  <c r="FT20" i="53"/>
  <c r="FN20" i="53"/>
  <c r="FM20" i="53"/>
  <c r="FL20" i="53"/>
  <c r="FI20" i="53"/>
  <c r="FH20" i="53"/>
  <c r="EV20" i="53"/>
  <c r="ER20" i="53"/>
  <c r="EP20" i="53"/>
  <c r="EG20" i="53"/>
  <c r="DX20" i="53"/>
  <c r="DM20" i="53"/>
  <c r="DL20" i="53"/>
  <c r="DJ20" i="53"/>
  <c r="DH20" i="53"/>
  <c r="DA20" i="53"/>
  <c r="CZ20" i="53"/>
  <c r="CV20" i="53"/>
  <c r="CT20" i="53"/>
  <c r="CK20" i="53"/>
  <c r="CF20" i="53"/>
  <c r="BY20" i="53"/>
  <c r="BX20" i="53"/>
  <c r="BV20" i="53"/>
  <c r="BU20" i="53"/>
  <c r="BT20" i="53"/>
  <c r="BR20" i="53"/>
  <c r="BQ20" i="53"/>
  <c r="BP20" i="53"/>
  <c r="BL20" i="53"/>
  <c r="BJ20" i="53"/>
  <c r="BI20" i="53"/>
  <c r="BF20" i="53"/>
  <c r="BE20" i="53"/>
  <c r="BD20" i="53"/>
  <c r="BB20" i="53"/>
  <c r="BA20" i="53"/>
  <c r="AZ20" i="53"/>
  <c r="AX20" i="53"/>
  <c r="AW20" i="53"/>
  <c r="AV20" i="53"/>
  <c r="AT20" i="53"/>
  <c r="AS20" i="53"/>
  <c r="AO20" i="53"/>
  <c r="AK20" i="53"/>
  <c r="AJ20" i="53"/>
  <c r="AI20" i="53"/>
  <c r="AG20" i="53"/>
  <c r="AF20" i="53"/>
  <c r="AE20" i="53"/>
  <c r="AD20" i="53"/>
  <c r="AC20" i="53"/>
  <c r="AB20" i="53"/>
  <c r="Z20" i="53"/>
  <c r="Y20" i="53"/>
  <c r="X20" i="53"/>
  <c r="W20" i="53"/>
  <c r="V20" i="53"/>
  <c r="U20" i="53"/>
  <c r="T20" i="53"/>
  <c r="IE20" i="53" s="1"/>
  <c r="S20" i="53"/>
  <c r="IG20" i="53" s="1"/>
  <c r="IH20" i="53" s="1"/>
  <c r="R20" i="53"/>
  <c r="Q20" i="53"/>
  <c r="FR20" i="53" s="1"/>
  <c r="P20" i="53"/>
  <c r="O20" i="53"/>
  <c r="N20" i="53"/>
  <c r="M20" i="53"/>
  <c r="L20" i="53"/>
  <c r="BH20" i="53" s="1"/>
  <c r="J20" i="53"/>
  <c r="FW20" i="53" s="1"/>
  <c r="I20" i="53"/>
  <c r="H20" i="53"/>
  <c r="G20" i="53"/>
  <c r="F20" i="53"/>
  <c r="E20" i="53"/>
  <c r="D20" i="53"/>
  <c r="B20" i="53"/>
  <c r="AM20" i="53" s="1"/>
  <c r="A20" i="53"/>
  <c r="ID19" i="53"/>
  <c r="GX19" i="53"/>
  <c r="FS19" i="53"/>
  <c r="FR19" i="53"/>
  <c r="CU19" i="53"/>
  <c r="BV19" i="53"/>
  <c r="BQ19" i="53"/>
  <c r="BO19" i="53"/>
  <c r="BK19" i="53"/>
  <c r="BF19" i="53"/>
  <c r="BE19" i="53"/>
  <c r="BB19" i="53"/>
  <c r="AY19" i="53"/>
  <c r="AW19" i="53"/>
  <c r="AP19" i="53"/>
  <c r="AO19" i="53"/>
  <c r="AR19" i="53" s="1"/>
  <c r="AK19" i="53"/>
  <c r="AJ19" i="53"/>
  <c r="AI19" i="53"/>
  <c r="AG19" i="53"/>
  <c r="AF19" i="53"/>
  <c r="AE19" i="53"/>
  <c r="AD19" i="53"/>
  <c r="AC19" i="53"/>
  <c r="AB19" i="53"/>
  <c r="Z19" i="53"/>
  <c r="Y19" i="53"/>
  <c r="X19" i="53"/>
  <c r="W19" i="53"/>
  <c r="V19" i="53"/>
  <c r="HT19" i="53" s="1"/>
  <c r="U19" i="53"/>
  <c r="T19" i="53"/>
  <c r="S19" i="53"/>
  <c r="R19" i="53"/>
  <c r="Q19" i="53"/>
  <c r="P19" i="53"/>
  <c r="O19" i="53"/>
  <c r="N19" i="53"/>
  <c r="M19" i="53"/>
  <c r="L19" i="53"/>
  <c r="J19" i="53"/>
  <c r="I19" i="53"/>
  <c r="H19" i="53"/>
  <c r="G19" i="53"/>
  <c r="F19" i="53"/>
  <c r="AS19" i="53" s="1"/>
  <c r="E19" i="53"/>
  <c r="D19" i="53"/>
  <c r="B19" i="53"/>
  <c r="AM19" i="53" s="1"/>
  <c r="A19" i="53"/>
  <c r="IF18" i="53"/>
  <c r="IE18" i="53"/>
  <c r="ID18" i="53"/>
  <c r="HT18" i="53"/>
  <c r="HL18" i="53"/>
  <c r="HD18" i="53"/>
  <c r="GV18" i="53"/>
  <c r="GN18" i="53"/>
  <c r="GB18" i="53"/>
  <c r="FW18" i="53"/>
  <c r="FV18" i="53"/>
  <c r="FS18" i="53"/>
  <c r="FN18" i="53"/>
  <c r="FH18" i="53"/>
  <c r="EB18" i="53"/>
  <c r="DO18" i="53"/>
  <c r="DJ18" i="53"/>
  <c r="CT18" i="53"/>
  <c r="CL18" i="53"/>
  <c r="CF18" i="53"/>
  <c r="BX18" i="53"/>
  <c r="BT18" i="53"/>
  <c r="BS18" i="53"/>
  <c r="BP18" i="53"/>
  <c r="BN18" i="53"/>
  <c r="BK18" i="53"/>
  <c r="BJ18" i="53"/>
  <c r="BF18" i="53"/>
  <c r="BD18" i="53"/>
  <c r="BC18" i="53"/>
  <c r="AY18" i="53"/>
  <c r="AX18" i="53"/>
  <c r="AR18" i="53"/>
  <c r="AP18" i="53"/>
  <c r="AK18" i="53"/>
  <c r="AJ18" i="53"/>
  <c r="AI18" i="53"/>
  <c r="AG18" i="53"/>
  <c r="AF18" i="53"/>
  <c r="AE18" i="53"/>
  <c r="AD18" i="53"/>
  <c r="AC18" i="53"/>
  <c r="AB18" i="53"/>
  <c r="Z18" i="53"/>
  <c r="Y18" i="53"/>
  <c r="X18" i="53"/>
  <c r="W18" i="53"/>
  <c r="V18" i="53"/>
  <c r="U18" i="53"/>
  <c r="T18" i="53"/>
  <c r="S18" i="53"/>
  <c r="R18" i="53"/>
  <c r="Q18" i="53"/>
  <c r="P18" i="53"/>
  <c r="O18" i="53"/>
  <c r="N18" i="53"/>
  <c r="M18" i="53"/>
  <c r="L18" i="53"/>
  <c r="J18" i="53"/>
  <c r="I18" i="53"/>
  <c r="H18" i="53"/>
  <c r="G18" i="53"/>
  <c r="F18" i="53"/>
  <c r="AS18" i="53" s="1"/>
  <c r="E18" i="53"/>
  <c r="AO18" i="53" s="1"/>
  <c r="AQ18" i="53" s="1"/>
  <c r="D18" i="53"/>
  <c r="B18" i="53"/>
  <c r="AM18" i="53" s="1"/>
  <c r="A18" i="53"/>
  <c r="IG17" i="53"/>
  <c r="IF17" i="53"/>
  <c r="IE17" i="53"/>
  <c r="HL17" i="53"/>
  <c r="FH17" i="53"/>
  <c r="DX17" i="53"/>
  <c r="CA17" i="53"/>
  <c r="BS17" i="53"/>
  <c r="BF17" i="53"/>
  <c r="AY17" i="53"/>
  <c r="AR17" i="53"/>
  <c r="AQ17" i="53"/>
  <c r="AO17" i="53"/>
  <c r="AP17" i="53" s="1"/>
  <c r="AK17" i="53"/>
  <c r="AJ17" i="53"/>
  <c r="AI17" i="53"/>
  <c r="AH17" i="53"/>
  <c r="AG17" i="53"/>
  <c r="AF17" i="53"/>
  <c r="AE17" i="53"/>
  <c r="AD17" i="53"/>
  <c r="AC17" i="53"/>
  <c r="AB17" i="53"/>
  <c r="Z17" i="53"/>
  <c r="Y17" i="53"/>
  <c r="X17" i="53"/>
  <c r="W17" i="53"/>
  <c r="V17" i="53"/>
  <c r="HT17" i="53" s="1"/>
  <c r="U17" i="53"/>
  <c r="T17" i="53"/>
  <c r="ID17" i="53" s="1"/>
  <c r="S17" i="53"/>
  <c r="R17" i="53"/>
  <c r="Q17" i="53"/>
  <c r="P17" i="53"/>
  <c r="O17" i="53"/>
  <c r="N17" i="53"/>
  <c r="M17" i="53"/>
  <c r="L17" i="53"/>
  <c r="J17" i="53"/>
  <c r="I17" i="53"/>
  <c r="H17" i="53"/>
  <c r="G17" i="53"/>
  <c r="F17" i="53"/>
  <c r="AS17" i="53" s="1"/>
  <c r="E17" i="53"/>
  <c r="D17" i="53"/>
  <c r="B17" i="53"/>
  <c r="AM17" i="53" s="1"/>
  <c r="A17" i="53"/>
  <c r="HT16" i="53"/>
  <c r="HQ16" i="53"/>
  <c r="HP16" i="53"/>
  <c r="HN16" i="53"/>
  <c r="HL16" i="53"/>
  <c r="HD16" i="53"/>
  <c r="HA16" i="53"/>
  <c r="GZ16" i="53"/>
  <c r="GV16" i="53"/>
  <c r="GN16" i="53"/>
  <c r="GK16" i="53"/>
  <c r="GJ16" i="53"/>
  <c r="GF16" i="53"/>
  <c r="GH16" i="53" s="1"/>
  <c r="FX16" i="53"/>
  <c r="FV16" i="53"/>
  <c r="FU16" i="53"/>
  <c r="FT16" i="53"/>
  <c r="FR16" i="53"/>
  <c r="FN16" i="53"/>
  <c r="FM16" i="53"/>
  <c r="FJ16" i="53"/>
  <c r="FH16" i="53"/>
  <c r="ER16" i="53"/>
  <c r="EP16" i="53"/>
  <c r="EG16" i="53"/>
  <c r="ED16" i="53"/>
  <c r="EC16" i="53"/>
  <c r="EB16" i="53"/>
  <c r="DN16" i="53"/>
  <c r="DL16" i="53"/>
  <c r="DI16" i="53"/>
  <c r="DH16" i="53"/>
  <c r="DA16" i="53"/>
  <c r="CV16" i="53"/>
  <c r="CT16" i="53"/>
  <c r="CL16" i="53"/>
  <c r="CK16" i="53"/>
  <c r="BX16" i="53"/>
  <c r="BV16" i="53"/>
  <c r="BU16" i="53"/>
  <c r="GT16" i="53" s="1"/>
  <c r="BT16" i="53"/>
  <c r="BR16" i="53"/>
  <c r="BQ16" i="53"/>
  <c r="BP16" i="53"/>
  <c r="BM16" i="53"/>
  <c r="BL16" i="53"/>
  <c r="BJ16" i="53"/>
  <c r="BI16" i="53"/>
  <c r="BF16" i="53"/>
  <c r="BE16" i="53"/>
  <c r="BD16" i="53"/>
  <c r="BB16" i="53"/>
  <c r="BA16" i="53"/>
  <c r="AZ16" i="53"/>
  <c r="AX16" i="53"/>
  <c r="AW16" i="53"/>
  <c r="AV16" i="53"/>
  <c r="AT16" i="53"/>
  <c r="AS16" i="53"/>
  <c r="AR16" i="53"/>
  <c r="AO16" i="53"/>
  <c r="AQ16" i="53" s="1"/>
  <c r="AK16" i="53"/>
  <c r="AJ16" i="53"/>
  <c r="AI16" i="53"/>
  <c r="AG16" i="53"/>
  <c r="AF16" i="53"/>
  <c r="AE16" i="53"/>
  <c r="AD16" i="53"/>
  <c r="AC16" i="53"/>
  <c r="AB16" i="53"/>
  <c r="Z16" i="53"/>
  <c r="Y16" i="53"/>
  <c r="X16" i="53"/>
  <c r="W16" i="53"/>
  <c r="V16" i="53"/>
  <c r="U16" i="53"/>
  <c r="T16" i="53"/>
  <c r="S16" i="53"/>
  <c r="R16" i="53"/>
  <c r="Q16" i="53"/>
  <c r="P16" i="53"/>
  <c r="DX16" i="53" s="1"/>
  <c r="DY16" i="53" s="1"/>
  <c r="O16" i="53"/>
  <c r="BY16" i="53" s="1"/>
  <c r="N16" i="53"/>
  <c r="M16" i="53"/>
  <c r="BN16" i="53" s="1"/>
  <c r="L16" i="53"/>
  <c r="BH16" i="53" s="1"/>
  <c r="J16" i="53"/>
  <c r="FW16" i="53" s="1"/>
  <c r="I16" i="53"/>
  <c r="H16" i="53"/>
  <c r="G16" i="53"/>
  <c r="F16" i="53"/>
  <c r="E16" i="53"/>
  <c r="D16" i="53"/>
  <c r="B16" i="53"/>
  <c r="AM16" i="53" s="1"/>
  <c r="A16" i="53"/>
  <c r="BF15" i="53"/>
  <c r="AQ15" i="53"/>
  <c r="AK15" i="53"/>
  <c r="AJ15" i="53"/>
  <c r="AI15" i="53"/>
  <c r="AG15" i="53"/>
  <c r="AF15" i="53"/>
  <c r="AE15" i="53"/>
  <c r="AD15" i="53"/>
  <c r="AC15" i="53"/>
  <c r="AB15" i="53"/>
  <c r="Z15" i="53"/>
  <c r="Y15" i="53"/>
  <c r="X15" i="53"/>
  <c r="W15" i="53"/>
  <c r="V15" i="53"/>
  <c r="HT15" i="53" s="1"/>
  <c r="U15" i="53"/>
  <c r="T15" i="53"/>
  <c r="S15" i="53"/>
  <c r="R15" i="53"/>
  <c r="Q15" i="53"/>
  <c r="P15" i="53"/>
  <c r="O15" i="53"/>
  <c r="N15" i="53"/>
  <c r="M15" i="53"/>
  <c r="L15" i="53"/>
  <c r="J15" i="53"/>
  <c r="BS15" i="53" s="1"/>
  <c r="I15" i="53"/>
  <c r="H15" i="53"/>
  <c r="G15" i="53"/>
  <c r="F15" i="53"/>
  <c r="AS15" i="53" s="1"/>
  <c r="E15" i="53"/>
  <c r="AO15" i="53" s="1"/>
  <c r="AR15" i="53" s="1"/>
  <c r="D15" i="53"/>
  <c r="B15" i="53"/>
  <c r="AM15" i="53" s="1"/>
  <c r="A15" i="53"/>
  <c r="IF14" i="53"/>
  <c r="ID14" i="53"/>
  <c r="HT14" i="53"/>
  <c r="FW14" i="53"/>
  <c r="FH14" i="53"/>
  <c r="BQ14" i="53"/>
  <c r="BL14" i="53"/>
  <c r="BG14" i="53"/>
  <c r="BF14" i="53"/>
  <c r="BC14" i="53"/>
  <c r="AW14" i="53"/>
  <c r="AR14" i="53"/>
  <c r="AQ14" i="53"/>
  <c r="AO14" i="53"/>
  <c r="AP14" i="53" s="1"/>
  <c r="AK14" i="53"/>
  <c r="AJ14" i="53"/>
  <c r="AI14" i="53"/>
  <c r="AH14" i="53"/>
  <c r="AG14" i="53"/>
  <c r="AF14" i="53"/>
  <c r="AE14" i="53"/>
  <c r="AD14" i="53"/>
  <c r="AC14" i="53"/>
  <c r="AB14" i="53"/>
  <c r="Z14" i="53"/>
  <c r="Y14" i="53"/>
  <c r="X14" i="53"/>
  <c r="W14" i="53"/>
  <c r="V14" i="53"/>
  <c r="U14" i="53"/>
  <c r="T14" i="53"/>
  <c r="IE14" i="53" s="1"/>
  <c r="S14" i="53"/>
  <c r="R14" i="53"/>
  <c r="Q14" i="53"/>
  <c r="P14" i="53"/>
  <c r="O14" i="53"/>
  <c r="N14" i="53"/>
  <c r="M14" i="53"/>
  <c r="L14" i="53"/>
  <c r="J14" i="53"/>
  <c r="I14" i="53"/>
  <c r="H14" i="53"/>
  <c r="G14" i="53"/>
  <c r="F14" i="53"/>
  <c r="AS14" i="53" s="1"/>
  <c r="E14" i="53"/>
  <c r="D14" i="53"/>
  <c r="B14" i="53"/>
  <c r="AM14" i="53" s="1"/>
  <c r="A14" i="53"/>
  <c r="IF13" i="53"/>
  <c r="HT13" i="53"/>
  <c r="HP13" i="53"/>
  <c r="HN13" i="53"/>
  <c r="HL13" i="53"/>
  <c r="HD13" i="53"/>
  <c r="GZ13" i="53"/>
  <c r="GV13" i="53"/>
  <c r="GT13" i="53"/>
  <c r="GO13" i="53"/>
  <c r="GN13" i="53"/>
  <c r="GK13" i="53"/>
  <c r="GJ13" i="53"/>
  <c r="GH13" i="53"/>
  <c r="GF13" i="53"/>
  <c r="FX13" i="53"/>
  <c r="FV13" i="53"/>
  <c r="FU13" i="53"/>
  <c r="FT13" i="53"/>
  <c r="FR13" i="53"/>
  <c r="FN13" i="53"/>
  <c r="FM13" i="53"/>
  <c r="FI13" i="53"/>
  <c r="FH13" i="53"/>
  <c r="ES13" i="53"/>
  <c r="EP13" i="53"/>
  <c r="EH13" i="53"/>
  <c r="EG13" i="53"/>
  <c r="ED13" i="53"/>
  <c r="EC13" i="53"/>
  <c r="EB13" i="53"/>
  <c r="DX13" i="53"/>
  <c r="DY13" i="53" s="1"/>
  <c r="DM13" i="53"/>
  <c r="DL13" i="53"/>
  <c r="DH13" i="53"/>
  <c r="DA13" i="53"/>
  <c r="CT13" i="53"/>
  <c r="CR13" i="53"/>
  <c r="CL13" i="53"/>
  <c r="CK13" i="53"/>
  <c r="BX13" i="53"/>
  <c r="BV13" i="53"/>
  <c r="BU13" i="53"/>
  <c r="BT13" i="53"/>
  <c r="BR13" i="53"/>
  <c r="BQ13" i="53"/>
  <c r="BP13" i="53"/>
  <c r="BM13" i="53"/>
  <c r="BL13" i="53"/>
  <c r="BJ13" i="53"/>
  <c r="BF13" i="53"/>
  <c r="BE13" i="53"/>
  <c r="BD13" i="53"/>
  <c r="AX13" i="53"/>
  <c r="AW13" i="53"/>
  <c r="AS13" i="53"/>
  <c r="AP13" i="53"/>
  <c r="AO13" i="53"/>
  <c r="AQ13" i="53" s="1"/>
  <c r="AK13" i="53"/>
  <c r="AJ13" i="53"/>
  <c r="AI13" i="53"/>
  <c r="AG13" i="53"/>
  <c r="AF13" i="53"/>
  <c r="AE13" i="53"/>
  <c r="AD13" i="53"/>
  <c r="AC13" i="53"/>
  <c r="AB13" i="53"/>
  <c r="Z13" i="53"/>
  <c r="Y13" i="53"/>
  <c r="X13" i="53"/>
  <c r="W13" i="53"/>
  <c r="V13" i="53"/>
  <c r="U13" i="53"/>
  <c r="T13" i="53"/>
  <c r="IE13" i="53" s="1"/>
  <c r="S13" i="53"/>
  <c r="R13" i="53"/>
  <c r="Q13" i="53"/>
  <c r="P13" i="53"/>
  <c r="O13" i="53"/>
  <c r="N13" i="53"/>
  <c r="M13" i="53"/>
  <c r="BN13" i="53" s="1"/>
  <c r="L13" i="53"/>
  <c r="BI13" i="53" s="1"/>
  <c r="J13" i="53"/>
  <c r="FW13" i="53" s="1"/>
  <c r="I13" i="53"/>
  <c r="H13" i="53"/>
  <c r="G13" i="53"/>
  <c r="F13" i="53"/>
  <c r="E13" i="53"/>
  <c r="D13" i="53"/>
  <c r="B13" i="53"/>
  <c r="AM13" i="53" s="1"/>
  <c r="A13" i="53"/>
  <c r="BF12" i="53"/>
  <c r="AK12" i="53"/>
  <c r="AJ12" i="53"/>
  <c r="AI12" i="53"/>
  <c r="AG12" i="53"/>
  <c r="AF12" i="53"/>
  <c r="AE12" i="53"/>
  <c r="AD12" i="53"/>
  <c r="AC12" i="53"/>
  <c r="AB12" i="53"/>
  <c r="Z12" i="53"/>
  <c r="Y12" i="53"/>
  <c r="X12" i="53"/>
  <c r="W12" i="53"/>
  <c r="V12" i="53"/>
  <c r="HT12" i="53" s="1"/>
  <c r="U12" i="53"/>
  <c r="T12" i="53"/>
  <c r="S12" i="53"/>
  <c r="R12" i="53"/>
  <c r="Q12" i="53"/>
  <c r="P12" i="53"/>
  <c r="O12" i="53"/>
  <c r="N12" i="53"/>
  <c r="M12" i="53"/>
  <c r="L12" i="53"/>
  <c r="J12" i="53"/>
  <c r="BG12" i="53" s="1"/>
  <c r="I12" i="53"/>
  <c r="H12" i="53"/>
  <c r="G12" i="53"/>
  <c r="F12" i="53"/>
  <c r="AS12" i="53" s="1"/>
  <c r="E12" i="53"/>
  <c r="AO12" i="53" s="1"/>
  <c r="D12" i="53"/>
  <c r="B12" i="53"/>
  <c r="AM12" i="53" s="1"/>
  <c r="A12" i="53"/>
  <c r="IF11" i="53"/>
  <c r="IE11" i="53"/>
  <c r="ID11" i="53"/>
  <c r="HT11" i="53"/>
  <c r="HJ11" i="53"/>
  <c r="HH11" i="53"/>
  <c r="HD11" i="53"/>
  <c r="GN11" i="53"/>
  <c r="FX11" i="53"/>
  <c r="FW11" i="53"/>
  <c r="FS11" i="53"/>
  <c r="FR11" i="53"/>
  <c r="FH11" i="53"/>
  <c r="FC11" i="53"/>
  <c r="FB11" i="53"/>
  <c r="EY11" i="53"/>
  <c r="EA11" i="53"/>
  <c r="DX11" i="53"/>
  <c r="DH11" i="53"/>
  <c r="DG11" i="53"/>
  <c r="DF11" i="53"/>
  <c r="DB11" i="53"/>
  <c r="CF11" i="53"/>
  <c r="BW11" i="53"/>
  <c r="BV11" i="53"/>
  <c r="GX11" i="53" s="1"/>
  <c r="BT11" i="53"/>
  <c r="BR11" i="53"/>
  <c r="BP11" i="53"/>
  <c r="BO11" i="53"/>
  <c r="BL11" i="53"/>
  <c r="BK11" i="53"/>
  <c r="BJ11" i="53"/>
  <c r="BG11" i="53"/>
  <c r="BF11" i="53"/>
  <c r="BB11" i="53" s="1"/>
  <c r="AV11" i="53" s="1"/>
  <c r="BD11" i="53"/>
  <c r="AZ11" i="53"/>
  <c r="AT11" i="53" s="1"/>
  <c r="AY11" i="53"/>
  <c r="AP11" i="53"/>
  <c r="AK11" i="53"/>
  <c r="AJ11" i="53"/>
  <c r="AI11" i="53"/>
  <c r="AG11" i="53"/>
  <c r="AF11" i="53"/>
  <c r="AE11" i="53"/>
  <c r="AD11" i="53"/>
  <c r="AC11" i="53"/>
  <c r="AB11" i="53"/>
  <c r="Z11" i="53"/>
  <c r="Y11" i="53"/>
  <c r="X11" i="53"/>
  <c r="W11" i="53"/>
  <c r="V11" i="53"/>
  <c r="U11" i="53"/>
  <c r="T11" i="53"/>
  <c r="S11" i="53"/>
  <c r="R11" i="53"/>
  <c r="Q11" i="53"/>
  <c r="FT11" i="53" s="1"/>
  <c r="P11" i="53"/>
  <c r="O11" i="53"/>
  <c r="CM11" i="53" s="1"/>
  <c r="N11" i="53"/>
  <c r="M11" i="53"/>
  <c r="L11" i="53"/>
  <c r="J11" i="53"/>
  <c r="I11" i="53"/>
  <c r="H11" i="53"/>
  <c r="G11" i="53"/>
  <c r="F11" i="53"/>
  <c r="AS11" i="53" s="1"/>
  <c r="E11" i="53"/>
  <c r="AO11" i="53" s="1"/>
  <c r="AR11" i="53" s="1"/>
  <c r="D11" i="53"/>
  <c r="B11" i="53"/>
  <c r="AM11" i="53" s="1"/>
  <c r="A11" i="53"/>
  <c r="ID10" i="53"/>
  <c r="IC10" i="53"/>
  <c r="GW10" i="53"/>
  <c r="GT10" i="53"/>
  <c r="GP10" i="53"/>
  <c r="GO10" i="53"/>
  <c r="FV10" i="53"/>
  <c r="FU10" i="53"/>
  <c r="ET10" i="53"/>
  <c r="ES10" i="53"/>
  <c r="EP10" i="53"/>
  <c r="EL10" i="53"/>
  <c r="EK10" i="53"/>
  <c r="EH10" i="53"/>
  <c r="EG10" i="53"/>
  <c r="DA10" i="53"/>
  <c r="CX10" i="53"/>
  <c r="CW10" i="53"/>
  <c r="CT10" i="53"/>
  <c r="CP10" i="53"/>
  <c r="CO10" i="53"/>
  <c r="BY10" i="53"/>
  <c r="BV10" i="53"/>
  <c r="BU10" i="53"/>
  <c r="BR10" i="53"/>
  <c r="BQ10" i="53"/>
  <c r="BJ10" i="53"/>
  <c r="BI10" i="53"/>
  <c r="BF10" i="53"/>
  <c r="BE10" i="53"/>
  <c r="BB10" i="53"/>
  <c r="BA10" i="53"/>
  <c r="AX10" i="53"/>
  <c r="AW10" i="53"/>
  <c r="AS10" i="53"/>
  <c r="AK10" i="53"/>
  <c r="AJ10" i="53"/>
  <c r="AI10" i="53"/>
  <c r="AG10" i="53"/>
  <c r="AF10" i="53"/>
  <c r="AE10" i="53"/>
  <c r="AD10" i="53"/>
  <c r="AC10" i="53"/>
  <c r="AB10" i="53"/>
  <c r="Z10" i="53"/>
  <c r="Y10" i="53"/>
  <c r="X10" i="53"/>
  <c r="W10" i="53"/>
  <c r="V10" i="53"/>
  <c r="HT10" i="53" s="1"/>
  <c r="U10" i="53"/>
  <c r="T10" i="53"/>
  <c r="S10" i="53"/>
  <c r="R10" i="53"/>
  <c r="Q10" i="53"/>
  <c r="FR10" i="53" s="1"/>
  <c r="P10" i="53"/>
  <c r="O10" i="53"/>
  <c r="N10" i="53"/>
  <c r="M10" i="53"/>
  <c r="BM10" i="53" s="1"/>
  <c r="L10" i="53"/>
  <c r="J10" i="53"/>
  <c r="HL10" i="53" s="1"/>
  <c r="I10" i="53"/>
  <c r="H10" i="53"/>
  <c r="G10" i="53"/>
  <c r="F10" i="53"/>
  <c r="E10" i="53"/>
  <c r="AO10" i="53" s="1"/>
  <c r="D10" i="53"/>
  <c r="B10" i="53"/>
  <c r="AM10" i="53" s="1"/>
  <c r="A10" i="53"/>
  <c r="IF9" i="53"/>
  <c r="IE9" i="53"/>
  <c r="ID9" i="53"/>
  <c r="BF9" i="53"/>
  <c r="AQ9" i="53"/>
  <c r="AK9" i="53"/>
  <c r="AJ9" i="53"/>
  <c r="AI9" i="53"/>
  <c r="AG9" i="53"/>
  <c r="AF9" i="53"/>
  <c r="AE9" i="53"/>
  <c r="AD9" i="53"/>
  <c r="AC9" i="53"/>
  <c r="AB9" i="53"/>
  <c r="Z9" i="53"/>
  <c r="Y9" i="53"/>
  <c r="X9" i="53"/>
  <c r="W9" i="53"/>
  <c r="V9" i="53"/>
  <c r="HT9" i="53" s="1"/>
  <c r="U9" i="53"/>
  <c r="T9" i="53"/>
  <c r="S9" i="53"/>
  <c r="IG9" i="53" s="1"/>
  <c r="IH9" i="53" s="1"/>
  <c r="R9" i="53"/>
  <c r="Q9" i="53"/>
  <c r="P9" i="53"/>
  <c r="O9" i="53"/>
  <c r="N9" i="53"/>
  <c r="M9" i="53"/>
  <c r="L9" i="53"/>
  <c r="J9" i="53"/>
  <c r="FV9" i="53" s="1"/>
  <c r="I9" i="53"/>
  <c r="H9" i="53"/>
  <c r="G9" i="53"/>
  <c r="F9" i="53"/>
  <c r="AS9" i="53" s="1"/>
  <c r="E9" i="53"/>
  <c r="AO9" i="53" s="1"/>
  <c r="AR9" i="53" s="1"/>
  <c r="D9" i="53"/>
  <c r="B9" i="53"/>
  <c r="AM9" i="53" s="1"/>
  <c r="A9" i="53"/>
  <c r="IF8" i="53"/>
  <c r="IE8" i="53"/>
  <c r="BF8" i="53"/>
  <c r="AR8" i="53"/>
  <c r="AQ8" i="53"/>
  <c r="AO8" i="53"/>
  <c r="AP8" i="53" s="1"/>
  <c r="AK8" i="53"/>
  <c r="AJ8" i="53"/>
  <c r="AI8" i="53"/>
  <c r="AH8" i="53"/>
  <c r="AG8" i="53"/>
  <c r="AF8" i="53"/>
  <c r="AE8" i="53"/>
  <c r="AD8" i="53"/>
  <c r="AC8" i="53"/>
  <c r="AB8" i="53"/>
  <c r="Z8" i="53"/>
  <c r="Y8" i="53"/>
  <c r="X8" i="53"/>
  <c r="W8" i="53"/>
  <c r="V8" i="53"/>
  <c r="HT8" i="53" s="1"/>
  <c r="U8" i="53"/>
  <c r="T8" i="53"/>
  <c r="ID8" i="53" s="1"/>
  <c r="S8" i="53"/>
  <c r="R8" i="53"/>
  <c r="Q8" i="53"/>
  <c r="P8" i="53"/>
  <c r="O8" i="53"/>
  <c r="N8" i="53"/>
  <c r="M8" i="53"/>
  <c r="L8" i="53"/>
  <c r="J8" i="53"/>
  <c r="GV8" i="53" s="1"/>
  <c r="I8" i="53"/>
  <c r="H8" i="53"/>
  <c r="G8" i="53"/>
  <c r="F8" i="53"/>
  <c r="AS8" i="53" s="1"/>
  <c r="E8" i="53"/>
  <c r="D8" i="53"/>
  <c r="B8" i="53"/>
  <c r="AM8" i="53" s="1"/>
  <c r="A8" i="53"/>
  <c r="HT7" i="53"/>
  <c r="HL7" i="53"/>
  <c r="HD7" i="53"/>
  <c r="GW7" i="53"/>
  <c r="GV7" i="53"/>
  <c r="GR7" i="53"/>
  <c r="GO7" i="53"/>
  <c r="GN7" i="53"/>
  <c r="GG7" i="53"/>
  <c r="GF7" i="53"/>
  <c r="FX7" i="53"/>
  <c r="FV7" i="53"/>
  <c r="FU7" i="53"/>
  <c r="FT7" i="53"/>
  <c r="FH7" i="53"/>
  <c r="EV7" i="53"/>
  <c r="EP7" i="53"/>
  <c r="EJ7" i="53"/>
  <c r="EG7" i="53"/>
  <c r="DH7" i="53"/>
  <c r="DA7" i="53"/>
  <c r="CT7" i="53"/>
  <c r="CS7" i="53"/>
  <c r="CO7" i="53"/>
  <c r="CN7" i="53"/>
  <c r="CL7" i="53"/>
  <c r="BX7" i="53"/>
  <c r="HM7" i="53" s="1"/>
  <c r="BV7" i="53"/>
  <c r="BU7" i="53"/>
  <c r="BT7" i="53"/>
  <c r="GJ7" i="53" s="1"/>
  <c r="BR7" i="53"/>
  <c r="BQ7" i="53"/>
  <c r="BP7" i="53"/>
  <c r="BM7" i="53"/>
  <c r="BL7" i="53"/>
  <c r="BJ7" i="53"/>
  <c r="BI7" i="53"/>
  <c r="BF7" i="53"/>
  <c r="AZ7" i="53" s="1"/>
  <c r="AT7" i="53" s="1"/>
  <c r="BE7" i="53"/>
  <c r="BD7" i="53"/>
  <c r="BB7" i="53"/>
  <c r="BA7" i="53"/>
  <c r="AX7" i="53"/>
  <c r="AW7" i="53"/>
  <c r="AV7" i="53"/>
  <c r="AS7" i="53"/>
  <c r="AK7" i="53"/>
  <c r="AJ7" i="53"/>
  <c r="AI7" i="53"/>
  <c r="AG7" i="53"/>
  <c r="AF7" i="53"/>
  <c r="AE7" i="53"/>
  <c r="AD7" i="53"/>
  <c r="AC7" i="53"/>
  <c r="AB7" i="53"/>
  <c r="Z7" i="53"/>
  <c r="Y7" i="53"/>
  <c r="X7" i="53"/>
  <c r="W7" i="53"/>
  <c r="V7" i="53"/>
  <c r="U7" i="53"/>
  <c r="T7" i="53"/>
  <c r="IF7" i="53" s="1"/>
  <c r="S7" i="53"/>
  <c r="R7" i="53"/>
  <c r="Q7" i="53"/>
  <c r="FR7" i="53" s="1"/>
  <c r="P7" i="53"/>
  <c r="DX7" i="53" s="1"/>
  <c r="DY7" i="53" s="1"/>
  <c r="O7" i="53"/>
  <c r="CF7" i="53" s="1"/>
  <c r="N7" i="53"/>
  <c r="M7" i="53"/>
  <c r="BN7" i="53" s="1"/>
  <c r="L7" i="53"/>
  <c r="BH7" i="53" s="1"/>
  <c r="J7" i="53"/>
  <c r="FW7" i="53" s="1"/>
  <c r="I7" i="53"/>
  <c r="H7" i="53"/>
  <c r="G7" i="53"/>
  <c r="F7" i="53"/>
  <c r="E7" i="53"/>
  <c r="AO7" i="53" s="1"/>
  <c r="D7" i="53"/>
  <c r="B7" i="53"/>
  <c r="AM7" i="53" s="1"/>
  <c r="A7" i="53"/>
  <c r="IC6" i="53"/>
  <c r="HG6" i="53"/>
  <c r="GQ6" i="53"/>
  <c r="GP6" i="53"/>
  <c r="FW6" i="53"/>
  <c r="FV6" i="53"/>
  <c r="FU6" i="53"/>
  <c r="FA6" i="53"/>
  <c r="EY6" i="53"/>
  <c r="EP6" i="53"/>
  <c r="EK6" i="53"/>
  <c r="EI6" i="53"/>
  <c r="EG6" i="53"/>
  <c r="DO6" i="53"/>
  <c r="DE6" i="53"/>
  <c r="DA6" i="53"/>
  <c r="CT6" i="53"/>
  <c r="CS6" i="53"/>
  <c r="CO6" i="53"/>
  <c r="CM6" i="53"/>
  <c r="BY6" i="53"/>
  <c r="BW6" i="53"/>
  <c r="BU6" i="53"/>
  <c r="BS6" i="53"/>
  <c r="BR6" i="53"/>
  <c r="BO6" i="53"/>
  <c r="BJ6" i="53"/>
  <c r="BI6" i="53"/>
  <c r="BF6" i="53"/>
  <c r="BE6" i="53"/>
  <c r="BC6" i="53"/>
  <c r="BB6" i="53"/>
  <c r="AY6" i="53"/>
  <c r="AX6" i="53"/>
  <c r="AW6" i="53"/>
  <c r="AS6" i="53"/>
  <c r="AK6" i="53"/>
  <c r="AJ6" i="53"/>
  <c r="AI6" i="53"/>
  <c r="AH6" i="53"/>
  <c r="AG6" i="53"/>
  <c r="AF6" i="53"/>
  <c r="AE6" i="53"/>
  <c r="AD6" i="53"/>
  <c r="AC6" i="53"/>
  <c r="AB6" i="53"/>
  <c r="Z6" i="53"/>
  <c r="Y6" i="53"/>
  <c r="X6" i="53"/>
  <c r="W6" i="53"/>
  <c r="V6" i="53"/>
  <c r="HT6" i="53" s="1"/>
  <c r="U6" i="53"/>
  <c r="T6" i="53"/>
  <c r="IF6" i="53" s="1"/>
  <c r="S6" i="53"/>
  <c r="R6" i="53"/>
  <c r="Q6" i="53"/>
  <c r="FR6" i="53" s="1"/>
  <c r="P6" i="53"/>
  <c r="O6" i="53"/>
  <c r="N6" i="53"/>
  <c r="M6" i="53"/>
  <c r="BN6" i="53" s="1"/>
  <c r="L6" i="53"/>
  <c r="BG6" i="53" s="1"/>
  <c r="J6" i="53"/>
  <c r="I6" i="53"/>
  <c r="H6" i="53"/>
  <c r="G6" i="53"/>
  <c r="F6" i="53"/>
  <c r="E6" i="53"/>
  <c r="AO6" i="53" s="1"/>
  <c r="D6" i="53"/>
  <c r="B6" i="53"/>
  <c r="AM6" i="53" s="1"/>
  <c r="A6" i="53"/>
  <c r="IF5" i="53"/>
  <c r="IE5" i="53"/>
  <c r="ID5" i="53"/>
  <c r="HT5" i="53"/>
  <c r="HD5" i="53"/>
  <c r="GZ5" i="53"/>
  <c r="GN5" i="53"/>
  <c r="FX5" i="53"/>
  <c r="FT5" i="53"/>
  <c r="FH5" i="53"/>
  <c r="EY5" i="53"/>
  <c r="ET5" i="53"/>
  <c r="DX5" i="53"/>
  <c r="DH5" i="53"/>
  <c r="CX5" i="53"/>
  <c r="CM5" i="53"/>
  <c r="CF5" i="53"/>
  <c r="BW5" i="53"/>
  <c r="HJ5" i="53" s="1"/>
  <c r="BV5" i="53"/>
  <c r="BR5" i="53"/>
  <c r="BP5" i="53"/>
  <c r="BL5" i="53"/>
  <c r="BK5" i="53"/>
  <c r="BG5" i="53"/>
  <c r="BF5" i="53"/>
  <c r="BB5" i="53"/>
  <c r="AZ5" i="53"/>
  <c r="AV5" i="53"/>
  <c r="AK5" i="53"/>
  <c r="AJ5" i="53"/>
  <c r="AI5" i="53"/>
  <c r="AH5" i="53"/>
  <c r="AG5" i="53"/>
  <c r="AF5" i="53"/>
  <c r="AE5" i="53"/>
  <c r="AD5" i="53"/>
  <c r="AC5" i="53"/>
  <c r="AB5" i="53"/>
  <c r="Z5" i="53"/>
  <c r="Y5" i="53"/>
  <c r="X5" i="53"/>
  <c r="W5" i="53"/>
  <c r="V5" i="53"/>
  <c r="U5" i="53"/>
  <c r="T5" i="53"/>
  <c r="S5" i="53"/>
  <c r="R5" i="53"/>
  <c r="Q5" i="53"/>
  <c r="FS5" i="53" s="1"/>
  <c r="P5" i="53"/>
  <c r="O5" i="53"/>
  <c r="N5" i="53"/>
  <c r="M5" i="53"/>
  <c r="L5" i="53"/>
  <c r="J5" i="53"/>
  <c r="FV5" i="53" s="1"/>
  <c r="I5" i="53"/>
  <c r="H5" i="53"/>
  <c r="G5" i="53"/>
  <c r="F5" i="53"/>
  <c r="AS5" i="53" s="1"/>
  <c r="E5" i="53"/>
  <c r="AO5" i="53" s="1"/>
  <c r="AR5" i="53" s="1"/>
  <c r="D5" i="53"/>
  <c r="B5" i="53"/>
  <c r="AM5" i="53" s="1"/>
  <c r="A5" i="53"/>
  <c r="HT4" i="53"/>
  <c r="HM4" i="53"/>
  <c r="HL4" i="53"/>
  <c r="HD4" i="53"/>
  <c r="GV4" i="53"/>
  <c r="GR4" i="53"/>
  <c r="GQ4" i="53"/>
  <c r="GN4" i="53"/>
  <c r="GF4" i="53"/>
  <c r="GB4" i="53"/>
  <c r="FX4" i="53"/>
  <c r="FW4" i="53"/>
  <c r="FU4" i="53"/>
  <c r="FS4" i="53"/>
  <c r="FL4" i="53"/>
  <c r="FH4" i="53"/>
  <c r="EK4" i="53"/>
  <c r="EJ4" i="53"/>
  <c r="EG4" i="53"/>
  <c r="DU4" i="53"/>
  <c r="DK4" i="53"/>
  <c r="DA4" i="53"/>
  <c r="CS4" i="53"/>
  <c r="CO4" i="53"/>
  <c r="CN4" i="53"/>
  <c r="CE4" i="53"/>
  <c r="BY4" i="53"/>
  <c r="BX4" i="53"/>
  <c r="BU4" i="53"/>
  <c r="BT4" i="53"/>
  <c r="GK4" i="53" s="1"/>
  <c r="BS4" i="53"/>
  <c r="BP4" i="53"/>
  <c r="BO4" i="53"/>
  <c r="BM4" i="53"/>
  <c r="BK4" i="53"/>
  <c r="BI4" i="53"/>
  <c r="BF4" i="53"/>
  <c r="BE4" i="53"/>
  <c r="BD4" i="53"/>
  <c r="BA4" i="53"/>
  <c r="AZ4" i="53"/>
  <c r="AY4" i="53"/>
  <c r="AV4" i="53"/>
  <c r="AU4" i="53"/>
  <c r="AS4" i="53"/>
  <c r="AO4" i="53"/>
  <c r="AP4" i="53" s="1"/>
  <c r="AK4" i="53"/>
  <c r="AJ4" i="53"/>
  <c r="AI4" i="53"/>
  <c r="AG4" i="53"/>
  <c r="AF4" i="53"/>
  <c r="AE4" i="53"/>
  <c r="AD4" i="53"/>
  <c r="AC4" i="53"/>
  <c r="AB4" i="53"/>
  <c r="Z4" i="53"/>
  <c r="Y4" i="53"/>
  <c r="X4" i="53"/>
  <c r="W4" i="53"/>
  <c r="V4" i="53"/>
  <c r="U4" i="53"/>
  <c r="T4" i="53"/>
  <c r="ID4" i="53" s="1"/>
  <c r="S4" i="53"/>
  <c r="R4" i="53"/>
  <c r="Q4" i="53"/>
  <c r="P4" i="53"/>
  <c r="DO4" i="53" s="1"/>
  <c r="DP4" i="53" s="1"/>
  <c r="O4" i="53"/>
  <c r="CF4" i="53" s="1"/>
  <c r="N4" i="53"/>
  <c r="M4" i="53"/>
  <c r="L4" i="53"/>
  <c r="BH4" i="53" s="1"/>
  <c r="J4" i="53"/>
  <c r="I4" i="53"/>
  <c r="H4" i="53"/>
  <c r="G4" i="53"/>
  <c r="F4" i="53"/>
  <c r="E4" i="53"/>
  <c r="D4" i="53"/>
  <c r="B4" i="53"/>
  <c r="AM4" i="53" s="1"/>
  <c r="A4" i="53"/>
  <c r="IC3" i="53"/>
  <c r="HT3" i="53"/>
  <c r="HR3" i="53"/>
  <c r="HM3" i="53"/>
  <c r="HL3" i="53"/>
  <c r="HD3" i="53"/>
  <c r="HB3" i="53"/>
  <c r="HA3" i="53"/>
  <c r="GX3" i="53"/>
  <c r="GW3" i="53"/>
  <c r="GV3" i="53"/>
  <c r="GR3" i="53"/>
  <c r="GP3" i="53"/>
  <c r="GN3" i="53"/>
  <c r="GF3" i="53"/>
  <c r="FX3" i="53"/>
  <c r="FV3" i="53"/>
  <c r="FU3" i="53"/>
  <c r="FL3" i="53"/>
  <c r="FH3" i="53"/>
  <c r="EV3" i="53"/>
  <c r="ET3" i="53"/>
  <c r="ER3" i="53"/>
  <c r="EP3" i="53"/>
  <c r="EK3" i="53"/>
  <c r="DJ3" i="53"/>
  <c r="DH3" i="53"/>
  <c r="DA3" i="53"/>
  <c r="CZ3" i="53"/>
  <c r="CX3" i="53"/>
  <c r="CV3" i="53"/>
  <c r="CT3" i="53"/>
  <c r="CS3" i="53"/>
  <c r="CF3" i="53"/>
  <c r="BY3" i="53"/>
  <c r="BX3" i="53"/>
  <c r="BV3" i="53"/>
  <c r="BU3" i="53"/>
  <c r="BT3" i="53"/>
  <c r="GH3" i="53" s="1"/>
  <c r="BR3" i="53"/>
  <c r="BQ3" i="53"/>
  <c r="BP3" i="53"/>
  <c r="BL3" i="53"/>
  <c r="BJ3" i="53"/>
  <c r="BI3" i="53"/>
  <c r="BF3" i="53"/>
  <c r="BE3" i="53"/>
  <c r="BD3" i="53"/>
  <c r="BB3" i="53"/>
  <c r="AV3" i="53" s="1"/>
  <c r="BA3" i="53"/>
  <c r="AZ3" i="53"/>
  <c r="AX3" i="53"/>
  <c r="AW3" i="53"/>
  <c r="AT3" i="53"/>
  <c r="AS3" i="53"/>
  <c r="AK3" i="53"/>
  <c r="AJ3" i="53"/>
  <c r="AI3" i="53"/>
  <c r="AG3" i="53"/>
  <c r="AF3" i="53"/>
  <c r="AE3" i="53"/>
  <c r="AD3" i="53"/>
  <c r="AC3" i="53"/>
  <c r="AB3" i="53"/>
  <c r="Z3" i="53"/>
  <c r="Y3" i="53"/>
  <c r="X3" i="53"/>
  <c r="W3" i="53"/>
  <c r="V3" i="53"/>
  <c r="U3" i="53"/>
  <c r="T3" i="53"/>
  <c r="IE3" i="53" s="1"/>
  <c r="IG3" i="53" s="1"/>
  <c r="IH3" i="53" s="1"/>
  <c r="S3" i="53"/>
  <c r="R3" i="53"/>
  <c r="Q3" i="53"/>
  <c r="FT3" i="53" s="1"/>
  <c r="P3" i="53"/>
  <c r="DX3" i="53" s="1"/>
  <c r="O3" i="53"/>
  <c r="N3" i="53"/>
  <c r="M3" i="53"/>
  <c r="BM3" i="53" s="1"/>
  <c r="L3" i="53"/>
  <c r="BH3" i="53" s="1"/>
  <c r="J3" i="53"/>
  <c r="FW3" i="53" s="1"/>
  <c r="I3" i="53"/>
  <c r="H3" i="53"/>
  <c r="G3" i="53"/>
  <c r="F3" i="53"/>
  <c r="E3" i="53"/>
  <c r="AO3" i="53" s="1"/>
  <c r="D3" i="53"/>
  <c r="B3" i="53"/>
  <c r="AM3" i="53" s="1"/>
  <c r="A3" i="53"/>
  <c r="AF2" i="53"/>
  <c r="AE2" i="53"/>
  <c r="AD2" i="53"/>
  <c r="AC2" i="53"/>
  <c r="AB2" i="53"/>
  <c r="Z2" i="53"/>
  <c r="Y2" i="53"/>
  <c r="X2" i="53"/>
  <c r="W2" i="53"/>
  <c r="V2" i="53"/>
  <c r="U2" i="53"/>
  <c r="T2" i="53"/>
  <c r="S2" i="53"/>
  <c r="R2" i="53"/>
  <c r="Q2" i="53"/>
  <c r="P2" i="53"/>
  <c r="O2" i="53"/>
  <c r="N2" i="53"/>
  <c r="M2" i="53"/>
  <c r="L2" i="53"/>
  <c r="K2" i="53"/>
  <c r="J2" i="53"/>
  <c r="I2" i="53"/>
  <c r="H2" i="53"/>
  <c r="G2" i="53"/>
  <c r="F2" i="53"/>
  <c r="E2" i="53"/>
  <c r="D2" i="53"/>
  <c r="A2" i="53"/>
  <c r="H5" i="31"/>
  <c r="H4" i="31"/>
  <c r="H3" i="31"/>
  <c r="H2" i="31"/>
  <c r="J26" i="59"/>
  <c r="AH22" i="53" s="1"/>
  <c r="K7" i="59"/>
  <c r="G3" i="38"/>
  <c r="F3" i="38"/>
  <c r="B3" i="38"/>
  <c r="HX39" i="53"/>
  <c r="EN39" i="53"/>
  <c r="K39" i="53"/>
  <c r="HY38" i="53"/>
  <c r="HU38" i="53"/>
  <c r="EW38" i="53"/>
  <c r="HW39" i="53"/>
  <c r="FF39" i="53"/>
  <c r="EE39" i="53"/>
  <c r="HV39" i="53"/>
  <c r="HK39" i="53"/>
  <c r="GU39" i="53"/>
  <c r="GE39" i="53"/>
  <c r="FO39" i="53"/>
  <c r="HZ38" i="53"/>
  <c r="K38" i="53"/>
  <c r="HY37" i="53"/>
  <c r="HU37" i="53"/>
  <c r="EW37" i="53"/>
  <c r="HZ39" i="53"/>
  <c r="HU39" i="53"/>
  <c r="IA39" i="53" s="1"/>
  <c r="HX38" i="53"/>
  <c r="HS38" i="53"/>
  <c r="HC38" i="53"/>
  <c r="GM38" i="53"/>
  <c r="HX37" i="53"/>
  <c r="HY39" i="53"/>
  <c r="HS39" i="53"/>
  <c r="HC39" i="53"/>
  <c r="GM39" i="53"/>
  <c r="EW39" i="53"/>
  <c r="DV39" i="53"/>
  <c r="FF38" i="53"/>
  <c r="HW37" i="53"/>
  <c r="HC37" i="53"/>
  <c r="GM37" i="53"/>
  <c r="HW38" i="53"/>
  <c r="EE38" i="53"/>
  <c r="DV38" i="53"/>
  <c r="HS37" i="53"/>
  <c r="HK37" i="53"/>
  <c r="GU37" i="53"/>
  <c r="GE37" i="53"/>
  <c r="FO37" i="53"/>
  <c r="EN37" i="53"/>
  <c r="HZ36" i="53"/>
  <c r="HV36" i="53"/>
  <c r="FF36" i="53"/>
  <c r="DV36" i="53"/>
  <c r="HK38" i="53"/>
  <c r="GU38" i="53"/>
  <c r="GE38" i="53"/>
  <c r="FO38" i="53"/>
  <c r="HV37" i="53"/>
  <c r="IA37" i="53" s="1"/>
  <c r="FF37" i="53"/>
  <c r="K37" i="53"/>
  <c r="HU36" i="53"/>
  <c r="IA36" i="53" s="1"/>
  <c r="HK36" i="53"/>
  <c r="GU36" i="53"/>
  <c r="GE36" i="53"/>
  <c r="FO36" i="53"/>
  <c r="EN36" i="53"/>
  <c r="HZ35" i="53"/>
  <c r="HV35" i="53"/>
  <c r="HV38" i="53"/>
  <c r="IA38" i="53" s="1"/>
  <c r="HZ37" i="53"/>
  <c r="HW36" i="53"/>
  <c r="EE36" i="53"/>
  <c r="HW35" i="53"/>
  <c r="HS35" i="53"/>
  <c r="HK35" i="53"/>
  <c r="HC35" i="53"/>
  <c r="GU35" i="53"/>
  <c r="GM35" i="53"/>
  <c r="GE35" i="53"/>
  <c r="FO35" i="53"/>
  <c r="EE35" i="53"/>
  <c r="HY36" i="53"/>
  <c r="K36" i="53"/>
  <c r="HX35" i="53"/>
  <c r="EW35" i="53"/>
  <c r="DV35" i="53"/>
  <c r="HX34" i="53"/>
  <c r="EN34" i="53"/>
  <c r="K34" i="53"/>
  <c r="HY33" i="53"/>
  <c r="HU33" i="53"/>
  <c r="EW33" i="53"/>
  <c r="EN38" i="53"/>
  <c r="DV37" i="53"/>
  <c r="HS36" i="53"/>
  <c r="GM36" i="53"/>
  <c r="HY35" i="53"/>
  <c r="EN35" i="53"/>
  <c r="K35" i="53"/>
  <c r="HY34" i="53"/>
  <c r="HU34" i="53"/>
  <c r="EW34" i="53"/>
  <c r="HX36" i="53"/>
  <c r="HC36" i="53"/>
  <c r="HU35" i="53"/>
  <c r="IA35" i="53" s="1"/>
  <c r="HW34" i="53"/>
  <c r="EE34" i="53"/>
  <c r="HV33" i="53"/>
  <c r="IA33" i="53" s="1"/>
  <c r="HK33" i="53"/>
  <c r="GU33" i="53"/>
  <c r="GE33" i="53"/>
  <c r="FO33" i="53"/>
  <c r="EN33" i="53"/>
  <c r="K33" i="53"/>
  <c r="HY32" i="53"/>
  <c r="HU32" i="53"/>
  <c r="EW32" i="53"/>
  <c r="HZ31" i="53"/>
  <c r="HV31" i="53"/>
  <c r="FF31" i="53"/>
  <c r="DV31" i="53"/>
  <c r="HW30" i="53"/>
  <c r="HS30" i="53"/>
  <c r="HK30" i="53"/>
  <c r="HC30" i="53"/>
  <c r="GU30" i="53"/>
  <c r="GM30" i="53"/>
  <c r="GE30" i="53"/>
  <c r="FO30" i="53"/>
  <c r="EE30" i="53"/>
  <c r="HX29" i="53"/>
  <c r="EN29" i="53"/>
  <c r="K29" i="53"/>
  <c r="HY28" i="53"/>
  <c r="HU28" i="53"/>
  <c r="EW28" i="53"/>
  <c r="EE37" i="53"/>
  <c r="EW36" i="53"/>
  <c r="HV34" i="53"/>
  <c r="HK34" i="53"/>
  <c r="GE34" i="53"/>
  <c r="HZ32" i="53"/>
  <c r="HS34" i="53"/>
  <c r="GM34" i="53"/>
  <c r="HZ33" i="53"/>
  <c r="HS33" i="53"/>
  <c r="EE33" i="53"/>
  <c r="HX32" i="53"/>
  <c r="HS32" i="53"/>
  <c r="HC32" i="53"/>
  <c r="GM32" i="53"/>
  <c r="DV32" i="53"/>
  <c r="K32" i="53"/>
  <c r="HU31" i="53"/>
  <c r="IA31" i="53" s="1"/>
  <c r="HK31" i="53"/>
  <c r="GU31" i="53"/>
  <c r="GE31" i="53"/>
  <c r="FO31" i="53"/>
  <c r="EN31" i="53"/>
  <c r="HZ30" i="53"/>
  <c r="HU30" i="53"/>
  <c r="EN30" i="53"/>
  <c r="K30" i="53"/>
  <c r="HV29" i="53"/>
  <c r="HK29" i="53"/>
  <c r="GU29" i="53"/>
  <c r="FF35" i="53"/>
  <c r="IA34" i="53"/>
  <c r="GU34" i="53"/>
  <c r="FO34" i="53"/>
  <c r="FF34" i="53"/>
  <c r="HX33" i="53"/>
  <c r="HC33" i="53"/>
  <c r="FF33" i="53"/>
  <c r="DV33" i="53"/>
  <c r="HW32" i="53"/>
  <c r="FF32" i="53"/>
  <c r="EE32" i="53"/>
  <c r="HY31" i="53"/>
  <c r="EW31" i="53"/>
  <c r="HY30" i="53"/>
  <c r="HS31" i="53"/>
  <c r="GM31" i="53"/>
  <c r="EE31" i="53"/>
  <c r="HX30" i="53"/>
  <c r="FF30" i="53"/>
  <c r="DV30" i="53"/>
  <c r="HW29" i="53"/>
  <c r="GM29" i="53"/>
  <c r="EW29" i="53"/>
  <c r="DV29" i="53"/>
  <c r="HW28" i="53"/>
  <c r="FF28" i="53"/>
  <c r="EE28" i="53"/>
  <c r="K28" i="53"/>
  <c r="HY27" i="53"/>
  <c r="HU27" i="53"/>
  <c r="EW27" i="53"/>
  <c r="HZ26" i="53"/>
  <c r="HV26" i="53"/>
  <c r="FF26" i="53"/>
  <c r="DV26" i="53"/>
  <c r="HW25" i="53"/>
  <c r="HS25" i="53"/>
  <c r="HK25" i="53"/>
  <c r="HC25" i="53"/>
  <c r="GU25" i="53"/>
  <c r="GM25" i="53"/>
  <c r="GE25" i="53"/>
  <c r="HC34" i="53"/>
  <c r="DV34" i="53"/>
  <c r="HW33" i="53"/>
  <c r="GE32" i="53"/>
  <c r="EN32" i="53"/>
  <c r="K31" i="53"/>
  <c r="HV30" i="53"/>
  <c r="IA30" i="53" s="1"/>
  <c r="EW30" i="53"/>
  <c r="HZ34" i="53"/>
  <c r="GM33" i="53"/>
  <c r="HV32" i="53"/>
  <c r="GU32" i="53"/>
  <c r="FO32" i="53"/>
  <c r="HW31" i="53"/>
  <c r="HY29" i="53"/>
  <c r="HC29" i="53"/>
  <c r="HX28" i="53"/>
  <c r="HS28" i="53"/>
  <c r="HC28" i="53"/>
  <c r="GM28" i="53"/>
  <c r="DV28" i="53"/>
  <c r="HZ27" i="53"/>
  <c r="HV27" i="53"/>
  <c r="FF27" i="53"/>
  <c r="DV27" i="53"/>
  <c r="HS29" i="53"/>
  <c r="GE29" i="53"/>
  <c r="HS27" i="53"/>
  <c r="HK27" i="53"/>
  <c r="HC27" i="53"/>
  <c r="GU27" i="53"/>
  <c r="GM27" i="53"/>
  <c r="GE27" i="53"/>
  <c r="FO27" i="53"/>
  <c r="HY26" i="53"/>
  <c r="EW26" i="53"/>
  <c r="HY25" i="53"/>
  <c r="FF25" i="53"/>
  <c r="DV25" i="53"/>
  <c r="HW24" i="53"/>
  <c r="HS24" i="53"/>
  <c r="HK24" i="53"/>
  <c r="HC24" i="53"/>
  <c r="GU24" i="53"/>
  <c r="GM24" i="53"/>
  <c r="GE24" i="53"/>
  <c r="FO24" i="53"/>
  <c r="EE24" i="53"/>
  <c r="HX23" i="53"/>
  <c r="EN23" i="53"/>
  <c r="K23" i="53"/>
  <c r="HY22" i="53"/>
  <c r="HU22" i="53"/>
  <c r="EW22" i="53"/>
  <c r="HZ21" i="53"/>
  <c r="HV21" i="53"/>
  <c r="FF21" i="53"/>
  <c r="DV21" i="53"/>
  <c r="HW20" i="53"/>
  <c r="HS20" i="53"/>
  <c r="HK20" i="53"/>
  <c r="HC20" i="53"/>
  <c r="GU20" i="53"/>
  <c r="GM20" i="53"/>
  <c r="GE20" i="53"/>
  <c r="FO20" i="53"/>
  <c r="EE20" i="53"/>
  <c r="HX19" i="53"/>
  <c r="EN19" i="53"/>
  <c r="K19" i="53"/>
  <c r="HY18" i="53"/>
  <c r="HU18" i="53"/>
  <c r="EW18" i="53"/>
  <c r="HZ17" i="53"/>
  <c r="HV17" i="53"/>
  <c r="FF17" i="53"/>
  <c r="DV17" i="53"/>
  <c r="HW16" i="53"/>
  <c r="HS16" i="53"/>
  <c r="HK16" i="53"/>
  <c r="HC16" i="53"/>
  <c r="GU16" i="53"/>
  <c r="GM16" i="53"/>
  <c r="GE16" i="53"/>
  <c r="FO16" i="53"/>
  <c r="EE16" i="53"/>
  <c r="HX15" i="53"/>
  <c r="EN15" i="53"/>
  <c r="K15" i="53"/>
  <c r="HY14" i="53"/>
  <c r="HU14" i="53"/>
  <c r="EW14" i="53"/>
  <c r="HK32" i="53"/>
  <c r="FF29" i="53"/>
  <c r="GU28" i="53"/>
  <c r="FO28" i="53"/>
  <c r="HX27" i="53"/>
  <c r="EN27" i="53"/>
  <c r="HX26" i="53"/>
  <c r="HS26" i="53"/>
  <c r="HC26" i="53"/>
  <c r="GM26" i="53"/>
  <c r="HX25" i="53"/>
  <c r="EW25" i="53"/>
  <c r="IA32" i="53"/>
  <c r="HX31" i="53"/>
  <c r="HU29" i="53"/>
  <c r="IA29" i="53" s="1"/>
  <c r="EE29" i="53"/>
  <c r="HV28" i="53"/>
  <c r="IA28" i="53" s="1"/>
  <c r="HK28" i="53"/>
  <c r="GE28" i="53"/>
  <c r="EN28" i="53"/>
  <c r="K27" i="53"/>
  <c r="HU26" i="53"/>
  <c r="IA26" i="53" s="1"/>
  <c r="HK26" i="53"/>
  <c r="GU26" i="53"/>
  <c r="GE26" i="53"/>
  <c r="FO26" i="53"/>
  <c r="EN26" i="53"/>
  <c r="HZ25" i="53"/>
  <c r="HU25" i="53"/>
  <c r="FO25" i="53"/>
  <c r="EE25" i="53"/>
  <c r="HX24" i="53"/>
  <c r="EN24" i="53"/>
  <c r="K24" i="53"/>
  <c r="HY23" i="53"/>
  <c r="HU23" i="53"/>
  <c r="EW23" i="53"/>
  <c r="HZ22" i="53"/>
  <c r="HV22" i="53"/>
  <c r="FF22" i="53"/>
  <c r="DV22" i="53"/>
  <c r="HW21" i="53"/>
  <c r="HS21" i="53"/>
  <c r="HK21" i="53"/>
  <c r="HC21" i="53"/>
  <c r="GU21" i="53"/>
  <c r="GM21" i="53"/>
  <c r="GE21" i="53"/>
  <c r="FO21" i="53"/>
  <c r="EE21" i="53"/>
  <c r="HZ29" i="53"/>
  <c r="EE27" i="53"/>
  <c r="K26" i="53"/>
  <c r="EN25" i="53"/>
  <c r="K25" i="53"/>
  <c r="HY24" i="53"/>
  <c r="EW24" i="53"/>
  <c r="HW23" i="53"/>
  <c r="EE23" i="53"/>
  <c r="HX22" i="53"/>
  <c r="EN22" i="53"/>
  <c r="HY21" i="53"/>
  <c r="EW21" i="53"/>
  <c r="K21" i="53"/>
  <c r="HV20" i="53"/>
  <c r="HW19" i="53"/>
  <c r="FF19" i="53"/>
  <c r="EE19" i="53"/>
  <c r="HV18" i="53"/>
  <c r="IA18" i="53" s="1"/>
  <c r="HK18" i="53"/>
  <c r="GU18" i="53"/>
  <c r="GE18" i="53"/>
  <c r="FO18" i="53"/>
  <c r="EN18" i="53"/>
  <c r="HX17" i="53"/>
  <c r="HS17" i="53"/>
  <c r="HC17" i="53"/>
  <c r="GM17" i="53"/>
  <c r="HX16" i="53"/>
  <c r="FF16" i="53"/>
  <c r="HY15" i="53"/>
  <c r="HS15" i="53"/>
  <c r="HC15" i="53"/>
  <c r="GM15" i="53"/>
  <c r="EW15" i="53"/>
  <c r="DV15" i="53"/>
  <c r="HW14" i="53"/>
  <c r="FF14" i="53"/>
  <c r="EE14" i="53"/>
  <c r="HW13" i="53"/>
  <c r="HS13" i="53"/>
  <c r="HK13" i="53"/>
  <c r="HC13" i="53"/>
  <c r="GU13" i="53"/>
  <c r="GM13" i="53"/>
  <c r="GE13" i="53"/>
  <c r="FO13" i="53"/>
  <c r="EE13" i="53"/>
  <c r="HX12" i="53"/>
  <c r="EN12" i="53"/>
  <c r="K12" i="53"/>
  <c r="HY11" i="53"/>
  <c r="HU11" i="53"/>
  <c r="EW11" i="53"/>
  <c r="EE26" i="53"/>
  <c r="HV25" i="53"/>
  <c r="IA25" i="53" s="1"/>
  <c r="HV24" i="53"/>
  <c r="DV24" i="53"/>
  <c r="HV23" i="53"/>
  <c r="DV23" i="53"/>
  <c r="HW22" i="53"/>
  <c r="EE22" i="53"/>
  <c r="K22" i="53"/>
  <c r="HX21" i="53"/>
  <c r="EN21" i="53"/>
  <c r="HZ20" i="53"/>
  <c r="HU20" i="53"/>
  <c r="IA20" i="53" s="1"/>
  <c r="EN20" i="53"/>
  <c r="K20" i="53"/>
  <c r="HV19" i="53"/>
  <c r="HK19" i="53"/>
  <c r="GU19" i="53"/>
  <c r="GE19" i="53"/>
  <c r="FO19" i="53"/>
  <c r="FO29" i="53"/>
  <c r="HZ24" i="53"/>
  <c r="FF24" i="53"/>
  <c r="HZ23" i="53"/>
  <c r="FF23" i="53"/>
  <c r="IA22" i="53"/>
  <c r="HS22" i="53"/>
  <c r="HK22" i="53"/>
  <c r="HC22" i="53"/>
  <c r="GU22" i="53"/>
  <c r="GM22" i="53"/>
  <c r="GE22" i="53"/>
  <c r="FO22" i="53"/>
  <c r="HZ28" i="53"/>
  <c r="HK23" i="53"/>
  <c r="GE23" i="53"/>
  <c r="FF20" i="53"/>
  <c r="HY19" i="53"/>
  <c r="HC19" i="53"/>
  <c r="DV19" i="53"/>
  <c r="HW18" i="53"/>
  <c r="GM18" i="53"/>
  <c r="HW17" i="53"/>
  <c r="GU17" i="53"/>
  <c r="EW17" i="53"/>
  <c r="HZ16" i="53"/>
  <c r="HW15" i="53"/>
  <c r="GU15" i="53"/>
  <c r="HX14" i="53"/>
  <c r="HC14" i="53"/>
  <c r="GU14" i="53"/>
  <c r="DV14" i="53"/>
  <c r="HX13" i="53"/>
  <c r="FF13" i="53"/>
  <c r="HY12" i="53"/>
  <c r="HS12" i="53"/>
  <c r="HC12" i="53"/>
  <c r="GM12" i="53"/>
  <c r="EW12" i="53"/>
  <c r="DV12" i="53"/>
  <c r="HW11" i="53"/>
  <c r="FF11" i="53"/>
  <c r="EE11" i="53"/>
  <c r="HX10" i="53"/>
  <c r="EN10" i="53"/>
  <c r="K10" i="53"/>
  <c r="HY9" i="53"/>
  <c r="HU9" i="53"/>
  <c r="EW9" i="53"/>
  <c r="HZ8" i="53"/>
  <c r="HV8" i="53"/>
  <c r="FF8" i="53"/>
  <c r="DV8" i="53"/>
  <c r="HW7" i="53"/>
  <c r="HS7" i="53"/>
  <c r="HK7" i="53"/>
  <c r="HC7" i="53"/>
  <c r="GU7" i="53"/>
  <c r="GM7" i="53"/>
  <c r="GE7" i="53"/>
  <c r="FO7" i="53"/>
  <c r="EE7" i="53"/>
  <c r="HX6" i="53"/>
  <c r="EN6" i="53"/>
  <c r="K6" i="53"/>
  <c r="HY5" i="53"/>
  <c r="HU5" i="53"/>
  <c r="EW5" i="53"/>
  <c r="HZ4" i="53"/>
  <c r="HV4" i="53"/>
  <c r="FF4" i="53"/>
  <c r="DV4" i="53"/>
  <c r="HW3" i="53"/>
  <c r="HS3" i="53"/>
  <c r="HK3" i="53"/>
  <c r="HC3" i="53"/>
  <c r="GU3" i="53"/>
  <c r="GM3" i="53"/>
  <c r="GE3" i="53"/>
  <c r="FO3" i="53"/>
  <c r="EE3" i="53"/>
  <c r="GM10" i="53"/>
  <c r="EE10" i="53"/>
  <c r="HY8" i="53"/>
  <c r="EW8" i="53"/>
  <c r="HZ7" i="53"/>
  <c r="FF7" i="53"/>
  <c r="HW26" i="53"/>
  <c r="HC23" i="53"/>
  <c r="HY20" i="53"/>
  <c r="HU19" i="53"/>
  <c r="IA19" i="53" s="1"/>
  <c r="HU17" i="53"/>
  <c r="GE17" i="53"/>
  <c r="EN17" i="53"/>
  <c r="K17" i="53"/>
  <c r="HY16" i="53"/>
  <c r="EN16" i="53"/>
  <c r="HV15" i="53"/>
  <c r="GE15" i="53"/>
  <c r="HV14" i="53"/>
  <c r="GM14" i="53"/>
  <c r="GE14" i="53"/>
  <c r="EN14" i="53"/>
  <c r="K14" i="53"/>
  <c r="HV13" i="53"/>
  <c r="HW12" i="53"/>
  <c r="FF12" i="53"/>
  <c r="EE12" i="53"/>
  <c r="HV11" i="53"/>
  <c r="IA11" i="53" s="1"/>
  <c r="HK11" i="53"/>
  <c r="GU11" i="53"/>
  <c r="GE11" i="53"/>
  <c r="FO11" i="53"/>
  <c r="EN11" i="53"/>
  <c r="HW10" i="53"/>
  <c r="HS10" i="53"/>
  <c r="HK10" i="53"/>
  <c r="HC10" i="53"/>
  <c r="GU10" i="53"/>
  <c r="GE10" i="53"/>
  <c r="FO10" i="53"/>
  <c r="HX9" i="53"/>
  <c r="EN9" i="53"/>
  <c r="K9" i="53"/>
  <c r="HU8" i="53"/>
  <c r="HV7" i="53"/>
  <c r="DV7" i="53"/>
  <c r="HC31" i="53"/>
  <c r="HW27" i="53"/>
  <c r="IA27" i="53" s="1"/>
  <c r="HU24" i="53"/>
  <c r="IA24" i="53" s="1"/>
  <c r="HS23" i="53"/>
  <c r="GM23" i="53"/>
  <c r="EW20" i="53"/>
  <c r="HZ19" i="53"/>
  <c r="HX18" i="53"/>
  <c r="HC18" i="53"/>
  <c r="FF18" i="53"/>
  <c r="DV18" i="53"/>
  <c r="K18" i="53"/>
  <c r="HY17" i="53"/>
  <c r="HK17" i="53"/>
  <c r="HU16" i="53"/>
  <c r="EW16" i="53"/>
  <c r="DV16" i="53"/>
  <c r="K16" i="53"/>
  <c r="HZ15" i="53"/>
  <c r="HK15" i="53"/>
  <c r="FF15" i="53"/>
  <c r="HZ14" i="53"/>
  <c r="HS14" i="53"/>
  <c r="HK14" i="53"/>
  <c r="HY13" i="53"/>
  <c r="EW13" i="53"/>
  <c r="DV13" i="53"/>
  <c r="HZ12" i="53"/>
  <c r="HU12" i="53"/>
  <c r="HX20" i="53"/>
  <c r="DV20" i="53"/>
  <c r="IA17" i="53"/>
  <c r="EE15" i="53"/>
  <c r="K13" i="53"/>
  <c r="FO12" i="53"/>
  <c r="K11" i="53"/>
  <c r="HY10" i="53"/>
  <c r="EW10" i="53"/>
  <c r="HW9" i="53"/>
  <c r="EE9" i="53"/>
  <c r="HW8" i="53"/>
  <c r="EE8" i="53"/>
  <c r="HY7" i="53"/>
  <c r="HZ6" i="53"/>
  <c r="HU6" i="53"/>
  <c r="HX5" i="53"/>
  <c r="HS5" i="53"/>
  <c r="HC5" i="53"/>
  <c r="GM5" i="53"/>
  <c r="DV5" i="53"/>
  <c r="K5" i="53"/>
  <c r="HU4" i="53"/>
  <c r="IA4" i="53" s="1"/>
  <c r="HK4" i="53"/>
  <c r="GU4" i="53"/>
  <c r="GE4" i="53"/>
  <c r="FO4" i="53"/>
  <c r="EN4" i="53"/>
  <c r="HZ3" i="53"/>
  <c r="HU3" i="53"/>
  <c r="EN3" i="53"/>
  <c r="K3" i="53"/>
  <c r="DV10" i="53"/>
  <c r="DV9" i="53"/>
  <c r="K8" i="53"/>
  <c r="HX7" i="53"/>
  <c r="EW7" i="53"/>
  <c r="HY6" i="53"/>
  <c r="HS6" i="53"/>
  <c r="HC6" i="53"/>
  <c r="GM6" i="53"/>
  <c r="EW6" i="53"/>
  <c r="DV6" i="53"/>
  <c r="FF5" i="53"/>
  <c r="EE5" i="53"/>
  <c r="EW4" i="53"/>
  <c r="EW3" i="53"/>
  <c r="DV3" i="53"/>
  <c r="EE17" i="53"/>
  <c r="FO14" i="53"/>
  <c r="HZ13" i="53"/>
  <c r="GU12" i="53"/>
  <c r="HZ11" i="53"/>
  <c r="HU10" i="53"/>
  <c r="HS9" i="53"/>
  <c r="HK9" i="53"/>
  <c r="HC9" i="53"/>
  <c r="GU9" i="53"/>
  <c r="GM9" i="53"/>
  <c r="GE9" i="53"/>
  <c r="FO9" i="53"/>
  <c r="IA8" i="53"/>
  <c r="HS8" i="53"/>
  <c r="HK8" i="53"/>
  <c r="HC8" i="53"/>
  <c r="GU8" i="53"/>
  <c r="GM8" i="53"/>
  <c r="GE8" i="53"/>
  <c r="FO8" i="53"/>
  <c r="HW6" i="53"/>
  <c r="FF6" i="53"/>
  <c r="EE6" i="53"/>
  <c r="GE5" i="53"/>
  <c r="EN5" i="53"/>
  <c r="FO23" i="53"/>
  <c r="GM19" i="53"/>
  <c r="HZ18" i="53"/>
  <c r="EE18" i="53"/>
  <c r="FO17" i="53"/>
  <c r="IA14" i="53"/>
  <c r="HV12" i="53"/>
  <c r="IA12" i="53" s="1"/>
  <c r="GE12" i="53"/>
  <c r="HS11" i="53"/>
  <c r="GM11" i="53"/>
  <c r="DV11" i="53"/>
  <c r="HV10" i="53"/>
  <c r="IA10" i="53" s="1"/>
  <c r="HV9" i="53"/>
  <c r="IA9" i="53" s="1"/>
  <c r="HW5" i="53"/>
  <c r="HY4" i="53"/>
  <c r="HY3" i="53"/>
  <c r="IA23" i="53"/>
  <c r="HU21" i="53"/>
  <c r="IA21" i="53" s="1"/>
  <c r="HS19" i="53"/>
  <c r="EW19" i="53"/>
  <c r="HV16" i="53"/>
  <c r="IA16" i="53" s="1"/>
  <c r="HU7" i="53"/>
  <c r="IA7" i="53" s="1"/>
  <c r="HV5" i="53"/>
  <c r="HK5" i="53"/>
  <c r="GU5" i="53"/>
  <c r="FO5" i="53"/>
  <c r="HX4" i="53"/>
  <c r="FF3" i="53"/>
  <c r="GU23" i="53"/>
  <c r="HS18" i="53"/>
  <c r="HU15" i="53"/>
  <c r="IA15" i="53" s="1"/>
  <c r="FO15" i="53"/>
  <c r="HU13" i="53"/>
  <c r="IA13" i="53" s="1"/>
  <c r="EN13" i="53"/>
  <c r="HK12" i="53"/>
  <c r="HX11" i="53"/>
  <c r="HC11" i="53"/>
  <c r="HZ10" i="53"/>
  <c r="FF10" i="53"/>
  <c r="HZ9" i="53"/>
  <c r="FF9" i="53"/>
  <c r="HX8" i="53"/>
  <c r="EN8" i="53"/>
  <c r="EN7" i="53"/>
  <c r="K7" i="53"/>
  <c r="HV6" i="53"/>
  <c r="IA6" i="53" s="1"/>
  <c r="HK6" i="53"/>
  <c r="GU6" i="53"/>
  <c r="GE6" i="53"/>
  <c r="FO6" i="53"/>
  <c r="HZ5" i="53"/>
  <c r="HW4" i="53"/>
  <c r="EE4" i="53"/>
  <c r="K4" i="53"/>
  <c r="HV3" i="53"/>
  <c r="IA3" i="53" s="1"/>
  <c r="IA5" i="53"/>
  <c r="HS4" i="53"/>
  <c r="HC4" i="53"/>
  <c r="GM4" i="53"/>
  <c r="HX3" i="53"/>
  <c r="AA5" i="53" l="1"/>
  <c r="IB5" i="53"/>
  <c r="IB6" i="53"/>
  <c r="AA6" i="53"/>
  <c r="IB15" i="53"/>
  <c r="AA15" i="53"/>
  <c r="IB23" i="53"/>
  <c r="AA23" i="53"/>
  <c r="IB14" i="53"/>
  <c r="AA14" i="53"/>
  <c r="AA8" i="53"/>
  <c r="IB8" i="53"/>
  <c r="AA9" i="53"/>
  <c r="IB9" i="53"/>
  <c r="IB4" i="53"/>
  <c r="AA4" i="53"/>
  <c r="IB12" i="53"/>
  <c r="AA12" i="53"/>
  <c r="IB17" i="53"/>
  <c r="AA17" i="53"/>
  <c r="IB10" i="53"/>
  <c r="AA10" i="53"/>
  <c r="IB11" i="53"/>
  <c r="AA11" i="53"/>
  <c r="AA3" i="53"/>
  <c r="IB3" i="53"/>
  <c r="IB7" i="53"/>
  <c r="AA7" i="53"/>
  <c r="AA22" i="53"/>
  <c r="IB22" i="53"/>
  <c r="IB19" i="53"/>
  <c r="AA19" i="53"/>
  <c r="IB13" i="53"/>
  <c r="AA13" i="53"/>
  <c r="IB18" i="53"/>
  <c r="AA18" i="53"/>
  <c r="AA21" i="53"/>
  <c r="IB21" i="53"/>
  <c r="AA26" i="53"/>
  <c r="IB26" i="53"/>
  <c r="AA32" i="53"/>
  <c r="IB32" i="53"/>
  <c r="IB28" i="53"/>
  <c r="AA28" i="53"/>
  <c r="IB16" i="53"/>
  <c r="AA16" i="53"/>
  <c r="IB20" i="53"/>
  <c r="AA20" i="53"/>
  <c r="IB24" i="53"/>
  <c r="AA24" i="53"/>
  <c r="IB27" i="53"/>
  <c r="AA27" i="53"/>
  <c r="IB25" i="53"/>
  <c r="AA25" i="53"/>
  <c r="IB34" i="53"/>
  <c r="AA34" i="53"/>
  <c r="IB29" i="53"/>
  <c r="AA29" i="53"/>
  <c r="IB31" i="53"/>
  <c r="AA31" i="53"/>
  <c r="AA30" i="53"/>
  <c r="IB30" i="53"/>
  <c r="AA33" i="53"/>
  <c r="IB33" i="53"/>
  <c r="AA35" i="53"/>
  <c r="IB35" i="53"/>
  <c r="IB36" i="53"/>
  <c r="AA36" i="53"/>
  <c r="AA38" i="53"/>
  <c r="IB38" i="53"/>
  <c r="IB37" i="53"/>
  <c r="AA37" i="53"/>
  <c r="IB39" i="53"/>
  <c r="AA39" i="53"/>
  <c r="AR10" i="53"/>
  <c r="AQ10" i="53"/>
  <c r="AP10" i="53"/>
  <c r="AQ3" i="53"/>
  <c r="AP3" i="53"/>
  <c r="AR3" i="53"/>
  <c r="AQ7" i="53"/>
  <c r="AR7" i="53"/>
  <c r="AP7" i="53"/>
  <c r="AR6" i="53"/>
  <c r="AP6" i="53"/>
  <c r="AQ6" i="53"/>
  <c r="CH7" i="53"/>
  <c r="CG7" i="53"/>
  <c r="GB15" i="53"/>
  <c r="DT15" i="53"/>
  <c r="GC15" i="53"/>
  <c r="DQ15" i="53"/>
  <c r="CE15" i="53"/>
  <c r="DU15" i="53"/>
  <c r="CD15" i="53"/>
  <c r="DS15" i="53"/>
  <c r="CC15" i="53"/>
  <c r="GD15" i="53"/>
  <c r="BN3" i="53"/>
  <c r="CJ3" i="53"/>
  <c r="DZ3" i="53"/>
  <c r="IC4" i="53"/>
  <c r="C39" i="53"/>
  <c r="AN39" i="53" s="1"/>
  <c r="C38" i="53"/>
  <c r="AN38" i="53" s="1"/>
  <c r="C37" i="53"/>
  <c r="AN37" i="53" s="1"/>
  <c r="C36" i="53"/>
  <c r="AN36" i="53" s="1"/>
  <c r="C34" i="53"/>
  <c r="AN34" i="53" s="1"/>
  <c r="C35" i="53"/>
  <c r="AN35" i="53" s="1"/>
  <c r="C33" i="53"/>
  <c r="AN33" i="53" s="1"/>
  <c r="C29" i="53"/>
  <c r="AN29" i="53" s="1"/>
  <c r="C32" i="53"/>
  <c r="AN32" i="53" s="1"/>
  <c r="C30" i="53"/>
  <c r="AN30" i="53" s="1"/>
  <c r="C28" i="53"/>
  <c r="AN28" i="53" s="1"/>
  <c r="C31" i="53"/>
  <c r="AN31" i="53" s="1"/>
  <c r="C23" i="53"/>
  <c r="AN23" i="53" s="1"/>
  <c r="C19" i="53"/>
  <c r="AN19" i="53" s="1"/>
  <c r="C15" i="53"/>
  <c r="AN15" i="53" s="1"/>
  <c r="C27" i="53"/>
  <c r="AN27" i="53" s="1"/>
  <c r="C24" i="53"/>
  <c r="AN24" i="53" s="1"/>
  <c r="C26" i="53"/>
  <c r="AN26" i="53" s="1"/>
  <c r="C25" i="53"/>
  <c r="AN25" i="53" s="1"/>
  <c r="C21" i="53"/>
  <c r="AN21" i="53" s="1"/>
  <c r="C12" i="53"/>
  <c r="AN12" i="53" s="1"/>
  <c r="C22" i="53"/>
  <c r="AN22" i="53" s="1"/>
  <c r="C20" i="53"/>
  <c r="AN20" i="53" s="1"/>
  <c r="C10" i="53"/>
  <c r="AN10" i="53" s="1"/>
  <c r="C6" i="53"/>
  <c r="AN6" i="53" s="1"/>
  <c r="C17" i="53"/>
  <c r="AN17" i="53" s="1"/>
  <c r="C14" i="53"/>
  <c r="AN14" i="53" s="1"/>
  <c r="C9" i="53"/>
  <c r="AN9" i="53" s="1"/>
  <c r="C18" i="53"/>
  <c r="AN18" i="53" s="1"/>
  <c r="C16" i="53"/>
  <c r="AN16" i="53" s="1"/>
  <c r="HO3" i="53"/>
  <c r="FK3" i="53"/>
  <c r="DK3" i="53"/>
  <c r="CH3" i="53"/>
  <c r="DI3" i="53"/>
  <c r="DN3" i="53"/>
  <c r="DY3" i="53"/>
  <c r="ED3" i="53"/>
  <c r="FJ3" i="53"/>
  <c r="GK3" i="53"/>
  <c r="HQ3" i="53"/>
  <c r="C4" i="53"/>
  <c r="AN4" i="53" s="1"/>
  <c r="GD4" i="53"/>
  <c r="FZ4" i="53"/>
  <c r="DR4" i="53"/>
  <c r="CD4" i="53"/>
  <c r="BZ4" i="53"/>
  <c r="HR4" i="53"/>
  <c r="HN4" i="53"/>
  <c r="FN4" i="53"/>
  <c r="FJ4" i="53"/>
  <c r="DN4" i="53"/>
  <c r="DJ4" i="53"/>
  <c r="CC4" i="53"/>
  <c r="CI4" i="53"/>
  <c r="DI4" i="53"/>
  <c r="DT4" i="53"/>
  <c r="FK4" i="53"/>
  <c r="GA4" i="53"/>
  <c r="HQ4" i="53"/>
  <c r="AP5" i="53"/>
  <c r="HA5" i="53"/>
  <c r="GW5" i="53"/>
  <c r="ES5" i="53"/>
  <c r="CW5" i="53"/>
  <c r="CV5" i="53"/>
  <c r="DB5" i="53"/>
  <c r="DG5" i="53"/>
  <c r="ER5" i="53"/>
  <c r="FC5" i="53"/>
  <c r="GY5" i="53"/>
  <c r="BM6" i="53"/>
  <c r="HH6" i="53"/>
  <c r="FD6" i="53"/>
  <c r="EZ6" i="53"/>
  <c r="DD6" i="53"/>
  <c r="CC6" i="53"/>
  <c r="DC6" i="53"/>
  <c r="DS6" i="53"/>
  <c r="FE6" i="53"/>
  <c r="HF6" i="53"/>
  <c r="C7" i="53"/>
  <c r="AN7" i="53" s="1"/>
  <c r="GY7" i="53"/>
  <c r="EU7" i="53"/>
  <c r="EQ7" i="53"/>
  <c r="CY7" i="53"/>
  <c r="CU7" i="53"/>
  <c r="GX7" i="53"/>
  <c r="CX7" i="53"/>
  <c r="HB7" i="53"/>
  <c r="ET7" i="53"/>
  <c r="CZ7" i="53"/>
  <c r="ES7" i="53"/>
  <c r="FI7" i="53"/>
  <c r="AY8" i="53"/>
  <c r="BL8" i="53"/>
  <c r="BT8" i="53"/>
  <c r="DH8" i="53"/>
  <c r="DX8" i="53"/>
  <c r="FT8" i="53"/>
  <c r="AP9" i="53"/>
  <c r="AX9" i="53"/>
  <c r="BN9" i="53"/>
  <c r="BV9" i="53"/>
  <c r="CT9" i="53"/>
  <c r="EP9" i="53"/>
  <c r="BN10" i="53"/>
  <c r="GZ10" i="53"/>
  <c r="EV10" i="53"/>
  <c r="ER10" i="53"/>
  <c r="CZ10" i="53"/>
  <c r="CV10" i="53"/>
  <c r="GY10" i="53"/>
  <c r="EU10" i="53"/>
  <c r="CU10" i="53"/>
  <c r="EQ10" i="53"/>
  <c r="CY10" i="53"/>
  <c r="HB10" i="53"/>
  <c r="GK11" i="53"/>
  <c r="EC11" i="53"/>
  <c r="DY11" i="53"/>
  <c r="CK11" i="53"/>
  <c r="CG11" i="53"/>
  <c r="GL11" i="53"/>
  <c r="DZ11" i="53"/>
  <c r="CI11" i="53"/>
  <c r="GJ11" i="53"/>
  <c r="ED11" i="53"/>
  <c r="CH11" i="53"/>
  <c r="CL11" i="53"/>
  <c r="CV11" i="53"/>
  <c r="ER11" i="53"/>
  <c r="AR12" i="53"/>
  <c r="AP12" i="53"/>
  <c r="BB12" i="53"/>
  <c r="BR12" i="53"/>
  <c r="CM12" i="53"/>
  <c r="EY12" i="53"/>
  <c r="FU12" i="53"/>
  <c r="IE16" i="53"/>
  <c r="IF16" i="53"/>
  <c r="CP16" i="53"/>
  <c r="GD17" i="53"/>
  <c r="FZ17" i="53"/>
  <c r="DR17" i="53"/>
  <c r="CD17" i="53"/>
  <c r="GB17" i="53"/>
  <c r="DU17" i="53"/>
  <c r="CE17" i="53"/>
  <c r="DT17" i="53"/>
  <c r="CC17" i="53"/>
  <c r="DS17" i="53"/>
  <c r="CB17" i="53"/>
  <c r="GA17" i="53"/>
  <c r="GC17" i="53"/>
  <c r="AQ20" i="53"/>
  <c r="AR20" i="53"/>
  <c r="AP20" i="53"/>
  <c r="GL4" i="53"/>
  <c r="GH4" i="53"/>
  <c r="ED4" i="53"/>
  <c r="CL4" i="53"/>
  <c r="CH4" i="53"/>
  <c r="CJ4" i="53"/>
  <c r="HI5" i="53"/>
  <c r="HE5" i="53"/>
  <c r="FE5" i="53"/>
  <c r="FA5" i="53"/>
  <c r="DE5" i="53"/>
  <c r="DC5" i="53"/>
  <c r="FD5" i="53"/>
  <c r="IC7" i="53"/>
  <c r="FU9" i="53"/>
  <c r="EG9" i="53"/>
  <c r="DA9" i="53"/>
  <c r="BY9" i="53"/>
  <c r="BU9" i="53"/>
  <c r="BQ9" i="53"/>
  <c r="BM9" i="53"/>
  <c r="BI9" i="53"/>
  <c r="BE9" i="53"/>
  <c r="BA9" i="53"/>
  <c r="AW9" i="53"/>
  <c r="HL9" i="53"/>
  <c r="GV9" i="53"/>
  <c r="GN9" i="53"/>
  <c r="FT9" i="53"/>
  <c r="DH9" i="53"/>
  <c r="CF9" i="53"/>
  <c r="BX9" i="53"/>
  <c r="BT9" i="53"/>
  <c r="BP9" i="53"/>
  <c r="BH9" i="53"/>
  <c r="BD9" i="53"/>
  <c r="AZ9" i="53"/>
  <c r="HD9" i="53"/>
  <c r="GF9" i="53"/>
  <c r="FX9" i="53"/>
  <c r="FH9" i="53"/>
  <c r="DX9" i="53"/>
  <c r="BL9" i="53"/>
  <c r="BM20" i="53"/>
  <c r="BN20" i="53"/>
  <c r="GQ24" i="53"/>
  <c r="EM24" i="53"/>
  <c r="CQ24" i="53"/>
  <c r="GR24" i="53"/>
  <c r="CR24" i="53"/>
  <c r="GS24" i="53"/>
  <c r="GP24" i="53"/>
  <c r="EL24" i="53"/>
  <c r="CS24" i="53"/>
  <c r="GT24" i="53"/>
  <c r="EK24" i="53"/>
  <c r="GQ3" i="53"/>
  <c r="EM3" i="53"/>
  <c r="CQ3" i="53"/>
  <c r="DL3" i="53"/>
  <c r="ID3" i="53"/>
  <c r="AQ4" i="53"/>
  <c r="FM4" i="53"/>
  <c r="GC4" i="53"/>
  <c r="GI4" i="53"/>
  <c r="HO4" i="53"/>
  <c r="IE4" i="53"/>
  <c r="IG4" i="53" s="1"/>
  <c r="IH4" i="53" s="1"/>
  <c r="AX5" i="53"/>
  <c r="BN5" i="53"/>
  <c r="CT5" i="53"/>
  <c r="EZ5" i="53"/>
  <c r="FG5" i="53" s="1"/>
  <c r="HB5" i="53"/>
  <c r="BY7" i="53"/>
  <c r="CJ7" i="53"/>
  <c r="EB7" i="53"/>
  <c r="GZ7" i="53"/>
  <c r="BB9" i="53"/>
  <c r="AV9" i="53" s="1"/>
  <c r="FR9" i="53"/>
  <c r="GX10" i="53"/>
  <c r="EB11" i="53"/>
  <c r="IF12" i="53"/>
  <c r="ID12" i="53"/>
  <c r="IC12" i="53"/>
  <c r="IE12" i="53"/>
  <c r="IG12" i="53" s="1"/>
  <c r="IH12" i="53" s="1"/>
  <c r="AQ12" i="53"/>
  <c r="BB13" i="53"/>
  <c r="AV13" i="53" s="1"/>
  <c r="AZ13" i="53"/>
  <c r="AT13" i="53" s="1"/>
  <c r="ID16" i="53"/>
  <c r="GI3" i="53"/>
  <c r="EA3" i="53"/>
  <c r="CI3" i="53"/>
  <c r="GG3" i="53"/>
  <c r="GL3" i="53"/>
  <c r="GG4" i="53"/>
  <c r="AQ5" i="53"/>
  <c r="HF5" i="53"/>
  <c r="GB6" i="53"/>
  <c r="DT6" i="53"/>
  <c r="DP6" i="53"/>
  <c r="DW6" i="53" s="1"/>
  <c r="CB6" i="53"/>
  <c r="CD6" i="53"/>
  <c r="DU6" i="53"/>
  <c r="GA6" i="53"/>
  <c r="IE7" i="53"/>
  <c r="ID7" i="53"/>
  <c r="HO7" i="53"/>
  <c r="FK7" i="53"/>
  <c r="DK7" i="53"/>
  <c r="HR7" i="53"/>
  <c r="HN7" i="53"/>
  <c r="FJ7" i="53"/>
  <c r="DN7" i="53"/>
  <c r="DJ7" i="53"/>
  <c r="FN7" i="53"/>
  <c r="DI7" i="53"/>
  <c r="FL7" i="53"/>
  <c r="FV8" i="53"/>
  <c r="FR8" i="53"/>
  <c r="EP8" i="53"/>
  <c r="CT8" i="53"/>
  <c r="BV8" i="53"/>
  <c r="BR8" i="53"/>
  <c r="BN8" i="53"/>
  <c r="BJ8" i="53"/>
  <c r="BB8" i="53"/>
  <c r="AX8" i="53"/>
  <c r="EG8" i="53"/>
  <c r="BY8" i="53"/>
  <c r="BQ8" i="53"/>
  <c r="BI8" i="53"/>
  <c r="BE8" i="53"/>
  <c r="BA8" i="53"/>
  <c r="AU8" i="53" s="1"/>
  <c r="FU8" i="53"/>
  <c r="DA8" i="53"/>
  <c r="BU8" i="53"/>
  <c r="BM8" i="53"/>
  <c r="AW8" i="53"/>
  <c r="AZ8" i="53"/>
  <c r="AT8" i="53" s="1"/>
  <c r="BG8" i="53"/>
  <c r="BO8" i="53"/>
  <c r="BW8" i="53"/>
  <c r="CM8" i="53"/>
  <c r="EY8" i="53"/>
  <c r="FW8" i="53"/>
  <c r="AY9" i="53"/>
  <c r="BG9" i="53"/>
  <c r="BO9" i="53"/>
  <c r="BW9" i="53"/>
  <c r="CM9" i="53"/>
  <c r="EY9" i="53"/>
  <c r="FW9" i="53"/>
  <c r="HA11" i="53"/>
  <c r="GW11" i="53"/>
  <c r="ES11" i="53"/>
  <c r="CW11" i="53"/>
  <c r="HB11" i="53"/>
  <c r="EU11" i="53"/>
  <c r="CY11" i="53"/>
  <c r="GZ11" i="53"/>
  <c r="ET11" i="53"/>
  <c r="CX11" i="53"/>
  <c r="CZ11" i="53"/>
  <c r="EV11" i="53"/>
  <c r="HL12" i="53"/>
  <c r="HD12" i="53"/>
  <c r="GV12" i="53"/>
  <c r="GN12" i="53"/>
  <c r="GF12" i="53"/>
  <c r="FX12" i="53"/>
  <c r="FT12" i="53"/>
  <c r="FH12" i="53"/>
  <c r="DX12" i="53"/>
  <c r="DH12" i="53"/>
  <c r="CF12" i="53"/>
  <c r="BX12" i="53"/>
  <c r="BT12" i="53"/>
  <c r="BP12" i="53"/>
  <c r="BL12" i="53"/>
  <c r="BH12" i="53"/>
  <c r="BD12" i="53"/>
  <c r="AZ12" i="53"/>
  <c r="AV12" i="53"/>
  <c r="FW12" i="53"/>
  <c r="FR12" i="53"/>
  <c r="EG12" i="53"/>
  <c r="DA12" i="53"/>
  <c r="BU12" i="53"/>
  <c r="BO12" i="53"/>
  <c r="BJ12" i="53"/>
  <c r="BE12" i="53"/>
  <c r="AY12" i="53"/>
  <c r="AT12" i="53"/>
  <c r="FV12" i="53"/>
  <c r="EP12" i="53"/>
  <c r="DO12" i="53"/>
  <c r="CT12" i="53"/>
  <c r="BY12" i="53"/>
  <c r="BS12" i="53"/>
  <c r="BN12" i="53"/>
  <c r="BI12" i="53"/>
  <c r="BC12" i="53"/>
  <c r="AX12" i="53"/>
  <c r="FS12" i="53"/>
  <c r="BV12" i="53"/>
  <c r="BQ12" i="53"/>
  <c r="BK12" i="53"/>
  <c r="BA12" i="53"/>
  <c r="AU12" i="53"/>
  <c r="BW12" i="53"/>
  <c r="HL15" i="53"/>
  <c r="HD15" i="53"/>
  <c r="GV15" i="53"/>
  <c r="GN15" i="53"/>
  <c r="GF15" i="53"/>
  <c r="FX15" i="53"/>
  <c r="FY15" i="53" s="1"/>
  <c r="FT15" i="53"/>
  <c r="FH15" i="53"/>
  <c r="DX15" i="53"/>
  <c r="DH15" i="53"/>
  <c r="CF15" i="53"/>
  <c r="BX15" i="53"/>
  <c r="BT15" i="53"/>
  <c r="BP15" i="53"/>
  <c r="BL15" i="53"/>
  <c r="BH15" i="53"/>
  <c r="BD15" i="53"/>
  <c r="AZ15" i="53"/>
  <c r="AV15" i="53"/>
  <c r="FW15" i="53"/>
  <c r="FR15" i="53"/>
  <c r="EG15" i="53"/>
  <c r="DA15" i="53"/>
  <c r="BU15" i="53"/>
  <c r="BO15" i="53"/>
  <c r="BJ15" i="53"/>
  <c r="BE15" i="53"/>
  <c r="AY15" i="53"/>
  <c r="AT15" i="53"/>
  <c r="FS15" i="53"/>
  <c r="EP15" i="53"/>
  <c r="BW15" i="53"/>
  <c r="BQ15" i="53"/>
  <c r="BI15" i="53"/>
  <c r="BB15" i="53"/>
  <c r="BV15" i="53"/>
  <c r="BN15" i="53"/>
  <c r="BG15" i="53"/>
  <c r="BA15" i="53"/>
  <c r="AU15" i="53" s="1"/>
  <c r="FU15" i="53"/>
  <c r="EY15" i="53"/>
  <c r="DO15" i="53"/>
  <c r="DR15" i="53" s="1"/>
  <c r="CT15" i="53"/>
  <c r="CM15" i="53"/>
  <c r="BY15" i="53"/>
  <c r="CB15" i="53" s="1"/>
  <c r="BR15" i="53"/>
  <c r="BK15" i="53"/>
  <c r="BC15" i="53"/>
  <c r="AW15" i="53"/>
  <c r="BM15" i="53"/>
  <c r="FV15" i="53"/>
  <c r="GQ16" i="53"/>
  <c r="EM16" i="53"/>
  <c r="EI16" i="53"/>
  <c r="CQ16" i="53"/>
  <c r="GR16" i="53"/>
  <c r="EK16" i="53"/>
  <c r="CO16" i="53"/>
  <c r="GP16" i="53"/>
  <c r="EH16" i="53"/>
  <c r="EO16" i="53" s="1"/>
  <c r="CS16" i="53"/>
  <c r="GO16" i="53"/>
  <c r="CR16" i="53"/>
  <c r="GS16" i="53"/>
  <c r="EJ16" i="53"/>
  <c r="CN16" i="53"/>
  <c r="CG24" i="53"/>
  <c r="CH24" i="53"/>
  <c r="CK3" i="53"/>
  <c r="EB3" i="53"/>
  <c r="EG3" i="53"/>
  <c r="EJ3" i="53" s="1"/>
  <c r="EL3" i="53"/>
  <c r="FM3" i="53"/>
  <c r="FR3" i="53"/>
  <c r="GS3" i="53"/>
  <c r="HN3" i="53"/>
  <c r="GT4" i="53"/>
  <c r="GP4" i="53"/>
  <c r="EL4" i="53"/>
  <c r="EH4" i="53"/>
  <c r="CP4" i="53"/>
  <c r="CA4" i="53"/>
  <c r="CK4" i="53"/>
  <c r="CQ4" i="53"/>
  <c r="DL4" i="53"/>
  <c r="DQ4" i="53"/>
  <c r="DW4" i="53" s="1"/>
  <c r="EB4" i="53"/>
  <c r="EM4" i="53"/>
  <c r="GS4" i="53"/>
  <c r="FU5" i="53"/>
  <c r="EG5" i="53"/>
  <c r="DA5" i="53"/>
  <c r="BY5" i="53"/>
  <c r="BU5" i="53"/>
  <c r="BQ5" i="53"/>
  <c r="BM5" i="53"/>
  <c r="BI5" i="53"/>
  <c r="BE5" i="53"/>
  <c r="BA5" i="53"/>
  <c r="AU5" i="53" s="1"/>
  <c r="AW5" i="53"/>
  <c r="BC5" i="53"/>
  <c r="BH5" i="53"/>
  <c r="BS5" i="53"/>
  <c r="BX5" i="53"/>
  <c r="CY5" i="53"/>
  <c r="DD5" i="53"/>
  <c r="DO5" i="53"/>
  <c r="EP5" i="53"/>
  <c r="EU5" i="53"/>
  <c r="GF5" i="53"/>
  <c r="GV5" i="53"/>
  <c r="HG5" i="53"/>
  <c r="HL5" i="53"/>
  <c r="GR6" i="53"/>
  <c r="EJ6" i="53"/>
  <c r="CR6" i="53"/>
  <c r="CN6" i="53"/>
  <c r="BZ6" i="53"/>
  <c r="CE6" i="53"/>
  <c r="CP6" i="53"/>
  <c r="DF6" i="53"/>
  <c r="DQ6" i="53"/>
  <c r="EL6" i="53"/>
  <c r="FB6" i="53"/>
  <c r="GC6" i="53"/>
  <c r="GS6" i="53"/>
  <c r="HI6" i="53"/>
  <c r="ID6" i="53"/>
  <c r="GI7" i="53"/>
  <c r="EA7" i="53"/>
  <c r="CI7" i="53"/>
  <c r="GL7" i="53"/>
  <c r="GH7" i="53"/>
  <c r="DZ7" i="53"/>
  <c r="EF7" i="53" s="1"/>
  <c r="ED7" i="53"/>
  <c r="CV7" i="53"/>
  <c r="DL7" i="53"/>
  <c r="FM7" i="53"/>
  <c r="HP7" i="53"/>
  <c r="C8" i="53"/>
  <c r="AN8" i="53" s="1"/>
  <c r="IG8" i="53"/>
  <c r="IH8" i="53" s="1"/>
  <c r="IC8" i="53"/>
  <c r="BC8" i="53"/>
  <c r="BH8" i="53"/>
  <c r="BP8" i="53"/>
  <c r="BX8" i="53"/>
  <c r="CF8" i="53"/>
  <c r="FH8" i="53"/>
  <c r="FX8" i="53"/>
  <c r="GF8" i="53"/>
  <c r="GN8" i="53"/>
  <c r="HD8" i="53"/>
  <c r="HL8" i="53"/>
  <c r="AT9" i="53"/>
  <c r="BJ9" i="53"/>
  <c r="BR9" i="53"/>
  <c r="AH39" i="53"/>
  <c r="AH38" i="53"/>
  <c r="AH35" i="53"/>
  <c r="AH37" i="53"/>
  <c r="AH34" i="53"/>
  <c r="AH30" i="53"/>
  <c r="AH36" i="53"/>
  <c r="AH31" i="53"/>
  <c r="AH32" i="53"/>
  <c r="AH33" i="53"/>
  <c r="AH29" i="53"/>
  <c r="AH27" i="53"/>
  <c r="AH24" i="53"/>
  <c r="AH20" i="53"/>
  <c r="AH16" i="53"/>
  <c r="AH28" i="53"/>
  <c r="AH26" i="53"/>
  <c r="AH25" i="53"/>
  <c r="AH21" i="53"/>
  <c r="AH23" i="53"/>
  <c r="AH19" i="53"/>
  <c r="AH13" i="53"/>
  <c r="AH18" i="53"/>
  <c r="AH15" i="53"/>
  <c r="AH11" i="53"/>
  <c r="AH7" i="53"/>
  <c r="AH3" i="53"/>
  <c r="AH12" i="53"/>
  <c r="AH10" i="53"/>
  <c r="C3" i="53"/>
  <c r="AN3" i="53" s="1"/>
  <c r="GY3" i="53"/>
  <c r="EU3" i="53"/>
  <c r="EQ3" i="53"/>
  <c r="EX3" i="53" s="1"/>
  <c r="CY3" i="53"/>
  <c r="CU3" i="53"/>
  <c r="CG3" i="53"/>
  <c r="CL3" i="53"/>
  <c r="CR3" i="53"/>
  <c r="CW3" i="53"/>
  <c r="DM3" i="53"/>
  <c r="EC3" i="53"/>
  <c r="EH3" i="53"/>
  <c r="ES3" i="53"/>
  <c r="FI3" i="53"/>
  <c r="FN3" i="53"/>
  <c r="GJ3" i="53"/>
  <c r="GO3" i="53"/>
  <c r="GT3" i="53"/>
  <c r="GZ3" i="53"/>
  <c r="HP3" i="53"/>
  <c r="IF3" i="53"/>
  <c r="FV4" i="53"/>
  <c r="FR4" i="53"/>
  <c r="EP4" i="53"/>
  <c r="CT4" i="53"/>
  <c r="BV4" i="53"/>
  <c r="BR4" i="53"/>
  <c r="BN4" i="53"/>
  <c r="BJ4" i="53"/>
  <c r="BB4" i="53"/>
  <c r="AX4" i="53"/>
  <c r="AT4" i="53"/>
  <c r="AH4" i="53"/>
  <c r="AR4" i="53"/>
  <c r="AW4" i="53"/>
  <c r="BC4" i="53"/>
  <c r="BG4" i="53"/>
  <c r="BL4" i="53"/>
  <c r="BQ4" i="53"/>
  <c r="BW4" i="53"/>
  <c r="CB4" i="53"/>
  <c r="CG4" i="53"/>
  <c r="CM4" i="53"/>
  <c r="CR4" i="53"/>
  <c r="DH4" i="53"/>
  <c r="DM4" i="53"/>
  <c r="DS4" i="53"/>
  <c r="DX4" i="53"/>
  <c r="EA4" i="53" s="1"/>
  <c r="EC4" i="53"/>
  <c r="EI4" i="53"/>
  <c r="EY4" i="53"/>
  <c r="FI4" i="53"/>
  <c r="FP4" i="53" s="1"/>
  <c r="FT4" i="53"/>
  <c r="FY4" i="53"/>
  <c r="GJ4" i="53"/>
  <c r="GO4" i="53"/>
  <c r="HP4" i="53"/>
  <c r="IF4" i="53"/>
  <c r="C5" i="53"/>
  <c r="AN5" i="53" s="1"/>
  <c r="IG5" i="53"/>
  <c r="IH5" i="53" s="1"/>
  <c r="IC5" i="53"/>
  <c r="AT5" i="53"/>
  <c r="AY5" i="53"/>
  <c r="BD5" i="53"/>
  <c r="BJ5" i="53"/>
  <c r="BO5" i="53"/>
  <c r="BT5" i="53"/>
  <c r="CU5" i="53"/>
  <c r="CZ5" i="53"/>
  <c r="DF5" i="53"/>
  <c r="EQ5" i="53"/>
  <c r="EV5" i="53"/>
  <c r="FB5" i="53"/>
  <c r="FR5" i="53"/>
  <c r="FW5" i="53"/>
  <c r="GX5" i="53"/>
  <c r="HH5" i="53"/>
  <c r="HL6" i="53"/>
  <c r="HD6" i="53"/>
  <c r="GV6" i="53"/>
  <c r="GN6" i="53"/>
  <c r="GF6" i="53"/>
  <c r="FX6" i="53"/>
  <c r="FZ6" i="53" s="1"/>
  <c r="FT6" i="53"/>
  <c r="FH6" i="53"/>
  <c r="DX6" i="53"/>
  <c r="DH6" i="53"/>
  <c r="CF6" i="53"/>
  <c r="BX6" i="53"/>
  <c r="BT6" i="53"/>
  <c r="BP6" i="53"/>
  <c r="BL6" i="53"/>
  <c r="BH6" i="53"/>
  <c r="BD6" i="53"/>
  <c r="AZ6" i="53"/>
  <c r="AT6" i="53" s="1"/>
  <c r="AV6" i="53"/>
  <c r="BA6" i="53"/>
  <c r="AU6" i="53" s="1"/>
  <c r="BK6" i="53"/>
  <c r="BQ6" i="53"/>
  <c r="BV6" i="53"/>
  <c r="CA6" i="53"/>
  <c r="CQ6" i="53"/>
  <c r="DB6" i="53"/>
  <c r="DG6" i="53"/>
  <c r="DR6" i="53"/>
  <c r="EH6" i="53"/>
  <c r="EM6" i="53"/>
  <c r="FC6" i="53"/>
  <c r="FS6" i="53"/>
  <c r="FY6" i="53"/>
  <c r="GD6" i="53"/>
  <c r="GO6" i="53"/>
  <c r="GT6" i="53"/>
  <c r="HE6" i="53"/>
  <c r="HJ6" i="53"/>
  <c r="IE6" i="53"/>
  <c r="IG6" i="53" s="1"/>
  <c r="IH6" i="53" s="1"/>
  <c r="GQ7" i="53"/>
  <c r="EM7" i="53"/>
  <c r="EI7" i="53"/>
  <c r="CQ7" i="53"/>
  <c r="GT7" i="53"/>
  <c r="GP7" i="53"/>
  <c r="EL7" i="53"/>
  <c r="EH7" i="53"/>
  <c r="CP7" i="53"/>
  <c r="CK7" i="53"/>
  <c r="CR7" i="53"/>
  <c r="CW7" i="53"/>
  <c r="DM7" i="53"/>
  <c r="EC7" i="53"/>
  <c r="EK7" i="53"/>
  <c r="ER7" i="53"/>
  <c r="GK7" i="53"/>
  <c r="GS7" i="53"/>
  <c r="HA7" i="53"/>
  <c r="HQ7" i="53"/>
  <c r="IG7" i="53"/>
  <c r="IH7" i="53" s="1"/>
  <c r="AV8" i="53"/>
  <c r="BD8" i="53"/>
  <c r="BK8" i="53"/>
  <c r="BS8" i="53"/>
  <c r="DO8" i="53"/>
  <c r="FS8" i="53"/>
  <c r="AH9" i="53"/>
  <c r="AU9" i="53"/>
  <c r="BC9" i="53"/>
  <c r="BK9" i="53"/>
  <c r="BS9" i="53"/>
  <c r="DO9" i="53"/>
  <c r="FS9" i="53"/>
  <c r="IF10" i="53"/>
  <c r="IE10" i="53"/>
  <c r="IG10" i="53" s="1"/>
  <c r="IH10" i="53" s="1"/>
  <c r="GR10" i="53"/>
  <c r="EJ10" i="53"/>
  <c r="CR10" i="53"/>
  <c r="CN10" i="53"/>
  <c r="GQ10" i="53"/>
  <c r="EM10" i="53"/>
  <c r="EI10" i="53"/>
  <c r="EO10" i="53" s="1"/>
  <c r="CQ10" i="53"/>
  <c r="CS10" i="53"/>
  <c r="GS10" i="53"/>
  <c r="HA10" i="53"/>
  <c r="C11" i="53"/>
  <c r="AN11" i="53" s="1"/>
  <c r="IG11" i="53"/>
  <c r="IC11" i="53"/>
  <c r="IH11" i="53"/>
  <c r="CJ11" i="53"/>
  <c r="CU11" i="53"/>
  <c r="EQ11" i="53"/>
  <c r="GY11" i="53"/>
  <c r="AW12" i="53"/>
  <c r="BM12" i="53"/>
  <c r="C13" i="53"/>
  <c r="AN13" i="53" s="1"/>
  <c r="BY13" i="53"/>
  <c r="CF13" i="53"/>
  <c r="IC13" i="53"/>
  <c r="IG13" i="53"/>
  <c r="IH13" i="53" s="1"/>
  <c r="BA13" i="53"/>
  <c r="GY13" i="53"/>
  <c r="EU13" i="53"/>
  <c r="EQ13" i="53"/>
  <c r="CY13" i="53"/>
  <c r="CU13" i="53"/>
  <c r="HB13" i="53"/>
  <c r="GW13" i="53"/>
  <c r="EV13" i="53"/>
  <c r="CZ13" i="53"/>
  <c r="HA13" i="53"/>
  <c r="ET13" i="53"/>
  <c r="CX13" i="53"/>
  <c r="GX13" i="53"/>
  <c r="ER13" i="53"/>
  <c r="CV13" i="53"/>
  <c r="CW13" i="53"/>
  <c r="FU14" i="53"/>
  <c r="EG14" i="53"/>
  <c r="DA14" i="53"/>
  <c r="HL14" i="53"/>
  <c r="GV14" i="53"/>
  <c r="GF14" i="53"/>
  <c r="FV14" i="53"/>
  <c r="EP14" i="53"/>
  <c r="DO14" i="53"/>
  <c r="CT14" i="53"/>
  <c r="BV14" i="53"/>
  <c r="BR14" i="53"/>
  <c r="BN14" i="53"/>
  <c r="BJ14" i="53"/>
  <c r="BB14" i="53"/>
  <c r="AX14" i="53"/>
  <c r="GN14" i="53"/>
  <c r="FS14" i="53"/>
  <c r="BY14" i="53"/>
  <c r="BT14" i="53"/>
  <c r="BO14" i="53"/>
  <c r="BI14" i="53"/>
  <c r="BE14" i="53"/>
  <c r="AZ14" i="53"/>
  <c r="AT14" i="53" s="1"/>
  <c r="AU14" i="53"/>
  <c r="FX14" i="53"/>
  <c r="FR14" i="53"/>
  <c r="BX14" i="53"/>
  <c r="BS14" i="53"/>
  <c r="BM14" i="53"/>
  <c r="BH14" i="53"/>
  <c r="BD14" i="53"/>
  <c r="AY14" i="53"/>
  <c r="HD14" i="53"/>
  <c r="FT14" i="53"/>
  <c r="EY14" i="53"/>
  <c r="DH14" i="53"/>
  <c r="CM14" i="53"/>
  <c r="CF14" i="53"/>
  <c r="BU14" i="53"/>
  <c r="BP14" i="53"/>
  <c r="BK14" i="53"/>
  <c r="BA14" i="53"/>
  <c r="AV14" i="53"/>
  <c r="BW14" i="53"/>
  <c r="DX14" i="53"/>
  <c r="AX15" i="53"/>
  <c r="EL16" i="53"/>
  <c r="FV17" i="53"/>
  <c r="FR17" i="53"/>
  <c r="EP17" i="53"/>
  <c r="CT17" i="53"/>
  <c r="BV17" i="53"/>
  <c r="BR17" i="53"/>
  <c r="BN17" i="53"/>
  <c r="BJ17" i="53"/>
  <c r="BB17" i="53"/>
  <c r="AX17" i="53"/>
  <c r="AT17" i="53"/>
  <c r="FW17" i="53"/>
  <c r="BY17" i="53"/>
  <c r="BZ17" i="53" s="1"/>
  <c r="BT17" i="53"/>
  <c r="BO17" i="53"/>
  <c r="BI17" i="53"/>
  <c r="BE17" i="53"/>
  <c r="AZ17" i="53"/>
  <c r="GN17" i="53"/>
  <c r="GF17" i="53"/>
  <c r="FS17" i="53"/>
  <c r="BW17" i="53"/>
  <c r="BP17" i="53"/>
  <c r="BH17" i="53"/>
  <c r="BC17" i="53"/>
  <c r="AV17" i="53"/>
  <c r="FX17" i="53"/>
  <c r="FY17" i="53" s="1"/>
  <c r="EG17" i="53"/>
  <c r="BU17" i="53"/>
  <c r="BM17" i="53"/>
  <c r="BG17" i="53"/>
  <c r="BA17" i="53"/>
  <c r="AU17" i="53" s="1"/>
  <c r="HD17" i="53"/>
  <c r="GV17" i="53"/>
  <c r="FT17" i="53"/>
  <c r="EY17" i="53"/>
  <c r="DO17" i="53"/>
  <c r="DP17" i="53" s="1"/>
  <c r="DW17" i="53" s="1"/>
  <c r="DH17" i="53"/>
  <c r="DA17" i="53"/>
  <c r="CM17" i="53"/>
  <c r="CF17" i="53"/>
  <c r="BX17" i="53"/>
  <c r="BQ17" i="53"/>
  <c r="BK17" i="53"/>
  <c r="BD17" i="53"/>
  <c r="AW17" i="53"/>
  <c r="BL17" i="53"/>
  <c r="DQ17" i="53"/>
  <c r="FU17" i="53"/>
  <c r="GC18" i="53"/>
  <c r="DU18" i="53"/>
  <c r="DQ18" i="53"/>
  <c r="CC18" i="53"/>
  <c r="DS18" i="53"/>
  <c r="DT18" i="53"/>
  <c r="CD18" i="53"/>
  <c r="GD18" i="53"/>
  <c r="DR18" i="53"/>
  <c r="CA18" i="53"/>
  <c r="CE18" i="53"/>
  <c r="DP18" i="53"/>
  <c r="GQ20" i="53"/>
  <c r="EM20" i="53"/>
  <c r="EI20" i="53"/>
  <c r="CQ20" i="53"/>
  <c r="GP20" i="53"/>
  <c r="EJ20" i="53"/>
  <c r="CS20" i="53"/>
  <c r="CN20" i="53"/>
  <c r="GT20" i="53"/>
  <c r="GO20" i="53"/>
  <c r="EH20" i="53"/>
  <c r="EO20" i="53" s="1"/>
  <c r="CR20" i="53"/>
  <c r="GS20" i="53"/>
  <c r="EK20" i="53"/>
  <c r="CP20" i="53"/>
  <c r="GR20" i="53"/>
  <c r="CO20" i="53"/>
  <c r="EL20" i="53"/>
  <c r="HH23" i="53"/>
  <c r="FD23" i="53"/>
  <c r="EZ23" i="53"/>
  <c r="DD23" i="53"/>
  <c r="HI23" i="53"/>
  <c r="HE23" i="53"/>
  <c r="FE23" i="53"/>
  <c r="FA23" i="53"/>
  <c r="DE23" i="53"/>
  <c r="HG23" i="53"/>
  <c r="FC23" i="53"/>
  <c r="DG23" i="53"/>
  <c r="HF23" i="53"/>
  <c r="FB23" i="53"/>
  <c r="DF23" i="53"/>
  <c r="HJ23" i="53"/>
  <c r="DB23" i="53"/>
  <c r="GO24" i="53"/>
  <c r="GQ13" i="53"/>
  <c r="EM13" i="53"/>
  <c r="EI13" i="53"/>
  <c r="EO13" i="53" s="1"/>
  <c r="CQ13" i="53"/>
  <c r="CP13" i="53"/>
  <c r="EL13" i="53"/>
  <c r="GS13" i="53"/>
  <c r="ID13" i="53"/>
  <c r="AP15" i="53"/>
  <c r="IH16" i="53"/>
  <c r="IC16" i="53"/>
  <c r="IG18" i="53"/>
  <c r="IC18" i="53"/>
  <c r="HQ18" i="53"/>
  <c r="HM18" i="53"/>
  <c r="FM18" i="53"/>
  <c r="FI18" i="53"/>
  <c r="DM18" i="53"/>
  <c r="DI18" i="53"/>
  <c r="HP18" i="53"/>
  <c r="FJ18" i="53"/>
  <c r="DN18" i="53"/>
  <c r="FL18" i="53"/>
  <c r="HR18" i="53"/>
  <c r="IF19" i="53"/>
  <c r="IC19" i="53"/>
  <c r="GZ19" i="53"/>
  <c r="EV19" i="53"/>
  <c r="ER19" i="53"/>
  <c r="CZ19" i="53"/>
  <c r="CV19" i="53"/>
  <c r="HB19" i="53"/>
  <c r="GW19" i="53"/>
  <c r="EU19" i="53"/>
  <c r="CY19" i="53"/>
  <c r="HA19" i="53"/>
  <c r="ET19" i="53"/>
  <c r="CX19" i="53"/>
  <c r="ES19" i="53"/>
  <c r="GI20" i="53"/>
  <c r="EA20" i="53"/>
  <c r="CI20" i="53"/>
  <c r="GK20" i="53"/>
  <c r="ED20" i="53"/>
  <c r="DY20" i="53"/>
  <c r="CH20" i="53"/>
  <c r="GJ20" i="53"/>
  <c r="EC20" i="53"/>
  <c r="CL20" i="53"/>
  <c r="CG20" i="53"/>
  <c r="CJ20" i="53"/>
  <c r="EB20" i="53"/>
  <c r="GL20" i="53"/>
  <c r="ID21" i="53"/>
  <c r="IE21" i="53"/>
  <c r="IG21" i="53" s="1"/>
  <c r="IH21" i="53" s="1"/>
  <c r="IF21" i="53"/>
  <c r="AQ24" i="53"/>
  <c r="AR24" i="53"/>
  <c r="AP24" i="53"/>
  <c r="HO30" i="53"/>
  <c r="FK30" i="53"/>
  <c r="DK30" i="53"/>
  <c r="HP30" i="53"/>
  <c r="FN30" i="53"/>
  <c r="FI30" i="53"/>
  <c r="DM30" i="53"/>
  <c r="HQ30" i="53"/>
  <c r="FM30" i="53"/>
  <c r="DI30" i="53"/>
  <c r="HN30" i="53"/>
  <c r="FL30" i="53"/>
  <c r="DN30" i="53"/>
  <c r="HR30" i="53"/>
  <c r="DJ30" i="53"/>
  <c r="HM30" i="53"/>
  <c r="DL30" i="53"/>
  <c r="FJ30" i="53"/>
  <c r="AU10" i="53"/>
  <c r="BG10" i="53"/>
  <c r="BW10" i="53"/>
  <c r="CM10" i="53"/>
  <c r="DO10" i="53"/>
  <c r="AQ11" i="53"/>
  <c r="HI11" i="53"/>
  <c r="HE11" i="53"/>
  <c r="FE11" i="53"/>
  <c r="FA11" i="53"/>
  <c r="DE11" i="53"/>
  <c r="DC11" i="53"/>
  <c r="FD11" i="53"/>
  <c r="HF11" i="53"/>
  <c r="AR13" i="53"/>
  <c r="BH13" i="53"/>
  <c r="HO13" i="53"/>
  <c r="FK13" i="53"/>
  <c r="DK13" i="53"/>
  <c r="CN13" i="53"/>
  <c r="CS13" i="53"/>
  <c r="DI13" i="53"/>
  <c r="DN13" i="53"/>
  <c r="EJ13" i="53"/>
  <c r="FJ13" i="53"/>
  <c r="FP13" i="53" s="1"/>
  <c r="GP13" i="53"/>
  <c r="HQ13" i="53"/>
  <c r="IG14" i="53"/>
  <c r="IC14" i="53"/>
  <c r="IH14" i="53"/>
  <c r="IF15" i="53"/>
  <c r="ID15" i="53"/>
  <c r="IC15" i="53"/>
  <c r="GY16" i="53"/>
  <c r="EU16" i="53"/>
  <c r="EQ16" i="53"/>
  <c r="CY16" i="53"/>
  <c r="CU16" i="53"/>
  <c r="HB16" i="53"/>
  <c r="GW16" i="53"/>
  <c r="EV16" i="53"/>
  <c r="CZ16" i="53"/>
  <c r="CW16" i="53"/>
  <c r="ES16" i="53"/>
  <c r="IH17" i="53"/>
  <c r="IC17" i="53"/>
  <c r="GK18" i="53"/>
  <c r="EC18" i="53"/>
  <c r="DY18" i="53"/>
  <c r="CK18" i="53"/>
  <c r="CG18" i="53"/>
  <c r="GJ18" i="53"/>
  <c r="ED18" i="53"/>
  <c r="CH18" i="53"/>
  <c r="CI18" i="53"/>
  <c r="DK18" i="53"/>
  <c r="DZ18" i="53"/>
  <c r="GL18" i="53"/>
  <c r="HN18" i="53"/>
  <c r="IH18" i="53"/>
  <c r="AQ19" i="53"/>
  <c r="CW19" i="53"/>
  <c r="GY19" i="53"/>
  <c r="IE19" i="53"/>
  <c r="IG19" i="53" s="1"/>
  <c r="IH19" i="53" s="1"/>
  <c r="GG20" i="53"/>
  <c r="IC21" i="53"/>
  <c r="BP22" i="53"/>
  <c r="FH22" i="53"/>
  <c r="AY10" i="53"/>
  <c r="BC10" i="53"/>
  <c r="BK10" i="53"/>
  <c r="BO10" i="53"/>
  <c r="BS10" i="53"/>
  <c r="EY10" i="53"/>
  <c r="FS10" i="53"/>
  <c r="FW10" i="53"/>
  <c r="AU3" i="53"/>
  <c r="AY3" i="53"/>
  <c r="BC3" i="53"/>
  <c r="BG3" i="53"/>
  <c r="BK3" i="53"/>
  <c r="BO3" i="53"/>
  <c r="BS3" i="53"/>
  <c r="BW3" i="53"/>
  <c r="CM3" i="53"/>
  <c r="DO3" i="53"/>
  <c r="EY3" i="53"/>
  <c r="FS3" i="53"/>
  <c r="AU7" i="53"/>
  <c r="AY7" i="53"/>
  <c r="BC7" i="53"/>
  <c r="BG7" i="53"/>
  <c r="BK7" i="53"/>
  <c r="BO7" i="53"/>
  <c r="BS7" i="53"/>
  <c r="BW7" i="53"/>
  <c r="CM7" i="53"/>
  <c r="DO7" i="53"/>
  <c r="EY7" i="53"/>
  <c r="FS7" i="53"/>
  <c r="IC9" i="53"/>
  <c r="AV10" i="53"/>
  <c r="AZ10" i="53"/>
  <c r="AT10" i="53" s="1"/>
  <c r="BD10" i="53"/>
  <c r="BH10" i="53"/>
  <c r="BL10" i="53"/>
  <c r="BP10" i="53"/>
  <c r="BT10" i="53"/>
  <c r="BX10" i="53"/>
  <c r="CF10" i="53"/>
  <c r="DH10" i="53"/>
  <c r="DX10" i="53"/>
  <c r="FH10" i="53"/>
  <c r="FT10" i="53"/>
  <c r="FX10" i="53"/>
  <c r="GF10" i="53"/>
  <c r="GN10" i="53"/>
  <c r="GV10" i="53"/>
  <c r="HD10" i="53"/>
  <c r="FU11" i="53"/>
  <c r="EG11" i="53"/>
  <c r="DA11" i="53"/>
  <c r="BY11" i="53"/>
  <c r="BU11" i="53"/>
  <c r="BQ11" i="53"/>
  <c r="BM11" i="53"/>
  <c r="BI11" i="53"/>
  <c r="BE11" i="53"/>
  <c r="BA11" i="53"/>
  <c r="AU11" i="53" s="1"/>
  <c r="AW11" i="53"/>
  <c r="AX11" i="53"/>
  <c r="BC11" i="53"/>
  <c r="BH11" i="53"/>
  <c r="BN11" i="53"/>
  <c r="BS11" i="53"/>
  <c r="BX11" i="53"/>
  <c r="CT11" i="53"/>
  <c r="DD11" i="53"/>
  <c r="DO11" i="53"/>
  <c r="EP11" i="53"/>
  <c r="EZ11" i="53"/>
  <c r="FV11" i="53"/>
  <c r="GF11" i="53"/>
  <c r="GI11" i="53" s="1"/>
  <c r="GV11" i="53"/>
  <c r="HG11" i="53"/>
  <c r="HL11" i="53"/>
  <c r="GI13" i="53"/>
  <c r="EA13" i="53"/>
  <c r="CI13" i="53"/>
  <c r="CJ13" i="53"/>
  <c r="CO13" i="53"/>
  <c r="DJ13" i="53"/>
  <c r="DZ13" i="53"/>
  <c r="EF13" i="53" s="1"/>
  <c r="EK13" i="53"/>
  <c r="FL13" i="53"/>
  <c r="GG13" i="53"/>
  <c r="GL13" i="53"/>
  <c r="GR13" i="53"/>
  <c r="HM13" i="53"/>
  <c r="HR13" i="53"/>
  <c r="IE15" i="53"/>
  <c r="IG15" i="53" s="1"/>
  <c r="IH15" i="53" s="1"/>
  <c r="AP16" i="53"/>
  <c r="HO16" i="53"/>
  <c r="FK16" i="53"/>
  <c r="DK16" i="53"/>
  <c r="HR16" i="53"/>
  <c r="HM16" i="53"/>
  <c r="FL16" i="53"/>
  <c r="DJ16" i="53"/>
  <c r="CF16" i="53"/>
  <c r="CX16" i="53"/>
  <c r="DM16" i="53"/>
  <c r="ET16" i="53"/>
  <c r="FI16" i="53"/>
  <c r="FP16" i="53" s="1"/>
  <c r="GX16" i="53"/>
  <c r="IG16" i="53"/>
  <c r="FU18" i="53"/>
  <c r="EG18" i="53"/>
  <c r="DA18" i="53"/>
  <c r="BY18" i="53"/>
  <c r="BZ18" i="53" s="1"/>
  <c r="BU18" i="53"/>
  <c r="BQ18" i="53"/>
  <c r="BM18" i="53"/>
  <c r="BI18" i="53"/>
  <c r="BE18" i="53"/>
  <c r="BA18" i="53"/>
  <c r="AU18" i="53" s="1"/>
  <c r="AW18" i="53"/>
  <c r="FT18" i="53"/>
  <c r="EY18" i="53"/>
  <c r="DX18" i="53"/>
  <c r="DH18" i="53"/>
  <c r="CM18" i="53"/>
  <c r="BW18" i="53"/>
  <c r="BR18" i="53"/>
  <c r="BL18" i="53"/>
  <c r="BG18" i="53"/>
  <c r="BB18" i="53"/>
  <c r="AV18" i="53"/>
  <c r="AT18" i="53"/>
  <c r="AZ18" i="53"/>
  <c r="BH18" i="53"/>
  <c r="BO18" i="53"/>
  <c r="BV18" i="53"/>
  <c r="CJ18" i="53"/>
  <c r="DL18" i="53"/>
  <c r="EA18" i="53"/>
  <c r="EP18" i="53"/>
  <c r="FK18" i="53"/>
  <c r="FR18" i="53"/>
  <c r="FX18" i="53"/>
  <c r="FY18" i="53" s="1"/>
  <c r="GF18" i="53"/>
  <c r="HO18" i="53"/>
  <c r="HL19" i="53"/>
  <c r="HD19" i="53"/>
  <c r="GV19" i="53"/>
  <c r="GN19" i="53"/>
  <c r="GF19" i="53"/>
  <c r="FX19" i="53"/>
  <c r="FT19" i="53"/>
  <c r="FH19" i="53"/>
  <c r="DX19" i="53"/>
  <c r="DH19" i="53"/>
  <c r="CF19" i="53"/>
  <c r="BX19" i="53"/>
  <c r="BT19" i="53"/>
  <c r="BP19" i="53"/>
  <c r="BL19" i="53"/>
  <c r="BH19" i="53"/>
  <c r="BD19" i="53"/>
  <c r="AZ19" i="53"/>
  <c r="AV19" i="53"/>
  <c r="FV19" i="53"/>
  <c r="EP19" i="53"/>
  <c r="DO19" i="53"/>
  <c r="CT19" i="53"/>
  <c r="BY19" i="53"/>
  <c r="BS19" i="53"/>
  <c r="BN19" i="53"/>
  <c r="BI19" i="53"/>
  <c r="BC19" i="53"/>
  <c r="AX19" i="53"/>
  <c r="FU19" i="53"/>
  <c r="EY19" i="53"/>
  <c r="CM19" i="53"/>
  <c r="BW19" i="53"/>
  <c r="BR19" i="53"/>
  <c r="BM19" i="53"/>
  <c r="BG19" i="53"/>
  <c r="AT19" i="53"/>
  <c r="BA19" i="53"/>
  <c r="AU19" i="53" s="1"/>
  <c r="BJ19" i="53"/>
  <c r="BU19" i="53"/>
  <c r="DA19" i="53"/>
  <c r="EG19" i="53"/>
  <c r="EQ19" i="53"/>
  <c r="EX19" i="53" s="1"/>
  <c r="FW19" i="53"/>
  <c r="DZ20" i="53"/>
  <c r="GH20" i="53"/>
  <c r="FU22" i="53"/>
  <c r="EG22" i="53"/>
  <c r="DA22" i="53"/>
  <c r="BY22" i="53"/>
  <c r="BU22" i="53"/>
  <c r="BQ22" i="53"/>
  <c r="BM22" i="53"/>
  <c r="BI22" i="53"/>
  <c r="BE22" i="53"/>
  <c r="BA22" i="53"/>
  <c r="AU22" i="53" s="1"/>
  <c r="AW22" i="53"/>
  <c r="FV22" i="53"/>
  <c r="FR22" i="53"/>
  <c r="EP22" i="53"/>
  <c r="CT22" i="53"/>
  <c r="BV22" i="53"/>
  <c r="BR22" i="53"/>
  <c r="BN22" i="53"/>
  <c r="BJ22" i="53"/>
  <c r="BB22" i="53"/>
  <c r="AX22" i="53"/>
  <c r="AT22" i="53"/>
  <c r="FT22" i="53"/>
  <c r="DX22" i="53"/>
  <c r="DH22" i="53"/>
  <c r="BT22" i="53"/>
  <c r="BL22" i="53"/>
  <c r="AY22" i="53"/>
  <c r="FS22" i="53"/>
  <c r="DO22" i="53"/>
  <c r="BS22" i="53"/>
  <c r="BK22" i="53"/>
  <c r="BD22" i="53"/>
  <c r="AV22" i="53"/>
  <c r="FW22" i="53"/>
  <c r="EY22" i="53"/>
  <c r="CM22" i="53"/>
  <c r="BW22" i="53"/>
  <c r="BO22" i="53"/>
  <c r="BG22" i="53"/>
  <c r="AZ22" i="53"/>
  <c r="BC22" i="53"/>
  <c r="BX22" i="53"/>
  <c r="GV22" i="53"/>
  <c r="HL23" i="53"/>
  <c r="HD23" i="53"/>
  <c r="GV23" i="53"/>
  <c r="GN23" i="53"/>
  <c r="GF23" i="53"/>
  <c r="FX23" i="53"/>
  <c r="FT23" i="53"/>
  <c r="FH23" i="53"/>
  <c r="DX23" i="53"/>
  <c r="DH23" i="53"/>
  <c r="CF23" i="53"/>
  <c r="BX23" i="53"/>
  <c r="BT23" i="53"/>
  <c r="BP23" i="53"/>
  <c r="BL23" i="53"/>
  <c r="BH23" i="53"/>
  <c r="BD23" i="53"/>
  <c r="AZ23" i="53"/>
  <c r="AT23" i="53" s="1"/>
  <c r="FU23" i="53"/>
  <c r="EG23" i="53"/>
  <c r="DA23" i="53"/>
  <c r="BY23" i="53"/>
  <c r="BU23" i="53"/>
  <c r="BQ23" i="53"/>
  <c r="BM23" i="53"/>
  <c r="BI23" i="53"/>
  <c r="BE23" i="53"/>
  <c r="BA23" i="53"/>
  <c r="AW23" i="53"/>
  <c r="FS23" i="53"/>
  <c r="DO23" i="53"/>
  <c r="BS23" i="53"/>
  <c r="BK23" i="53"/>
  <c r="BC23" i="53"/>
  <c r="AU23" i="53"/>
  <c r="FR23" i="53"/>
  <c r="BR23" i="53"/>
  <c r="BJ23" i="53"/>
  <c r="BB23" i="53"/>
  <c r="AV23" i="53" s="1"/>
  <c r="FV23" i="53"/>
  <c r="EP23" i="53"/>
  <c r="CT23" i="53"/>
  <c r="BV23" i="53"/>
  <c r="BN23" i="53"/>
  <c r="AX23" i="53"/>
  <c r="BG23" i="53"/>
  <c r="CM23" i="53"/>
  <c r="EY23" i="53"/>
  <c r="GD26" i="53"/>
  <c r="FZ26" i="53"/>
  <c r="DR26" i="53"/>
  <c r="CD26" i="53"/>
  <c r="BZ26" i="53"/>
  <c r="GC26" i="53"/>
  <c r="DQ26" i="53"/>
  <c r="CA26" i="53"/>
  <c r="GB26" i="53"/>
  <c r="DU26" i="53"/>
  <c r="DP26" i="53"/>
  <c r="CE26" i="53"/>
  <c r="FY26" i="53"/>
  <c r="DS26" i="53"/>
  <c r="CB26" i="53"/>
  <c r="GA26" i="53"/>
  <c r="DT26" i="53"/>
  <c r="CC26" i="53"/>
  <c r="HR21" i="53"/>
  <c r="HN21" i="53"/>
  <c r="FN21" i="53"/>
  <c r="FJ21" i="53"/>
  <c r="FP21" i="53" s="1"/>
  <c r="DN21" i="53"/>
  <c r="DJ21" i="53"/>
  <c r="HO21" i="53"/>
  <c r="FK21" i="53"/>
  <c r="DK21" i="53"/>
  <c r="DL21" i="53"/>
  <c r="AR22" i="53"/>
  <c r="AP23" i="53"/>
  <c r="DZ24" i="53"/>
  <c r="EF24" i="53" s="1"/>
  <c r="EP24" i="53"/>
  <c r="ES24" i="53" s="1"/>
  <c r="IE25" i="53"/>
  <c r="IG25" i="53" s="1"/>
  <c r="ID25" i="53"/>
  <c r="IF25" i="53"/>
  <c r="HO25" i="53"/>
  <c r="HN25" i="53"/>
  <c r="FN25" i="53"/>
  <c r="FJ25" i="53"/>
  <c r="DN25" i="53"/>
  <c r="DJ25" i="53"/>
  <c r="HR25" i="53"/>
  <c r="HM25" i="53"/>
  <c r="FM25" i="53"/>
  <c r="FI25" i="53"/>
  <c r="DM25" i="53"/>
  <c r="DI25" i="53"/>
  <c r="HP25" i="53"/>
  <c r="FK25" i="53"/>
  <c r="DK25" i="53"/>
  <c r="HH29" i="53"/>
  <c r="FD29" i="53"/>
  <c r="EZ29" i="53"/>
  <c r="DD29" i="53"/>
  <c r="HF29" i="53"/>
  <c r="HI29" i="53"/>
  <c r="FB29" i="53"/>
  <c r="DF29" i="53"/>
  <c r="HJ29" i="53"/>
  <c r="FC29" i="53"/>
  <c r="DG29" i="53"/>
  <c r="DB29" i="53"/>
  <c r="HE29" i="53"/>
  <c r="DE29" i="53"/>
  <c r="HG29" i="53"/>
  <c r="FA29" i="53"/>
  <c r="GZ34" i="53"/>
  <c r="EV34" i="53"/>
  <c r="ER34" i="53"/>
  <c r="CZ34" i="53"/>
  <c r="CV34" i="53"/>
  <c r="HA34" i="53"/>
  <c r="GW34" i="53"/>
  <c r="ES34" i="53"/>
  <c r="CW34" i="53"/>
  <c r="GY34" i="53"/>
  <c r="EU34" i="53"/>
  <c r="CY34" i="53"/>
  <c r="HB34" i="53"/>
  <c r="CX34" i="53"/>
  <c r="GX34" i="53"/>
  <c r="CU34" i="53"/>
  <c r="ET34" i="53"/>
  <c r="EQ34" i="53"/>
  <c r="GY20" i="53"/>
  <c r="EU20" i="53"/>
  <c r="EQ20" i="53"/>
  <c r="CY20" i="53"/>
  <c r="CU20" i="53"/>
  <c r="CW20" i="53"/>
  <c r="ES20" i="53"/>
  <c r="GZ20" i="53"/>
  <c r="AP21" i="53"/>
  <c r="AQ21" i="53"/>
  <c r="GL21" i="53"/>
  <c r="GH21" i="53"/>
  <c r="ED21" i="53"/>
  <c r="DZ21" i="53"/>
  <c r="CL21" i="53"/>
  <c r="CH21" i="53"/>
  <c r="GI21" i="53"/>
  <c r="EA21" i="53"/>
  <c r="CI21" i="53"/>
  <c r="CJ21" i="53"/>
  <c r="FL21" i="53"/>
  <c r="GJ21" i="53"/>
  <c r="HP21" i="53"/>
  <c r="IG22" i="53"/>
  <c r="IH22" i="53" s="1"/>
  <c r="IC22" i="53"/>
  <c r="IE24" i="53"/>
  <c r="IG24" i="53" s="1"/>
  <c r="IH24" i="53" s="1"/>
  <c r="IF24" i="53"/>
  <c r="BJ24" i="53"/>
  <c r="GY24" i="53"/>
  <c r="EU24" i="53"/>
  <c r="EQ24" i="53"/>
  <c r="CY24" i="53"/>
  <c r="CU24" i="53"/>
  <c r="GZ24" i="53"/>
  <c r="EV24" i="53"/>
  <c r="ER24" i="53"/>
  <c r="CZ24" i="53"/>
  <c r="CV24" i="53"/>
  <c r="ET24" i="53"/>
  <c r="FP24" i="53"/>
  <c r="GW24" i="53"/>
  <c r="ID24" i="53"/>
  <c r="AP25" i="53"/>
  <c r="AQ25" i="53"/>
  <c r="GI25" i="53"/>
  <c r="GH25" i="53"/>
  <c r="ED25" i="53"/>
  <c r="DZ25" i="53"/>
  <c r="CL25" i="53"/>
  <c r="CH25" i="53"/>
  <c r="GL25" i="53"/>
  <c r="GG25" i="53"/>
  <c r="EC25" i="53"/>
  <c r="DY25" i="53"/>
  <c r="CK25" i="53"/>
  <c r="CG25" i="53"/>
  <c r="GJ25" i="53"/>
  <c r="EA25" i="53"/>
  <c r="CI25" i="53"/>
  <c r="HA28" i="53"/>
  <c r="GW28" i="53"/>
  <c r="ES28" i="53"/>
  <c r="CW28" i="53"/>
  <c r="HB28" i="53"/>
  <c r="EU28" i="53"/>
  <c r="CY28" i="53"/>
  <c r="GX28" i="53"/>
  <c r="EV28" i="53"/>
  <c r="EQ28" i="53"/>
  <c r="CZ28" i="53"/>
  <c r="CU28" i="53"/>
  <c r="GY28" i="53"/>
  <c r="CV28" i="53"/>
  <c r="ET28" i="53"/>
  <c r="GZ28" i="53"/>
  <c r="CX28" i="53"/>
  <c r="AU13" i="53"/>
  <c r="AY13" i="53"/>
  <c r="BC13" i="53"/>
  <c r="BG13" i="53"/>
  <c r="BK13" i="53"/>
  <c r="BO13" i="53"/>
  <c r="BS13" i="53"/>
  <c r="BW13" i="53"/>
  <c r="CM13" i="53"/>
  <c r="DO13" i="53"/>
  <c r="EY13" i="53"/>
  <c r="FS13" i="53"/>
  <c r="GI16" i="53"/>
  <c r="EA16" i="53"/>
  <c r="CI16" i="53"/>
  <c r="CJ16" i="53"/>
  <c r="DZ16" i="53"/>
  <c r="EF16" i="53" s="1"/>
  <c r="GG16" i="53"/>
  <c r="GL16" i="53"/>
  <c r="HO20" i="53"/>
  <c r="FK20" i="53"/>
  <c r="DK20" i="53"/>
  <c r="CX20" i="53"/>
  <c r="DI20" i="53"/>
  <c r="DN20" i="53"/>
  <c r="ET20" i="53"/>
  <c r="FJ20" i="53"/>
  <c r="FP20" i="53" s="1"/>
  <c r="HA20" i="53"/>
  <c r="HQ20" i="53"/>
  <c r="AR21" i="53"/>
  <c r="GT21" i="53"/>
  <c r="GP21" i="53"/>
  <c r="EL21" i="53"/>
  <c r="EH21" i="53"/>
  <c r="CP21" i="53"/>
  <c r="GQ21" i="53"/>
  <c r="EM21" i="53"/>
  <c r="EI21" i="53"/>
  <c r="CQ21" i="53"/>
  <c r="CK21" i="53"/>
  <c r="CS21" i="53"/>
  <c r="DI21" i="53"/>
  <c r="DY21" i="53"/>
  <c r="EF21" i="53" s="1"/>
  <c r="FM21" i="53"/>
  <c r="GK21" i="53"/>
  <c r="GS21" i="53"/>
  <c r="HQ21" i="53"/>
  <c r="AQ22" i="53"/>
  <c r="EG24" i="53"/>
  <c r="EJ24" i="53" s="1"/>
  <c r="FR24" i="53"/>
  <c r="GX24" i="53"/>
  <c r="IH25" i="53"/>
  <c r="IC25" i="53"/>
  <c r="AR25" i="53"/>
  <c r="CJ25" i="53"/>
  <c r="DL25" i="53"/>
  <c r="EB25" i="53"/>
  <c r="GK25" i="53"/>
  <c r="IC26" i="53"/>
  <c r="HR26" i="53"/>
  <c r="HN26" i="53"/>
  <c r="FN26" i="53"/>
  <c r="FJ26" i="53"/>
  <c r="DN26" i="53"/>
  <c r="DJ26" i="53"/>
  <c r="HO26" i="53"/>
  <c r="FM26" i="53"/>
  <c r="DL26" i="53"/>
  <c r="HM26" i="53"/>
  <c r="FL26" i="53"/>
  <c r="DK26" i="53"/>
  <c r="HP26" i="53"/>
  <c r="FI26" i="53"/>
  <c r="FP26" i="53" s="1"/>
  <c r="DM26" i="53"/>
  <c r="IG26" i="53"/>
  <c r="IH26" i="53" s="1"/>
  <c r="GC27" i="53"/>
  <c r="DU27" i="53"/>
  <c r="DQ27" i="53"/>
  <c r="CC27" i="53"/>
  <c r="GD27" i="53"/>
  <c r="DR27" i="53"/>
  <c r="CD27" i="53"/>
  <c r="BZ27" i="53"/>
  <c r="DS27" i="53"/>
  <c r="CE27" i="53"/>
  <c r="GB27" i="53"/>
  <c r="DP27" i="53"/>
  <c r="DW27" i="53" s="1"/>
  <c r="DT27" i="53"/>
  <c r="ER28" i="53"/>
  <c r="DC29" i="53"/>
  <c r="FE29" i="53"/>
  <c r="AU21" i="53"/>
  <c r="AY21" i="53"/>
  <c r="BC21" i="53"/>
  <c r="BG21" i="53"/>
  <c r="BK21" i="53"/>
  <c r="BO21" i="53"/>
  <c r="BS21" i="53"/>
  <c r="BW21" i="53"/>
  <c r="CM21" i="53"/>
  <c r="DO21" i="53"/>
  <c r="EY21" i="53"/>
  <c r="FS21" i="53"/>
  <c r="FW21" i="53"/>
  <c r="IC23" i="53"/>
  <c r="CJ24" i="53"/>
  <c r="DL24" i="53"/>
  <c r="EB24" i="53"/>
  <c r="FL24" i="53"/>
  <c r="GJ24" i="53"/>
  <c r="HP24" i="53"/>
  <c r="FW25" i="53"/>
  <c r="FS25" i="53"/>
  <c r="AU25" i="53"/>
  <c r="AY25" i="53"/>
  <c r="BC25" i="53"/>
  <c r="BG25" i="53"/>
  <c r="BK25" i="53"/>
  <c r="BO25" i="53"/>
  <c r="BS25" i="53"/>
  <c r="BW25" i="53"/>
  <c r="CM25" i="53"/>
  <c r="CQ25" i="53"/>
  <c r="DO25" i="53"/>
  <c r="EI25" i="53"/>
  <c r="EM25" i="53"/>
  <c r="EY25" i="53"/>
  <c r="FT25" i="53"/>
  <c r="GO25" i="53"/>
  <c r="GT25" i="53"/>
  <c r="FV26" i="53"/>
  <c r="FR26" i="53"/>
  <c r="EP26" i="53"/>
  <c r="CT26" i="53"/>
  <c r="BV26" i="53"/>
  <c r="BR26" i="53"/>
  <c r="BN26" i="53"/>
  <c r="BJ26" i="53"/>
  <c r="BB26" i="53"/>
  <c r="AX26" i="53"/>
  <c r="AT26" i="53"/>
  <c r="AR26" i="53"/>
  <c r="AW26" i="53"/>
  <c r="BC26" i="53"/>
  <c r="BG26" i="53"/>
  <c r="BL26" i="53"/>
  <c r="BQ26" i="53"/>
  <c r="BW26" i="53"/>
  <c r="CG26" i="53"/>
  <c r="CM26" i="53"/>
  <c r="DH26" i="53"/>
  <c r="DX26" i="53"/>
  <c r="DY26" i="53" s="1"/>
  <c r="EC26" i="53"/>
  <c r="EY26" i="53"/>
  <c r="FT26" i="53"/>
  <c r="IF26" i="53"/>
  <c r="IG27" i="53"/>
  <c r="IH27" i="53" s="1"/>
  <c r="IC27" i="53"/>
  <c r="HQ27" i="53"/>
  <c r="HM27" i="53"/>
  <c r="FM27" i="53"/>
  <c r="FI27" i="53"/>
  <c r="DM27" i="53"/>
  <c r="DI27" i="53"/>
  <c r="HR27" i="53"/>
  <c r="HN27" i="53"/>
  <c r="FN27" i="53"/>
  <c r="FJ27" i="53"/>
  <c r="DN27" i="53"/>
  <c r="DJ27" i="53"/>
  <c r="DL27" i="53"/>
  <c r="FH27" i="53"/>
  <c r="FX27" i="53"/>
  <c r="GA27" i="53" s="1"/>
  <c r="GF27" i="53"/>
  <c r="GI27" i="53" s="1"/>
  <c r="GN27" i="53"/>
  <c r="GV27" i="53"/>
  <c r="HD27" i="53"/>
  <c r="FU28" i="53"/>
  <c r="EG28" i="53"/>
  <c r="DA28" i="53"/>
  <c r="BY28" i="53"/>
  <c r="BU28" i="53"/>
  <c r="BQ28" i="53"/>
  <c r="BM28" i="53"/>
  <c r="BI28" i="53"/>
  <c r="HL28" i="53"/>
  <c r="GV28" i="53"/>
  <c r="GF28" i="53"/>
  <c r="FV28" i="53"/>
  <c r="EP28" i="53"/>
  <c r="DO28" i="53"/>
  <c r="CT28" i="53"/>
  <c r="BX28" i="53"/>
  <c r="BS28" i="53"/>
  <c r="BN28" i="53"/>
  <c r="BH28" i="53"/>
  <c r="BD28" i="53"/>
  <c r="AZ28" i="53"/>
  <c r="AT28" i="53" s="1"/>
  <c r="AV28" i="53"/>
  <c r="FW28" i="53"/>
  <c r="FR28" i="53"/>
  <c r="BT28" i="53"/>
  <c r="BO28" i="53"/>
  <c r="BJ28" i="53"/>
  <c r="BE28" i="53"/>
  <c r="BA28" i="53"/>
  <c r="AU28" i="53" s="1"/>
  <c r="AW28" i="53"/>
  <c r="AQ28" i="53"/>
  <c r="AY28" i="53"/>
  <c r="BG28" i="53"/>
  <c r="BR28" i="53"/>
  <c r="CM28" i="53"/>
  <c r="DH28" i="53"/>
  <c r="EY28" i="53"/>
  <c r="FT28" i="53"/>
  <c r="AR29" i="53"/>
  <c r="AP29" i="53"/>
  <c r="AQ29" i="53"/>
  <c r="GB29" i="53"/>
  <c r="DT29" i="53"/>
  <c r="DP29" i="53"/>
  <c r="CB29" i="53"/>
  <c r="GC29" i="53"/>
  <c r="DQ29" i="53"/>
  <c r="CE29" i="53"/>
  <c r="BZ29" i="53"/>
  <c r="GD29" i="53"/>
  <c r="FY29" i="53"/>
  <c r="DR29" i="53"/>
  <c r="CA29" i="53"/>
  <c r="CD29" i="53"/>
  <c r="DU29" i="53"/>
  <c r="CO25" i="53"/>
  <c r="CS25" i="53"/>
  <c r="EK25" i="53"/>
  <c r="GR25" i="53"/>
  <c r="GL26" i="53"/>
  <c r="GH26" i="53"/>
  <c r="ED26" i="53"/>
  <c r="DZ26" i="53"/>
  <c r="CL26" i="53"/>
  <c r="CJ26" i="53"/>
  <c r="EA26" i="53"/>
  <c r="GG26" i="53"/>
  <c r="AQ27" i="53"/>
  <c r="GK27" i="53"/>
  <c r="GG27" i="53"/>
  <c r="EC27" i="53"/>
  <c r="DY27" i="53"/>
  <c r="CK27" i="53"/>
  <c r="CG27" i="53"/>
  <c r="GL27" i="53"/>
  <c r="GH27" i="53"/>
  <c r="ED27" i="53"/>
  <c r="DZ27" i="53"/>
  <c r="CL27" i="53"/>
  <c r="CH27" i="53"/>
  <c r="CJ27" i="53"/>
  <c r="GJ27" i="53"/>
  <c r="HI28" i="53"/>
  <c r="HE28" i="53"/>
  <c r="FE28" i="53"/>
  <c r="FA28" i="53"/>
  <c r="DE28" i="53"/>
  <c r="HG28" i="53"/>
  <c r="EZ28" i="53"/>
  <c r="DD28" i="53"/>
  <c r="HH28" i="53"/>
  <c r="FB28" i="53"/>
  <c r="DF28" i="53"/>
  <c r="DC28" i="53"/>
  <c r="FD28" i="53"/>
  <c r="HF28" i="53"/>
  <c r="IF29" i="53"/>
  <c r="ID29" i="53"/>
  <c r="IE29" i="53"/>
  <c r="IG29" i="53" s="1"/>
  <c r="IH29" i="53" s="1"/>
  <c r="IC29" i="53"/>
  <c r="GD31" i="53"/>
  <c r="FZ31" i="53"/>
  <c r="DR31" i="53"/>
  <c r="CD31" i="53"/>
  <c r="BZ31" i="53"/>
  <c r="FY31" i="53"/>
  <c r="DS31" i="53"/>
  <c r="CB31" i="53"/>
  <c r="GC31" i="53"/>
  <c r="DQ31" i="53"/>
  <c r="CA31" i="53"/>
  <c r="GB31" i="53"/>
  <c r="DT31" i="53"/>
  <c r="CE31" i="53"/>
  <c r="DP31" i="53"/>
  <c r="CC31" i="53"/>
  <c r="DU31" i="53"/>
  <c r="AU16" i="53"/>
  <c r="AY16" i="53"/>
  <c r="BC16" i="53"/>
  <c r="BG16" i="53"/>
  <c r="BK16" i="53"/>
  <c r="BO16" i="53"/>
  <c r="BS16" i="53"/>
  <c r="BW16" i="53"/>
  <c r="CM16" i="53"/>
  <c r="DO16" i="53"/>
  <c r="EY16" i="53"/>
  <c r="FS16" i="53"/>
  <c r="AU20" i="53"/>
  <c r="AY20" i="53"/>
  <c r="BC20" i="53"/>
  <c r="BG20" i="53"/>
  <c r="BK20" i="53"/>
  <c r="BO20" i="53"/>
  <c r="BS20" i="53"/>
  <c r="BW20" i="53"/>
  <c r="CM20" i="53"/>
  <c r="DO20" i="53"/>
  <c r="EY20" i="53"/>
  <c r="FS20" i="53"/>
  <c r="AT21" i="53"/>
  <c r="AX21" i="53"/>
  <c r="BB21" i="53"/>
  <c r="BJ21" i="53"/>
  <c r="BN21" i="53"/>
  <c r="BR21" i="53"/>
  <c r="BV21" i="53"/>
  <c r="CT21" i="53"/>
  <c r="EP21" i="53"/>
  <c r="FR21" i="53"/>
  <c r="AU24" i="53"/>
  <c r="AY24" i="53"/>
  <c r="BC24" i="53"/>
  <c r="AW24" i="53" s="1"/>
  <c r="BG24" i="53"/>
  <c r="BK24" i="53"/>
  <c r="BO24" i="53"/>
  <c r="BS24" i="53"/>
  <c r="BW24" i="53"/>
  <c r="CI24" i="53"/>
  <c r="CM24" i="53"/>
  <c r="CP24" i="53" s="1"/>
  <c r="DK24" i="53"/>
  <c r="DO24" i="53"/>
  <c r="EA24" i="53"/>
  <c r="EY24" i="53"/>
  <c r="FK24" i="53"/>
  <c r="FS24" i="53"/>
  <c r="AT25" i="53"/>
  <c r="AX25" i="53"/>
  <c r="BB25" i="53"/>
  <c r="BJ25" i="53"/>
  <c r="BN25" i="53"/>
  <c r="BR25" i="53"/>
  <c r="BV25" i="53"/>
  <c r="CP25" i="53"/>
  <c r="CT25" i="53"/>
  <c r="EH25" i="53"/>
  <c r="EO25" i="53" s="1"/>
  <c r="EL25" i="53"/>
  <c r="EP25" i="53"/>
  <c r="FR25" i="53"/>
  <c r="FX25" i="53"/>
  <c r="GN25" i="53"/>
  <c r="GS25" i="53"/>
  <c r="HD25" i="53"/>
  <c r="AQ26" i="53"/>
  <c r="AV26" i="53"/>
  <c r="BA26" i="53"/>
  <c r="AU26" i="53" s="1"/>
  <c r="BK26" i="53"/>
  <c r="BP26" i="53"/>
  <c r="BU26" i="53"/>
  <c r="CF26" i="53"/>
  <c r="CI26" i="53" s="1"/>
  <c r="CK26" i="53"/>
  <c r="DA26" i="53"/>
  <c r="EB26" i="53"/>
  <c r="EG26" i="53"/>
  <c r="FH26" i="53"/>
  <c r="FS26" i="53"/>
  <c r="FX26" i="53"/>
  <c r="GI26" i="53"/>
  <c r="GN26" i="53"/>
  <c r="HD26" i="53"/>
  <c r="IE26" i="53"/>
  <c r="FU27" i="53"/>
  <c r="EG27" i="53"/>
  <c r="DA27" i="53"/>
  <c r="BY27" i="53"/>
  <c r="CA27" i="53" s="1"/>
  <c r="BU27" i="53"/>
  <c r="BQ27" i="53"/>
  <c r="BM27" i="53"/>
  <c r="BI27" i="53"/>
  <c r="BE27" i="53"/>
  <c r="BA27" i="53"/>
  <c r="AU27" i="53" s="1"/>
  <c r="AW27" i="53"/>
  <c r="FV27" i="53"/>
  <c r="FR27" i="53"/>
  <c r="EP27" i="53"/>
  <c r="CT27" i="53"/>
  <c r="BV27" i="53"/>
  <c r="BR27" i="53"/>
  <c r="BN27" i="53"/>
  <c r="BJ27" i="53"/>
  <c r="BB27" i="53"/>
  <c r="AV27" i="53" s="1"/>
  <c r="AX27" i="53"/>
  <c r="AZ27" i="53"/>
  <c r="AT27" i="53" s="1"/>
  <c r="BG27" i="53"/>
  <c r="BO27" i="53"/>
  <c r="BW27" i="53"/>
  <c r="CM27" i="53"/>
  <c r="DK27" i="53"/>
  <c r="EA27" i="53"/>
  <c r="EY27" i="53"/>
  <c r="FW27" i="53"/>
  <c r="AP28" i="53"/>
  <c r="DG28" i="53"/>
  <c r="HJ28" i="53"/>
  <c r="AQ30" i="53"/>
  <c r="AP30" i="53"/>
  <c r="AP31" i="53"/>
  <c r="AR31" i="53"/>
  <c r="AQ31" i="53"/>
  <c r="HA33" i="53"/>
  <c r="GW33" i="53"/>
  <c r="ES33" i="53"/>
  <c r="CW33" i="53"/>
  <c r="GZ33" i="53"/>
  <c r="ET33" i="53"/>
  <c r="CX33" i="53"/>
  <c r="GY33" i="53"/>
  <c r="EU33" i="53"/>
  <c r="CV33" i="53"/>
  <c r="GX33" i="53"/>
  <c r="ER33" i="53"/>
  <c r="CU33" i="53"/>
  <c r="EQ33" i="53"/>
  <c r="CZ33" i="53"/>
  <c r="HB33" i="53"/>
  <c r="EV33" i="53"/>
  <c r="FU37" i="53"/>
  <c r="EG37" i="53"/>
  <c r="HL37" i="53"/>
  <c r="FW37" i="53"/>
  <c r="FR37" i="53"/>
  <c r="DO37" i="53"/>
  <c r="FT37" i="53"/>
  <c r="EY37" i="53"/>
  <c r="DA37" i="53"/>
  <c r="BY37" i="53"/>
  <c r="BU37" i="53"/>
  <c r="BQ37" i="53"/>
  <c r="BM37" i="53"/>
  <c r="BI37" i="53"/>
  <c r="BE37" i="53"/>
  <c r="BA37" i="53"/>
  <c r="AW37" i="53"/>
  <c r="GV37" i="53"/>
  <c r="BT37" i="53"/>
  <c r="BO37" i="53"/>
  <c r="BJ37" i="53"/>
  <c r="BD37" i="53"/>
  <c r="AY37" i="53"/>
  <c r="GN37" i="53"/>
  <c r="FS37" i="53"/>
  <c r="FH37" i="53"/>
  <c r="CF37" i="53"/>
  <c r="BV37" i="53"/>
  <c r="BP37" i="53"/>
  <c r="BK37" i="53"/>
  <c r="AZ37" i="53"/>
  <c r="AT37" i="53" s="1"/>
  <c r="AU37" i="53"/>
  <c r="FX37" i="53"/>
  <c r="CT37" i="53"/>
  <c r="BX37" i="53"/>
  <c r="BN37" i="53"/>
  <c r="AV37" i="53"/>
  <c r="GF37" i="53"/>
  <c r="EP37" i="53"/>
  <c r="DH37" i="53"/>
  <c r="CM37" i="53"/>
  <c r="BR37" i="53"/>
  <c r="BG37" i="53"/>
  <c r="AX37" i="53"/>
  <c r="HD37" i="53"/>
  <c r="DX37" i="53"/>
  <c r="BH37" i="53"/>
  <c r="FV37" i="53"/>
  <c r="BL37" i="53"/>
  <c r="BB37" i="53"/>
  <c r="BC37" i="53"/>
  <c r="BW37" i="53"/>
  <c r="BS37" i="53"/>
  <c r="HL29" i="53"/>
  <c r="HD29" i="53"/>
  <c r="GV29" i="53"/>
  <c r="GN29" i="53"/>
  <c r="GF29" i="53"/>
  <c r="FX29" i="53"/>
  <c r="FT29" i="53"/>
  <c r="FH29" i="53"/>
  <c r="DX29" i="53"/>
  <c r="DH29" i="53"/>
  <c r="CF29" i="53"/>
  <c r="BX29" i="53"/>
  <c r="BT29" i="53"/>
  <c r="BP29" i="53"/>
  <c r="BL29" i="53"/>
  <c r="BH29" i="53"/>
  <c r="BD29" i="53"/>
  <c r="AZ29" i="53"/>
  <c r="AV29" i="53"/>
  <c r="BA29" i="53"/>
  <c r="AU29" i="53" s="1"/>
  <c r="BK29" i="53"/>
  <c r="BQ29" i="53"/>
  <c r="BV29" i="53"/>
  <c r="FS29" i="53"/>
  <c r="CJ30" i="53"/>
  <c r="DY30" i="53"/>
  <c r="HR31" i="53"/>
  <c r="HN31" i="53"/>
  <c r="FN31" i="53"/>
  <c r="FJ31" i="53"/>
  <c r="DN31" i="53"/>
  <c r="DJ31" i="53"/>
  <c r="HP31" i="53"/>
  <c r="FI31" i="53"/>
  <c r="DM31" i="53"/>
  <c r="HO31" i="53"/>
  <c r="FM31" i="53"/>
  <c r="DL31" i="53"/>
  <c r="DK31" i="53"/>
  <c r="FK31" i="53"/>
  <c r="HI32" i="53"/>
  <c r="HE32" i="53"/>
  <c r="FE32" i="53"/>
  <c r="FA32" i="53"/>
  <c r="DE32" i="53"/>
  <c r="HJ32" i="53"/>
  <c r="HH32" i="53"/>
  <c r="FB32" i="53"/>
  <c r="DF32" i="53"/>
  <c r="HG32" i="53"/>
  <c r="EZ32" i="53"/>
  <c r="DD32" i="53"/>
  <c r="DC32" i="53"/>
  <c r="ET32" i="53"/>
  <c r="FD32" i="53"/>
  <c r="HF32" i="53"/>
  <c r="AR33" i="53"/>
  <c r="AQ33" i="53"/>
  <c r="AP33" i="53"/>
  <c r="GI33" i="53"/>
  <c r="GI30" i="53"/>
  <c r="EA30" i="53"/>
  <c r="CI30" i="53"/>
  <c r="GJ30" i="53"/>
  <c r="EC30" i="53"/>
  <c r="CL30" i="53"/>
  <c r="CG30" i="53"/>
  <c r="EB30" i="53"/>
  <c r="GL30" i="53"/>
  <c r="GL31" i="53"/>
  <c r="GH31" i="53"/>
  <c r="ED31" i="53"/>
  <c r="CL31" i="53"/>
  <c r="CH31" i="53"/>
  <c r="GJ31" i="53"/>
  <c r="EC31" i="53"/>
  <c r="CG31" i="53"/>
  <c r="GI31" i="53"/>
  <c r="EB31" i="53"/>
  <c r="CK31" i="53"/>
  <c r="EA31" i="53"/>
  <c r="GK31" i="53"/>
  <c r="HQ31" i="53"/>
  <c r="AP32" i="53"/>
  <c r="CX32" i="53"/>
  <c r="IG28" i="53"/>
  <c r="IH28" i="53" s="1"/>
  <c r="IC28" i="53"/>
  <c r="AT29" i="53"/>
  <c r="AY29" i="53"/>
  <c r="BE29" i="53"/>
  <c r="BJ29" i="53"/>
  <c r="BO29" i="53"/>
  <c r="BU29" i="53"/>
  <c r="DA29" i="53"/>
  <c r="EG29" i="53"/>
  <c r="FR29" i="53"/>
  <c r="FW29" i="53"/>
  <c r="IE30" i="53"/>
  <c r="IG30" i="53" s="1"/>
  <c r="IH30" i="53" s="1"/>
  <c r="IF30" i="53"/>
  <c r="ID30" i="53"/>
  <c r="GQ30" i="53"/>
  <c r="EM30" i="53"/>
  <c r="EI30" i="53"/>
  <c r="CQ30" i="53"/>
  <c r="GT30" i="53"/>
  <c r="GO30" i="53"/>
  <c r="EH30" i="53"/>
  <c r="CR30" i="53"/>
  <c r="CH30" i="53"/>
  <c r="CO30" i="53"/>
  <c r="ED30" i="53"/>
  <c r="EK30" i="53"/>
  <c r="GG30" i="53"/>
  <c r="ID31" i="53"/>
  <c r="IF31" i="53"/>
  <c r="IE31" i="53"/>
  <c r="IG31" i="53" s="1"/>
  <c r="IH31" i="53" s="1"/>
  <c r="DI31" i="53"/>
  <c r="IC31" i="53"/>
  <c r="AQ32" i="53"/>
  <c r="HA32" i="53"/>
  <c r="GW32" i="53"/>
  <c r="ES32" i="53"/>
  <c r="CW32" i="53"/>
  <c r="GX32" i="53"/>
  <c r="EV32" i="53"/>
  <c r="EQ32" i="53"/>
  <c r="CZ32" i="53"/>
  <c r="CU32" i="53"/>
  <c r="HB32" i="53"/>
  <c r="EU32" i="53"/>
  <c r="CY32" i="53"/>
  <c r="DB32" i="53"/>
  <c r="ER32" i="53"/>
  <c r="FC32" i="53"/>
  <c r="AQ35" i="53"/>
  <c r="AP35" i="53"/>
  <c r="AR35" i="53"/>
  <c r="GT31" i="53"/>
  <c r="GP31" i="53"/>
  <c r="EL31" i="53"/>
  <c r="EH31" i="53"/>
  <c r="EO31" i="53" s="1"/>
  <c r="CP31" i="53"/>
  <c r="CQ31" i="53"/>
  <c r="EM31" i="53"/>
  <c r="FH31" i="53"/>
  <c r="FS31" i="53"/>
  <c r="FX31" i="53"/>
  <c r="GA31" i="53" s="1"/>
  <c r="GN31" i="53"/>
  <c r="GS31" i="53"/>
  <c r="FU32" i="53"/>
  <c r="EG32" i="53"/>
  <c r="DA32" i="53"/>
  <c r="BY32" i="53"/>
  <c r="BU32" i="53"/>
  <c r="BQ32" i="53"/>
  <c r="BM32" i="53"/>
  <c r="BI32" i="53"/>
  <c r="BE32" i="53"/>
  <c r="BA32" i="53"/>
  <c r="AU32" i="53" s="1"/>
  <c r="AW32" i="53"/>
  <c r="AX32" i="53"/>
  <c r="BC32" i="53"/>
  <c r="BH32" i="53"/>
  <c r="BN32" i="53"/>
  <c r="BS32" i="53"/>
  <c r="BX32" i="53"/>
  <c r="CI32" i="53"/>
  <c r="CT32" i="53"/>
  <c r="DO32" i="53"/>
  <c r="DZ32" i="53"/>
  <c r="EP32" i="53"/>
  <c r="FV32" i="53"/>
  <c r="GF32" i="53"/>
  <c r="GI32" i="53" s="1"/>
  <c r="GV32" i="53"/>
  <c r="HL32" i="53"/>
  <c r="AT33" i="53"/>
  <c r="AY33" i="53"/>
  <c r="BE33" i="53"/>
  <c r="BJ33" i="53"/>
  <c r="BP33" i="53"/>
  <c r="BX33" i="53"/>
  <c r="CL33" i="53"/>
  <c r="CT33" i="53"/>
  <c r="DO33" i="53"/>
  <c r="EB33" i="53"/>
  <c r="FS33" i="53"/>
  <c r="GH33" i="53"/>
  <c r="GN33" i="53"/>
  <c r="IE33" i="53"/>
  <c r="IG33" i="53" s="1"/>
  <c r="IH33" i="53" s="1"/>
  <c r="AQ34" i="53"/>
  <c r="BB34" i="53"/>
  <c r="BN34" i="53"/>
  <c r="BW34" i="53"/>
  <c r="CT34" i="53"/>
  <c r="GY30" i="53"/>
  <c r="EU30" i="53"/>
  <c r="EQ30" i="53"/>
  <c r="CY30" i="53"/>
  <c r="CU30" i="53"/>
  <c r="CW30" i="53"/>
  <c r="ES30" i="53"/>
  <c r="GZ30" i="53"/>
  <c r="FV31" i="53"/>
  <c r="FR31" i="53"/>
  <c r="EP31" i="53"/>
  <c r="CT31" i="53"/>
  <c r="BV31" i="53"/>
  <c r="BR31" i="53"/>
  <c r="BN31" i="53"/>
  <c r="BJ31" i="53"/>
  <c r="BB31" i="53"/>
  <c r="AX31" i="53"/>
  <c r="AT31" i="53"/>
  <c r="AW31" i="53"/>
  <c r="BC31" i="53"/>
  <c r="BG31" i="53"/>
  <c r="BL31" i="53"/>
  <c r="BQ31" i="53"/>
  <c r="BW31" i="53"/>
  <c r="CM31" i="53"/>
  <c r="CR31" i="53"/>
  <c r="DH31" i="53"/>
  <c r="DX31" i="53"/>
  <c r="DY31" i="53" s="1"/>
  <c r="EI31" i="53"/>
  <c r="EY31" i="53"/>
  <c r="FT31" i="53"/>
  <c r="GO31" i="53"/>
  <c r="IG32" i="53"/>
  <c r="IH32" i="53" s="1"/>
  <c r="IC32" i="53"/>
  <c r="GK32" i="53"/>
  <c r="EC32" i="53"/>
  <c r="DY32" i="53"/>
  <c r="CK32" i="53"/>
  <c r="CG32" i="53"/>
  <c r="CJ32" i="53"/>
  <c r="EA32" i="53"/>
  <c r="FR32" i="53"/>
  <c r="FW32" i="53"/>
  <c r="FU33" i="53"/>
  <c r="EG33" i="53"/>
  <c r="DA33" i="53"/>
  <c r="BY33" i="53"/>
  <c r="BU33" i="53"/>
  <c r="BQ33" i="53"/>
  <c r="BM33" i="53"/>
  <c r="FT33" i="53"/>
  <c r="EY33" i="53"/>
  <c r="DX33" i="53"/>
  <c r="EA33" i="53" s="1"/>
  <c r="DH33" i="53"/>
  <c r="CM33" i="53"/>
  <c r="BW33" i="53"/>
  <c r="BR33" i="53"/>
  <c r="BL33" i="53"/>
  <c r="BH33" i="53"/>
  <c r="BD33" i="53"/>
  <c r="AZ33" i="53"/>
  <c r="AV33" i="53"/>
  <c r="BA33" i="53"/>
  <c r="AU33" i="53" s="1"/>
  <c r="BK33" i="53"/>
  <c r="BS33" i="53"/>
  <c r="CF33" i="53"/>
  <c r="CH33" i="53" s="1"/>
  <c r="FV33" i="53"/>
  <c r="HD33" i="53"/>
  <c r="HL33" i="53"/>
  <c r="BO34" i="53"/>
  <c r="ID35" i="53"/>
  <c r="IE35" i="53"/>
  <c r="IF35" i="53"/>
  <c r="FV36" i="53"/>
  <c r="FR36" i="53"/>
  <c r="EP36" i="53"/>
  <c r="FT36" i="53"/>
  <c r="EY36" i="53"/>
  <c r="DX36" i="53"/>
  <c r="DA36" i="53"/>
  <c r="BY36" i="53"/>
  <c r="BU36" i="53"/>
  <c r="BQ36" i="53"/>
  <c r="BM36" i="53"/>
  <c r="BI36" i="53"/>
  <c r="BE36" i="53"/>
  <c r="BA36" i="53"/>
  <c r="AW36" i="53"/>
  <c r="HL36" i="53"/>
  <c r="GV36" i="53"/>
  <c r="GF36" i="53"/>
  <c r="FU36" i="53"/>
  <c r="DO36" i="53"/>
  <c r="CT36" i="53"/>
  <c r="BV36" i="53"/>
  <c r="BR36" i="53"/>
  <c r="BN36" i="53"/>
  <c r="BJ36" i="53"/>
  <c r="BB36" i="53"/>
  <c r="AX36" i="53"/>
  <c r="AT36" i="53"/>
  <c r="HD36" i="53"/>
  <c r="FX36" i="53"/>
  <c r="EG36" i="53"/>
  <c r="CF36" i="53"/>
  <c r="BX36" i="53"/>
  <c r="BP36" i="53"/>
  <c r="BH36" i="53"/>
  <c r="BC36" i="53"/>
  <c r="AU36" i="53"/>
  <c r="BS36" i="53"/>
  <c r="BK36" i="53"/>
  <c r="BD36" i="53"/>
  <c r="AV36" i="53"/>
  <c r="CM36" i="53"/>
  <c r="BW36" i="53"/>
  <c r="BG36" i="53"/>
  <c r="GN36" i="53"/>
  <c r="FS36" i="53"/>
  <c r="DH36" i="53"/>
  <c r="BL36" i="53"/>
  <c r="AY36" i="53"/>
  <c r="BT36" i="53"/>
  <c r="GK33" i="53"/>
  <c r="GG33" i="53"/>
  <c r="EC33" i="53"/>
  <c r="DY33" i="53"/>
  <c r="CK33" i="53"/>
  <c r="CG33" i="53"/>
  <c r="GJ33" i="53"/>
  <c r="ED33" i="53"/>
  <c r="CI33" i="53"/>
  <c r="DZ33" i="53"/>
  <c r="GL33" i="53"/>
  <c r="HL34" i="53"/>
  <c r="HD34" i="53"/>
  <c r="GV34" i="53"/>
  <c r="GN34" i="53"/>
  <c r="GF34" i="53"/>
  <c r="FX34" i="53"/>
  <c r="FT34" i="53"/>
  <c r="FH34" i="53"/>
  <c r="DX34" i="53"/>
  <c r="DH34" i="53"/>
  <c r="CF34" i="53"/>
  <c r="BX34" i="53"/>
  <c r="BT34" i="53"/>
  <c r="BP34" i="53"/>
  <c r="BL34" i="53"/>
  <c r="BH34" i="53"/>
  <c r="BD34" i="53"/>
  <c r="AZ34" i="53"/>
  <c r="AT34" i="53" s="1"/>
  <c r="AV34" i="53"/>
  <c r="FU34" i="53"/>
  <c r="EG34" i="53"/>
  <c r="DA34" i="53"/>
  <c r="BY34" i="53"/>
  <c r="BU34" i="53"/>
  <c r="BQ34" i="53"/>
  <c r="BM34" i="53"/>
  <c r="BI34" i="53"/>
  <c r="BE34" i="53"/>
  <c r="BA34" i="53"/>
  <c r="AU34" i="53" s="1"/>
  <c r="AW34" i="53"/>
  <c r="FS34" i="53"/>
  <c r="DO34" i="53"/>
  <c r="BS34" i="53"/>
  <c r="BK34" i="53"/>
  <c r="BC34" i="53"/>
  <c r="AX34" i="53"/>
  <c r="BG34" i="53"/>
  <c r="BR34" i="53"/>
  <c r="CM34" i="53"/>
  <c r="EP34" i="53"/>
  <c r="EY34" i="53"/>
  <c r="FV34" i="53"/>
  <c r="HR35" i="53"/>
  <c r="HN35" i="53"/>
  <c r="HO35" i="53"/>
  <c r="FK35" i="53"/>
  <c r="DK35" i="53"/>
  <c r="HP35" i="53"/>
  <c r="FM35" i="53"/>
  <c r="DL35" i="53"/>
  <c r="HQ35" i="53"/>
  <c r="FN35" i="53"/>
  <c r="FI35" i="53"/>
  <c r="DM35" i="53"/>
  <c r="FL35" i="53"/>
  <c r="DJ35" i="53"/>
  <c r="DN35" i="53"/>
  <c r="DI35" i="53"/>
  <c r="HM35" i="53"/>
  <c r="AZ36" i="53"/>
  <c r="AU30" i="53"/>
  <c r="AY30" i="53"/>
  <c r="BC30" i="53"/>
  <c r="BG30" i="53"/>
  <c r="BK30" i="53"/>
  <c r="BO30" i="53"/>
  <c r="BS30" i="53"/>
  <c r="BW30" i="53"/>
  <c r="CM30" i="53"/>
  <c r="DO30" i="53"/>
  <c r="EY30" i="53"/>
  <c r="FS30" i="53"/>
  <c r="IC33" i="53"/>
  <c r="GI35" i="53"/>
  <c r="EA35" i="53"/>
  <c r="CI35" i="53"/>
  <c r="GH35" i="53"/>
  <c r="EB35" i="53"/>
  <c r="CK35" i="53"/>
  <c r="GJ35" i="53"/>
  <c r="EC35" i="53"/>
  <c r="CL35" i="53"/>
  <c r="GG35" i="53"/>
  <c r="AR37" i="53"/>
  <c r="IC34" i="53"/>
  <c r="AV35" i="53"/>
  <c r="BA35" i="53"/>
  <c r="AU35" i="53" s="1"/>
  <c r="BL35" i="53"/>
  <c r="BQ35" i="53"/>
  <c r="BV35" i="53"/>
  <c r="DH35" i="53"/>
  <c r="DX35" i="53"/>
  <c r="IG35" i="53"/>
  <c r="IH35" i="53" s="1"/>
  <c r="FW35" i="53"/>
  <c r="FS35" i="53"/>
  <c r="EY35" i="53"/>
  <c r="DO35" i="53"/>
  <c r="CM35" i="53"/>
  <c r="BW35" i="53"/>
  <c r="BS35" i="53"/>
  <c r="BO35" i="53"/>
  <c r="BK35" i="53"/>
  <c r="BG35" i="53"/>
  <c r="BC35" i="53"/>
  <c r="AY35" i="53"/>
  <c r="AT35" i="53"/>
  <c r="AZ35" i="53"/>
  <c r="BE35" i="53"/>
  <c r="BJ35" i="53"/>
  <c r="BP35" i="53"/>
  <c r="BU35" i="53"/>
  <c r="CF35" i="53"/>
  <c r="CH35" i="53" s="1"/>
  <c r="DA35" i="53"/>
  <c r="EG35" i="53"/>
  <c r="FH35" i="53"/>
  <c r="FR35" i="53"/>
  <c r="FX35" i="53"/>
  <c r="GN35" i="53"/>
  <c r="IG36" i="53"/>
  <c r="IH36" i="53" s="1"/>
  <c r="IE38" i="53"/>
  <c r="IG38" i="53" s="1"/>
  <c r="IH38" i="53" s="1"/>
  <c r="ID38" i="53"/>
  <c r="IF38" i="53"/>
  <c r="AR38" i="53"/>
  <c r="AQ38" i="53"/>
  <c r="AP38" i="53"/>
  <c r="GS38" i="53"/>
  <c r="GO38" i="53"/>
  <c r="EK38" i="53"/>
  <c r="GT38" i="53"/>
  <c r="EM38" i="53"/>
  <c r="EH38" i="53"/>
  <c r="CR38" i="53"/>
  <c r="CN38" i="53"/>
  <c r="GR38" i="53"/>
  <c r="EL38" i="53"/>
  <c r="CQ38" i="53"/>
  <c r="EJ38" i="53"/>
  <c r="GQ38" i="53"/>
  <c r="CP38" i="53"/>
  <c r="GP38" i="53"/>
  <c r="IF36" i="53"/>
  <c r="IG37" i="53"/>
  <c r="IC37" i="53"/>
  <c r="IH37" i="53"/>
  <c r="CX38" i="53"/>
  <c r="AR39" i="53"/>
  <c r="AQ39" i="53"/>
  <c r="AP39" i="53"/>
  <c r="HA38" i="53"/>
  <c r="GW38" i="53"/>
  <c r="ES38" i="53"/>
  <c r="GY38" i="53"/>
  <c r="ER38" i="53"/>
  <c r="CZ38" i="53"/>
  <c r="CV38" i="53"/>
  <c r="GX38" i="53"/>
  <c r="EV38" i="53"/>
  <c r="EQ38" i="53"/>
  <c r="CY38" i="53"/>
  <c r="CU38" i="53"/>
  <c r="EU38" i="53"/>
  <c r="AY39" i="53"/>
  <c r="BE39" i="53"/>
  <c r="BJ39" i="53"/>
  <c r="BO39" i="53"/>
  <c r="BU39" i="53"/>
  <c r="DA39" i="53"/>
  <c r="EG39" i="53"/>
  <c r="FR39" i="53"/>
  <c r="ID39" i="53"/>
  <c r="FU38" i="53"/>
  <c r="EG38" i="53"/>
  <c r="AU38" i="53"/>
  <c r="AY38" i="53"/>
  <c r="BC38" i="53"/>
  <c r="BG38" i="53"/>
  <c r="BK38" i="53"/>
  <c r="BO38" i="53"/>
  <c r="BS38" i="53"/>
  <c r="BW38" i="53"/>
  <c r="CM38" i="53"/>
  <c r="DO38" i="53"/>
  <c r="FR38" i="53"/>
  <c r="FW38" i="53"/>
  <c r="HL39" i="53"/>
  <c r="HD39" i="53"/>
  <c r="GV39" i="53"/>
  <c r="GN39" i="53"/>
  <c r="GF39" i="53"/>
  <c r="FX39" i="53"/>
  <c r="FT39" i="53"/>
  <c r="FH39" i="53"/>
  <c r="DX39" i="53"/>
  <c r="DH39" i="53"/>
  <c r="CF39" i="53"/>
  <c r="BX39" i="53"/>
  <c r="BT39" i="53"/>
  <c r="BP39" i="53"/>
  <c r="BL39" i="53"/>
  <c r="BH39" i="53"/>
  <c r="BD39" i="53"/>
  <c r="AZ39" i="53"/>
  <c r="AT39" i="53" s="1"/>
  <c r="AV39" i="53"/>
  <c r="AU39" i="53"/>
  <c r="BA39" i="53"/>
  <c r="BK39" i="53"/>
  <c r="BQ39" i="53"/>
  <c r="BV39" i="53"/>
  <c r="FS39" i="53"/>
  <c r="IC38" i="53"/>
  <c r="AV38" i="53"/>
  <c r="AZ38" i="53"/>
  <c r="AT38" i="53" s="1"/>
  <c r="BD38" i="53"/>
  <c r="BH38" i="53"/>
  <c r="BL38" i="53"/>
  <c r="BP38" i="53"/>
  <c r="BT38" i="53"/>
  <c r="BX38" i="53"/>
  <c r="CF38" i="53"/>
  <c r="DH38" i="53"/>
  <c r="DX38" i="53"/>
  <c r="FH38" i="53"/>
  <c r="FS38" i="53"/>
  <c r="FX38" i="53"/>
  <c r="GN38" i="53"/>
  <c r="HD38" i="53"/>
  <c r="AW39" i="53"/>
  <c r="BB39" i="53"/>
  <c r="BG39" i="53"/>
  <c r="BM39" i="53"/>
  <c r="BR39" i="53"/>
  <c r="BW39" i="53"/>
  <c r="CM39" i="53"/>
  <c r="EY39" i="53"/>
  <c r="FU39" i="53"/>
  <c r="AX39" i="53"/>
  <c r="BC39" i="53"/>
  <c r="BI39" i="53"/>
  <c r="BN39" i="53"/>
  <c r="BS39" i="53"/>
  <c r="BY39" i="53"/>
  <c r="CT39" i="53"/>
  <c r="DO39" i="53"/>
  <c r="EP39" i="53"/>
  <c r="FV39" i="53"/>
  <c r="IC39" i="53"/>
  <c r="GZ39" i="53" l="1"/>
  <c r="EV39" i="53"/>
  <c r="ER39" i="53"/>
  <c r="CZ39" i="53"/>
  <c r="CV39" i="53"/>
  <c r="HB39" i="53"/>
  <c r="GW39" i="53"/>
  <c r="EU39" i="53"/>
  <c r="CY39" i="53"/>
  <c r="HA39" i="53"/>
  <c r="ET39" i="53"/>
  <c r="CX39" i="53"/>
  <c r="GY39" i="53"/>
  <c r="ES39" i="53"/>
  <c r="CW39" i="53"/>
  <c r="GX39" i="53"/>
  <c r="EQ39" i="53"/>
  <c r="EX39" i="53" s="1"/>
  <c r="CU39" i="53"/>
  <c r="HI38" i="53"/>
  <c r="HE38" i="53"/>
  <c r="FE38" i="53"/>
  <c r="FA38" i="53"/>
  <c r="HJ38" i="53"/>
  <c r="FC38" i="53"/>
  <c r="DD38" i="53"/>
  <c r="HH38" i="53"/>
  <c r="FB38" i="53"/>
  <c r="DG38" i="53"/>
  <c r="DC38" i="53"/>
  <c r="HG38" i="53"/>
  <c r="DB38" i="53"/>
  <c r="EZ38" i="53"/>
  <c r="FG38" i="53" s="1"/>
  <c r="DF38" i="53"/>
  <c r="HF38" i="53"/>
  <c r="FD38" i="53"/>
  <c r="DE38" i="53"/>
  <c r="GT36" i="53"/>
  <c r="GP36" i="53"/>
  <c r="EL36" i="53"/>
  <c r="EH36" i="53"/>
  <c r="GO36" i="53"/>
  <c r="EI36" i="53"/>
  <c r="CS36" i="53"/>
  <c r="CO36" i="53"/>
  <c r="GQ36" i="53"/>
  <c r="EJ36" i="53"/>
  <c r="CP36" i="53"/>
  <c r="GS36" i="53"/>
  <c r="CN36" i="53"/>
  <c r="EK36" i="53"/>
  <c r="CQ36" i="53"/>
  <c r="CR36" i="53"/>
  <c r="GR36" i="53"/>
  <c r="EM36" i="53"/>
  <c r="HI33" i="53"/>
  <c r="HE33" i="53"/>
  <c r="FE33" i="53"/>
  <c r="FA33" i="53"/>
  <c r="DE33" i="53"/>
  <c r="HF33" i="53"/>
  <c r="FD33" i="53"/>
  <c r="DC33" i="53"/>
  <c r="HG33" i="53"/>
  <c r="FB33" i="53"/>
  <c r="DD33" i="53"/>
  <c r="EZ33" i="53"/>
  <c r="DB33" i="53"/>
  <c r="HJ33" i="53"/>
  <c r="DG33" i="53"/>
  <c r="HH33" i="53"/>
  <c r="DF33" i="53"/>
  <c r="FC33" i="53"/>
  <c r="GS33" i="53"/>
  <c r="GO33" i="53"/>
  <c r="EK33" i="53"/>
  <c r="CS33" i="53"/>
  <c r="CO33" i="53"/>
  <c r="GP33" i="53"/>
  <c r="EI33" i="53"/>
  <c r="CR33" i="53"/>
  <c r="GR33" i="53"/>
  <c r="EM33" i="53"/>
  <c r="CP33" i="53"/>
  <c r="GQ33" i="53"/>
  <c r="EL33" i="53"/>
  <c r="CN33" i="53"/>
  <c r="EJ33" i="53"/>
  <c r="EH33" i="53"/>
  <c r="EO33" i="53" s="1"/>
  <c r="CQ33" i="53"/>
  <c r="GT33" i="53"/>
  <c r="EX30" i="53"/>
  <c r="HH34" i="53"/>
  <c r="FD34" i="53"/>
  <c r="EZ34" i="53"/>
  <c r="DD34" i="53"/>
  <c r="HI34" i="53"/>
  <c r="HE34" i="53"/>
  <c r="FE34" i="53"/>
  <c r="FA34" i="53"/>
  <c r="DE34" i="53"/>
  <c r="HG34" i="53"/>
  <c r="FC34" i="53"/>
  <c r="DG34" i="53"/>
  <c r="HJ34" i="53"/>
  <c r="DF34" i="53"/>
  <c r="HF34" i="53"/>
  <c r="DC34" i="53"/>
  <c r="DB34" i="53"/>
  <c r="FB34" i="53"/>
  <c r="HQ33" i="53"/>
  <c r="HM33" i="53"/>
  <c r="FM33" i="53"/>
  <c r="FI33" i="53"/>
  <c r="DM33" i="53"/>
  <c r="DI33" i="53"/>
  <c r="HP33" i="53"/>
  <c r="FJ33" i="53"/>
  <c r="DN33" i="53"/>
  <c r="HN33" i="53"/>
  <c r="DK33" i="53"/>
  <c r="FN33" i="53"/>
  <c r="DJ33" i="53"/>
  <c r="HR33" i="53"/>
  <c r="FL33" i="53"/>
  <c r="FK33" i="53"/>
  <c r="DL33" i="53"/>
  <c r="HO33" i="53"/>
  <c r="GC32" i="53"/>
  <c r="FY32" i="53"/>
  <c r="DU32" i="53"/>
  <c r="DQ32" i="53"/>
  <c r="CC32" i="53"/>
  <c r="GB32" i="53"/>
  <c r="DP32" i="53"/>
  <c r="CE32" i="53"/>
  <c r="BZ32" i="53"/>
  <c r="GA32" i="53"/>
  <c r="DT32" i="53"/>
  <c r="CD32" i="53"/>
  <c r="DS32" i="53"/>
  <c r="CB32" i="53"/>
  <c r="FZ32" i="53"/>
  <c r="DR32" i="53"/>
  <c r="CA32" i="53"/>
  <c r="GD32" i="53"/>
  <c r="GK37" i="53"/>
  <c r="GG37" i="53"/>
  <c r="EC37" i="53"/>
  <c r="GH37" i="53"/>
  <c r="EA37" i="53"/>
  <c r="GJ37" i="53"/>
  <c r="ED37" i="53"/>
  <c r="DY37" i="53"/>
  <c r="CK37" i="53"/>
  <c r="CG37" i="53"/>
  <c r="GL37" i="53"/>
  <c r="DZ37" i="53"/>
  <c r="CJ37" i="53"/>
  <c r="EB37" i="53"/>
  <c r="CL37" i="53"/>
  <c r="CI37" i="53"/>
  <c r="CH37" i="53"/>
  <c r="GI37" i="53"/>
  <c r="GS37" i="53"/>
  <c r="GO37" i="53"/>
  <c r="EK37" i="53"/>
  <c r="GR37" i="53"/>
  <c r="EL37" i="53"/>
  <c r="GP37" i="53"/>
  <c r="EI37" i="53"/>
  <c r="CS37" i="53"/>
  <c r="CO37" i="53"/>
  <c r="EJ37" i="53"/>
  <c r="CP37" i="53"/>
  <c r="EM37" i="53"/>
  <c r="CQ37" i="53"/>
  <c r="GT37" i="53"/>
  <c r="EH37" i="53"/>
  <c r="CR37" i="53"/>
  <c r="CN37" i="53"/>
  <c r="GQ37" i="53"/>
  <c r="HG20" i="53"/>
  <c r="FC20" i="53"/>
  <c r="DG20" i="53"/>
  <c r="DC20" i="53"/>
  <c r="HF20" i="53"/>
  <c r="FE20" i="53"/>
  <c r="EZ20" i="53"/>
  <c r="DD20" i="53"/>
  <c r="HJ20" i="53"/>
  <c r="HE20" i="53"/>
  <c r="FD20" i="53"/>
  <c r="DB20" i="53"/>
  <c r="HI20" i="53"/>
  <c r="FB20" i="53"/>
  <c r="DE20" i="53"/>
  <c r="FA20" i="53"/>
  <c r="DF20" i="53"/>
  <c r="HH20" i="53"/>
  <c r="HG16" i="53"/>
  <c r="FC16" i="53"/>
  <c r="DG16" i="53"/>
  <c r="DC16" i="53"/>
  <c r="HH16" i="53"/>
  <c r="FA16" i="53"/>
  <c r="DE16" i="53"/>
  <c r="HE16" i="53"/>
  <c r="FB16" i="53"/>
  <c r="DF16" i="53"/>
  <c r="HJ16" i="53"/>
  <c r="EZ16" i="53"/>
  <c r="DD16" i="53"/>
  <c r="HF16" i="53"/>
  <c r="FD16" i="53"/>
  <c r="HI16" i="53"/>
  <c r="FE16" i="53"/>
  <c r="DB16" i="53"/>
  <c r="HQ28" i="53"/>
  <c r="HM28" i="53"/>
  <c r="FM28" i="53"/>
  <c r="FI28" i="53"/>
  <c r="DM28" i="53"/>
  <c r="DI28" i="53"/>
  <c r="HR28" i="53"/>
  <c r="FK28" i="53"/>
  <c r="DJ28" i="53"/>
  <c r="HN28" i="53"/>
  <c r="FL28" i="53"/>
  <c r="DK28" i="53"/>
  <c r="HP28" i="53"/>
  <c r="DN28" i="53"/>
  <c r="FJ28" i="53"/>
  <c r="DL28" i="53"/>
  <c r="FN28" i="53"/>
  <c r="HO28" i="53"/>
  <c r="FY27" i="53"/>
  <c r="HA22" i="53"/>
  <c r="GW22" i="53"/>
  <c r="ES22" i="53"/>
  <c r="CW22" i="53"/>
  <c r="HB22" i="53"/>
  <c r="GX22" i="53"/>
  <c r="ET22" i="53"/>
  <c r="CX22" i="53"/>
  <c r="GZ22" i="53"/>
  <c r="EV22" i="53"/>
  <c r="CZ22" i="53"/>
  <c r="GY22" i="53"/>
  <c r="EU22" i="53"/>
  <c r="CY22" i="53"/>
  <c r="EQ22" i="53"/>
  <c r="CU22" i="53"/>
  <c r="CV22" i="53"/>
  <c r="ER22" i="53"/>
  <c r="GA7" i="53"/>
  <c r="DS7" i="53"/>
  <c r="CE7" i="53"/>
  <c r="CA7" i="53"/>
  <c r="FZ7" i="53"/>
  <c r="DR7" i="53"/>
  <c r="GD7" i="53"/>
  <c r="GC7" i="53"/>
  <c r="DU7" i="53"/>
  <c r="BZ7" i="53"/>
  <c r="DT7" i="53"/>
  <c r="CD7" i="53"/>
  <c r="FY7" i="53"/>
  <c r="CC7" i="53"/>
  <c r="GB7" i="53"/>
  <c r="DQ7" i="53"/>
  <c r="DP7" i="53"/>
  <c r="CB7" i="53"/>
  <c r="GA3" i="53"/>
  <c r="DS3" i="53"/>
  <c r="CE3" i="53"/>
  <c r="CA3" i="53"/>
  <c r="GD3" i="53"/>
  <c r="FY3" i="53"/>
  <c r="DR3" i="53"/>
  <c r="CB3" i="53"/>
  <c r="DQ3" i="53"/>
  <c r="DU3" i="53"/>
  <c r="CD3" i="53"/>
  <c r="GC3" i="53"/>
  <c r="BZ3" i="53"/>
  <c r="GB3" i="53"/>
  <c r="FZ3" i="53"/>
  <c r="DT3" i="53"/>
  <c r="CC3" i="53"/>
  <c r="DP3" i="53"/>
  <c r="EF18" i="53"/>
  <c r="HI14" i="53"/>
  <c r="HE14" i="53"/>
  <c r="FE14" i="53"/>
  <c r="FA14" i="53"/>
  <c r="DE14" i="53"/>
  <c r="HG14" i="53"/>
  <c r="EZ14" i="53"/>
  <c r="DD14" i="53"/>
  <c r="HJ14" i="53"/>
  <c r="FD14" i="53"/>
  <c r="DG14" i="53"/>
  <c r="HH14" i="53"/>
  <c r="FC14" i="53"/>
  <c r="DF14" i="53"/>
  <c r="DB14" i="53"/>
  <c r="HF14" i="53"/>
  <c r="FB14" i="53"/>
  <c r="DC14" i="53"/>
  <c r="GB12" i="53"/>
  <c r="DT12" i="53"/>
  <c r="DP12" i="53"/>
  <c r="CB12" i="53"/>
  <c r="GC12" i="53"/>
  <c r="DQ12" i="53"/>
  <c r="CE12" i="53"/>
  <c r="BZ12" i="53"/>
  <c r="GA12" i="53"/>
  <c r="DU12" i="53"/>
  <c r="CD12" i="53"/>
  <c r="GD12" i="53"/>
  <c r="FY12" i="53"/>
  <c r="DR12" i="53"/>
  <c r="CA12" i="53"/>
  <c r="FZ12" i="53"/>
  <c r="DS12" i="53"/>
  <c r="CC12" i="53"/>
  <c r="DY4" i="53"/>
  <c r="HQ38" i="53"/>
  <c r="HM38" i="53"/>
  <c r="FM38" i="53"/>
  <c r="FI38" i="53"/>
  <c r="HO38" i="53"/>
  <c r="FN38" i="53"/>
  <c r="DL38" i="53"/>
  <c r="HN38" i="53"/>
  <c r="FL38" i="53"/>
  <c r="DK38" i="53"/>
  <c r="HR38" i="53"/>
  <c r="DJ38" i="53"/>
  <c r="FK38" i="53"/>
  <c r="DN38" i="53"/>
  <c r="DM38" i="53"/>
  <c r="FJ38" i="53"/>
  <c r="DI38" i="53"/>
  <c r="HP38" i="53"/>
  <c r="HB35" i="53"/>
  <c r="GX35" i="53"/>
  <c r="GY35" i="53"/>
  <c r="EU35" i="53"/>
  <c r="EQ35" i="53"/>
  <c r="CY35" i="53"/>
  <c r="CU35" i="53"/>
  <c r="GZ35" i="53"/>
  <c r="ER35" i="53"/>
  <c r="CV35" i="53"/>
  <c r="HA35" i="53"/>
  <c r="ES35" i="53"/>
  <c r="CW35" i="53"/>
  <c r="CZ35" i="53"/>
  <c r="ET35" i="53"/>
  <c r="EV35" i="53"/>
  <c r="CX35" i="53"/>
  <c r="GW35" i="53"/>
  <c r="FP35" i="53"/>
  <c r="GH32" i="53"/>
  <c r="FG32" i="53"/>
  <c r="GC37" i="53"/>
  <c r="FY37" i="53"/>
  <c r="GB37" i="53"/>
  <c r="DS37" i="53"/>
  <c r="FZ37" i="53"/>
  <c r="DU37" i="53"/>
  <c r="DQ37" i="53"/>
  <c r="CC37" i="53"/>
  <c r="GA37" i="53"/>
  <c r="DR37" i="53"/>
  <c r="CE37" i="53"/>
  <c r="BZ37" i="53"/>
  <c r="GD37" i="53"/>
  <c r="DT37" i="53"/>
  <c r="CA37" i="53"/>
  <c r="DP37" i="53"/>
  <c r="CB37" i="53"/>
  <c r="CD37" i="53"/>
  <c r="GR39" i="53"/>
  <c r="EJ39" i="53"/>
  <c r="CR39" i="53"/>
  <c r="CN39" i="53"/>
  <c r="GQ39" i="53"/>
  <c r="EK39" i="53"/>
  <c r="CO39" i="53"/>
  <c r="GP39" i="53"/>
  <c r="EI39" i="53"/>
  <c r="CS39" i="53"/>
  <c r="GT39" i="53"/>
  <c r="GO39" i="53"/>
  <c r="EM39" i="53"/>
  <c r="EH39" i="53"/>
  <c r="CQ39" i="53"/>
  <c r="GS39" i="53"/>
  <c r="EL39" i="53"/>
  <c r="CP39" i="53"/>
  <c r="CG35" i="53"/>
  <c r="GB34" i="53"/>
  <c r="DT34" i="53"/>
  <c r="DP34" i="53"/>
  <c r="CB34" i="53"/>
  <c r="GC34" i="53"/>
  <c r="FY34" i="53"/>
  <c r="DU34" i="53"/>
  <c r="DQ34" i="53"/>
  <c r="CC34" i="53"/>
  <c r="GA34" i="53"/>
  <c r="CA34" i="53"/>
  <c r="DS34" i="53"/>
  <c r="CD34" i="53"/>
  <c r="GD34" i="53"/>
  <c r="DR34" i="53"/>
  <c r="BZ34" i="53"/>
  <c r="FZ34" i="53"/>
  <c r="CE34" i="53"/>
  <c r="GJ34" i="53"/>
  <c r="EB34" i="53"/>
  <c r="CJ34" i="53"/>
  <c r="GK34" i="53"/>
  <c r="GG34" i="53"/>
  <c r="EC34" i="53"/>
  <c r="DY34" i="53"/>
  <c r="EF34" i="53" s="1"/>
  <c r="CK34" i="53"/>
  <c r="CG34" i="53"/>
  <c r="GI34" i="53"/>
  <c r="CI34" i="53"/>
  <c r="ED34" i="53"/>
  <c r="EA34" i="53"/>
  <c r="CL34" i="53"/>
  <c r="GL34" i="53"/>
  <c r="DZ34" i="53"/>
  <c r="CH34" i="53"/>
  <c r="GH34" i="53"/>
  <c r="GC33" i="53"/>
  <c r="FY33" i="53"/>
  <c r="DU33" i="53"/>
  <c r="DQ33" i="53"/>
  <c r="CC33" i="53"/>
  <c r="FZ33" i="53"/>
  <c r="DS33" i="53"/>
  <c r="CB33" i="53"/>
  <c r="GD33" i="53"/>
  <c r="DR33" i="53"/>
  <c r="CA33" i="53"/>
  <c r="GB33" i="53"/>
  <c r="DP33" i="53"/>
  <c r="DW33" i="53" s="1"/>
  <c r="BZ33" i="53"/>
  <c r="GA33" i="53"/>
  <c r="CE33" i="53"/>
  <c r="CD33" i="53"/>
  <c r="DT33" i="53"/>
  <c r="DZ31" i="53"/>
  <c r="EF31" i="53" s="1"/>
  <c r="FP31" i="53"/>
  <c r="EF30" i="53"/>
  <c r="HI37" i="53"/>
  <c r="HE37" i="53"/>
  <c r="FE37" i="53"/>
  <c r="FA37" i="53"/>
  <c r="HH37" i="53"/>
  <c r="FB37" i="53"/>
  <c r="HF37" i="53"/>
  <c r="FD37" i="53"/>
  <c r="DE37" i="53"/>
  <c r="HG37" i="53"/>
  <c r="DF37" i="53"/>
  <c r="HJ37" i="53"/>
  <c r="DG37" i="53"/>
  <c r="DB37" i="53"/>
  <c r="FC37" i="53"/>
  <c r="DD37" i="53"/>
  <c r="DC37" i="53"/>
  <c r="EZ37" i="53"/>
  <c r="HA37" i="53"/>
  <c r="GW37" i="53"/>
  <c r="ES37" i="53"/>
  <c r="GX37" i="53"/>
  <c r="EV37" i="53"/>
  <c r="EQ37" i="53"/>
  <c r="GZ37" i="53"/>
  <c r="ET37" i="53"/>
  <c r="CW37" i="53"/>
  <c r="EU37" i="53"/>
  <c r="CZ37" i="53"/>
  <c r="CU37" i="53"/>
  <c r="GY37" i="53"/>
  <c r="CV37" i="53"/>
  <c r="HB37" i="53"/>
  <c r="CX37" i="53"/>
  <c r="CY37" i="53"/>
  <c r="ER37" i="53"/>
  <c r="EX33" i="53"/>
  <c r="GS27" i="53"/>
  <c r="GO27" i="53"/>
  <c r="EK27" i="53"/>
  <c r="CS27" i="53"/>
  <c r="CO27" i="53"/>
  <c r="GT27" i="53"/>
  <c r="GP27" i="53"/>
  <c r="EL27" i="53"/>
  <c r="EH27" i="53"/>
  <c r="CP27" i="53"/>
  <c r="EI27" i="53"/>
  <c r="GR27" i="53"/>
  <c r="CR27" i="53"/>
  <c r="EJ27" i="53"/>
  <c r="CN27" i="53"/>
  <c r="GQ27" i="53"/>
  <c r="EM27" i="53"/>
  <c r="CQ27" i="53"/>
  <c r="HG24" i="53"/>
  <c r="FC24" i="53"/>
  <c r="DG24" i="53"/>
  <c r="DC24" i="53"/>
  <c r="HH24" i="53"/>
  <c r="FD24" i="53"/>
  <c r="EZ24" i="53"/>
  <c r="DD24" i="53"/>
  <c r="HE24" i="53"/>
  <c r="FE24" i="53"/>
  <c r="DB24" i="53"/>
  <c r="HJ24" i="53"/>
  <c r="FB24" i="53"/>
  <c r="HF24" i="53"/>
  <c r="DE24" i="53"/>
  <c r="DF24" i="53"/>
  <c r="HI24" i="53"/>
  <c r="FA24" i="53"/>
  <c r="DW31" i="53"/>
  <c r="FG28" i="53"/>
  <c r="EF26" i="53"/>
  <c r="GA25" i="53"/>
  <c r="GC25" i="53"/>
  <c r="DR25" i="53"/>
  <c r="CD25" i="53"/>
  <c r="BZ25" i="53"/>
  <c r="GB25" i="53"/>
  <c r="DU25" i="53"/>
  <c r="DQ25" i="53"/>
  <c r="CC25" i="53"/>
  <c r="GD25" i="53"/>
  <c r="FY25" i="53"/>
  <c r="DS25" i="53"/>
  <c r="CE25" i="53"/>
  <c r="CA25" i="53"/>
  <c r="DP25" i="53"/>
  <c r="DW25" i="53" s="1"/>
  <c r="FZ25" i="53"/>
  <c r="DT25" i="53"/>
  <c r="CB25" i="53"/>
  <c r="EF25" i="53"/>
  <c r="EX20" i="53"/>
  <c r="GK22" i="53"/>
  <c r="GG22" i="53"/>
  <c r="EC22" i="53"/>
  <c r="DY22" i="53"/>
  <c r="CK22" i="53"/>
  <c r="CG22" i="53"/>
  <c r="GL22" i="53"/>
  <c r="GH22" i="53"/>
  <c r="ED22" i="53"/>
  <c r="DZ22" i="53"/>
  <c r="CL22" i="53"/>
  <c r="CH22" i="53"/>
  <c r="GJ22" i="53"/>
  <c r="CJ22" i="53"/>
  <c r="GI22" i="53"/>
  <c r="CI22" i="53"/>
  <c r="EA22" i="53"/>
  <c r="EB22" i="53"/>
  <c r="GB39" i="53"/>
  <c r="DT39" i="53"/>
  <c r="DP39" i="53"/>
  <c r="CB39" i="53"/>
  <c r="GA39" i="53"/>
  <c r="DU39" i="53"/>
  <c r="CD39" i="53"/>
  <c r="FZ39" i="53"/>
  <c r="DS39" i="53"/>
  <c r="CC39" i="53"/>
  <c r="GD39" i="53"/>
  <c r="FY39" i="53"/>
  <c r="DR39" i="53"/>
  <c r="CA39" i="53"/>
  <c r="GC39" i="53"/>
  <c r="DQ39" i="53"/>
  <c r="CE39" i="53"/>
  <c r="BZ39" i="53"/>
  <c r="HH39" i="53"/>
  <c r="FD39" i="53"/>
  <c r="EZ39" i="53"/>
  <c r="FG39" i="53" s="1"/>
  <c r="DD39" i="53"/>
  <c r="HG39" i="53"/>
  <c r="FA39" i="53"/>
  <c r="DE39" i="53"/>
  <c r="HF39" i="53"/>
  <c r="FE39" i="53"/>
  <c r="DC39" i="53"/>
  <c r="HJ39" i="53"/>
  <c r="HE39" i="53"/>
  <c r="FC39" i="53"/>
  <c r="DG39" i="53"/>
  <c r="DB39" i="53"/>
  <c r="HI39" i="53"/>
  <c r="FB39" i="53"/>
  <c r="DF39" i="53"/>
  <c r="GJ39" i="53"/>
  <c r="EB39" i="53"/>
  <c r="CJ39" i="53"/>
  <c r="GL39" i="53"/>
  <c r="GG39" i="53"/>
  <c r="DZ39" i="53"/>
  <c r="CI39" i="53"/>
  <c r="GK39" i="53"/>
  <c r="ED39" i="53"/>
  <c r="DY39" i="53"/>
  <c r="CH39" i="53"/>
  <c r="GI39" i="53"/>
  <c r="EC39" i="53"/>
  <c r="CL39" i="53"/>
  <c r="CG39" i="53"/>
  <c r="GH39" i="53"/>
  <c r="EA39" i="53"/>
  <c r="CK39" i="53"/>
  <c r="EX38" i="53"/>
  <c r="GQ35" i="53"/>
  <c r="EM35" i="53"/>
  <c r="EI35" i="53"/>
  <c r="CQ35" i="53"/>
  <c r="GS35" i="53"/>
  <c r="EL35" i="53"/>
  <c r="CP35" i="53"/>
  <c r="GT35" i="53"/>
  <c r="GO35" i="53"/>
  <c r="EH35" i="53"/>
  <c r="CR35" i="53"/>
  <c r="GR35" i="53"/>
  <c r="CO35" i="53"/>
  <c r="EJ35" i="53"/>
  <c r="CS35" i="53"/>
  <c r="CN35" i="53"/>
  <c r="GP35" i="53"/>
  <c r="EK35" i="53"/>
  <c r="GA35" i="53"/>
  <c r="DS35" i="53"/>
  <c r="CE35" i="53"/>
  <c r="CA35" i="53"/>
  <c r="GC35" i="53"/>
  <c r="DQ35" i="53"/>
  <c r="BZ35" i="53"/>
  <c r="GD35" i="53"/>
  <c r="FY35" i="53"/>
  <c r="DR35" i="53"/>
  <c r="CB35" i="53"/>
  <c r="DU35" i="53"/>
  <c r="CD35" i="53"/>
  <c r="FZ35" i="53"/>
  <c r="GB35" i="53"/>
  <c r="DT35" i="53"/>
  <c r="CC35" i="53"/>
  <c r="DP35" i="53"/>
  <c r="DW35" i="53" s="1"/>
  <c r="DY35" i="53"/>
  <c r="DZ35" i="53"/>
  <c r="GA30" i="53"/>
  <c r="DS30" i="53"/>
  <c r="CE30" i="53"/>
  <c r="CA30" i="53"/>
  <c r="GD30" i="53"/>
  <c r="FY30" i="53"/>
  <c r="DR30" i="53"/>
  <c r="CB30" i="53"/>
  <c r="FZ30" i="53"/>
  <c r="DP30" i="53"/>
  <c r="BZ30" i="53"/>
  <c r="DU30" i="53"/>
  <c r="GB30" i="53"/>
  <c r="DQ30" i="53"/>
  <c r="CC30" i="53"/>
  <c r="CD30" i="53"/>
  <c r="GC30" i="53"/>
  <c r="DT30" i="53"/>
  <c r="GR34" i="53"/>
  <c r="EJ34" i="53"/>
  <c r="CR34" i="53"/>
  <c r="CN34" i="53"/>
  <c r="GS34" i="53"/>
  <c r="GO34" i="53"/>
  <c r="EK34" i="53"/>
  <c r="CS34" i="53"/>
  <c r="CO34" i="53"/>
  <c r="GQ34" i="53"/>
  <c r="EM34" i="53"/>
  <c r="CQ34" i="53"/>
  <c r="GP34" i="53"/>
  <c r="EL34" i="53"/>
  <c r="EI34" i="53"/>
  <c r="EH34" i="53"/>
  <c r="CP34" i="53"/>
  <c r="GT34" i="53"/>
  <c r="HP34" i="53"/>
  <c r="FL34" i="53"/>
  <c r="DL34" i="53"/>
  <c r="HQ34" i="53"/>
  <c r="HM34" i="53"/>
  <c r="FM34" i="53"/>
  <c r="FI34" i="53"/>
  <c r="DM34" i="53"/>
  <c r="DI34" i="53"/>
  <c r="HO34" i="53"/>
  <c r="FK34" i="53"/>
  <c r="FJ34" i="53"/>
  <c r="DJ34" i="53"/>
  <c r="HR34" i="53"/>
  <c r="DN34" i="53"/>
  <c r="HN34" i="53"/>
  <c r="FN34" i="53"/>
  <c r="DK34" i="53"/>
  <c r="EF33" i="53"/>
  <c r="GL36" i="53"/>
  <c r="GH36" i="53"/>
  <c r="ED36" i="53"/>
  <c r="DZ36" i="53"/>
  <c r="GJ36" i="53"/>
  <c r="EC36" i="53"/>
  <c r="CK36" i="53"/>
  <c r="CG36" i="53"/>
  <c r="GK36" i="53"/>
  <c r="DY36" i="53"/>
  <c r="CL36" i="53"/>
  <c r="CH36" i="53"/>
  <c r="GI36" i="53"/>
  <c r="EA36" i="53"/>
  <c r="CI36" i="53"/>
  <c r="GG36" i="53"/>
  <c r="EB36" i="53"/>
  <c r="CJ36" i="53"/>
  <c r="GD36" i="53"/>
  <c r="FZ36" i="53"/>
  <c r="DR36" i="53"/>
  <c r="FY36" i="53"/>
  <c r="DS36" i="53"/>
  <c r="CC36" i="53"/>
  <c r="GA36" i="53"/>
  <c r="DT36" i="53"/>
  <c r="CD36" i="53"/>
  <c r="BZ36" i="53"/>
  <c r="GB36" i="53"/>
  <c r="DP36" i="53"/>
  <c r="CA36" i="53"/>
  <c r="DU36" i="53"/>
  <c r="CB36" i="53"/>
  <c r="CE36" i="53"/>
  <c r="GC36" i="53"/>
  <c r="DQ36" i="53"/>
  <c r="HB36" i="53"/>
  <c r="GX36" i="53"/>
  <c r="ET36" i="53"/>
  <c r="GZ36" i="53"/>
  <c r="ES36" i="53"/>
  <c r="CW36" i="53"/>
  <c r="HA36" i="53"/>
  <c r="EU36" i="53"/>
  <c r="CX36" i="53"/>
  <c r="ER36" i="53"/>
  <c r="CV36" i="53"/>
  <c r="GW36" i="53"/>
  <c r="EV36" i="53"/>
  <c r="CY36" i="53"/>
  <c r="EQ36" i="53"/>
  <c r="CZ36" i="53"/>
  <c r="CU36" i="53"/>
  <c r="GY36" i="53"/>
  <c r="HQ32" i="53"/>
  <c r="HM32" i="53"/>
  <c r="FM32" i="53"/>
  <c r="FI32" i="53"/>
  <c r="DM32" i="53"/>
  <c r="DI32" i="53"/>
  <c r="HO32" i="53"/>
  <c r="HN32" i="53"/>
  <c r="FL32" i="53"/>
  <c r="DK32" i="53"/>
  <c r="HR32" i="53"/>
  <c r="FK32" i="53"/>
  <c r="DJ32" i="53"/>
  <c r="FN32" i="53"/>
  <c r="DL32" i="53"/>
  <c r="HP32" i="53"/>
  <c r="FJ32" i="53"/>
  <c r="DN32" i="53"/>
  <c r="GS32" i="53"/>
  <c r="GO32" i="53"/>
  <c r="EK32" i="53"/>
  <c r="CS32" i="53"/>
  <c r="CO32" i="53"/>
  <c r="GR32" i="53"/>
  <c r="EL32" i="53"/>
  <c r="CP32" i="53"/>
  <c r="GQ32" i="53"/>
  <c r="EJ32" i="53"/>
  <c r="CN32" i="53"/>
  <c r="GT32" i="53"/>
  <c r="EH32" i="53"/>
  <c r="EO32" i="53" s="1"/>
  <c r="CQ32" i="53"/>
  <c r="GP32" i="53"/>
  <c r="EI32" i="53"/>
  <c r="CR32" i="53"/>
  <c r="EM32" i="53"/>
  <c r="EX32" i="53"/>
  <c r="GA29" i="53"/>
  <c r="FZ29" i="53"/>
  <c r="HQ37" i="53"/>
  <c r="HM37" i="53"/>
  <c r="FM37" i="53"/>
  <c r="FI37" i="53"/>
  <c r="HP37" i="53"/>
  <c r="HO37" i="53"/>
  <c r="FL37" i="53"/>
  <c r="FJ37" i="53"/>
  <c r="DM37" i="53"/>
  <c r="DI37" i="53"/>
  <c r="DK37" i="53"/>
  <c r="DL37" i="53"/>
  <c r="HR37" i="53"/>
  <c r="FK37" i="53"/>
  <c r="FN37" i="53"/>
  <c r="HN37" i="53"/>
  <c r="DN37" i="53"/>
  <c r="DJ37" i="53"/>
  <c r="HA27" i="53"/>
  <c r="GW27" i="53"/>
  <c r="ES27" i="53"/>
  <c r="CW27" i="53"/>
  <c r="HB27" i="53"/>
  <c r="GX27" i="53"/>
  <c r="ET27" i="53"/>
  <c r="CX27" i="53"/>
  <c r="EQ27" i="53"/>
  <c r="CU27" i="53"/>
  <c r="GZ27" i="53"/>
  <c r="EV27" i="53"/>
  <c r="CZ27" i="53"/>
  <c r="ER27" i="53"/>
  <c r="CV27" i="53"/>
  <c r="CY27" i="53"/>
  <c r="GY27" i="53"/>
  <c r="EU27" i="53"/>
  <c r="GT26" i="53"/>
  <c r="GP26" i="53"/>
  <c r="EL26" i="53"/>
  <c r="EH26" i="53"/>
  <c r="CP26" i="53"/>
  <c r="GS26" i="53"/>
  <c r="EM26" i="53"/>
  <c r="CQ26" i="53"/>
  <c r="GR26" i="53"/>
  <c r="EK26" i="53"/>
  <c r="CO26" i="53"/>
  <c r="GO26" i="53"/>
  <c r="EI26" i="53"/>
  <c r="CR26" i="53"/>
  <c r="GQ26" i="53"/>
  <c r="EJ26" i="53"/>
  <c r="CS26" i="53"/>
  <c r="CN26" i="53"/>
  <c r="GY25" i="53"/>
  <c r="GX25" i="53"/>
  <c r="ET25" i="53"/>
  <c r="CX25" i="53"/>
  <c r="HB25" i="53"/>
  <c r="GW25" i="53"/>
  <c r="ES25" i="53"/>
  <c r="CW25" i="53"/>
  <c r="GZ25" i="53"/>
  <c r="EU25" i="53"/>
  <c r="EQ25" i="53"/>
  <c r="CY25" i="53"/>
  <c r="CU25" i="53"/>
  <c r="CZ25" i="53"/>
  <c r="HA25" i="53"/>
  <c r="CV25" i="53"/>
  <c r="ER25" i="53"/>
  <c r="EV25" i="53"/>
  <c r="GA24" i="53"/>
  <c r="DS24" i="53"/>
  <c r="CE24" i="53"/>
  <c r="CA24" i="53"/>
  <c r="GB24" i="53"/>
  <c r="DT24" i="53"/>
  <c r="DP24" i="53"/>
  <c r="CB24" i="53"/>
  <c r="FY24" i="53"/>
  <c r="DQ24" i="53"/>
  <c r="CD24" i="53"/>
  <c r="GD24" i="53"/>
  <c r="CC24" i="53"/>
  <c r="FZ24" i="53"/>
  <c r="DR24" i="53"/>
  <c r="GC24" i="53"/>
  <c r="DU24" i="53"/>
  <c r="BZ24" i="53"/>
  <c r="EF27" i="53"/>
  <c r="CH26" i="53"/>
  <c r="GK28" i="53"/>
  <c r="GG28" i="53"/>
  <c r="EC28" i="53"/>
  <c r="DY28" i="53"/>
  <c r="CK28" i="53"/>
  <c r="CG28" i="53"/>
  <c r="GL28" i="53"/>
  <c r="DZ28" i="53"/>
  <c r="CI28" i="53"/>
  <c r="GH28" i="53"/>
  <c r="EA28" i="53"/>
  <c r="CJ28" i="53"/>
  <c r="EB28" i="53"/>
  <c r="CL28" i="53"/>
  <c r="GJ28" i="53"/>
  <c r="CH28" i="53"/>
  <c r="ED28" i="53"/>
  <c r="GI28" i="53"/>
  <c r="GC28" i="53"/>
  <c r="FY28" i="53"/>
  <c r="DU28" i="53"/>
  <c r="DQ28" i="53"/>
  <c r="CC28" i="53"/>
  <c r="GA28" i="53"/>
  <c r="DT28" i="53"/>
  <c r="CD28" i="53"/>
  <c r="GB28" i="53"/>
  <c r="DP28" i="53"/>
  <c r="CE28" i="53"/>
  <c r="BZ28" i="53"/>
  <c r="GD28" i="53"/>
  <c r="DR28" i="53"/>
  <c r="CA28" i="53"/>
  <c r="FZ28" i="53"/>
  <c r="DS28" i="53"/>
  <c r="CB28" i="53"/>
  <c r="GS28" i="53"/>
  <c r="GO28" i="53"/>
  <c r="EK28" i="53"/>
  <c r="CS28" i="53"/>
  <c r="CO28" i="53"/>
  <c r="GQ28" i="53"/>
  <c r="EJ28" i="53"/>
  <c r="CN28" i="53"/>
  <c r="GR28" i="53"/>
  <c r="EL28" i="53"/>
  <c r="CP28" i="53"/>
  <c r="EM28" i="53"/>
  <c r="EI28" i="53"/>
  <c r="CR28" i="53"/>
  <c r="GP28" i="53"/>
  <c r="GT28" i="53"/>
  <c r="EH28" i="53"/>
  <c r="CQ28" i="53"/>
  <c r="FP27" i="53"/>
  <c r="HB26" i="53"/>
  <c r="GX26" i="53"/>
  <c r="ET26" i="53"/>
  <c r="CX26" i="53"/>
  <c r="GY26" i="53"/>
  <c r="ER26" i="53"/>
  <c r="CV26" i="53"/>
  <c r="GW26" i="53"/>
  <c r="EV26" i="53"/>
  <c r="EQ26" i="53"/>
  <c r="CZ26" i="53"/>
  <c r="CU26" i="53"/>
  <c r="GZ26" i="53"/>
  <c r="ES26" i="53"/>
  <c r="CW26" i="53"/>
  <c r="CY26" i="53"/>
  <c r="HA26" i="53"/>
  <c r="EU26" i="53"/>
  <c r="HJ21" i="53"/>
  <c r="HF21" i="53"/>
  <c r="FB21" i="53"/>
  <c r="DF21" i="53"/>
  <c r="DB21" i="53"/>
  <c r="HG21" i="53"/>
  <c r="FC21" i="53"/>
  <c r="DG21" i="53"/>
  <c r="DC21" i="53"/>
  <c r="HI21" i="53"/>
  <c r="FE21" i="53"/>
  <c r="HH21" i="53"/>
  <c r="FD21" i="53"/>
  <c r="EZ21" i="53"/>
  <c r="DD21" i="53"/>
  <c r="DE21" i="53"/>
  <c r="HE21" i="53"/>
  <c r="FA21" i="53"/>
  <c r="CB27" i="53"/>
  <c r="FZ27" i="53"/>
  <c r="EX28" i="53"/>
  <c r="DW26" i="53"/>
  <c r="GZ23" i="53"/>
  <c r="EV23" i="53"/>
  <c r="ER23" i="53"/>
  <c r="CZ23" i="53"/>
  <c r="CV23" i="53"/>
  <c r="HA23" i="53"/>
  <c r="GW23" i="53"/>
  <c r="ES23" i="53"/>
  <c r="CW23" i="53"/>
  <c r="GY23" i="53"/>
  <c r="EU23" i="53"/>
  <c r="CY23" i="53"/>
  <c r="GX23" i="53"/>
  <c r="ET23" i="53"/>
  <c r="CX23" i="53"/>
  <c r="HB23" i="53"/>
  <c r="EQ23" i="53"/>
  <c r="EX23" i="53" s="1"/>
  <c r="CU23" i="53"/>
  <c r="GB23" i="53"/>
  <c r="DT23" i="53"/>
  <c r="DP23" i="53"/>
  <c r="CB23" i="53"/>
  <c r="GC23" i="53"/>
  <c r="FY23" i="53"/>
  <c r="DU23" i="53"/>
  <c r="DQ23" i="53"/>
  <c r="CC23" i="53"/>
  <c r="GA23" i="53"/>
  <c r="CA23" i="53"/>
  <c r="FZ23" i="53"/>
  <c r="BZ23" i="53"/>
  <c r="GD23" i="53"/>
  <c r="DR23" i="53"/>
  <c r="CD23" i="53"/>
  <c r="DS23" i="53"/>
  <c r="CE23" i="53"/>
  <c r="GJ23" i="53"/>
  <c r="EB23" i="53"/>
  <c r="CJ23" i="53"/>
  <c r="GK23" i="53"/>
  <c r="GG23" i="53"/>
  <c r="EC23" i="53"/>
  <c r="DY23" i="53"/>
  <c r="CK23" i="53"/>
  <c r="CG23" i="53"/>
  <c r="GI23" i="53"/>
  <c r="CI23" i="53"/>
  <c r="GH23" i="53"/>
  <c r="ED23" i="53"/>
  <c r="CH23" i="53"/>
  <c r="GL23" i="53"/>
  <c r="DZ23" i="53"/>
  <c r="CL23" i="53"/>
  <c r="EA23" i="53"/>
  <c r="GS22" i="53"/>
  <c r="GO22" i="53"/>
  <c r="EK22" i="53"/>
  <c r="CS22" i="53"/>
  <c r="CO22" i="53"/>
  <c r="GT22" i="53"/>
  <c r="GP22" i="53"/>
  <c r="EL22" i="53"/>
  <c r="EH22" i="53"/>
  <c r="CP22" i="53"/>
  <c r="GR22" i="53"/>
  <c r="CR22" i="53"/>
  <c r="GQ22" i="53"/>
  <c r="EM22" i="53"/>
  <c r="CQ22" i="53"/>
  <c r="EI22" i="53"/>
  <c r="EJ22" i="53"/>
  <c r="CN22" i="53"/>
  <c r="GR19" i="53"/>
  <c r="EJ19" i="53"/>
  <c r="CR19" i="53"/>
  <c r="CN19" i="53"/>
  <c r="GQ19" i="53"/>
  <c r="EK19" i="53"/>
  <c r="CO19" i="53"/>
  <c r="GP19" i="53"/>
  <c r="EI19" i="53"/>
  <c r="CS19" i="53"/>
  <c r="GS19" i="53"/>
  <c r="CP19" i="53"/>
  <c r="GO19" i="53"/>
  <c r="EM19" i="53"/>
  <c r="GT19" i="53"/>
  <c r="EH19" i="53"/>
  <c r="CQ19" i="53"/>
  <c r="EL19" i="53"/>
  <c r="HP19" i="53"/>
  <c r="FL19" i="53"/>
  <c r="DL19" i="53"/>
  <c r="HR19" i="53"/>
  <c r="HM19" i="53"/>
  <c r="FK19" i="53"/>
  <c r="DJ19" i="53"/>
  <c r="HQ19" i="53"/>
  <c r="FJ19" i="53"/>
  <c r="DN19" i="53"/>
  <c r="DI19" i="53"/>
  <c r="HN19" i="53"/>
  <c r="FM19" i="53"/>
  <c r="DK19" i="53"/>
  <c r="FI19" i="53"/>
  <c r="FP19" i="53" s="1"/>
  <c r="HO19" i="53"/>
  <c r="FN19" i="53"/>
  <c r="DM19" i="53"/>
  <c r="HQ11" i="53"/>
  <c r="HM11" i="53"/>
  <c r="FM11" i="53"/>
  <c r="FI11" i="53"/>
  <c r="DM11" i="53"/>
  <c r="DI11" i="53"/>
  <c r="HR11" i="53"/>
  <c r="FK11" i="53"/>
  <c r="DJ11" i="53"/>
  <c r="HP11" i="53"/>
  <c r="FJ11" i="53"/>
  <c r="DN11" i="53"/>
  <c r="DL11" i="53"/>
  <c r="HO11" i="53"/>
  <c r="FN11" i="53"/>
  <c r="DK11" i="53"/>
  <c r="HN11" i="53"/>
  <c r="FL11" i="53"/>
  <c r="GS11" i="53"/>
  <c r="GO11" i="53"/>
  <c r="EK11" i="53"/>
  <c r="CS11" i="53"/>
  <c r="CO11" i="53"/>
  <c r="GQ11" i="53"/>
  <c r="EJ11" i="53"/>
  <c r="CN11" i="53"/>
  <c r="GP11" i="53"/>
  <c r="EI11" i="53"/>
  <c r="CR11" i="53"/>
  <c r="GT11" i="53"/>
  <c r="EL11" i="53"/>
  <c r="CP11" i="53"/>
  <c r="EM11" i="53"/>
  <c r="CQ11" i="53"/>
  <c r="GR11" i="53"/>
  <c r="EH11" i="53"/>
  <c r="GJ10" i="53"/>
  <c r="EB10" i="53"/>
  <c r="CJ10" i="53"/>
  <c r="CI10" i="53"/>
  <c r="GI10" i="53"/>
  <c r="EA10" i="53"/>
  <c r="GK10" i="53"/>
  <c r="DY10" i="53"/>
  <c r="CK10" i="53"/>
  <c r="GH10" i="53"/>
  <c r="ED10" i="53"/>
  <c r="CH10" i="53"/>
  <c r="GG10" i="53"/>
  <c r="EC10" i="53"/>
  <c r="CG10" i="53"/>
  <c r="GL10" i="53"/>
  <c r="DZ10" i="53"/>
  <c r="CL10" i="53"/>
  <c r="HG7" i="53"/>
  <c r="FC7" i="53"/>
  <c r="DG7" i="53"/>
  <c r="DC7" i="53"/>
  <c r="HJ7" i="53"/>
  <c r="HF7" i="53"/>
  <c r="DB7" i="53"/>
  <c r="FB7" i="53"/>
  <c r="DF7" i="53"/>
  <c r="HI7" i="53"/>
  <c r="EZ7" i="53"/>
  <c r="FG7" i="53" s="1"/>
  <c r="DE7" i="53"/>
  <c r="HH7" i="53"/>
  <c r="FE7" i="53"/>
  <c r="FD7" i="53"/>
  <c r="DD7" i="53"/>
  <c r="HE7" i="53"/>
  <c r="FA7" i="53"/>
  <c r="HG3" i="53"/>
  <c r="FC3" i="53"/>
  <c r="DG3" i="53"/>
  <c r="DC3" i="53"/>
  <c r="HJ3" i="53"/>
  <c r="HE3" i="53"/>
  <c r="FD3" i="53"/>
  <c r="DB3" i="53"/>
  <c r="HI3" i="53"/>
  <c r="DF3" i="53"/>
  <c r="FB3" i="53"/>
  <c r="HH3" i="53"/>
  <c r="FA3" i="53"/>
  <c r="DE3" i="53"/>
  <c r="HF3" i="53"/>
  <c r="FE3" i="53"/>
  <c r="EZ3" i="53"/>
  <c r="FG3" i="53" s="1"/>
  <c r="DD3" i="53"/>
  <c r="HH10" i="53"/>
  <c r="FD10" i="53"/>
  <c r="EZ10" i="53"/>
  <c r="FG10" i="53" s="1"/>
  <c r="DD10" i="53"/>
  <c r="HG10" i="53"/>
  <c r="DG10" i="53"/>
  <c r="DC10" i="53"/>
  <c r="FC10" i="53"/>
  <c r="HI10" i="53"/>
  <c r="FE10" i="53"/>
  <c r="DF10" i="53"/>
  <c r="HE10" i="53"/>
  <c r="FA10" i="53"/>
  <c r="DE10" i="53"/>
  <c r="HF10" i="53"/>
  <c r="FB10" i="53"/>
  <c r="HJ10" i="53"/>
  <c r="DB10" i="53"/>
  <c r="DW18" i="53"/>
  <c r="CB18" i="53"/>
  <c r="GT17" i="53"/>
  <c r="GP17" i="53"/>
  <c r="EL17" i="53"/>
  <c r="EH17" i="53"/>
  <c r="CP17" i="53"/>
  <c r="GR17" i="53"/>
  <c r="EK17" i="53"/>
  <c r="CO17" i="53"/>
  <c r="EI17" i="53"/>
  <c r="CR17" i="53"/>
  <c r="GS17" i="53"/>
  <c r="CQ17" i="53"/>
  <c r="GO17" i="53"/>
  <c r="EJ17" i="53"/>
  <c r="CS17" i="53"/>
  <c r="CN17" i="53"/>
  <c r="GQ17" i="53"/>
  <c r="EM17" i="53"/>
  <c r="GL17" i="53"/>
  <c r="GH17" i="53"/>
  <c r="ED17" i="53"/>
  <c r="DZ17" i="53"/>
  <c r="CL17" i="53"/>
  <c r="CH17" i="53"/>
  <c r="GG17" i="53"/>
  <c r="EA17" i="53"/>
  <c r="CJ17" i="53"/>
  <c r="EB17" i="53"/>
  <c r="CK17" i="53"/>
  <c r="GK17" i="53"/>
  <c r="DY17" i="53"/>
  <c r="EF17" i="53" s="1"/>
  <c r="CI17" i="53"/>
  <c r="GI17" i="53"/>
  <c r="EC17" i="53"/>
  <c r="CG17" i="53"/>
  <c r="GJ17" i="53"/>
  <c r="HA14" i="53"/>
  <c r="GW14" i="53"/>
  <c r="ES14" i="53"/>
  <c r="CW14" i="53"/>
  <c r="HB14" i="53"/>
  <c r="EU14" i="53"/>
  <c r="CY14" i="53"/>
  <c r="EQ14" i="53"/>
  <c r="CZ14" i="53"/>
  <c r="GZ14" i="53"/>
  <c r="EV14" i="53"/>
  <c r="CX14" i="53"/>
  <c r="GX14" i="53"/>
  <c r="ER14" i="53"/>
  <c r="CU14" i="53"/>
  <c r="CV14" i="53"/>
  <c r="GY14" i="53"/>
  <c r="ET14" i="53"/>
  <c r="CH13" i="53"/>
  <c r="CG13" i="53"/>
  <c r="GC9" i="53"/>
  <c r="FY9" i="53"/>
  <c r="DU9" i="53"/>
  <c r="DQ9" i="53"/>
  <c r="CC9" i="53"/>
  <c r="GB9" i="53"/>
  <c r="DT9" i="53"/>
  <c r="DP9" i="53"/>
  <c r="DW9" i="53" s="1"/>
  <c r="CB9" i="53"/>
  <c r="GA9" i="53"/>
  <c r="CA9" i="53"/>
  <c r="FZ9" i="53"/>
  <c r="DS9" i="53"/>
  <c r="CE9" i="53"/>
  <c r="BZ9" i="53"/>
  <c r="GD9" i="53"/>
  <c r="DR9" i="53"/>
  <c r="CD9" i="53"/>
  <c r="EO7" i="53"/>
  <c r="GZ6" i="53"/>
  <c r="EV6" i="53"/>
  <c r="ER6" i="53"/>
  <c r="CZ6" i="53"/>
  <c r="CV6" i="53"/>
  <c r="GY6" i="53"/>
  <c r="ES6" i="53"/>
  <c r="CW6" i="53"/>
  <c r="GX6" i="53"/>
  <c r="EQ6" i="53"/>
  <c r="CU6" i="53"/>
  <c r="HB6" i="53"/>
  <c r="GW6" i="53"/>
  <c r="EU6" i="53"/>
  <c r="CY6" i="53"/>
  <c r="HA6" i="53"/>
  <c r="ET6" i="53"/>
  <c r="CX6" i="53"/>
  <c r="HP6" i="53"/>
  <c r="FL6" i="53"/>
  <c r="DL6" i="53"/>
  <c r="HO6" i="53"/>
  <c r="FN6" i="53"/>
  <c r="FI6" i="53"/>
  <c r="FP6" i="53" s="1"/>
  <c r="DM6" i="53"/>
  <c r="HN6" i="53"/>
  <c r="FM6" i="53"/>
  <c r="DK6" i="53"/>
  <c r="HR6" i="53"/>
  <c r="HM6" i="53"/>
  <c r="FK6" i="53"/>
  <c r="DJ6" i="53"/>
  <c r="HQ6" i="53"/>
  <c r="FJ6" i="53"/>
  <c r="DN6" i="53"/>
  <c r="DI6" i="53"/>
  <c r="HQ5" i="53"/>
  <c r="HM5" i="53"/>
  <c r="FM5" i="53"/>
  <c r="FI5" i="53"/>
  <c r="FP5" i="53" s="1"/>
  <c r="DM5" i="53"/>
  <c r="DI5" i="53"/>
  <c r="HN5" i="53"/>
  <c r="FL5" i="53"/>
  <c r="DK5" i="53"/>
  <c r="HR5" i="53"/>
  <c r="FK5" i="53"/>
  <c r="DJ5" i="53"/>
  <c r="FJ5" i="53"/>
  <c r="DN5" i="53"/>
  <c r="HO5" i="53"/>
  <c r="FN5" i="53"/>
  <c r="DL5" i="53"/>
  <c r="HP5" i="53"/>
  <c r="EO4" i="53"/>
  <c r="GR12" i="53"/>
  <c r="EJ12" i="53"/>
  <c r="CR12" i="53"/>
  <c r="CN12" i="53"/>
  <c r="GS12" i="53"/>
  <c r="EL12" i="53"/>
  <c r="CP12" i="53"/>
  <c r="GQ12" i="53"/>
  <c r="EK12" i="53"/>
  <c r="CO12" i="53"/>
  <c r="GT12" i="53"/>
  <c r="GO12" i="53"/>
  <c r="EM12" i="53"/>
  <c r="EH12" i="53"/>
  <c r="CQ12" i="53"/>
  <c r="EI12" i="53"/>
  <c r="CS12" i="53"/>
  <c r="GP12" i="53"/>
  <c r="HP12" i="53"/>
  <c r="FL12" i="53"/>
  <c r="DL12" i="53"/>
  <c r="HN12" i="53"/>
  <c r="FM12" i="53"/>
  <c r="DK12" i="53"/>
  <c r="HR12" i="53"/>
  <c r="HM12" i="53"/>
  <c r="FK12" i="53"/>
  <c r="DJ12" i="53"/>
  <c r="HO12" i="53"/>
  <c r="FN12" i="53"/>
  <c r="FI12" i="53"/>
  <c r="DM12" i="53"/>
  <c r="HQ12" i="53"/>
  <c r="DN12" i="53"/>
  <c r="FJ12" i="53"/>
  <c r="DI12" i="53"/>
  <c r="GT8" i="53"/>
  <c r="GP8" i="53"/>
  <c r="EL8" i="53"/>
  <c r="EH8" i="53"/>
  <c r="CP8" i="53"/>
  <c r="GO8" i="53"/>
  <c r="CS8" i="53"/>
  <c r="GS8" i="53"/>
  <c r="EK8" i="53"/>
  <c r="CO8" i="53"/>
  <c r="GQ8" i="53"/>
  <c r="EM8" i="53"/>
  <c r="CQ8" i="53"/>
  <c r="EJ8" i="53"/>
  <c r="EI8" i="53"/>
  <c r="CN8" i="53"/>
  <c r="GR8" i="53"/>
  <c r="CR8" i="53"/>
  <c r="GS9" i="53"/>
  <c r="GO9" i="53"/>
  <c r="EK9" i="53"/>
  <c r="CS9" i="53"/>
  <c r="CO9" i="53"/>
  <c r="EJ9" i="53"/>
  <c r="CR9" i="53"/>
  <c r="GR9" i="53"/>
  <c r="CN9" i="53"/>
  <c r="GQ9" i="53"/>
  <c r="EM9" i="53"/>
  <c r="CQ9" i="53"/>
  <c r="EL9" i="53"/>
  <c r="CP9" i="53"/>
  <c r="EI9" i="53"/>
  <c r="GP9" i="53"/>
  <c r="GT9" i="53"/>
  <c r="EH9" i="53"/>
  <c r="DZ4" i="53"/>
  <c r="GG11" i="53"/>
  <c r="EX10" i="53"/>
  <c r="HA9" i="53"/>
  <c r="GW9" i="53"/>
  <c r="ES9" i="53"/>
  <c r="CW9" i="53"/>
  <c r="GZ9" i="53"/>
  <c r="EV9" i="53"/>
  <c r="ER9" i="53"/>
  <c r="CV9" i="53"/>
  <c r="CZ9" i="53"/>
  <c r="GY9" i="53"/>
  <c r="EU9" i="53"/>
  <c r="CY9" i="53"/>
  <c r="GX9" i="53"/>
  <c r="ET9" i="53"/>
  <c r="EQ9" i="53"/>
  <c r="CU9" i="53"/>
  <c r="CX9" i="53"/>
  <c r="HB9" i="53"/>
  <c r="GA15" i="53"/>
  <c r="DP15" i="53"/>
  <c r="DW15" i="53" s="1"/>
  <c r="HP39" i="53"/>
  <c r="FL39" i="53"/>
  <c r="DL39" i="53"/>
  <c r="HR39" i="53"/>
  <c r="HM39" i="53"/>
  <c r="FK39" i="53"/>
  <c r="DJ39" i="53"/>
  <c r="HQ39" i="53"/>
  <c r="FJ39" i="53"/>
  <c r="DN39" i="53"/>
  <c r="DI39" i="53"/>
  <c r="HO39" i="53"/>
  <c r="FN39" i="53"/>
  <c r="FI39" i="53"/>
  <c r="FP39" i="53" s="1"/>
  <c r="DM39" i="53"/>
  <c r="HN39" i="53"/>
  <c r="FM39" i="53"/>
  <c r="DK39" i="53"/>
  <c r="EF32" i="53"/>
  <c r="GD21" i="53"/>
  <c r="FZ21" i="53"/>
  <c r="DR21" i="53"/>
  <c r="CD21" i="53"/>
  <c r="BZ21" i="53"/>
  <c r="GA21" i="53"/>
  <c r="DS21" i="53"/>
  <c r="CE21" i="53"/>
  <c r="CA21" i="53"/>
  <c r="GC21" i="53"/>
  <c r="DQ21" i="53"/>
  <c r="CC21" i="53"/>
  <c r="GB21" i="53"/>
  <c r="DP21" i="53"/>
  <c r="CB21" i="53"/>
  <c r="DT21" i="53"/>
  <c r="DU21" i="53"/>
  <c r="FY21" i="53"/>
  <c r="HP23" i="53"/>
  <c r="FL23" i="53"/>
  <c r="DL23" i="53"/>
  <c r="HQ23" i="53"/>
  <c r="HM23" i="53"/>
  <c r="FM23" i="53"/>
  <c r="FI23" i="53"/>
  <c r="DM23" i="53"/>
  <c r="DI23" i="53"/>
  <c r="HO23" i="53"/>
  <c r="FK23" i="53"/>
  <c r="HN23" i="53"/>
  <c r="FJ23" i="53"/>
  <c r="DN23" i="53"/>
  <c r="HR23" i="53"/>
  <c r="FN23" i="53"/>
  <c r="DJ23" i="53"/>
  <c r="DK23" i="53"/>
  <c r="GH18" i="53"/>
  <c r="GI18" i="53"/>
  <c r="HA18" i="53"/>
  <c r="GW18" i="53"/>
  <c r="ES18" i="53"/>
  <c r="CW18" i="53"/>
  <c r="GZ18" i="53"/>
  <c r="ET18" i="53"/>
  <c r="CX18" i="53"/>
  <c r="HB18" i="53"/>
  <c r="EV18" i="53"/>
  <c r="CY18" i="53"/>
  <c r="GY18" i="53"/>
  <c r="EU18" i="53"/>
  <c r="CV18" i="53"/>
  <c r="EQ18" i="53"/>
  <c r="CZ18" i="53"/>
  <c r="CU18" i="53"/>
  <c r="GX18" i="53"/>
  <c r="ER18" i="53"/>
  <c r="HB17" i="53"/>
  <c r="GX17" i="53"/>
  <c r="ET17" i="53"/>
  <c r="CX17" i="53"/>
  <c r="GW17" i="53"/>
  <c r="EV17" i="53"/>
  <c r="EQ17" i="53"/>
  <c r="CZ17" i="53"/>
  <c r="CU17" i="53"/>
  <c r="HA17" i="53"/>
  <c r="CY17" i="53"/>
  <c r="GZ17" i="53"/>
  <c r="EU17" i="53"/>
  <c r="CW17" i="53"/>
  <c r="ER17" i="53"/>
  <c r="GY17" i="53"/>
  <c r="ES17" i="53"/>
  <c r="CV17" i="53"/>
  <c r="GC14" i="53"/>
  <c r="FY14" i="53"/>
  <c r="DU14" i="53"/>
  <c r="DQ14" i="53"/>
  <c r="GA14" i="53"/>
  <c r="DT14" i="53"/>
  <c r="CD14" i="53"/>
  <c r="BZ14" i="53"/>
  <c r="FZ14" i="53"/>
  <c r="CE14" i="53"/>
  <c r="DS14" i="53"/>
  <c r="CC14" i="53"/>
  <c r="GB14" i="53"/>
  <c r="DP14" i="53"/>
  <c r="CA14" i="53"/>
  <c r="GD14" i="53"/>
  <c r="DR14" i="53"/>
  <c r="CB14" i="53"/>
  <c r="CN24" i="53"/>
  <c r="GZ29" i="53"/>
  <c r="EV29" i="53"/>
  <c r="ER29" i="53"/>
  <c r="CZ29" i="53"/>
  <c r="CV29" i="53"/>
  <c r="HA29" i="53"/>
  <c r="HB29" i="53"/>
  <c r="EQ29" i="53"/>
  <c r="CU29" i="53"/>
  <c r="GW29" i="53"/>
  <c r="ES29" i="53"/>
  <c r="CW29" i="53"/>
  <c r="CX29" i="53"/>
  <c r="GY29" i="53"/>
  <c r="EU29" i="53"/>
  <c r="CY29" i="53"/>
  <c r="GX29" i="53"/>
  <c r="ET29" i="53"/>
  <c r="HP29" i="53"/>
  <c r="FL29" i="53"/>
  <c r="DL29" i="53"/>
  <c r="HQ29" i="53"/>
  <c r="HO29" i="53"/>
  <c r="FM29" i="53"/>
  <c r="DK29" i="53"/>
  <c r="HR29" i="53"/>
  <c r="FN29" i="53"/>
  <c r="FI29" i="53"/>
  <c r="DM29" i="53"/>
  <c r="FJ29" i="53"/>
  <c r="DI29" i="53"/>
  <c r="HN29" i="53"/>
  <c r="FK29" i="53"/>
  <c r="DJ29" i="53"/>
  <c r="HM29" i="53"/>
  <c r="DN29" i="53"/>
  <c r="HB21" i="53"/>
  <c r="GX21" i="53"/>
  <c r="ET21" i="53"/>
  <c r="CX21" i="53"/>
  <c r="GY21" i="53"/>
  <c r="EU21" i="53"/>
  <c r="EQ21" i="53"/>
  <c r="CY21" i="53"/>
  <c r="CU21" i="53"/>
  <c r="HA21" i="53"/>
  <c r="GZ21" i="53"/>
  <c r="EV21" i="53"/>
  <c r="CZ21" i="53"/>
  <c r="ER21" i="53"/>
  <c r="CV21" i="53"/>
  <c r="GW21" i="53"/>
  <c r="ES21" i="53"/>
  <c r="CW21" i="53"/>
  <c r="GA20" i="53"/>
  <c r="DS20" i="53"/>
  <c r="CE20" i="53"/>
  <c r="CA20" i="53"/>
  <c r="FZ20" i="53"/>
  <c r="DT20" i="53"/>
  <c r="CC20" i="53"/>
  <c r="GD20" i="53"/>
  <c r="FY20" i="53"/>
  <c r="DR20" i="53"/>
  <c r="CB20" i="53"/>
  <c r="GB20" i="53"/>
  <c r="DQ20" i="53"/>
  <c r="DP20" i="53"/>
  <c r="DW20" i="53" s="1"/>
  <c r="CD20" i="53"/>
  <c r="GC20" i="53"/>
  <c r="DU20" i="53"/>
  <c r="BZ20" i="53"/>
  <c r="GA16" i="53"/>
  <c r="DS16" i="53"/>
  <c r="CE16" i="53"/>
  <c r="CA16" i="53"/>
  <c r="GB16" i="53"/>
  <c r="DU16" i="53"/>
  <c r="DP16" i="53"/>
  <c r="CD16" i="53"/>
  <c r="GC16" i="53"/>
  <c r="DT16" i="53"/>
  <c r="FZ16" i="53"/>
  <c r="DR16" i="53"/>
  <c r="CC16" i="53"/>
  <c r="GD16" i="53"/>
  <c r="BZ16" i="53"/>
  <c r="FY16" i="53"/>
  <c r="DQ16" i="53"/>
  <c r="CB16" i="53"/>
  <c r="HG25" i="53"/>
  <c r="HI25" i="53"/>
  <c r="FB25" i="53"/>
  <c r="DF25" i="53"/>
  <c r="DB25" i="53"/>
  <c r="HH25" i="53"/>
  <c r="FE25" i="53"/>
  <c r="FA25" i="53"/>
  <c r="DE25" i="53"/>
  <c r="HJ25" i="53"/>
  <c r="HE25" i="53"/>
  <c r="FC25" i="53"/>
  <c r="DG25" i="53"/>
  <c r="DC25" i="53"/>
  <c r="HF25" i="53"/>
  <c r="FD25" i="53"/>
  <c r="EZ25" i="53"/>
  <c r="DD25" i="53"/>
  <c r="EO21" i="53"/>
  <c r="GA13" i="53"/>
  <c r="DS13" i="53"/>
  <c r="CE13" i="53"/>
  <c r="CA13" i="53"/>
  <c r="GB13" i="53"/>
  <c r="DU13" i="53"/>
  <c r="DP13" i="53"/>
  <c r="CD13" i="53"/>
  <c r="FZ13" i="53"/>
  <c r="DT13" i="53"/>
  <c r="CC13" i="53"/>
  <c r="GC13" i="53"/>
  <c r="DQ13" i="53"/>
  <c r="BZ13" i="53"/>
  <c r="GD13" i="53"/>
  <c r="DR13" i="53"/>
  <c r="CB13" i="53"/>
  <c r="FY13" i="53"/>
  <c r="EX24" i="53"/>
  <c r="EX34" i="53"/>
  <c r="FG29" i="53"/>
  <c r="FP25" i="53"/>
  <c r="HQ22" i="53"/>
  <c r="HM22" i="53"/>
  <c r="FM22" i="53"/>
  <c r="FI22" i="53"/>
  <c r="DM22" i="53"/>
  <c r="DI22" i="53"/>
  <c r="HR22" i="53"/>
  <c r="HN22" i="53"/>
  <c r="FN22" i="53"/>
  <c r="FJ22" i="53"/>
  <c r="DN22" i="53"/>
  <c r="DJ22" i="53"/>
  <c r="HP22" i="53"/>
  <c r="FL22" i="53"/>
  <c r="HO22" i="53"/>
  <c r="FK22" i="53"/>
  <c r="DK22" i="53"/>
  <c r="DL22" i="53"/>
  <c r="GC22" i="53"/>
  <c r="FY22" i="53"/>
  <c r="DU22" i="53"/>
  <c r="DQ22" i="53"/>
  <c r="CC22" i="53"/>
  <c r="GD22" i="53"/>
  <c r="FZ22" i="53"/>
  <c r="DR22" i="53"/>
  <c r="CD22" i="53"/>
  <c r="BZ22" i="53"/>
  <c r="GB22" i="53"/>
  <c r="DP22" i="53"/>
  <c r="CB22" i="53"/>
  <c r="GA22" i="53"/>
  <c r="CA22" i="53"/>
  <c r="DS22" i="53"/>
  <c r="CE22" i="53"/>
  <c r="DT22" i="53"/>
  <c r="CG16" i="53"/>
  <c r="CH16" i="53"/>
  <c r="GA18" i="53"/>
  <c r="FZ18" i="53"/>
  <c r="GS14" i="53"/>
  <c r="GO14" i="53"/>
  <c r="EK14" i="53"/>
  <c r="CS14" i="53"/>
  <c r="CO14" i="53"/>
  <c r="GQ14" i="53"/>
  <c r="EJ14" i="53"/>
  <c r="CN14" i="53"/>
  <c r="EI14" i="53"/>
  <c r="CR14" i="53"/>
  <c r="GT14" i="53"/>
  <c r="EH14" i="53"/>
  <c r="CQ14" i="53"/>
  <c r="GP14" i="53"/>
  <c r="EL14" i="53"/>
  <c r="GR14" i="53"/>
  <c r="EM14" i="53"/>
  <c r="CP14" i="53"/>
  <c r="HQ14" i="53"/>
  <c r="HM14" i="53"/>
  <c r="FM14" i="53"/>
  <c r="FI14" i="53"/>
  <c r="DM14" i="53"/>
  <c r="DI14" i="53"/>
  <c r="HR14" i="53"/>
  <c r="FK14" i="53"/>
  <c r="DJ14" i="53"/>
  <c r="HP14" i="53"/>
  <c r="FL14" i="53"/>
  <c r="DN14" i="53"/>
  <c r="HO14" i="53"/>
  <c r="FJ14" i="53"/>
  <c r="DL14" i="53"/>
  <c r="FN14" i="53"/>
  <c r="DK14" i="53"/>
  <c r="HN14" i="53"/>
  <c r="GK14" i="53"/>
  <c r="GG14" i="53"/>
  <c r="EC14" i="53"/>
  <c r="DY14" i="53"/>
  <c r="CK14" i="53"/>
  <c r="CG14" i="53"/>
  <c r="GL14" i="53"/>
  <c r="DZ14" i="53"/>
  <c r="CI14" i="53"/>
  <c r="GH14" i="53"/>
  <c r="EB14" i="53"/>
  <c r="CL14" i="53"/>
  <c r="EA14" i="53"/>
  <c r="CJ14" i="53"/>
  <c r="GI14" i="53"/>
  <c r="ED14" i="53"/>
  <c r="CH14" i="53"/>
  <c r="GJ14" i="53"/>
  <c r="EX11" i="53"/>
  <c r="EO6" i="53"/>
  <c r="EX5" i="53"/>
  <c r="GK5" i="53"/>
  <c r="GG5" i="53"/>
  <c r="EC5" i="53"/>
  <c r="DY5" i="53"/>
  <c r="CK5" i="53"/>
  <c r="CG5" i="53"/>
  <c r="GH5" i="53"/>
  <c r="EA5" i="53"/>
  <c r="CJ5" i="53"/>
  <c r="CI5" i="53"/>
  <c r="ED5" i="53"/>
  <c r="GL5" i="53"/>
  <c r="DZ5" i="53"/>
  <c r="GJ5" i="53"/>
  <c r="CH5" i="53"/>
  <c r="GI5" i="53"/>
  <c r="EB5" i="53"/>
  <c r="CL5" i="53"/>
  <c r="GS5" i="53"/>
  <c r="GO5" i="53"/>
  <c r="EK5" i="53"/>
  <c r="CS5" i="53"/>
  <c r="CO5" i="53"/>
  <c r="GR5" i="53"/>
  <c r="EL5" i="53"/>
  <c r="CP5" i="53"/>
  <c r="GQ5" i="53"/>
  <c r="CN5" i="53"/>
  <c r="GP5" i="53"/>
  <c r="EI5" i="53"/>
  <c r="EJ5" i="53"/>
  <c r="GT5" i="53"/>
  <c r="EM5" i="53"/>
  <c r="EH5" i="53"/>
  <c r="CQ5" i="53"/>
  <c r="CR5" i="53"/>
  <c r="HH15" i="53"/>
  <c r="FD15" i="53"/>
  <c r="EZ15" i="53"/>
  <c r="DD15" i="53"/>
  <c r="HI15" i="53"/>
  <c r="FB15" i="53"/>
  <c r="DF15" i="53"/>
  <c r="HJ15" i="53"/>
  <c r="FE15" i="53"/>
  <c r="DG15" i="53"/>
  <c r="HG15" i="53"/>
  <c r="FC15" i="53"/>
  <c r="DE15" i="53"/>
  <c r="HE15" i="53"/>
  <c r="DB15" i="53"/>
  <c r="DC15" i="53"/>
  <c r="HF15" i="53"/>
  <c r="FA15" i="53"/>
  <c r="GR15" i="53"/>
  <c r="EJ15" i="53"/>
  <c r="CR15" i="53"/>
  <c r="CN15" i="53"/>
  <c r="GS15" i="53"/>
  <c r="EL15" i="53"/>
  <c r="CP15" i="53"/>
  <c r="GO15" i="53"/>
  <c r="EI15" i="53"/>
  <c r="CS15" i="53"/>
  <c r="GT15" i="53"/>
  <c r="EH15" i="53"/>
  <c r="CQ15" i="53"/>
  <c r="GP15" i="53"/>
  <c r="EK15" i="53"/>
  <c r="CO15" i="53"/>
  <c r="GQ15" i="53"/>
  <c r="EM15" i="53"/>
  <c r="HP15" i="53"/>
  <c r="FL15" i="53"/>
  <c r="DL15" i="53"/>
  <c r="HN15" i="53"/>
  <c r="FM15" i="53"/>
  <c r="DK15" i="53"/>
  <c r="HQ15" i="53"/>
  <c r="FK15" i="53"/>
  <c r="DN15" i="53"/>
  <c r="HO15" i="53"/>
  <c r="FJ15" i="53"/>
  <c r="DM15" i="53"/>
  <c r="HR15" i="53"/>
  <c r="FN15" i="53"/>
  <c r="DI15" i="53"/>
  <c r="HM15" i="53"/>
  <c r="FI15" i="53"/>
  <c r="FP15" i="53" s="1"/>
  <c r="DJ15" i="53"/>
  <c r="HH12" i="53"/>
  <c r="FD12" i="53"/>
  <c r="EZ12" i="53"/>
  <c r="FG12" i="53" s="1"/>
  <c r="DD12" i="53"/>
  <c r="HI12" i="53"/>
  <c r="FB12" i="53"/>
  <c r="DF12" i="53"/>
  <c r="HG12" i="53"/>
  <c r="FA12" i="53"/>
  <c r="DE12" i="53"/>
  <c r="HJ12" i="53"/>
  <c r="HE12" i="53"/>
  <c r="FC12" i="53"/>
  <c r="DG12" i="53"/>
  <c r="DB12" i="53"/>
  <c r="HF12" i="53"/>
  <c r="DC12" i="53"/>
  <c r="FE12" i="53"/>
  <c r="HJ8" i="53"/>
  <c r="HF8" i="53"/>
  <c r="FB8" i="53"/>
  <c r="DF8" i="53"/>
  <c r="DB8" i="53"/>
  <c r="HE8" i="53"/>
  <c r="FE8" i="53"/>
  <c r="DE8" i="53"/>
  <c r="HI8" i="53"/>
  <c r="FA8" i="53"/>
  <c r="HG8" i="53"/>
  <c r="FC8" i="53"/>
  <c r="DG8" i="53"/>
  <c r="EZ8" i="53"/>
  <c r="FG8" i="53" s="1"/>
  <c r="DD8" i="53"/>
  <c r="DC8" i="53"/>
  <c r="HH8" i="53"/>
  <c r="FD8" i="53"/>
  <c r="EI3" i="53"/>
  <c r="CO24" i="53"/>
  <c r="EI24" i="53"/>
  <c r="GK9" i="53"/>
  <c r="GG9" i="53"/>
  <c r="EC9" i="53"/>
  <c r="DY9" i="53"/>
  <c r="EF9" i="53" s="1"/>
  <c r="CK9" i="53"/>
  <c r="CG9" i="53"/>
  <c r="GJ9" i="53"/>
  <c r="EB9" i="53"/>
  <c r="CJ9" i="53"/>
  <c r="GI9" i="53"/>
  <c r="CI9" i="53"/>
  <c r="GH9" i="53"/>
  <c r="CH9" i="53"/>
  <c r="EA9" i="53"/>
  <c r="ED9" i="53"/>
  <c r="GL9" i="53"/>
  <c r="DZ9" i="53"/>
  <c r="CL9" i="53"/>
  <c r="GH11" i="53"/>
  <c r="EF11" i="53"/>
  <c r="FP7" i="53"/>
  <c r="FG6" i="53"/>
  <c r="FZ15" i="53"/>
  <c r="HJ35" i="53"/>
  <c r="HF35" i="53"/>
  <c r="HG35" i="53"/>
  <c r="FC35" i="53"/>
  <c r="DG35" i="53"/>
  <c r="DC35" i="53"/>
  <c r="HH35" i="53"/>
  <c r="FB35" i="53"/>
  <c r="DF35" i="53"/>
  <c r="HI35" i="53"/>
  <c r="FD35" i="53"/>
  <c r="DB35" i="53"/>
  <c r="HE35" i="53"/>
  <c r="FA35" i="53"/>
  <c r="FE35" i="53"/>
  <c r="DD35" i="53"/>
  <c r="DE35" i="53"/>
  <c r="EZ35" i="53"/>
  <c r="FG35" i="53" s="1"/>
  <c r="HR36" i="53"/>
  <c r="HN36" i="53"/>
  <c r="FN36" i="53"/>
  <c r="FJ36" i="53"/>
  <c r="DN36" i="53"/>
  <c r="HP36" i="53"/>
  <c r="FI36" i="53"/>
  <c r="DM36" i="53"/>
  <c r="DI36" i="53"/>
  <c r="HQ36" i="53"/>
  <c r="FK36" i="53"/>
  <c r="DJ36" i="53"/>
  <c r="HO36" i="53"/>
  <c r="FM36" i="53"/>
  <c r="DL36" i="53"/>
  <c r="FL36" i="53"/>
  <c r="DK36" i="53"/>
  <c r="HM36" i="53"/>
  <c r="GR29" i="53"/>
  <c r="EJ29" i="53"/>
  <c r="CR29" i="53"/>
  <c r="CN29" i="53"/>
  <c r="GP29" i="53"/>
  <c r="GT29" i="53"/>
  <c r="EL29" i="53"/>
  <c r="CP29" i="53"/>
  <c r="GO29" i="53"/>
  <c r="EM29" i="53"/>
  <c r="EH29" i="53"/>
  <c r="CQ29" i="53"/>
  <c r="GQ29" i="53"/>
  <c r="EK29" i="53"/>
  <c r="GS29" i="53"/>
  <c r="CO29" i="53"/>
  <c r="EI29" i="53"/>
  <c r="CS29" i="53"/>
  <c r="GJ29" i="53"/>
  <c r="EB29" i="53"/>
  <c r="CJ29" i="53"/>
  <c r="GH29" i="53"/>
  <c r="EA29" i="53"/>
  <c r="CK29" i="53"/>
  <c r="GI29" i="53"/>
  <c r="EC29" i="53"/>
  <c r="CL29" i="53"/>
  <c r="CG29" i="53"/>
  <c r="ED29" i="53"/>
  <c r="GL29" i="53"/>
  <c r="DZ29" i="53"/>
  <c r="CI29" i="53"/>
  <c r="GG29" i="53"/>
  <c r="CH29" i="53"/>
  <c r="DY29" i="53"/>
  <c r="GK29" i="53"/>
  <c r="DW29" i="53"/>
  <c r="HG13" i="53"/>
  <c r="FC13" i="53"/>
  <c r="DG13" i="53"/>
  <c r="DC13" i="53"/>
  <c r="HH13" i="53"/>
  <c r="FA13" i="53"/>
  <c r="DE13" i="53"/>
  <c r="HF13" i="53"/>
  <c r="FE13" i="53"/>
  <c r="EZ13" i="53"/>
  <c r="FG13" i="53" s="1"/>
  <c r="DD13" i="53"/>
  <c r="HI13" i="53"/>
  <c r="FB13" i="53"/>
  <c r="DF13" i="53"/>
  <c r="HJ13" i="53"/>
  <c r="DB13" i="53"/>
  <c r="HE13" i="53"/>
  <c r="FD13" i="53"/>
  <c r="GR23" i="53"/>
  <c r="EJ23" i="53"/>
  <c r="CR23" i="53"/>
  <c r="CN23" i="53"/>
  <c r="GS23" i="53"/>
  <c r="GO23" i="53"/>
  <c r="EK23" i="53"/>
  <c r="CS23" i="53"/>
  <c r="CO23" i="53"/>
  <c r="GQ23" i="53"/>
  <c r="EM23" i="53"/>
  <c r="CQ23" i="53"/>
  <c r="GP23" i="53"/>
  <c r="EL23" i="53"/>
  <c r="CP23" i="53"/>
  <c r="GT23" i="53"/>
  <c r="EH23" i="53"/>
  <c r="EO23" i="53" s="1"/>
  <c r="EI23" i="53"/>
  <c r="GC11" i="53"/>
  <c r="FY11" i="53"/>
  <c r="DU11" i="53"/>
  <c r="DQ11" i="53"/>
  <c r="CC11" i="53"/>
  <c r="GA11" i="53"/>
  <c r="DT11" i="53"/>
  <c r="CD11" i="53"/>
  <c r="DS11" i="53"/>
  <c r="FZ11" i="53"/>
  <c r="CB11" i="53"/>
  <c r="GD11" i="53"/>
  <c r="BZ11" i="53"/>
  <c r="DR11" i="53"/>
  <c r="CE11" i="53"/>
  <c r="GB11" i="53"/>
  <c r="DP11" i="53"/>
  <c r="CA11" i="53"/>
  <c r="EX13" i="53"/>
  <c r="HJ4" i="53"/>
  <c r="HF4" i="53"/>
  <c r="FB4" i="53"/>
  <c r="DF4" i="53"/>
  <c r="DB4" i="53"/>
  <c r="HE4" i="53"/>
  <c r="FD4" i="53"/>
  <c r="DC4" i="53"/>
  <c r="FC4" i="53"/>
  <c r="DG4" i="53"/>
  <c r="DE4" i="53"/>
  <c r="HI4" i="53"/>
  <c r="FA4" i="53"/>
  <c r="HG4" i="53"/>
  <c r="FE4" i="53"/>
  <c r="EZ4" i="53"/>
  <c r="FG4" i="53" s="1"/>
  <c r="DD4" i="53"/>
  <c r="HH4" i="53"/>
  <c r="EO3" i="53"/>
  <c r="HR8" i="53"/>
  <c r="HN8" i="53"/>
  <c r="FN8" i="53"/>
  <c r="FJ8" i="53"/>
  <c r="DN8" i="53"/>
  <c r="DJ8" i="53"/>
  <c r="HQ8" i="53"/>
  <c r="HM8" i="53"/>
  <c r="DM8" i="53"/>
  <c r="DI8" i="53"/>
  <c r="FM8" i="53"/>
  <c r="FI8" i="53"/>
  <c r="HO8" i="53"/>
  <c r="FK8" i="53"/>
  <c r="DL8" i="53"/>
  <c r="DK8" i="53"/>
  <c r="HP8" i="53"/>
  <c r="FL8" i="53"/>
  <c r="GC5" i="53"/>
  <c r="FY5" i="53"/>
  <c r="DU5" i="53"/>
  <c r="DQ5" i="53"/>
  <c r="CC5" i="53"/>
  <c r="GB5" i="53"/>
  <c r="DP5" i="53"/>
  <c r="DW5" i="53" s="1"/>
  <c r="CE5" i="53"/>
  <c r="BZ5" i="53"/>
  <c r="GA5" i="53"/>
  <c r="DT5" i="53"/>
  <c r="CD5" i="53"/>
  <c r="FZ5" i="53"/>
  <c r="CB5" i="53"/>
  <c r="GD5" i="53"/>
  <c r="DR5" i="53"/>
  <c r="CA5" i="53"/>
  <c r="DS5" i="53"/>
  <c r="GZ15" i="53"/>
  <c r="EV15" i="53"/>
  <c r="ER15" i="53"/>
  <c r="CZ15" i="53"/>
  <c r="CV15" i="53"/>
  <c r="GX15" i="53"/>
  <c r="EQ15" i="53"/>
  <c r="CU15" i="53"/>
  <c r="HB15" i="53"/>
  <c r="CY15" i="53"/>
  <c r="HA15" i="53"/>
  <c r="EU15" i="53"/>
  <c r="CX15" i="53"/>
  <c r="GW15" i="53"/>
  <c r="ES15" i="53"/>
  <c r="GY15" i="53"/>
  <c r="ET15" i="53"/>
  <c r="CW15" i="53"/>
  <c r="GJ15" i="53"/>
  <c r="EB15" i="53"/>
  <c r="CJ15" i="53"/>
  <c r="GH15" i="53"/>
  <c r="EA15" i="53"/>
  <c r="CK15" i="53"/>
  <c r="GG15" i="53"/>
  <c r="EC15" i="53"/>
  <c r="CL15" i="53"/>
  <c r="GL15" i="53"/>
  <c r="DZ15" i="53"/>
  <c r="CI15" i="53"/>
  <c r="GI15" i="53"/>
  <c r="ED15" i="53"/>
  <c r="CG15" i="53"/>
  <c r="GK15" i="53"/>
  <c r="DY15" i="53"/>
  <c r="CH15" i="53"/>
  <c r="GC38" i="53"/>
  <c r="FY38" i="53"/>
  <c r="GD38" i="53"/>
  <c r="DT38" i="53"/>
  <c r="DP38" i="53"/>
  <c r="DW38" i="53" s="1"/>
  <c r="CB38" i="53"/>
  <c r="GB38" i="53"/>
  <c r="DS38" i="53"/>
  <c r="CE38" i="53"/>
  <c r="CA38" i="53"/>
  <c r="GA38" i="53"/>
  <c r="DR38" i="53"/>
  <c r="CD38" i="53"/>
  <c r="BZ38" i="53"/>
  <c r="FZ38" i="53"/>
  <c r="DQ38" i="53"/>
  <c r="CC38" i="53"/>
  <c r="DU38" i="53"/>
  <c r="HI27" i="53"/>
  <c r="HE27" i="53"/>
  <c r="FE27" i="53"/>
  <c r="FA27" i="53"/>
  <c r="DE27" i="53"/>
  <c r="HJ27" i="53"/>
  <c r="HF27" i="53"/>
  <c r="FB27" i="53"/>
  <c r="DF27" i="53"/>
  <c r="DB27" i="53"/>
  <c r="DC27" i="53"/>
  <c r="HH27" i="53"/>
  <c r="FD27" i="53"/>
  <c r="EZ27" i="53"/>
  <c r="DD27" i="53"/>
  <c r="HG27" i="53"/>
  <c r="FC27" i="53"/>
  <c r="DG27" i="53"/>
  <c r="GK38" i="53"/>
  <c r="GG38" i="53"/>
  <c r="EC38" i="53"/>
  <c r="GI38" i="53"/>
  <c r="EB38" i="53"/>
  <c r="CJ38" i="53"/>
  <c r="GH38" i="53"/>
  <c r="EA38" i="53"/>
  <c r="CI38" i="53"/>
  <c r="GL38" i="53"/>
  <c r="DZ38" i="53"/>
  <c r="CL38" i="53"/>
  <c r="CH38" i="53"/>
  <c r="ED38" i="53"/>
  <c r="CK38" i="53"/>
  <c r="DY38" i="53"/>
  <c r="CG38" i="53"/>
  <c r="GJ38" i="53"/>
  <c r="EO38" i="53"/>
  <c r="HG30" i="53"/>
  <c r="FC30" i="53"/>
  <c r="DG30" i="53"/>
  <c r="DC30" i="53"/>
  <c r="HJ30" i="53"/>
  <c r="HE30" i="53"/>
  <c r="FD30" i="53"/>
  <c r="DB30" i="53"/>
  <c r="HI30" i="53"/>
  <c r="EZ30" i="53"/>
  <c r="DD30" i="53"/>
  <c r="HH30" i="53"/>
  <c r="FE30" i="53"/>
  <c r="FA30" i="53"/>
  <c r="DE30" i="53"/>
  <c r="FB30" i="53"/>
  <c r="DF30" i="53"/>
  <c r="HF30" i="53"/>
  <c r="HJ36" i="53"/>
  <c r="HF36" i="53"/>
  <c r="FB36" i="53"/>
  <c r="HE36" i="53"/>
  <c r="FD36" i="53"/>
  <c r="DE36" i="53"/>
  <c r="HG36" i="53"/>
  <c r="FE36" i="53"/>
  <c r="EZ36" i="53"/>
  <c r="DF36" i="53"/>
  <c r="DB36" i="53"/>
  <c r="FC36" i="53"/>
  <c r="DD36" i="53"/>
  <c r="HH36" i="53"/>
  <c r="DG36" i="53"/>
  <c r="DC36" i="53"/>
  <c r="HI36" i="53"/>
  <c r="FA36" i="53"/>
  <c r="GG32" i="53"/>
  <c r="HJ31" i="53"/>
  <c r="HF31" i="53"/>
  <c r="FB31" i="53"/>
  <c r="DF31" i="53"/>
  <c r="DB31" i="53"/>
  <c r="HE31" i="53"/>
  <c r="FD31" i="53"/>
  <c r="DC31" i="53"/>
  <c r="HI31" i="53"/>
  <c r="FC31" i="53"/>
  <c r="DG31" i="53"/>
  <c r="HH31" i="53"/>
  <c r="HG31" i="53"/>
  <c r="FE31" i="53"/>
  <c r="DE31" i="53"/>
  <c r="EZ31" i="53"/>
  <c r="FA31" i="53"/>
  <c r="DD31" i="53"/>
  <c r="HB31" i="53"/>
  <c r="GX31" i="53"/>
  <c r="ET31" i="53"/>
  <c r="CX31" i="53"/>
  <c r="GZ31" i="53"/>
  <c r="ES31" i="53"/>
  <c r="CW31" i="53"/>
  <c r="GY31" i="53"/>
  <c r="ER31" i="53"/>
  <c r="CV31" i="53"/>
  <c r="GW31" i="53"/>
  <c r="EV31" i="53"/>
  <c r="CZ31" i="53"/>
  <c r="EU31" i="53"/>
  <c r="CY31" i="53"/>
  <c r="HA31" i="53"/>
  <c r="EQ31" i="53"/>
  <c r="CU31" i="53"/>
  <c r="EO30" i="53"/>
  <c r="HJ26" i="53"/>
  <c r="HF26" i="53"/>
  <c r="FB26" i="53"/>
  <c r="DF26" i="53"/>
  <c r="DB26" i="53"/>
  <c r="HI26" i="53"/>
  <c r="FC26" i="53"/>
  <c r="DG26" i="53"/>
  <c r="HH26" i="53"/>
  <c r="FA26" i="53"/>
  <c r="DE26" i="53"/>
  <c r="HE26" i="53"/>
  <c r="FD26" i="53"/>
  <c r="DC26" i="53"/>
  <c r="FE26" i="53"/>
  <c r="HG26" i="53"/>
  <c r="EZ26" i="53"/>
  <c r="FG26" i="53" s="1"/>
  <c r="DD26" i="53"/>
  <c r="HI22" i="53"/>
  <c r="HE22" i="53"/>
  <c r="FE22" i="53"/>
  <c r="FA22" i="53"/>
  <c r="DE22" i="53"/>
  <c r="HJ22" i="53"/>
  <c r="HF22" i="53"/>
  <c r="FB22" i="53"/>
  <c r="DF22" i="53"/>
  <c r="DB22" i="53"/>
  <c r="HH22" i="53"/>
  <c r="FD22" i="53"/>
  <c r="HG22" i="53"/>
  <c r="FC22" i="53"/>
  <c r="DG22" i="53"/>
  <c r="DC22" i="53"/>
  <c r="DD22" i="53"/>
  <c r="EZ22" i="53"/>
  <c r="HH19" i="53"/>
  <c r="FD19" i="53"/>
  <c r="EZ19" i="53"/>
  <c r="DD19" i="53"/>
  <c r="HG19" i="53"/>
  <c r="FA19" i="53"/>
  <c r="DE19" i="53"/>
  <c r="HF19" i="53"/>
  <c r="FE19" i="53"/>
  <c r="DC19" i="53"/>
  <c r="FB19" i="53"/>
  <c r="HJ19" i="53"/>
  <c r="DG19" i="53"/>
  <c r="HE19" i="53"/>
  <c r="FC19" i="53"/>
  <c r="DB19" i="53"/>
  <c r="DF19" i="53"/>
  <c r="HI19" i="53"/>
  <c r="GB19" i="53"/>
  <c r="DT19" i="53"/>
  <c r="DP19" i="53"/>
  <c r="DW19" i="53" s="1"/>
  <c r="CB19" i="53"/>
  <c r="GA19" i="53"/>
  <c r="DU19" i="53"/>
  <c r="CD19" i="53"/>
  <c r="FZ19" i="53"/>
  <c r="DS19" i="53"/>
  <c r="CC19" i="53"/>
  <c r="CE19" i="53"/>
  <c r="GD19" i="53"/>
  <c r="DR19" i="53"/>
  <c r="CA19" i="53"/>
  <c r="FY19" i="53"/>
  <c r="DQ19" i="53"/>
  <c r="BZ19" i="53"/>
  <c r="GC19" i="53"/>
  <c r="GJ19" i="53"/>
  <c r="EB19" i="53"/>
  <c r="CJ19" i="53"/>
  <c r="GL19" i="53"/>
  <c r="GG19" i="53"/>
  <c r="DZ19" i="53"/>
  <c r="CI19" i="53"/>
  <c r="GK19" i="53"/>
  <c r="ED19" i="53"/>
  <c r="DY19" i="53"/>
  <c r="CH19" i="53"/>
  <c r="GH19" i="53"/>
  <c r="EC19" i="53"/>
  <c r="CL19" i="53"/>
  <c r="GI19" i="53"/>
  <c r="CG19" i="53"/>
  <c r="EA19" i="53"/>
  <c r="CK19" i="53"/>
  <c r="HI18" i="53"/>
  <c r="HE18" i="53"/>
  <c r="FE18" i="53"/>
  <c r="FA18" i="53"/>
  <c r="DE18" i="53"/>
  <c r="HF18" i="53"/>
  <c r="FD18" i="53"/>
  <c r="DC18" i="53"/>
  <c r="HH18" i="53"/>
  <c r="FC18" i="53"/>
  <c r="DF18" i="53"/>
  <c r="HG18" i="53"/>
  <c r="FB18" i="53"/>
  <c r="DD18" i="53"/>
  <c r="HJ18" i="53"/>
  <c r="DG18" i="53"/>
  <c r="EZ18" i="53"/>
  <c r="DB18" i="53"/>
  <c r="GS18" i="53"/>
  <c r="GO18" i="53"/>
  <c r="EK18" i="53"/>
  <c r="CS18" i="53"/>
  <c r="CO18" i="53"/>
  <c r="GP18" i="53"/>
  <c r="EI18" i="53"/>
  <c r="CR18" i="53"/>
  <c r="GT18" i="53"/>
  <c r="EH18" i="53"/>
  <c r="CQ18" i="53"/>
  <c r="GR18" i="53"/>
  <c r="EM18" i="53"/>
  <c r="CP18" i="53"/>
  <c r="EJ18" i="53"/>
  <c r="GQ18" i="53"/>
  <c r="EL18" i="53"/>
  <c r="CN18" i="53"/>
  <c r="FG11" i="53"/>
  <c r="HP10" i="53"/>
  <c r="FL10" i="53"/>
  <c r="DL10" i="53"/>
  <c r="FK10" i="53"/>
  <c r="DK10" i="53"/>
  <c r="HO10" i="53"/>
  <c r="HQ10" i="53"/>
  <c r="FM10" i="53"/>
  <c r="DI10" i="53"/>
  <c r="HM10" i="53"/>
  <c r="FI10" i="53"/>
  <c r="DM10" i="53"/>
  <c r="HN10" i="53"/>
  <c r="FJ10" i="53"/>
  <c r="DN10" i="53"/>
  <c r="HR10" i="53"/>
  <c r="FN10" i="53"/>
  <c r="DJ10" i="53"/>
  <c r="CO3" i="53"/>
  <c r="CN3" i="53"/>
  <c r="GB10" i="53"/>
  <c r="DT10" i="53"/>
  <c r="DP10" i="53"/>
  <c r="CB10" i="53"/>
  <c r="GA10" i="53"/>
  <c r="CA10" i="53"/>
  <c r="DS10" i="53"/>
  <c r="CE10" i="53"/>
  <c r="GC10" i="53"/>
  <c r="DQ10" i="53"/>
  <c r="CC10" i="53"/>
  <c r="FZ10" i="53"/>
  <c r="FY10" i="53"/>
  <c r="DU10" i="53"/>
  <c r="BZ10" i="53"/>
  <c r="GD10" i="53"/>
  <c r="DR10" i="53"/>
  <c r="CD10" i="53"/>
  <c r="GG18" i="53"/>
  <c r="EX16" i="53"/>
  <c r="FP30" i="53"/>
  <c r="EF20" i="53"/>
  <c r="FP18" i="53"/>
  <c r="FG23" i="53"/>
  <c r="HR17" i="53"/>
  <c r="HN17" i="53"/>
  <c r="FN17" i="53"/>
  <c r="FJ17" i="53"/>
  <c r="DN17" i="53"/>
  <c r="DJ17" i="53"/>
  <c r="HM17" i="53"/>
  <c r="FL17" i="53"/>
  <c r="DK17" i="53"/>
  <c r="HP17" i="53"/>
  <c r="FK17" i="53"/>
  <c r="DM17" i="53"/>
  <c r="HO17" i="53"/>
  <c r="FI17" i="53"/>
  <c r="FP17" i="53" s="1"/>
  <c r="DL17" i="53"/>
  <c r="HQ17" i="53"/>
  <c r="FM17" i="53"/>
  <c r="DI17" i="53"/>
  <c r="HJ17" i="53"/>
  <c r="HF17" i="53"/>
  <c r="FB17" i="53"/>
  <c r="DF17" i="53"/>
  <c r="DB17" i="53"/>
  <c r="HH17" i="53"/>
  <c r="FA17" i="53"/>
  <c r="DE17" i="53"/>
  <c r="HI17" i="53"/>
  <c r="FD17" i="53"/>
  <c r="DG17" i="53"/>
  <c r="HG17" i="53"/>
  <c r="FC17" i="53"/>
  <c r="DD17" i="53"/>
  <c r="FE17" i="53"/>
  <c r="DC17" i="53"/>
  <c r="HE17" i="53"/>
  <c r="EZ17" i="53"/>
  <c r="GD8" i="53"/>
  <c r="FZ8" i="53"/>
  <c r="DR8" i="53"/>
  <c r="CD8" i="53"/>
  <c r="BZ8" i="53"/>
  <c r="GC8" i="53"/>
  <c r="FY8" i="53"/>
  <c r="DU8" i="53"/>
  <c r="DQ8" i="53"/>
  <c r="CC8" i="53"/>
  <c r="GA8" i="53"/>
  <c r="CA8" i="53"/>
  <c r="DS8" i="53"/>
  <c r="CE8" i="53"/>
  <c r="DT8" i="53"/>
  <c r="GB8" i="53"/>
  <c r="DP8" i="53"/>
  <c r="DW8" i="53" s="1"/>
  <c r="CB8" i="53"/>
  <c r="GJ6" i="53"/>
  <c r="EB6" i="53"/>
  <c r="CJ6" i="53"/>
  <c r="GI6" i="53"/>
  <c r="EC6" i="53"/>
  <c r="CL6" i="53"/>
  <c r="CG6" i="53"/>
  <c r="GH6" i="53"/>
  <c r="EA6" i="53"/>
  <c r="CK6" i="53"/>
  <c r="GG6" i="53"/>
  <c r="GL6" i="53"/>
  <c r="DZ6" i="53"/>
  <c r="CI6" i="53"/>
  <c r="GK6" i="53"/>
  <c r="ED6" i="53"/>
  <c r="DY6" i="53"/>
  <c r="CH6" i="53"/>
  <c r="HB4" i="53"/>
  <c r="GX4" i="53"/>
  <c r="ET4" i="53"/>
  <c r="CX4" i="53"/>
  <c r="GZ4" i="53"/>
  <c r="ES4" i="53"/>
  <c r="CW4" i="53"/>
  <c r="GY4" i="53"/>
  <c r="CV4" i="53"/>
  <c r="EQ4" i="53"/>
  <c r="EX4" i="53" s="1"/>
  <c r="CZ4" i="53"/>
  <c r="ER4" i="53"/>
  <c r="EV4" i="53"/>
  <c r="CU4" i="53"/>
  <c r="HA4" i="53"/>
  <c r="EU4" i="53"/>
  <c r="CY4" i="53"/>
  <c r="GW4" i="53"/>
  <c r="FP3" i="53"/>
  <c r="CP3" i="53"/>
  <c r="GZ12" i="53"/>
  <c r="EV12" i="53"/>
  <c r="ER12" i="53"/>
  <c r="CZ12" i="53"/>
  <c r="CV12" i="53"/>
  <c r="GX12" i="53"/>
  <c r="EQ12" i="53"/>
  <c r="CU12" i="53"/>
  <c r="HB12" i="53"/>
  <c r="GW12" i="53"/>
  <c r="EU12" i="53"/>
  <c r="CY12" i="53"/>
  <c r="GY12" i="53"/>
  <c r="ES12" i="53"/>
  <c r="CW12" i="53"/>
  <c r="ET12" i="53"/>
  <c r="HA12" i="53"/>
  <c r="CX12" i="53"/>
  <c r="GJ12" i="53"/>
  <c r="EB12" i="53"/>
  <c r="CJ12" i="53"/>
  <c r="GH12" i="53"/>
  <c r="EA12" i="53"/>
  <c r="CK12" i="53"/>
  <c r="GL12" i="53"/>
  <c r="GG12" i="53"/>
  <c r="DZ12" i="53"/>
  <c r="CI12" i="53"/>
  <c r="GI12" i="53"/>
  <c r="EC12" i="53"/>
  <c r="CL12" i="53"/>
  <c r="CG12" i="53"/>
  <c r="GK12" i="53"/>
  <c r="DY12" i="53"/>
  <c r="EF12" i="53" s="1"/>
  <c r="CH12" i="53"/>
  <c r="ED12" i="53"/>
  <c r="HI9" i="53"/>
  <c r="HE9" i="53"/>
  <c r="FE9" i="53"/>
  <c r="FA9" i="53"/>
  <c r="DE9" i="53"/>
  <c r="HH9" i="53"/>
  <c r="FD9" i="53"/>
  <c r="DD9" i="53"/>
  <c r="EZ9" i="53"/>
  <c r="FG9" i="53" s="1"/>
  <c r="HG9" i="53"/>
  <c r="FC9" i="53"/>
  <c r="DG9" i="53"/>
  <c r="DF9" i="53"/>
  <c r="DC9" i="53"/>
  <c r="HF9" i="53"/>
  <c r="FB9" i="53"/>
  <c r="HJ9" i="53"/>
  <c r="DB9" i="53"/>
  <c r="HB8" i="53"/>
  <c r="GX8" i="53"/>
  <c r="ET8" i="53"/>
  <c r="CX8" i="53"/>
  <c r="HA8" i="53"/>
  <c r="GW8" i="53"/>
  <c r="CW8" i="53"/>
  <c r="ES8" i="53"/>
  <c r="GY8" i="53"/>
  <c r="EU8" i="53"/>
  <c r="CY8" i="53"/>
  <c r="ER8" i="53"/>
  <c r="CV8" i="53"/>
  <c r="EQ8" i="53"/>
  <c r="CU8" i="53"/>
  <c r="GZ8" i="53"/>
  <c r="EV8" i="53"/>
  <c r="CZ8" i="53"/>
  <c r="EH24" i="53"/>
  <c r="EO24" i="53" s="1"/>
  <c r="HQ9" i="53"/>
  <c r="HM9" i="53"/>
  <c r="FM9" i="53"/>
  <c r="FI9" i="53"/>
  <c r="DM9" i="53"/>
  <c r="DI9" i="53"/>
  <c r="HP9" i="53"/>
  <c r="FL9" i="53"/>
  <c r="DL9" i="53"/>
  <c r="HO9" i="53"/>
  <c r="FK9" i="53"/>
  <c r="HN9" i="53"/>
  <c r="FJ9" i="53"/>
  <c r="DK9" i="53"/>
  <c r="DN9" i="53"/>
  <c r="HR9" i="53"/>
  <c r="FN9" i="53"/>
  <c r="DJ9" i="53"/>
  <c r="GL8" i="53"/>
  <c r="GH8" i="53"/>
  <c r="ED8" i="53"/>
  <c r="DZ8" i="53"/>
  <c r="CL8" i="53"/>
  <c r="CH8" i="53"/>
  <c r="GK8" i="53"/>
  <c r="DY8" i="53"/>
  <c r="CK8" i="53"/>
  <c r="CG8" i="53"/>
  <c r="GG8" i="53"/>
  <c r="EC8" i="53"/>
  <c r="GI8" i="53"/>
  <c r="CI8" i="53"/>
  <c r="EB8" i="53"/>
  <c r="EA8" i="53"/>
  <c r="GJ8" i="53"/>
  <c r="CJ8" i="53"/>
  <c r="EX7" i="53"/>
  <c r="EF3" i="53"/>
  <c r="CA15" i="53"/>
  <c r="BZ15" i="53"/>
  <c r="FG36" i="53" l="1"/>
  <c r="EO15" i="53"/>
  <c r="EO5" i="53"/>
  <c r="DW14" i="53"/>
  <c r="EX18" i="53"/>
  <c r="EX9" i="53"/>
  <c r="EO12" i="53"/>
  <c r="FQ9" i="53"/>
  <c r="EX14" i="53"/>
  <c r="EO17" i="53"/>
  <c r="FQ17" i="53" s="1"/>
  <c r="EX26" i="53"/>
  <c r="EO28" i="53"/>
  <c r="EX25" i="53"/>
  <c r="FP32" i="53"/>
  <c r="DW36" i="53"/>
  <c r="EF36" i="53"/>
  <c r="EF39" i="53"/>
  <c r="EF22" i="53"/>
  <c r="EX37" i="53"/>
  <c r="FG14" i="53"/>
  <c r="DW3" i="53"/>
  <c r="FQ3" i="53" s="1"/>
  <c r="EO37" i="53"/>
  <c r="DW32" i="53"/>
  <c r="FQ32" i="53" s="1"/>
  <c r="FG34" i="53"/>
  <c r="FG33" i="53"/>
  <c r="DW28" i="53"/>
  <c r="EF28" i="53"/>
  <c r="EO26" i="53"/>
  <c r="FQ26" i="53" s="1"/>
  <c r="FP37" i="53"/>
  <c r="FQ33" i="53"/>
  <c r="EF37" i="53"/>
  <c r="FP33" i="53"/>
  <c r="FG31" i="53"/>
  <c r="FQ20" i="53"/>
  <c r="EO9" i="53"/>
  <c r="EF10" i="53"/>
  <c r="EO11" i="53"/>
  <c r="FP11" i="53"/>
  <c r="EO19" i="53"/>
  <c r="FG21" i="53"/>
  <c r="DW24" i="53"/>
  <c r="FQ24" i="53" s="1"/>
  <c r="EX27" i="53"/>
  <c r="FP34" i="53"/>
  <c r="EF35" i="53"/>
  <c r="FQ31" i="53"/>
  <c r="FG24" i="53"/>
  <c r="EO27" i="53"/>
  <c r="FG37" i="53"/>
  <c r="FP38" i="53"/>
  <c r="EF4" i="53"/>
  <c r="FQ4" i="53" s="1"/>
  <c r="DW12" i="53"/>
  <c r="FG20" i="53"/>
  <c r="EO36" i="53"/>
  <c r="FP9" i="53"/>
  <c r="FG22" i="53"/>
  <c r="FG30" i="53"/>
  <c r="FQ38" i="53"/>
  <c r="FP36" i="53"/>
  <c r="FP14" i="53"/>
  <c r="DW22" i="53"/>
  <c r="EX17" i="53"/>
  <c r="DW23" i="53"/>
  <c r="EO35" i="53"/>
  <c r="FP28" i="53"/>
  <c r="EX8" i="53"/>
  <c r="FG17" i="53"/>
  <c r="FG18" i="53"/>
  <c r="FG19" i="53"/>
  <c r="EF38" i="53"/>
  <c r="FG27" i="53"/>
  <c r="FP8" i="53"/>
  <c r="EF5" i="53"/>
  <c r="FQ5" i="53" s="1"/>
  <c r="DW13" i="53"/>
  <c r="FQ13" i="53" s="1"/>
  <c r="FP29" i="53"/>
  <c r="EX29" i="53"/>
  <c r="DW21" i="53"/>
  <c r="FQ21" i="53" s="1"/>
  <c r="EO8" i="53"/>
  <c r="EF8" i="53"/>
  <c r="FQ8" i="53" s="1"/>
  <c r="EX12" i="53"/>
  <c r="EF6" i="53"/>
  <c r="FQ6" i="53" s="1"/>
  <c r="DW10" i="53"/>
  <c r="FP10" i="53"/>
  <c r="EO18" i="53"/>
  <c r="FQ18" i="53" s="1"/>
  <c r="EF19" i="53"/>
  <c r="FQ19" i="53" s="1"/>
  <c r="EX31" i="53"/>
  <c r="EF15" i="53"/>
  <c r="EX15" i="53"/>
  <c r="DW11" i="53"/>
  <c r="EF29" i="53"/>
  <c r="FQ29" i="53" s="1"/>
  <c r="EO29" i="53"/>
  <c r="FG15" i="53"/>
  <c r="EF14" i="53"/>
  <c r="EO14" i="53"/>
  <c r="FP22" i="53"/>
  <c r="FG25" i="53"/>
  <c r="FQ25" i="53" s="1"/>
  <c r="DW16" i="53"/>
  <c r="EX21" i="53"/>
  <c r="FP23" i="53"/>
  <c r="FQ15" i="53"/>
  <c r="FP12" i="53"/>
  <c r="EX6" i="53"/>
  <c r="EO22" i="53"/>
  <c r="EF23" i="53"/>
  <c r="EX36" i="53"/>
  <c r="EO34" i="53"/>
  <c r="DW30" i="53"/>
  <c r="FQ30" i="53" s="1"/>
  <c r="FQ35" i="53"/>
  <c r="DW39" i="53"/>
  <c r="FQ39" i="53" s="1"/>
  <c r="DW34" i="53"/>
  <c r="EO39" i="53"/>
  <c r="DW37" i="53"/>
  <c r="FQ37" i="53" s="1"/>
  <c r="EX35" i="53"/>
  <c r="DW7" i="53"/>
  <c r="FQ7" i="53" s="1"/>
  <c r="EX22" i="53"/>
  <c r="FG16" i="53"/>
  <c r="FQ16" i="53" l="1"/>
  <c r="FQ11" i="53"/>
  <c r="FQ22" i="53"/>
  <c r="FQ14" i="53"/>
  <c r="FQ28" i="53"/>
  <c r="FQ36" i="53"/>
  <c r="FQ23" i="53"/>
  <c r="FQ34" i="53"/>
  <c r="FQ10" i="53"/>
  <c r="FQ12" i="53"/>
  <c r="FQ27"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<sst xmlns="http://schemas.openxmlformats.org/spreadsheetml/2006/main" count="22486" uniqueCount="6894">
  <si>
    <t>No</t>
  </si>
  <si>
    <t>WardId</t>
  </si>
  <si>
    <t>WardName</t>
  </si>
  <si>
    <t>DistrictId</t>
  </si>
  <si>
    <t>DistrictName</t>
  </si>
  <si>
    <t>CityId</t>
  </si>
  <si>
    <t>30337</t>
  </si>
  <si>
    <t>Thị trấn An Phú</t>
  </si>
  <si>
    <t>886</t>
  </si>
  <si>
    <t>Huyện An Phú</t>
  </si>
  <si>
    <t>AGG</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</si>
  <si>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</si>
  <si>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</si>
  <si>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</si>
  <si>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</si>
  <si>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</si>
  <si>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</si>
  <si>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</si>
  <si>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</si>
  <si>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</si>
  <si>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</si>
  <si>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</si>
  <si>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</si>
  <si>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</si>
  <si>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</si>
  <si>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</si>
  <si>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</si>
  <si>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</si>
  <si>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</si>
  <si>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</si>
  <si>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</si>
  <si>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</si>
  <si>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</si>
  <si>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</si>
  <si>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</si>
  <si>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</si>
  <si>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</si>
  <si>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</si>
  <si>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</si>
  <si>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</si>
  <si>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</si>
  <si>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</si>
  <si>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</si>
  <si>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</si>
  <si>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</si>
  <si>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</si>
  <si>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</si>
  <si>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</si>
  <si>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</si>
  <si>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</si>
  <si>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</si>
  <si>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</si>
  <si>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</si>
  <si>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</si>
  <si>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</si>
  <si>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</si>
  <si>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</si>
  <si>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</si>
  <si>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</si>
  <si>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</si>
  <si>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</si>
  <si>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</si>
  <si>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</si>
  <si>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</si>
  <si>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</si>
  <si>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</si>
  <si>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</si>
  <si>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</si>
  <si>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</si>
  <si>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</si>
  <si>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</si>
  <si>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</si>
  <si>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</si>
  <si>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</si>
  <si>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</si>
  <si>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</si>
  <si>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</si>
  <si>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</si>
  <si>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</si>
  <si>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</si>
  <si>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</si>
  <si>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</si>
  <si>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</si>
  <si>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</si>
  <si>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</si>
  <si>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</si>
  <si>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</si>
  <si>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</si>
  <si>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</si>
  <si>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</si>
  <si>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</si>
  <si>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</si>
  <si>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</si>
  <si>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</si>
  <si>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</si>
  <si>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</si>
  <si>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</si>
  <si>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</si>
  <si>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</si>
  <si>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</si>
  <si>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</si>
  <si>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</si>
  <si>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</si>
  <si>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</si>
  <si>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</si>
  <si>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</si>
  <si>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</si>
  <si>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</si>
  <si>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</si>
  <si>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</si>
  <si>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</si>
  <si>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</si>
  <si>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</si>
  <si>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</si>
  <si>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</si>
  <si>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</si>
  <si>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</si>
  <si>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</si>
  <si>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</si>
  <si>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</si>
  <si>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</si>
  <si>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</si>
  <si>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</si>
  <si>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</si>
  <si>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</si>
  <si>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</si>
  <si>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</si>
  <si>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</si>
  <si>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</si>
  <si>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</si>
  <si>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</si>
  <si>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</si>
  <si>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</si>
  <si>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</si>
  <si>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</si>
  <si>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</si>
  <si>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</si>
  <si>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</si>
  <si>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</si>
  <si>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</si>
  <si>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</si>
  <si>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</si>
  <si>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</si>
  <si>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</si>
  <si>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</si>
  <si>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</si>
  <si>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</si>
  <si>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</si>
  <si>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</si>
  <si>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</si>
  <si>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</si>
  <si>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</si>
  <si>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</si>
  <si>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</si>
  <si>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</si>
  <si>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</si>
  <si>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</si>
  <si>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</si>
  <si>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</si>
  <si>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</si>
  <si>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</si>
  <si>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</si>
  <si>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</si>
  <si>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</si>
  <si>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</si>
  <si>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</si>
  <si>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</si>
  <si>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</si>
  <si>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</si>
  <si>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</si>
  <si>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</si>
  <si>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</si>
  <si>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</si>
  <si>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</si>
  <si>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</si>
  <si>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</si>
  <si>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</si>
  <si>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</si>
  <si>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</si>
  <si>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</si>
  <si>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</si>
  <si>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</si>
  <si>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</si>
  <si>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</si>
  <si>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</si>
  <si>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</si>
  <si>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</si>
  <si>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</si>
  <si>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</si>
  <si>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</si>
  <si>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</si>
  <si>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</si>
  <si>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</si>
  <si>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</si>
  <si>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</si>
  <si>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</si>
  <si>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</si>
  <si>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</si>
  <si>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</si>
  <si>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</si>
  <si>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</si>
  <si>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</si>
  <si>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</si>
  <si>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</si>
  <si>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</si>
  <si>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</si>
  <si>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</si>
  <si>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</si>
  <si>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</si>
  <si>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</si>
  <si>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</si>
  <si>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</si>
  <si>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</si>
  <si>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</si>
  <si>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</si>
  <si>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</si>
  <si>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</si>
  <si>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</si>
  <si>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</si>
  <si>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</si>
  <si>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</si>
  <si>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</si>
  <si>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</si>
  <si>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</si>
  <si>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</si>
  <si>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</si>
  <si>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</si>
  <si>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</si>
  <si>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</si>
  <si>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</si>
  <si>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</si>
  <si>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</si>
  <si>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</si>
  <si>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</si>
  <si>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</si>
  <si>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</si>
  <si>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</si>
  <si>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</si>
  <si>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</si>
  <si>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</si>
  <si>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</si>
  <si>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</si>
  <si>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</si>
  <si>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</si>
  <si>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</si>
  <si>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</si>
  <si>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</si>
  <si>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</si>
  <si>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</si>
  <si>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</si>
  <si>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</si>
  <si>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</si>
  <si>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</si>
  <si>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</si>
  <si>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</si>
  <si>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</si>
  <si>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</si>
  <si>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</si>
  <si>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</si>
  <si>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</si>
  <si>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</si>
  <si>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</si>
  <si>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</si>
  <si>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</si>
  <si>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</si>
  <si>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</si>
  <si>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</si>
  <si>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</si>
  <si>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</si>
  <si>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</si>
  <si>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</si>
  <si>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</si>
  <si>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</si>
  <si>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</si>
  <si>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</si>
  <si>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</si>
  <si>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</si>
  <si>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</si>
  <si>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</si>
  <si>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</si>
  <si>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</si>
  <si>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</si>
  <si>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</si>
  <si>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</si>
  <si>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</si>
  <si>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</si>
  <si>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</si>
  <si>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</si>
  <si>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</si>
  <si>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</si>
  <si>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</si>
  <si>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</si>
  <si>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</si>
  <si>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</si>
  <si>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</si>
  <si>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</si>
  <si>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</si>
  <si>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</si>
  <si>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</si>
  <si>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</si>
  <si>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</si>
  <si>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</si>
  <si>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</si>
  <si>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</si>
  <si>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</si>
  <si>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</si>
  <si>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</si>
  <si>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</si>
  <si>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</si>
  <si>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</si>
  <si>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</si>
  <si>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</si>
  <si>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</si>
  <si>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</si>
  <si>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</si>
  <si>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</si>
  <si>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</si>
  <si>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</si>
  <si>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</si>
  <si>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</si>
  <si>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</si>
  <si>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</si>
  <si>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</si>
  <si>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</si>
  <si>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</si>
  <si>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</si>
  <si>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</si>
  <si>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</si>
  <si>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</si>
  <si>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</si>
  <si>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</si>
  <si>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</si>
  <si>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</si>
  <si>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</si>
  <si>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</si>
  <si>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</si>
  <si>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</si>
  <si>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</si>
  <si>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</si>
  <si>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</si>
  <si>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</si>
  <si>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</si>
  <si>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BDG</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</si>
  <si>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</si>
  <si>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</si>
  <si>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</si>
  <si>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</si>
  <si>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</si>
  <si>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</si>
  <si>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</si>
  <si>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</si>
  <si>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</si>
  <si>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</si>
  <si>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</si>
  <si>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</si>
  <si>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</si>
  <si>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</si>
  <si>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</si>
  <si>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</si>
  <si>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</si>
  <si>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</si>
  <si>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</si>
  <si>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</si>
  <si>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</si>
  <si>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</si>
  <si>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</si>
  <si>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</si>
  <si>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</si>
  <si>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</si>
  <si>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</si>
  <si>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</si>
  <si>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</si>
  <si>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</si>
  <si>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</si>
  <si>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</si>
  <si>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</si>
  <si>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</si>
  <si>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</si>
  <si>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</si>
  <si>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</si>
  <si>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</si>
  <si>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</si>
  <si>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</si>
  <si>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</si>
  <si>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</si>
  <si>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</si>
  <si>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</si>
  <si>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</si>
  <si>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</si>
  <si>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</si>
  <si>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</si>
  <si>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</si>
  <si>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</si>
  <si>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</si>
  <si>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</si>
  <si>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</si>
  <si>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</si>
  <si>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</si>
  <si>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</si>
  <si>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</si>
  <si>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</si>
  <si>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</si>
  <si>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</si>
  <si>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</si>
  <si>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</si>
  <si>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</si>
  <si>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</si>
  <si>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</si>
  <si>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</si>
  <si>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</si>
  <si>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</si>
  <si>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</si>
  <si>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</si>
  <si>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</si>
  <si>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</si>
  <si>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</si>
  <si>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</si>
  <si>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</si>
  <si>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</si>
  <si>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</si>
  <si>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</si>
  <si>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</si>
  <si>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</si>
  <si>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</si>
  <si>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</si>
  <si>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</si>
  <si>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</si>
  <si>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</si>
  <si>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</si>
  <si>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</si>
  <si>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</si>
  <si>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</si>
  <si>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</si>
  <si>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</si>
  <si>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</si>
  <si>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</si>
  <si>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</si>
  <si>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</si>
  <si>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</si>
  <si>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</si>
  <si>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</si>
  <si>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</si>
  <si>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</si>
  <si>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</si>
  <si>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</si>
  <si>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</si>
  <si>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</si>
  <si>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</si>
  <si>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</si>
  <si>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</si>
  <si>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</si>
  <si>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</si>
  <si>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</si>
  <si>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</si>
  <si>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</si>
  <si>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</si>
  <si>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</si>
  <si>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</si>
  <si>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</si>
  <si>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</si>
  <si>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</si>
  <si>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</si>
  <si>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</si>
  <si>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</si>
  <si>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</si>
  <si>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</si>
  <si>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</si>
  <si>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</si>
  <si>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</si>
  <si>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</si>
  <si>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</si>
  <si>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</si>
  <si>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</si>
  <si>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</si>
  <si>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</si>
  <si>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</si>
  <si>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</si>
  <si>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</si>
  <si>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</si>
  <si>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</si>
  <si>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</si>
  <si>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</si>
  <si>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</si>
  <si>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</si>
  <si>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</si>
  <si>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</si>
  <si>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</si>
  <si>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</si>
  <si>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</si>
  <si>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</si>
  <si>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</si>
  <si>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</si>
  <si>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</si>
  <si>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</si>
  <si>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</si>
  <si>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</si>
  <si>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</si>
  <si>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</si>
  <si>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</si>
  <si>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</si>
  <si>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</si>
  <si>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</si>
  <si>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</si>
  <si>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</si>
  <si>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</si>
  <si>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</si>
  <si>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</si>
  <si>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</si>
  <si>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</si>
  <si>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</si>
  <si>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</si>
  <si>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</si>
  <si>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</si>
  <si>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</si>
  <si>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</si>
  <si>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</si>
  <si>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</si>
  <si>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</si>
  <si>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</si>
  <si>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</si>
  <si>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</si>
  <si>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</si>
  <si>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</si>
  <si>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</si>
  <si>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</si>
  <si>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</si>
  <si>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</si>
  <si>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</si>
  <si>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</si>
  <si>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</si>
  <si>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</si>
  <si>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</si>
  <si>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</si>
  <si>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</si>
  <si>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</si>
  <si>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</si>
  <si>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BLU</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</si>
  <si>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</si>
  <si>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</si>
  <si>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</si>
  <si>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</si>
  <si>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</si>
  <si>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</si>
  <si>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</si>
  <si>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</si>
  <si>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</si>
  <si>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</si>
  <si>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</si>
  <si>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</si>
  <si>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</si>
  <si>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</si>
  <si>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</si>
  <si>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</si>
  <si>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</si>
  <si>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</si>
  <si>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</si>
  <si>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</si>
  <si>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</si>
  <si>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</si>
  <si>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</si>
  <si>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</si>
  <si>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</si>
  <si>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</si>
  <si>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</si>
  <si>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</si>
  <si>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</si>
  <si>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</si>
  <si>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</si>
  <si>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</si>
  <si>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</si>
  <si>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</si>
  <si>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</si>
  <si>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</si>
  <si>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</si>
  <si>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</si>
  <si>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</si>
  <si>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</si>
  <si>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</si>
  <si>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</si>
  <si>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</si>
  <si>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</si>
  <si>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</si>
  <si>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</si>
  <si>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</si>
  <si>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</si>
  <si>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</si>
  <si>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</si>
  <si>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</si>
  <si>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</si>
  <si>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</si>
  <si>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</si>
  <si>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</si>
  <si>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</si>
  <si>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</si>
  <si>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</si>
  <si>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</si>
  <si>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</si>
  <si>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</si>
  <si>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</si>
  <si>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</si>
  <si>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</si>
  <si>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</si>
  <si>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</si>
  <si>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</si>
  <si>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</si>
  <si>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</si>
  <si>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</si>
  <si>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</si>
  <si>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</si>
  <si>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</si>
  <si>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</si>
  <si>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</si>
  <si>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</si>
  <si>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</si>
  <si>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</si>
  <si>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</si>
  <si>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</si>
  <si>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</si>
  <si>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</si>
  <si>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</si>
  <si>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</si>
  <si>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</si>
  <si>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</si>
  <si>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</si>
  <si>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</si>
  <si>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</si>
  <si>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</si>
  <si>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</si>
  <si>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</si>
  <si>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</si>
  <si>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</si>
  <si>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</si>
  <si>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</si>
  <si>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</si>
  <si>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</si>
  <si>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</si>
  <si>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</si>
  <si>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</si>
  <si>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</si>
  <si>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</si>
  <si>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phường 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</si>
  <si>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</si>
  <si>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</si>
  <si>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</si>
  <si>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</si>
  <si>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</si>
  <si>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</si>
  <si>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</si>
  <si>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</si>
  <si>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</si>
  <si>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</si>
  <si>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</si>
  <si>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</si>
  <si>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</si>
  <si>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</si>
  <si>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</si>
  <si>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</si>
  <si>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</si>
  <si>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</si>
  <si>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</si>
  <si>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</si>
  <si>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</si>
  <si>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</si>
  <si>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</si>
  <si>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</si>
  <si>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</si>
  <si>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</si>
  <si>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</si>
  <si>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</si>
  <si>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</si>
  <si>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</si>
  <si>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</si>
  <si>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BPC</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</si>
  <si>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</si>
  <si>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</si>
  <si>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</si>
  <si>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</si>
  <si>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</si>
  <si>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</si>
  <si>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</si>
  <si>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</si>
  <si>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</si>
  <si>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</si>
  <si>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</si>
  <si>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</si>
  <si>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</si>
  <si>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</si>
  <si>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</si>
  <si>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</si>
  <si>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</si>
  <si>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</si>
  <si>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</si>
  <si>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</si>
  <si>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</si>
  <si>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</si>
  <si>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</si>
  <si>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</si>
  <si>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</si>
  <si>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</si>
  <si>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</si>
  <si>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</si>
  <si>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</si>
  <si>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</si>
  <si>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</si>
  <si>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</si>
  <si>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</si>
  <si>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</si>
  <si>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</si>
  <si>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</si>
  <si>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</si>
  <si>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</si>
  <si>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</si>
  <si>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</si>
  <si>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</si>
  <si>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</si>
  <si>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</si>
  <si>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</si>
  <si>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</si>
  <si>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</si>
  <si>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</si>
  <si>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</si>
  <si>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</si>
  <si>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</si>
  <si>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</si>
  <si>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</si>
  <si>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</si>
  <si>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</si>
  <si>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</si>
  <si>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</si>
  <si>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</si>
  <si>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</si>
  <si>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</si>
  <si>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</si>
  <si>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</si>
  <si>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</si>
  <si>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</si>
  <si>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</si>
  <si>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</si>
  <si>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</si>
  <si>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</si>
  <si>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</si>
  <si>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</si>
  <si>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</si>
  <si>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</si>
  <si>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</si>
  <si>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</si>
  <si>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</si>
  <si>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</si>
  <si>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</si>
  <si>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</si>
  <si>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</si>
  <si>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</si>
  <si>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</si>
  <si>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</si>
  <si>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</si>
  <si>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</si>
  <si>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</si>
  <si>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</si>
  <si>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</si>
  <si>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</si>
  <si>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</si>
  <si>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</si>
  <si>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</si>
  <si>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</si>
  <si>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</si>
  <si>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</si>
  <si>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</si>
  <si>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</si>
  <si>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</si>
  <si>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</si>
  <si>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</si>
  <si>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</si>
  <si>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</si>
  <si>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</si>
  <si>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</si>
  <si>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</si>
  <si>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</si>
  <si>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</si>
  <si>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</si>
  <si>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</si>
  <si>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</si>
  <si>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</si>
  <si>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</si>
  <si>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</si>
  <si>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</si>
  <si>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</si>
  <si>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</si>
  <si>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</si>
  <si>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</si>
  <si>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</si>
  <si>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</si>
  <si>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</si>
  <si>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</si>
  <si>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</si>
  <si>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</si>
  <si>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</si>
  <si>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</si>
  <si>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</si>
  <si>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</si>
  <si>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</si>
  <si>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</si>
  <si>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</si>
  <si>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</si>
  <si>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</si>
  <si>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</si>
  <si>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</si>
  <si>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</si>
  <si>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</si>
  <si>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</si>
  <si>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</si>
  <si>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</si>
  <si>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</si>
  <si>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</si>
  <si>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</si>
  <si>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</si>
  <si>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</si>
  <si>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</si>
  <si>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</si>
  <si>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</si>
  <si>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</si>
  <si>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</si>
  <si>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</si>
  <si>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</si>
  <si>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</si>
  <si>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</si>
  <si>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</si>
  <si>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</si>
  <si>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</si>
  <si>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</si>
  <si>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</si>
  <si>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</si>
  <si>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</si>
  <si>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</si>
  <si>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</si>
  <si>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</si>
  <si>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</si>
  <si>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</si>
  <si>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</si>
  <si>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</si>
  <si>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</si>
  <si>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</si>
  <si>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</si>
  <si>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</si>
  <si>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</si>
  <si>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</si>
  <si>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</si>
  <si>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</si>
  <si>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</si>
  <si>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</si>
  <si>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</si>
  <si>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</si>
  <si>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</si>
  <si>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</si>
  <si>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</si>
  <si>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</si>
  <si>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</si>
  <si>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</si>
  <si>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</si>
  <si>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</si>
  <si>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</si>
  <si>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</si>
  <si>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</si>
  <si>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</si>
  <si>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</si>
  <si>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</si>
  <si>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</si>
  <si>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</si>
  <si>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</si>
  <si>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</si>
  <si>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</si>
  <si>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</si>
  <si>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</si>
  <si>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</si>
  <si>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</si>
  <si>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</si>
  <si>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</si>
  <si>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</si>
  <si>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</si>
  <si>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</si>
  <si>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</si>
  <si>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</si>
  <si>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</si>
  <si>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</si>
  <si>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</si>
  <si>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</si>
  <si>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</si>
  <si>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</si>
  <si>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</si>
  <si>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</si>
  <si>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</si>
  <si>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</si>
  <si>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</si>
  <si>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</si>
  <si>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</si>
  <si>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</si>
  <si>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</si>
  <si>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</si>
  <si>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</si>
  <si>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</si>
  <si>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BTE</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</si>
  <si>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</si>
  <si>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</si>
  <si>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</si>
  <si>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</si>
  <si>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</si>
  <si>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</si>
  <si>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</si>
  <si>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</si>
  <si>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</si>
  <si>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</si>
  <si>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</si>
  <si>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</si>
  <si>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</si>
  <si>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</si>
  <si>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</si>
  <si>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</si>
  <si>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</si>
  <si>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</si>
  <si>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</si>
  <si>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</si>
  <si>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</si>
  <si>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</si>
  <si>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</si>
  <si>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</si>
  <si>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</si>
  <si>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</si>
  <si>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</si>
  <si>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</si>
  <si>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</si>
  <si>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</si>
  <si>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</si>
  <si>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</si>
  <si>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</si>
  <si>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</si>
  <si>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</si>
  <si>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</si>
  <si>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</si>
  <si>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</si>
  <si>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</si>
  <si>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</si>
  <si>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</si>
  <si>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</si>
  <si>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</si>
  <si>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</si>
  <si>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</si>
  <si>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</si>
  <si>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</si>
  <si>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</si>
  <si>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</si>
  <si>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</si>
  <si>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</si>
  <si>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</si>
  <si>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</si>
  <si>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</si>
  <si>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</si>
  <si>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</si>
  <si>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</si>
  <si>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</si>
  <si>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</si>
  <si>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</si>
  <si>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</si>
  <si>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</si>
  <si>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</si>
  <si>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</si>
  <si>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</si>
  <si>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</si>
  <si>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</si>
  <si>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</si>
  <si>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</si>
  <si>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</si>
  <si>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</si>
  <si>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</si>
  <si>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</si>
  <si>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</si>
  <si>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</si>
  <si>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</si>
  <si>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</si>
  <si>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</si>
  <si>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</si>
  <si>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</si>
  <si>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</si>
  <si>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</si>
  <si>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</si>
  <si>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</si>
  <si>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</si>
  <si>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</si>
  <si>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</si>
  <si>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</si>
  <si>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</si>
  <si>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</si>
  <si>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</si>
  <si>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</si>
  <si>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</si>
  <si>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</si>
  <si>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</si>
  <si>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</si>
  <si>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</si>
  <si>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</si>
  <si>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</si>
  <si>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</si>
  <si>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</si>
  <si>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</si>
  <si>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</si>
  <si>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</si>
  <si>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</si>
  <si>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</si>
  <si>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</si>
  <si>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</si>
  <si>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</si>
  <si>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</si>
  <si>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</si>
  <si>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</si>
  <si>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</si>
  <si>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</si>
  <si>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</si>
  <si>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</si>
  <si>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</si>
  <si>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</si>
  <si>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</si>
  <si>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</si>
  <si>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</si>
  <si>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</si>
  <si>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</si>
  <si>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</si>
  <si>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</si>
  <si>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</si>
  <si>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</si>
  <si>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</si>
  <si>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</si>
  <si>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</si>
  <si>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</si>
  <si>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</si>
  <si>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</si>
  <si>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</si>
  <si>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</si>
  <si>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</si>
  <si>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</si>
  <si>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</si>
  <si>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</si>
  <si>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</si>
  <si>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</si>
  <si>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</si>
  <si>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</si>
  <si>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</si>
  <si>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</si>
  <si>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</si>
  <si>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</si>
  <si>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</si>
  <si>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</si>
  <si>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</si>
  <si>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</si>
  <si>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</si>
  <si>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</si>
  <si>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</si>
  <si>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</si>
  <si>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</si>
  <si>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</si>
  <si>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</si>
  <si>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</si>
  <si>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</si>
  <si>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</si>
  <si>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</si>
  <si>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</si>
  <si>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</si>
  <si>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</si>
  <si>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</si>
  <si>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</si>
  <si>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</si>
  <si>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</si>
  <si>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</si>
  <si>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</si>
  <si>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</si>
  <si>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</si>
  <si>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</si>
  <si>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</si>
  <si>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</si>
  <si>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</si>
  <si>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</si>
  <si>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</si>
  <si>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</si>
  <si>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</si>
  <si>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</si>
  <si>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</si>
  <si>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</si>
  <si>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</si>
  <si>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</si>
  <si>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</si>
  <si>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</si>
  <si>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</si>
  <si>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</si>
  <si>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</si>
  <si>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</si>
  <si>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</si>
  <si>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</si>
  <si>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</si>
  <si>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</si>
  <si>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</si>
  <si>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</si>
  <si>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</si>
  <si>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</si>
  <si>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</si>
  <si>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</si>
  <si>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</si>
  <si>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</si>
  <si>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</si>
  <si>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</si>
  <si>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</si>
  <si>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</si>
  <si>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</si>
  <si>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</si>
  <si>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</si>
  <si>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</si>
  <si>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</si>
  <si>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</si>
  <si>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</si>
  <si>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</si>
  <si>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</si>
  <si>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</si>
  <si>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</si>
  <si>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</si>
  <si>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</si>
  <si>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</si>
  <si>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</si>
  <si>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</si>
  <si>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</si>
  <si>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</si>
  <si>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</si>
  <si>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</si>
  <si>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</si>
  <si>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</si>
  <si>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</si>
  <si>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</si>
  <si>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</si>
  <si>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</si>
  <si>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</si>
  <si>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</si>
  <si>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</si>
  <si>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</si>
  <si>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</si>
  <si>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</si>
  <si>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</si>
  <si>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</si>
  <si>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</si>
  <si>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</si>
  <si>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</si>
  <si>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</si>
  <si>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</si>
  <si>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</si>
  <si>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</si>
  <si>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</si>
  <si>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</si>
  <si>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</si>
  <si>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</si>
  <si>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</si>
  <si>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</si>
  <si>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</si>
  <si>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</si>
  <si>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</si>
  <si>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</si>
  <si>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</si>
  <si>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</si>
  <si>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</si>
  <si>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</si>
  <si>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</si>
  <si>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</si>
  <si>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</si>
  <si>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</si>
  <si>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</si>
  <si>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</si>
  <si>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</si>
  <si>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</si>
  <si>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</si>
  <si>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</si>
  <si>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</si>
  <si>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</si>
  <si>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</si>
  <si>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</si>
  <si>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</si>
  <si>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</si>
  <si>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</si>
  <si>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</si>
  <si>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</si>
  <si>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</si>
  <si>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</si>
  <si>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</si>
  <si>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</si>
  <si>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</si>
  <si>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</si>
  <si>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</si>
  <si>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</si>
  <si>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</si>
  <si>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</si>
  <si>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</si>
  <si>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</si>
  <si>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</si>
  <si>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</si>
  <si>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</si>
  <si>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</si>
  <si>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</si>
  <si>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</si>
  <si>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</si>
  <si>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</si>
  <si>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</si>
  <si>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</si>
  <si>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</si>
  <si>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</si>
  <si>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</si>
  <si>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</si>
  <si>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</si>
  <si>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BTN</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</si>
  <si>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</si>
  <si>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</si>
  <si>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</si>
  <si>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</si>
  <si>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</si>
  <si>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</si>
  <si>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</si>
  <si>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</si>
  <si>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</si>
  <si>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</si>
  <si>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</si>
  <si>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</si>
  <si>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</si>
  <si>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</si>
  <si>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</si>
  <si>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</si>
  <si>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</si>
  <si>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</si>
  <si>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</si>
  <si>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</si>
  <si>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</si>
  <si>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</si>
  <si>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</si>
  <si>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</si>
  <si>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</si>
  <si>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</si>
  <si>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</si>
  <si>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</si>
  <si>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</si>
  <si>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</si>
  <si>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</si>
  <si>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</si>
  <si>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</si>
  <si>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</si>
  <si>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</si>
  <si>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</si>
  <si>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</si>
  <si>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</si>
  <si>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</si>
  <si>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</si>
  <si>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</si>
  <si>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</si>
  <si>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</si>
  <si>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</si>
  <si>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</si>
  <si>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</si>
  <si>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</si>
  <si>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</si>
  <si>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</si>
  <si>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</si>
  <si>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</si>
  <si>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</si>
  <si>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</si>
  <si>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</si>
  <si>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</si>
  <si>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</si>
  <si>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</si>
  <si>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</si>
  <si>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</si>
  <si>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</si>
  <si>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</si>
  <si>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</si>
  <si>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</si>
  <si>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</si>
  <si>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</si>
  <si>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</si>
  <si>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</si>
  <si>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</si>
  <si>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</si>
  <si>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</si>
  <si>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</si>
  <si>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</si>
  <si>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</si>
  <si>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</si>
  <si>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</si>
  <si>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</si>
  <si>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</si>
  <si>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</si>
  <si>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</si>
  <si>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</si>
  <si>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</si>
  <si>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</si>
  <si>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</si>
  <si>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</si>
  <si>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</si>
  <si>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</si>
  <si>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</si>
  <si>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</si>
  <si>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</si>
  <si>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</si>
  <si>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</si>
  <si>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</si>
  <si>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</si>
  <si>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</si>
  <si>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</si>
  <si>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</si>
  <si>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</si>
  <si>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</si>
  <si>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</si>
  <si>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</si>
  <si>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</si>
  <si>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</si>
  <si>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</si>
  <si>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</si>
  <si>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</si>
  <si>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</si>
  <si>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</si>
  <si>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</si>
  <si>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</si>
  <si>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</si>
  <si>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</si>
  <si>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</si>
  <si>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</si>
  <si>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</si>
  <si>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</si>
  <si>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</si>
  <si>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</si>
  <si>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</si>
  <si>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</si>
  <si>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</si>
  <si>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</si>
  <si>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</si>
  <si>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</si>
  <si>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</si>
  <si>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</si>
  <si>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</si>
  <si>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</si>
  <si>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</si>
  <si>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</si>
  <si>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</si>
  <si>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</si>
  <si>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</si>
  <si>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</si>
  <si>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</si>
  <si>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</si>
  <si>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</si>
  <si>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</si>
  <si>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</si>
  <si>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</si>
  <si>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</si>
  <si>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</si>
  <si>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</si>
  <si>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</si>
  <si>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</si>
  <si>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</si>
  <si>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</si>
  <si>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</si>
  <si>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</si>
  <si>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</si>
  <si>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</si>
  <si>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</si>
  <si>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</si>
  <si>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</si>
  <si>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</si>
  <si>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</si>
  <si>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</si>
  <si>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</si>
  <si>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</si>
  <si>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</si>
  <si>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</si>
  <si>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</si>
  <si>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</si>
  <si>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</si>
  <si>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</si>
  <si>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</si>
  <si>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</si>
  <si>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</si>
  <si>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</si>
  <si>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</si>
  <si>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</si>
  <si>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</si>
  <si>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</si>
  <si>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</si>
  <si>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</si>
  <si>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</si>
  <si>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</si>
  <si>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</si>
  <si>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</si>
  <si>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</si>
  <si>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</si>
  <si>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</si>
  <si>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</si>
  <si>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</si>
  <si>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</si>
  <si>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</si>
  <si>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</si>
  <si>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</si>
  <si>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</si>
  <si>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</si>
  <si>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</si>
  <si>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</si>
  <si>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</si>
  <si>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</si>
  <si>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</si>
  <si>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</si>
  <si>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</si>
  <si>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</si>
  <si>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</si>
  <si>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</si>
  <si>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</si>
  <si>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</si>
  <si>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</si>
  <si>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</si>
  <si>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</si>
  <si>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</si>
  <si>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</si>
  <si>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</si>
  <si>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</si>
  <si>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</si>
  <si>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</si>
  <si>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</si>
  <si>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</si>
  <si>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</si>
  <si>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</si>
  <si>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</si>
  <si>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</si>
  <si>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</si>
  <si>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</si>
  <si>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</si>
  <si>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</si>
  <si>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</si>
  <si>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</si>
  <si>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</si>
  <si>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</si>
  <si>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</si>
  <si>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</si>
  <si>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</si>
  <si>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</si>
  <si>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</si>
  <si>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</si>
  <si>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</si>
  <si>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</si>
  <si>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</si>
  <si>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</si>
  <si>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</si>
  <si>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</si>
  <si>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</si>
  <si>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</si>
  <si>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</si>
  <si>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</si>
  <si>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</si>
  <si>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</si>
  <si>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</si>
  <si>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</si>
  <si>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</si>
  <si>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</si>
  <si>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</si>
  <si>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</si>
  <si>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</si>
  <si>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</si>
  <si>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</si>
  <si>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</si>
  <si>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</si>
  <si>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</si>
  <si>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</si>
  <si>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</si>
  <si>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</si>
  <si>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</si>
  <si>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CMU</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</si>
  <si>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</si>
  <si>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</si>
  <si>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</si>
  <si>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</si>
  <si>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</si>
  <si>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</si>
  <si>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</si>
  <si>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</si>
  <si>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</si>
  <si>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</si>
  <si>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</si>
  <si>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</si>
  <si>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</si>
  <si>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</si>
  <si>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</si>
  <si>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</si>
  <si>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</si>
  <si>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</si>
  <si>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</si>
  <si>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</si>
  <si>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</si>
  <si>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</si>
  <si>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</si>
  <si>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</si>
  <si>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</si>
  <si>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</si>
  <si>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</si>
  <si>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</si>
  <si>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</si>
  <si>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</si>
  <si>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</si>
  <si>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</si>
  <si>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</si>
  <si>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</si>
  <si>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</si>
  <si>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</si>
  <si>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</si>
  <si>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</si>
  <si>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</si>
  <si>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</si>
  <si>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</si>
  <si>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</si>
  <si>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</si>
  <si>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</si>
  <si>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</si>
  <si>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</si>
  <si>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</si>
  <si>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</si>
  <si>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</si>
  <si>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</si>
  <si>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</si>
  <si>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</si>
  <si>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</si>
  <si>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</si>
  <si>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</si>
  <si>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</si>
  <si>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</si>
  <si>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</si>
  <si>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</si>
  <si>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</si>
  <si>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</si>
  <si>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</si>
  <si>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</si>
  <si>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</si>
  <si>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</si>
  <si>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</si>
  <si>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</si>
  <si>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</si>
  <si>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</si>
  <si>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</si>
  <si>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</si>
  <si>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</si>
  <si>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</si>
  <si>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</si>
  <si>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</si>
  <si>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</si>
  <si>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</si>
  <si>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</si>
  <si>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</si>
  <si>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</si>
  <si>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</si>
  <si>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</si>
  <si>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</si>
  <si>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</si>
  <si>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</si>
  <si>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</si>
  <si>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</si>
  <si>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</si>
  <si>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</si>
  <si>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</si>
  <si>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</si>
  <si>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</si>
  <si>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</si>
  <si>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</si>
  <si>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</si>
  <si>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</si>
  <si>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</si>
  <si>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</si>
  <si>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</si>
  <si>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</si>
  <si>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</si>
  <si>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</si>
  <si>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</si>
  <si>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</si>
  <si>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</si>
  <si>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</si>
  <si>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</si>
  <si>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</si>
  <si>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</si>
  <si>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</si>
  <si>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</si>
  <si>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</si>
  <si>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</si>
  <si>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</si>
  <si>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</si>
  <si>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</si>
  <si>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</si>
  <si>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</si>
  <si>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</si>
  <si>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</si>
  <si>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</si>
  <si>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</si>
  <si>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</si>
  <si>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</si>
  <si>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</si>
  <si>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</si>
  <si>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</si>
  <si>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</si>
  <si>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</si>
  <si>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</si>
  <si>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</si>
  <si>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</si>
  <si>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</si>
  <si>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</si>
  <si>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</si>
  <si>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</si>
  <si>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</si>
  <si>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</si>
  <si>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</si>
  <si>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</si>
  <si>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</si>
  <si>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</si>
  <si>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</si>
  <si>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</si>
  <si>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</si>
  <si>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</si>
  <si>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</si>
  <si>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</si>
  <si>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</si>
  <si>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</si>
  <si>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</si>
  <si>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</si>
  <si>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</si>
  <si>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</si>
  <si>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</si>
  <si>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</si>
  <si>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</si>
  <si>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</si>
  <si>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</si>
  <si>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</si>
  <si>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</si>
  <si>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</si>
  <si>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</si>
  <si>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</si>
  <si>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</si>
  <si>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</si>
  <si>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</si>
  <si>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</si>
  <si>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</si>
  <si>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</si>
  <si>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</si>
  <si>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</si>
  <si>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</si>
  <si>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</si>
  <si>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</si>
  <si>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</si>
  <si>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</si>
  <si>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</si>
  <si>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</si>
  <si>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</si>
  <si>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</si>
  <si>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</si>
  <si>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</si>
  <si>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</si>
  <si>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</si>
  <si>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</si>
  <si>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</si>
  <si>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</si>
  <si>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</si>
  <si>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</si>
  <si>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</si>
  <si>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</si>
  <si>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</si>
  <si>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</si>
  <si>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</si>
  <si>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</si>
  <si>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</si>
  <si>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</si>
  <si>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CTO</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</si>
  <si>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</si>
  <si>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</si>
  <si>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</si>
  <si>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</si>
  <si>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</si>
  <si>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</si>
  <si>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</si>
  <si>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</si>
  <si>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</si>
  <si>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</si>
  <si>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</si>
  <si>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</si>
  <si>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</si>
  <si>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</si>
  <si>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</si>
  <si>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</si>
  <si>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</si>
  <si>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</si>
  <si>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</si>
  <si>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</si>
  <si>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</si>
  <si>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</si>
  <si>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</si>
  <si>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</si>
  <si>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</si>
  <si>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</si>
  <si>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</si>
  <si>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</si>
  <si>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</si>
  <si>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</si>
  <si>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</si>
  <si>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</si>
  <si>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</si>
  <si>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</si>
  <si>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</si>
  <si>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</si>
  <si>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</si>
  <si>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</si>
  <si>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</si>
  <si>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</si>
  <si>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</si>
  <si>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</si>
  <si>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</si>
  <si>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</si>
  <si>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</si>
  <si>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</si>
  <si>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</si>
  <si>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</si>
  <si>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</si>
  <si>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</si>
  <si>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</si>
  <si>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</si>
  <si>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</si>
  <si>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</si>
  <si>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</si>
  <si>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</si>
  <si>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</si>
  <si>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</si>
  <si>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</si>
  <si>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</si>
  <si>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</si>
  <si>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</si>
  <si>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</si>
  <si>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</si>
  <si>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</si>
  <si>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</si>
  <si>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</si>
  <si>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</si>
  <si>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</si>
  <si>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</si>
  <si>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</si>
  <si>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</si>
  <si>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</si>
  <si>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</si>
  <si>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</si>
  <si>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</si>
  <si>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</si>
  <si>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</si>
  <si>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</si>
  <si>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</si>
  <si>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</si>
  <si>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</si>
  <si>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</si>
  <si>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</si>
  <si>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</si>
  <si>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</si>
  <si>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</si>
  <si>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</si>
  <si>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</si>
  <si>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</si>
  <si>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</si>
  <si>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</si>
  <si>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</si>
  <si>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</si>
  <si>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</si>
  <si>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</si>
  <si>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</si>
  <si>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</si>
  <si>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</si>
  <si>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</si>
  <si>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</si>
  <si>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</si>
  <si>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</si>
  <si>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</si>
  <si>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</si>
  <si>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</si>
  <si>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</si>
  <si>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</si>
  <si>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</si>
  <si>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</si>
  <si>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</si>
  <si>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</si>
  <si>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</si>
  <si>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</si>
  <si>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</si>
  <si>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</si>
  <si>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</si>
  <si>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</si>
  <si>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</si>
  <si>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</si>
  <si>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</si>
  <si>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</si>
  <si>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</si>
  <si>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</si>
  <si>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</si>
  <si>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</si>
  <si>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</si>
  <si>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</si>
  <si>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</si>
  <si>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</si>
  <si>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</si>
  <si>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</si>
  <si>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</si>
  <si>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</si>
  <si>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</si>
  <si>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</si>
  <si>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</si>
  <si>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</si>
  <si>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</si>
  <si>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</si>
  <si>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</si>
  <si>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</si>
  <si>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</si>
  <si>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</si>
  <si>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</si>
  <si>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</si>
  <si>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</si>
  <si>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</si>
  <si>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</si>
  <si>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</si>
  <si>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</si>
  <si>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</si>
  <si>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</si>
  <si>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</si>
  <si>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</si>
  <si>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</si>
  <si>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</si>
  <si>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</si>
  <si>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</si>
  <si>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</si>
  <si>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</si>
  <si>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</si>
  <si>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</si>
  <si>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</si>
  <si>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</si>
  <si>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</si>
  <si>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</si>
  <si>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</si>
  <si>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</si>
  <si>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</si>
  <si>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</si>
  <si>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</si>
  <si>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</si>
  <si>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</si>
  <si>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</si>
  <si>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</si>
  <si>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</si>
  <si>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DNI</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</si>
  <si>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</si>
  <si>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</si>
  <si>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</si>
  <si>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</si>
  <si>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</si>
  <si>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</si>
  <si>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</si>
  <si>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</si>
  <si>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</si>
  <si>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</si>
  <si>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</si>
  <si>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</si>
  <si>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</si>
  <si>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</si>
  <si>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</si>
  <si>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</si>
  <si>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</si>
  <si>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</si>
  <si>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</si>
  <si>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</si>
  <si>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</si>
  <si>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</si>
  <si>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</si>
  <si>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</si>
  <si>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</si>
  <si>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</si>
  <si>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</si>
  <si>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</si>
  <si>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</si>
  <si>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</si>
  <si>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</si>
  <si>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</si>
  <si>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</si>
  <si>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</si>
  <si>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</si>
  <si>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</si>
  <si>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</si>
  <si>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</si>
  <si>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</si>
  <si>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</si>
  <si>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</si>
  <si>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</si>
  <si>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</si>
  <si>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</si>
  <si>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</si>
  <si>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</si>
  <si>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</si>
  <si>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</si>
  <si>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</si>
  <si>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</si>
  <si>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</si>
  <si>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</si>
  <si>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</si>
  <si>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</si>
  <si>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</si>
  <si>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</si>
  <si>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</si>
  <si>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</si>
  <si>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</si>
  <si>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</si>
  <si>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</si>
  <si>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</si>
  <si>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</si>
  <si>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</si>
  <si>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</si>
  <si>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</si>
  <si>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</si>
  <si>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</si>
  <si>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</si>
  <si>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</si>
  <si>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</si>
  <si>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</si>
  <si>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</si>
  <si>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</si>
  <si>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</si>
  <si>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</si>
  <si>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</si>
  <si>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</si>
  <si>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</si>
  <si>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</si>
  <si>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</si>
  <si>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</si>
  <si>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</si>
  <si>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</si>
  <si>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</si>
  <si>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</si>
  <si>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</si>
  <si>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</si>
  <si>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</si>
  <si>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</si>
  <si>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</si>
  <si>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</si>
  <si>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</si>
  <si>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</si>
  <si>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</si>
  <si>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</si>
  <si>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</si>
  <si>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</si>
  <si>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</si>
  <si>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</si>
  <si>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</si>
  <si>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</si>
  <si>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</si>
  <si>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</si>
  <si>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</si>
  <si>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</si>
  <si>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</si>
  <si>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</si>
  <si>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</si>
  <si>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</si>
  <si>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</si>
  <si>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</si>
  <si>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</si>
  <si>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</si>
  <si>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</si>
  <si>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</si>
  <si>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</si>
  <si>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</si>
  <si>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</si>
  <si>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</si>
  <si>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</si>
  <si>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</si>
  <si>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</si>
  <si>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</si>
  <si>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</si>
  <si>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</si>
  <si>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</si>
  <si>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</si>
  <si>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</si>
  <si>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</si>
  <si>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</si>
  <si>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</si>
  <si>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</si>
  <si>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</si>
  <si>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</si>
  <si>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</si>
  <si>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</si>
  <si>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</si>
  <si>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</si>
  <si>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</si>
  <si>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</si>
  <si>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</si>
  <si>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</si>
  <si>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</si>
  <si>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</si>
  <si>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</si>
  <si>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</si>
  <si>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</si>
  <si>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</si>
  <si>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</si>
  <si>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</si>
  <si>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</si>
  <si>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</si>
  <si>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</si>
  <si>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</si>
  <si>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</si>
  <si>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</si>
  <si>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</si>
  <si>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</si>
  <si>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</si>
  <si>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</si>
  <si>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</si>
  <si>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</si>
  <si>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</si>
  <si>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</si>
  <si>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</si>
  <si>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</si>
  <si>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</si>
  <si>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</si>
  <si>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</si>
  <si>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</si>
  <si>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</si>
  <si>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</si>
  <si>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</si>
  <si>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</si>
  <si>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</si>
  <si>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</si>
  <si>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</si>
  <si>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</si>
  <si>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</si>
  <si>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</si>
  <si>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</si>
  <si>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</si>
  <si>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</si>
  <si>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</si>
  <si>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</si>
  <si>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</si>
  <si>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</si>
  <si>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</si>
  <si>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</si>
  <si>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</si>
  <si>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</si>
  <si>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</si>
  <si>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</si>
  <si>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</si>
  <si>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</si>
  <si>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</si>
  <si>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</si>
  <si>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</si>
  <si>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</si>
  <si>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</si>
  <si>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</si>
  <si>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</si>
  <si>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</si>
  <si>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</si>
  <si>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</si>
  <si>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</si>
  <si>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</si>
  <si>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</si>
  <si>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</si>
  <si>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</si>
  <si>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</si>
  <si>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</si>
  <si>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</si>
  <si>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</si>
  <si>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</si>
  <si>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</si>
  <si>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</si>
  <si>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</si>
  <si>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</si>
  <si>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</si>
  <si>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</si>
  <si>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</si>
  <si>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</si>
  <si>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</si>
  <si>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</si>
  <si>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</si>
  <si>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</si>
  <si>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</si>
  <si>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</si>
  <si>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</si>
  <si>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</si>
  <si>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</si>
  <si>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</si>
  <si>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</si>
  <si>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</si>
  <si>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</si>
  <si>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</si>
  <si>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</si>
  <si>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</si>
  <si>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</si>
  <si>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</si>
  <si>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</si>
  <si>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</si>
  <si>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</si>
  <si>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</si>
  <si>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</si>
  <si>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</si>
  <si>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</si>
  <si>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</si>
  <si>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</si>
  <si>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</si>
  <si>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</si>
  <si>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</si>
  <si>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</si>
  <si>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</si>
  <si>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</si>
  <si>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</si>
  <si>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</si>
  <si>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</si>
  <si>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</si>
  <si>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</si>
  <si>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</si>
  <si>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</si>
  <si>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</si>
  <si>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</si>
  <si>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</si>
  <si>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</si>
  <si>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</si>
  <si>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</si>
  <si>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</si>
  <si>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</si>
  <si>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</si>
  <si>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</si>
  <si>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</si>
  <si>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</si>
  <si>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</si>
  <si>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</si>
  <si>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</si>
  <si>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</si>
  <si>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</si>
  <si>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</si>
  <si>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</si>
  <si>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</si>
  <si>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</si>
  <si>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</si>
  <si>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</si>
  <si>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</si>
  <si>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</si>
  <si>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</si>
  <si>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</si>
  <si>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</si>
  <si>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</si>
  <si>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</si>
  <si>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</si>
  <si>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</si>
  <si>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</si>
  <si>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</si>
  <si>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</si>
  <si>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</si>
  <si>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</si>
  <si>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</si>
  <si>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</si>
  <si>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</si>
  <si>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</si>
  <si>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</si>
  <si>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</si>
  <si>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</si>
  <si>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</si>
  <si>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</si>
  <si>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</si>
  <si>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</si>
  <si>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</si>
  <si>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</si>
  <si>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</si>
  <si>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</si>
  <si>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</si>
  <si>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</si>
  <si>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</si>
  <si>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</si>
  <si>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</si>
  <si>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</si>
  <si>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</si>
  <si>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</si>
  <si>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</si>
  <si>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DTP</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</si>
  <si>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</si>
  <si>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</si>
  <si>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</si>
  <si>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</si>
  <si>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</si>
  <si>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</si>
  <si>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</si>
  <si>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</si>
  <si>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</si>
  <si>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</si>
  <si>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</si>
  <si>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</si>
  <si>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</si>
  <si>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</si>
  <si>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</si>
  <si>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</si>
  <si>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</si>
  <si>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</si>
  <si>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</si>
  <si>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</si>
  <si>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</si>
  <si>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</si>
  <si>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</si>
  <si>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</si>
  <si>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</si>
  <si>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</si>
  <si>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</si>
  <si>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</si>
  <si>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</si>
  <si>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</si>
  <si>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</si>
  <si>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</si>
  <si>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</si>
  <si>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</si>
  <si>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</si>
  <si>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</si>
  <si>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</si>
  <si>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</si>
  <si>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</si>
  <si>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</si>
  <si>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</si>
  <si>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</si>
  <si>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</si>
  <si>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</si>
  <si>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</si>
  <si>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</si>
  <si>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</si>
  <si>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</si>
  <si>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</si>
  <si>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</si>
  <si>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</si>
  <si>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</si>
  <si>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</si>
  <si>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</si>
  <si>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</si>
  <si>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</si>
  <si>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</si>
  <si>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</si>
  <si>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</si>
  <si>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</si>
  <si>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</si>
  <si>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</si>
  <si>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</si>
  <si>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</si>
  <si>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</si>
  <si>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</si>
  <si>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</si>
  <si>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</si>
  <si>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</si>
  <si>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</si>
  <si>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</si>
  <si>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</si>
  <si>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</si>
  <si>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</si>
  <si>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</si>
  <si>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</si>
  <si>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</si>
  <si>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</si>
  <si>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</si>
  <si>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</si>
  <si>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</si>
  <si>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</si>
  <si>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</si>
  <si>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</si>
  <si>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</si>
  <si>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</si>
  <si>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</si>
  <si>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</si>
  <si>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</si>
  <si>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</si>
  <si>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</si>
  <si>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</si>
  <si>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</si>
  <si>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</si>
  <si>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</si>
  <si>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</si>
  <si>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</si>
  <si>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</si>
  <si>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</si>
  <si>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</si>
  <si>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</si>
  <si>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</si>
  <si>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</si>
  <si>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</si>
  <si>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</si>
  <si>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</si>
  <si>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</si>
  <si>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</si>
  <si>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</si>
  <si>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</si>
  <si>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</si>
  <si>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</si>
  <si>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</si>
  <si>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</si>
  <si>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</si>
  <si>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</si>
  <si>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</si>
  <si>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</si>
  <si>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</si>
  <si>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</si>
  <si>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</si>
  <si>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</si>
  <si>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</si>
  <si>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</si>
  <si>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</si>
  <si>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</si>
  <si>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</si>
  <si>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</si>
  <si>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</si>
  <si>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</si>
  <si>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</si>
  <si>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</si>
  <si>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</si>
  <si>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</si>
  <si>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</si>
  <si>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</si>
  <si>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</si>
  <si>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</si>
  <si>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</si>
  <si>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</si>
  <si>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</si>
  <si>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</si>
  <si>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</si>
  <si>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</si>
  <si>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</si>
  <si>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</si>
  <si>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</si>
  <si>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</si>
  <si>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</si>
  <si>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</si>
  <si>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</si>
  <si>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</si>
  <si>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</si>
  <si>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</si>
  <si>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</si>
  <si>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</si>
  <si>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</si>
  <si>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</si>
  <si>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</si>
  <si>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</si>
  <si>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</si>
  <si>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</si>
  <si>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</si>
  <si>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</si>
  <si>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</si>
  <si>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</si>
  <si>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</si>
  <si>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</si>
  <si>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</si>
  <si>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</si>
  <si>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</si>
  <si>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</si>
  <si>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</si>
  <si>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</si>
  <si>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</si>
  <si>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</si>
  <si>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</si>
  <si>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</si>
  <si>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</si>
  <si>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</si>
  <si>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</si>
  <si>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</si>
  <si>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</si>
  <si>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</si>
  <si>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</si>
  <si>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</si>
  <si>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</si>
  <si>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</si>
  <si>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</si>
  <si>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</si>
  <si>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</si>
  <si>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</si>
  <si>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</si>
  <si>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</si>
  <si>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</si>
  <si>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</si>
  <si>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</si>
  <si>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</si>
  <si>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</si>
  <si>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</si>
  <si>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</si>
  <si>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</si>
  <si>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</si>
  <si>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</si>
  <si>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</si>
  <si>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</si>
  <si>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</si>
  <si>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</si>
  <si>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</si>
  <si>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</si>
  <si>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</si>
  <si>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</si>
  <si>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</si>
  <si>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</si>
  <si>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</si>
  <si>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</si>
  <si>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</si>
  <si>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</si>
  <si>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</si>
  <si>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</si>
  <si>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</si>
  <si>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</si>
  <si>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</si>
  <si>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</si>
  <si>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</si>
  <si>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</si>
  <si>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</si>
  <si>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</si>
  <si>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</si>
  <si>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</si>
  <si>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</si>
  <si>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</si>
  <si>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</si>
  <si>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</si>
  <si>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</si>
  <si>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</si>
  <si>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</si>
  <si>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</si>
  <si>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</si>
  <si>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</si>
  <si>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</si>
  <si>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</si>
  <si>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</si>
  <si>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</si>
  <si>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</si>
  <si>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</si>
  <si>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</si>
  <si>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</si>
  <si>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</si>
  <si>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</si>
  <si>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</si>
  <si>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</si>
  <si>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</si>
  <si>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HCM</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</si>
  <si>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</si>
  <si>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</si>
  <si>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</si>
  <si>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</si>
  <si>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</si>
  <si>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</si>
  <si>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</si>
  <si>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</si>
  <si>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</si>
  <si>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</si>
  <si>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</si>
  <si>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</si>
  <si>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</si>
  <si>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</si>
  <si>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</si>
  <si>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</si>
  <si>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</si>
  <si>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</si>
  <si>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</si>
  <si>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</si>
  <si>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</si>
  <si>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</si>
  <si>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</si>
  <si>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</si>
  <si>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</si>
  <si>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</si>
  <si>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</si>
  <si>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</si>
  <si>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</si>
  <si>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</si>
  <si>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</si>
  <si>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</si>
  <si>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</si>
  <si>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</si>
  <si>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</si>
  <si>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</si>
  <si>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</si>
  <si>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</si>
  <si>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</si>
  <si>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</si>
  <si>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</si>
  <si>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</si>
  <si>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</si>
  <si>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</si>
  <si>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</si>
  <si>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</si>
  <si>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</si>
  <si>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</si>
  <si>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</si>
  <si>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</si>
  <si>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</si>
  <si>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</si>
  <si>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</si>
  <si>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</si>
  <si>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</si>
  <si>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</si>
  <si>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</si>
  <si>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</si>
  <si>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</si>
  <si>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</si>
  <si>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</si>
  <si>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</si>
  <si>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</si>
  <si>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</si>
  <si>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</si>
  <si>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</si>
  <si>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</si>
  <si>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</si>
  <si>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</si>
  <si>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</si>
  <si>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</si>
  <si>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</si>
  <si>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</si>
  <si>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</si>
  <si>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</si>
  <si>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</si>
  <si>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</si>
  <si>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</si>
  <si>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</si>
  <si>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</si>
  <si>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</si>
  <si>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</si>
  <si>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</si>
  <si>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</si>
  <si>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</si>
  <si>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</si>
  <si>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</si>
  <si>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</si>
  <si>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</si>
  <si>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</si>
  <si>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</si>
  <si>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</si>
  <si>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</si>
  <si>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</si>
  <si>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</si>
  <si>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</si>
  <si>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</si>
  <si>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</si>
  <si>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</si>
  <si>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</si>
  <si>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</si>
  <si>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</si>
  <si>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</si>
  <si>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</si>
  <si>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</si>
  <si>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</si>
  <si>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</si>
  <si>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</si>
  <si>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</si>
  <si>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</si>
  <si>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</si>
  <si>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</si>
  <si>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</si>
  <si>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</si>
  <si>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</si>
  <si>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</si>
  <si>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</si>
  <si>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</si>
  <si>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</si>
  <si>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</si>
  <si>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</si>
  <si>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</si>
  <si>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</si>
  <si>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</si>
  <si>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</si>
  <si>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</si>
  <si>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</si>
  <si>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</si>
  <si>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</si>
  <si>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</si>
  <si>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</si>
  <si>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</si>
  <si>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</si>
  <si>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</si>
  <si>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</si>
  <si>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</si>
  <si>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</si>
  <si>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</si>
  <si>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</si>
  <si>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</si>
  <si>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</si>
  <si>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</si>
  <si>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</si>
  <si>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</si>
  <si>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</si>
  <si>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</si>
  <si>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</si>
  <si>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</si>
  <si>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</si>
  <si>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</si>
  <si>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</si>
  <si>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</si>
  <si>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</si>
  <si>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</si>
  <si>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</si>
  <si>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</si>
  <si>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</si>
  <si>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</si>
  <si>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</si>
  <si>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</si>
  <si>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</si>
  <si>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</si>
  <si>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</si>
  <si>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</si>
  <si>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</si>
  <si>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</si>
  <si>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</si>
  <si>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</si>
  <si>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</si>
  <si>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</si>
  <si>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</si>
  <si>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</si>
  <si>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</si>
  <si>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</si>
  <si>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</si>
  <si>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</si>
  <si>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</si>
  <si>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</si>
  <si>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</si>
  <si>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</si>
  <si>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</si>
  <si>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</si>
  <si>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</si>
  <si>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</si>
  <si>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</si>
  <si>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</si>
  <si>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</si>
  <si>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</si>
  <si>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</si>
  <si>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</si>
  <si>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</si>
  <si>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</si>
  <si>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</si>
  <si>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</si>
  <si>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</si>
  <si>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</si>
  <si>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</si>
  <si>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</si>
  <si>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</si>
  <si>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</si>
  <si>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</si>
  <si>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</si>
  <si>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</si>
  <si>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</si>
  <si>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</si>
  <si>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</si>
  <si>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</si>
  <si>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</si>
  <si>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</si>
  <si>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</si>
  <si>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</si>
  <si>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</si>
  <si>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</si>
  <si>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</si>
  <si>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</si>
  <si>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</si>
  <si>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</si>
  <si>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</si>
  <si>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</si>
  <si>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</si>
  <si>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</si>
  <si>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</si>
  <si>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</si>
  <si>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</si>
  <si>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</si>
  <si>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</si>
  <si>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</si>
  <si>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</si>
  <si>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</si>
  <si>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</si>
  <si>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</si>
  <si>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</si>
  <si>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</si>
  <si>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</si>
  <si>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</si>
  <si>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</si>
  <si>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</si>
  <si>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</si>
  <si>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</si>
  <si>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</si>
  <si>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</si>
  <si>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</si>
  <si>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</si>
  <si>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</si>
  <si>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</si>
  <si>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</si>
  <si>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</si>
  <si>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</si>
  <si>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</si>
  <si>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</si>
  <si>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</si>
  <si>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</si>
  <si>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</si>
  <si>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</si>
  <si>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</si>
  <si>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</si>
  <si>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</si>
  <si>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</si>
  <si>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</si>
  <si>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</si>
  <si>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</si>
  <si>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</si>
  <si>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</si>
  <si>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</si>
  <si>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</si>
  <si>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</si>
  <si>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</si>
  <si>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</si>
  <si>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</si>
  <si>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</si>
  <si>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</si>
  <si>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</si>
  <si>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</si>
  <si>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</si>
  <si>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</si>
  <si>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</si>
  <si>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</si>
  <si>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</si>
  <si>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</si>
  <si>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</si>
  <si>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</si>
  <si>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</si>
  <si>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</si>
  <si>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</si>
  <si>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</si>
  <si>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</si>
  <si>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</si>
  <si>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</si>
  <si>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</si>
  <si>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</si>
  <si>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</si>
  <si>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</si>
  <si>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</si>
  <si>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</si>
  <si>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</si>
  <si>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</si>
  <si>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</si>
  <si>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</si>
  <si>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</si>
  <si>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</si>
  <si>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</si>
  <si>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</si>
  <si>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</si>
  <si>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</si>
  <si>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</si>
  <si>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</si>
  <si>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</si>
  <si>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</si>
  <si>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</si>
  <si>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</si>
  <si>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</si>
  <si>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</si>
  <si>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</si>
  <si>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</si>
  <si>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</si>
  <si>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</si>
  <si>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</si>
  <si>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</si>
  <si>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</si>
  <si>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</si>
  <si>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</si>
  <si>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</si>
  <si>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</si>
  <si>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</si>
  <si>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</si>
  <si>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</si>
  <si>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</si>
  <si>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</si>
  <si>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</si>
  <si>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</si>
  <si>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</si>
  <si>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</si>
  <si>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</si>
  <si>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</si>
  <si>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</si>
  <si>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</si>
  <si>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</si>
  <si>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</si>
  <si>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</si>
  <si>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</si>
  <si>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</si>
  <si>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</si>
  <si>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</si>
  <si>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</si>
  <si>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</si>
  <si>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</si>
  <si>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</si>
  <si>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</si>
  <si>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</si>
  <si>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</si>
  <si>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</si>
  <si>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</si>
  <si>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</si>
  <si>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</si>
  <si>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</si>
  <si>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</si>
  <si>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</si>
  <si>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</si>
  <si>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</si>
  <si>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</si>
  <si>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</si>
  <si>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</si>
  <si>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</si>
  <si>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</si>
  <si>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</si>
  <si>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</si>
  <si>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</si>
  <si>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</si>
  <si>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</si>
  <si>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</si>
  <si>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</si>
  <si>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</si>
  <si>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</si>
  <si>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</si>
  <si>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</si>
  <si>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</si>
  <si>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</si>
  <si>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</si>
  <si>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</si>
  <si>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</si>
  <si>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</si>
  <si>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</si>
  <si>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</si>
  <si>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</si>
  <si>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</si>
  <si>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</si>
  <si>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</si>
  <si>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</si>
  <si>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</si>
  <si>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</si>
  <si>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</si>
  <si>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</si>
  <si>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</si>
  <si>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</si>
  <si>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</si>
  <si>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</si>
  <si>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</si>
  <si>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</si>
  <si>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</si>
  <si>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</si>
  <si>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</si>
  <si>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</si>
  <si>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</si>
  <si>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</si>
  <si>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</si>
  <si>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</si>
  <si>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</si>
  <si>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</si>
  <si>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</si>
  <si>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</si>
  <si>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</si>
  <si>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</si>
  <si>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</si>
  <si>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</si>
  <si>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</si>
  <si>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</si>
  <si>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</si>
  <si>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</si>
  <si>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</si>
  <si>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</si>
  <si>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</si>
  <si>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</si>
  <si>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</si>
  <si>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</si>
  <si>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</si>
  <si>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</si>
  <si>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</si>
  <si>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</si>
  <si>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</si>
  <si>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</si>
  <si>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</si>
  <si>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</si>
  <si>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</si>
  <si>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</si>
  <si>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</si>
  <si>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</si>
  <si>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</si>
  <si>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</si>
  <si>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</si>
  <si>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</si>
  <si>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</si>
  <si>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</si>
  <si>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</si>
  <si>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</si>
  <si>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</si>
  <si>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</si>
  <si>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</si>
  <si>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</si>
  <si>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</si>
  <si>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</si>
  <si>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</si>
  <si>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</si>
  <si>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</si>
  <si>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</si>
  <si>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</si>
  <si>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</si>
  <si>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</si>
  <si>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</si>
  <si>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</si>
  <si>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</si>
  <si>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</si>
  <si>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</si>
  <si>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</si>
  <si>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</si>
  <si>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</si>
  <si>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</si>
  <si>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</si>
  <si>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</si>
  <si>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</si>
  <si>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</si>
  <si>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</si>
  <si>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</si>
  <si>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</si>
  <si>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</si>
  <si>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</si>
  <si>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</si>
  <si>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</si>
  <si>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</si>
  <si>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</si>
  <si>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</si>
  <si>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</si>
  <si>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</si>
  <si>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</si>
  <si>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</si>
  <si>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</si>
  <si>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</si>
  <si>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</si>
  <si>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</si>
  <si>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</si>
  <si>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</si>
  <si>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</si>
  <si>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</si>
  <si>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</si>
  <si>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</si>
  <si>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</si>
  <si>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</si>
  <si>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</si>
  <si>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</si>
  <si>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</si>
  <si>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</si>
  <si>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</si>
  <si>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</si>
  <si>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</si>
  <si>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</si>
  <si>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</si>
  <si>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</si>
  <si>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</si>
  <si>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</si>
  <si>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</si>
  <si>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HGG</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</si>
  <si>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</si>
  <si>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</si>
  <si>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</si>
  <si>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</si>
  <si>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</si>
  <si>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</si>
  <si>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</si>
  <si>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</si>
  <si>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</si>
  <si>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</si>
  <si>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</si>
  <si>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</si>
  <si>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</si>
  <si>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</si>
  <si>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</si>
  <si>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</si>
  <si>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</si>
  <si>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</si>
  <si>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</si>
  <si>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</si>
  <si>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</si>
  <si>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</si>
  <si>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</si>
  <si>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</si>
  <si>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</si>
  <si>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</si>
  <si>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</si>
  <si>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</si>
  <si>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</si>
  <si>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</si>
  <si>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</si>
  <si>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</si>
  <si>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</si>
  <si>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</si>
  <si>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</si>
  <si>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</si>
  <si>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</si>
  <si>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</si>
  <si>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</si>
  <si>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</si>
  <si>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</si>
  <si>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</si>
  <si>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</si>
  <si>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</si>
  <si>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</si>
  <si>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</si>
  <si>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</si>
  <si>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</si>
  <si>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</si>
  <si>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</si>
  <si>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</si>
  <si>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</si>
  <si>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</si>
  <si>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</si>
  <si>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</si>
  <si>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</si>
  <si>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</si>
  <si>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</si>
  <si>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</si>
  <si>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</si>
  <si>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</si>
  <si>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</si>
  <si>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</si>
  <si>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</si>
  <si>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</si>
  <si>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</si>
  <si>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</si>
  <si>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</si>
  <si>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</si>
  <si>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</si>
  <si>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</si>
  <si>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</si>
  <si>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</si>
  <si>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</si>
  <si>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</si>
  <si>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</si>
  <si>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</si>
  <si>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</si>
  <si>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</si>
  <si>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</si>
  <si>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</si>
  <si>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</si>
  <si>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</si>
  <si>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</si>
  <si>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</si>
  <si>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</si>
  <si>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</si>
  <si>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</si>
  <si>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</si>
  <si>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</si>
  <si>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</si>
  <si>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</si>
  <si>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</si>
  <si>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</si>
  <si>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</si>
  <si>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</si>
  <si>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</si>
  <si>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</si>
  <si>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</si>
  <si>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</si>
  <si>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</si>
  <si>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</si>
  <si>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</si>
  <si>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</si>
  <si>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</si>
  <si>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</si>
  <si>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</si>
  <si>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</si>
  <si>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</si>
  <si>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</si>
  <si>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</si>
  <si>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</si>
  <si>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</si>
  <si>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</si>
  <si>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</si>
  <si>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</si>
  <si>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</si>
  <si>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</si>
  <si>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</si>
  <si>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</si>
  <si>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</si>
  <si>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</si>
  <si>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</si>
  <si>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</si>
  <si>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</si>
  <si>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</si>
  <si>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</si>
  <si>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</si>
  <si>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</si>
  <si>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</si>
  <si>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</si>
  <si>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</si>
  <si>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</si>
  <si>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</si>
  <si>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</si>
  <si>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</si>
  <si>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</si>
  <si>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</si>
  <si>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</si>
  <si>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</si>
  <si>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</si>
  <si>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</si>
  <si>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</si>
  <si>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</si>
  <si>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</si>
  <si>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</si>
  <si>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</si>
  <si>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</si>
  <si>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</si>
  <si>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KGG</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</si>
  <si>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</si>
  <si>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</si>
  <si>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</si>
  <si>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</si>
  <si>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</si>
  <si>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</si>
  <si>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</si>
  <si>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</si>
  <si>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</si>
  <si>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</si>
  <si>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</si>
  <si>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</si>
  <si>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</si>
  <si>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</si>
  <si>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</si>
  <si>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</si>
  <si>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</si>
  <si>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</si>
  <si>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</si>
  <si>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</si>
  <si>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</si>
  <si>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</si>
  <si>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</si>
  <si>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</si>
  <si>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</si>
  <si>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</si>
  <si>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</si>
  <si>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</si>
  <si>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</si>
  <si>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</si>
  <si>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</si>
  <si>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</si>
  <si>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</si>
  <si>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</si>
  <si>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</si>
  <si>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</si>
  <si>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</si>
  <si>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</si>
  <si>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</si>
  <si>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</si>
  <si>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</si>
  <si>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</si>
  <si>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</si>
  <si>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</si>
  <si>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</si>
  <si>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</si>
  <si>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</si>
  <si>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</si>
  <si>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</si>
  <si>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</si>
  <si>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</si>
  <si>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</si>
  <si>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</si>
  <si>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</si>
  <si>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</si>
  <si>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</si>
  <si>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</si>
  <si>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</si>
  <si>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</si>
  <si>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</si>
  <si>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</si>
  <si>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</si>
  <si>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</si>
  <si>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</si>
  <si>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</si>
  <si>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</si>
  <si>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</si>
  <si>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</si>
  <si>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</si>
  <si>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</si>
  <si>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</si>
  <si>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</si>
  <si>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</si>
  <si>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</si>
  <si>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</si>
  <si>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</si>
  <si>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</si>
  <si>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</si>
  <si>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</si>
  <si>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</si>
  <si>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</si>
  <si>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</si>
  <si>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</si>
  <si>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</si>
  <si>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</si>
  <si>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</si>
  <si>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</si>
  <si>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</si>
  <si>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</si>
  <si>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</si>
  <si>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</si>
  <si>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</si>
  <si>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</si>
  <si>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</si>
  <si>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</si>
  <si>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</si>
  <si>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</si>
  <si>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</si>
  <si>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</si>
  <si>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</si>
  <si>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</si>
  <si>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</si>
  <si>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</si>
  <si>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</si>
  <si>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</si>
  <si>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</si>
  <si>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</si>
  <si>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</si>
  <si>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</si>
  <si>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</si>
  <si>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</si>
  <si>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</si>
  <si>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</si>
  <si>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</si>
  <si>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</si>
  <si>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</si>
  <si>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</si>
  <si>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</si>
  <si>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</si>
  <si>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</si>
  <si>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</si>
  <si>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</si>
  <si>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</si>
  <si>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</si>
  <si>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</si>
  <si>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</si>
  <si>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</si>
  <si>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</si>
  <si>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</si>
  <si>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</si>
  <si>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</si>
  <si>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</si>
  <si>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</si>
  <si>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</si>
  <si>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</si>
  <si>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</si>
  <si>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</si>
  <si>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</si>
  <si>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</si>
  <si>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</si>
  <si>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</si>
  <si>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</si>
  <si>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</si>
  <si>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</si>
  <si>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</si>
  <si>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</si>
  <si>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</si>
  <si>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</si>
  <si>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</si>
  <si>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</si>
  <si>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</si>
  <si>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</si>
  <si>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</si>
  <si>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</si>
  <si>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</si>
  <si>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</si>
  <si>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</si>
  <si>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</si>
  <si>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</si>
  <si>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</si>
  <si>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</si>
  <si>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</si>
  <si>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</si>
  <si>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</si>
  <si>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</si>
  <si>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</si>
  <si>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</si>
  <si>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</si>
  <si>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</si>
  <si>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</si>
  <si>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</si>
  <si>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</si>
  <si>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</si>
  <si>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</si>
  <si>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</si>
  <si>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</si>
  <si>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</si>
  <si>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</si>
  <si>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</si>
  <si>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</si>
  <si>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</si>
  <si>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</si>
  <si>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</si>
  <si>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</si>
  <si>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</si>
  <si>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</si>
  <si>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</si>
  <si>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</si>
  <si>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</si>
  <si>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</si>
  <si>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</si>
  <si>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</si>
  <si>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</si>
  <si>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</si>
  <si>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</si>
  <si>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</si>
  <si>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</si>
  <si>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</si>
  <si>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</si>
  <si>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</si>
  <si>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</si>
  <si>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</si>
  <si>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</si>
  <si>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</si>
  <si>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</si>
  <si>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</si>
  <si>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</si>
  <si>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</si>
  <si>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</si>
  <si>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</si>
  <si>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</si>
  <si>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</si>
  <si>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</si>
  <si>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</si>
  <si>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</si>
  <si>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</si>
  <si>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</si>
  <si>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</si>
  <si>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</si>
  <si>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</si>
  <si>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</si>
  <si>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</si>
  <si>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</si>
  <si>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</si>
  <si>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</si>
  <si>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</si>
  <si>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</si>
  <si>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</si>
  <si>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</si>
  <si>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</si>
  <si>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</si>
  <si>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</si>
  <si>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</si>
  <si>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</si>
  <si>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</si>
  <si>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</si>
  <si>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</si>
  <si>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</si>
  <si>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</si>
  <si>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</si>
  <si>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</si>
  <si>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</si>
  <si>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</si>
  <si>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</si>
  <si>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</si>
  <si>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</si>
  <si>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</si>
  <si>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</si>
  <si>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</si>
  <si>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</si>
  <si>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</si>
  <si>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</si>
  <si>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</si>
  <si>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</si>
  <si>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</si>
  <si>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</si>
  <si>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</si>
  <si>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</si>
  <si>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</si>
  <si>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</si>
  <si>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</si>
  <si>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</si>
  <si>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</si>
  <si>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</si>
  <si>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</si>
  <si>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</si>
  <si>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</si>
  <si>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</si>
  <si>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</si>
  <si>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</si>
  <si>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</si>
  <si>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</si>
  <si>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</si>
  <si>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</si>
  <si>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</si>
  <si>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</si>
  <si>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</si>
  <si>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</si>
  <si>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</si>
  <si>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</si>
  <si>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</si>
  <si>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</si>
  <si>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</si>
  <si>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</si>
  <si>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LAN</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</si>
  <si>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</si>
  <si>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</si>
  <si>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</si>
  <si>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</si>
  <si>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</si>
  <si>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</si>
  <si>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</si>
  <si>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</si>
  <si>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</si>
  <si>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</si>
  <si>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</si>
  <si>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</si>
  <si>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</si>
  <si>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</si>
  <si>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</si>
  <si>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</si>
  <si>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</si>
  <si>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</si>
  <si>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</si>
  <si>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</si>
  <si>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</si>
  <si>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</si>
  <si>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</si>
  <si>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</si>
  <si>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</si>
  <si>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</si>
  <si>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</si>
  <si>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</si>
  <si>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</si>
  <si>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</si>
  <si>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</si>
  <si>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</si>
  <si>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</si>
  <si>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</si>
  <si>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</si>
  <si>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</si>
  <si>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</si>
  <si>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</si>
  <si>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</si>
  <si>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</si>
  <si>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</si>
  <si>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</si>
  <si>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</si>
  <si>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</si>
  <si>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</si>
  <si>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</si>
  <si>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</si>
  <si>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</si>
  <si>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</si>
  <si>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</si>
  <si>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</si>
  <si>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</si>
  <si>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</si>
  <si>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</si>
  <si>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</si>
  <si>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</si>
  <si>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</si>
  <si>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</si>
  <si>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</si>
  <si>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</si>
  <si>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</si>
  <si>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</si>
  <si>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</si>
  <si>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</si>
  <si>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</si>
  <si>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</si>
  <si>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</si>
  <si>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</si>
  <si>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</si>
  <si>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</si>
  <si>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</si>
  <si>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</si>
  <si>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</si>
  <si>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</si>
  <si>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</si>
  <si>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</si>
  <si>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</si>
  <si>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</si>
  <si>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</si>
  <si>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</si>
  <si>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</si>
  <si>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</si>
  <si>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</si>
  <si>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</si>
  <si>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</si>
  <si>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</si>
  <si>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</si>
  <si>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</si>
  <si>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</si>
  <si>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</si>
  <si>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</si>
  <si>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</si>
  <si>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</si>
  <si>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</si>
  <si>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</si>
  <si>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</si>
  <si>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</si>
  <si>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</si>
  <si>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</si>
  <si>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</si>
  <si>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</si>
  <si>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</si>
  <si>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</si>
  <si>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</si>
  <si>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</si>
  <si>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</si>
  <si>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</si>
  <si>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</si>
  <si>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</si>
  <si>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</si>
  <si>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</si>
  <si>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</si>
  <si>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</si>
  <si>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</si>
  <si>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</si>
  <si>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</si>
  <si>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</si>
  <si>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</si>
  <si>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</si>
  <si>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</si>
  <si>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</si>
  <si>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</si>
  <si>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</si>
  <si>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</si>
  <si>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</si>
  <si>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</si>
  <si>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</si>
  <si>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</si>
  <si>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</si>
  <si>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</si>
  <si>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</si>
  <si>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</si>
  <si>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</si>
  <si>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</si>
  <si>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</si>
  <si>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</si>
  <si>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</si>
  <si>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</si>
  <si>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</si>
  <si>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</si>
  <si>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</si>
  <si>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</si>
  <si>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</si>
  <si>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</si>
  <si>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</si>
  <si>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</si>
  <si>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</si>
  <si>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</si>
  <si>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</si>
  <si>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</si>
  <si>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</si>
  <si>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</si>
  <si>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</si>
  <si>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</si>
  <si>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</si>
  <si>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</si>
  <si>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</si>
  <si>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</si>
  <si>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</si>
  <si>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</si>
  <si>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</si>
  <si>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</si>
  <si>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</si>
  <si>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</si>
  <si>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</si>
  <si>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</si>
  <si>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</si>
  <si>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</si>
  <si>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</si>
  <si>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</si>
  <si>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</si>
  <si>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</si>
  <si>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</si>
  <si>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</si>
  <si>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</si>
  <si>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</si>
  <si>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</si>
  <si>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</si>
  <si>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</si>
  <si>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</si>
  <si>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</si>
  <si>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</si>
  <si>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</si>
  <si>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</si>
  <si>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</si>
  <si>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</si>
  <si>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</si>
  <si>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</si>
  <si>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</si>
  <si>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</si>
  <si>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</si>
  <si>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</si>
  <si>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</si>
  <si>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</si>
  <si>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</si>
  <si>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</si>
  <si>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</si>
  <si>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</si>
  <si>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</si>
  <si>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</si>
  <si>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</si>
  <si>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</si>
  <si>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</si>
  <si>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</si>
  <si>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</si>
  <si>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</si>
  <si>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</si>
  <si>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</si>
  <si>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</si>
  <si>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</si>
  <si>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</si>
  <si>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</si>
  <si>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</si>
  <si>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</si>
  <si>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</si>
  <si>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</si>
  <si>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</si>
  <si>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</si>
  <si>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</si>
  <si>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</si>
  <si>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</si>
  <si>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</si>
  <si>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</si>
  <si>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</si>
  <si>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</si>
  <si>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</si>
  <si>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</si>
  <si>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</si>
  <si>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</si>
  <si>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</si>
  <si>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</si>
  <si>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</si>
  <si>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</si>
  <si>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</si>
  <si>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</si>
  <si>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</si>
  <si>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</si>
  <si>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</si>
  <si>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</si>
  <si>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</si>
  <si>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</si>
  <si>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</si>
  <si>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</si>
  <si>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</si>
  <si>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</si>
  <si>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</si>
  <si>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</si>
  <si>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</si>
  <si>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</si>
  <si>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</si>
  <si>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</si>
  <si>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</si>
  <si>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</si>
  <si>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</si>
  <si>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</si>
  <si>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</si>
  <si>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</si>
  <si>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</si>
  <si>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</si>
  <si>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</si>
  <si>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</si>
  <si>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</si>
  <si>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</si>
  <si>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</si>
  <si>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</si>
  <si>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</si>
  <si>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</si>
  <si>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</si>
  <si>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</si>
  <si>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</si>
  <si>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</si>
  <si>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</si>
  <si>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</si>
  <si>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</si>
  <si>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</si>
  <si>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</si>
  <si>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</si>
  <si>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</si>
  <si>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</si>
  <si>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</si>
  <si>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</si>
  <si>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</si>
  <si>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</si>
  <si>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</si>
  <si>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</si>
  <si>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</si>
  <si>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</si>
  <si>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</si>
  <si>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</si>
  <si>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</si>
  <si>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</si>
  <si>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</si>
  <si>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</si>
  <si>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</si>
  <si>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</si>
  <si>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</si>
  <si>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</si>
  <si>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</si>
  <si>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</si>
  <si>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</si>
  <si>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</si>
  <si>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</si>
  <si>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</si>
  <si>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</si>
  <si>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</si>
  <si>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</si>
  <si>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</si>
  <si>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</si>
  <si>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</si>
  <si>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</si>
  <si>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</si>
  <si>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</si>
  <si>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</si>
  <si>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</si>
  <si>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</si>
  <si>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</si>
  <si>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</si>
  <si>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</si>
  <si>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</si>
  <si>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</si>
  <si>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</si>
  <si>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</si>
  <si>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</si>
  <si>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</si>
  <si>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</si>
  <si>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</si>
  <si>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</si>
  <si>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</si>
  <si>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</si>
  <si>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</si>
  <si>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</si>
  <si>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</si>
  <si>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</si>
  <si>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</si>
  <si>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</si>
  <si>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</si>
  <si>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</si>
  <si>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</si>
  <si>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</si>
  <si>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</si>
  <si>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</si>
  <si>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</si>
  <si>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</si>
  <si>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</si>
  <si>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</si>
  <si>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</si>
  <si>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</si>
  <si>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</si>
  <si>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</si>
  <si>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</si>
  <si>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</si>
  <si>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LDG</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</si>
  <si>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</si>
  <si>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</si>
  <si>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</si>
  <si>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</si>
  <si>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</si>
  <si>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</si>
  <si>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</si>
  <si>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</si>
  <si>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</si>
  <si>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</si>
  <si>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</si>
  <si>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</si>
  <si>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</si>
  <si>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</si>
  <si>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</si>
  <si>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</si>
  <si>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</si>
  <si>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</si>
  <si>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</si>
  <si>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</si>
  <si>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</si>
  <si>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</si>
  <si>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</si>
  <si>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</si>
  <si>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</si>
  <si>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</si>
  <si>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</si>
  <si>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</si>
  <si>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</si>
  <si>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</si>
  <si>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</si>
  <si>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</si>
  <si>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</si>
  <si>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</si>
  <si>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</si>
  <si>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</si>
  <si>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</si>
  <si>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</si>
  <si>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</si>
  <si>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</si>
  <si>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</si>
  <si>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</si>
  <si>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</si>
  <si>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</si>
  <si>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</si>
  <si>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</si>
  <si>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</si>
  <si>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</si>
  <si>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</si>
  <si>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</si>
  <si>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</si>
  <si>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</si>
  <si>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</si>
  <si>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</si>
  <si>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</si>
  <si>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</si>
  <si>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</si>
  <si>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</si>
  <si>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</si>
  <si>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</si>
  <si>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</si>
  <si>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</si>
  <si>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</si>
  <si>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</si>
  <si>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</si>
  <si>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</si>
  <si>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</si>
  <si>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</si>
  <si>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</si>
  <si>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</si>
  <si>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</si>
  <si>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</si>
  <si>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</si>
  <si>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</si>
  <si>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</si>
  <si>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</si>
  <si>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</si>
  <si>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</si>
  <si>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</si>
  <si>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</si>
  <si>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</si>
  <si>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</si>
  <si>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</si>
  <si>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</si>
  <si>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</si>
  <si>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</si>
  <si>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</si>
  <si>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</si>
  <si>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</si>
  <si>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</si>
  <si>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</si>
  <si>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</si>
  <si>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</si>
  <si>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</si>
  <si>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</si>
  <si>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</si>
  <si>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</si>
  <si>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</si>
  <si>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</si>
  <si>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</si>
  <si>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</si>
  <si>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</si>
  <si>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</si>
  <si>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</si>
  <si>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</si>
  <si>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</si>
  <si>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</si>
  <si>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</si>
  <si>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</si>
  <si>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</si>
  <si>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</si>
  <si>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</si>
  <si>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</si>
  <si>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</si>
  <si>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</si>
  <si>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</si>
  <si>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</si>
  <si>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</si>
  <si>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</si>
  <si>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</si>
  <si>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</si>
  <si>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</si>
  <si>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</si>
  <si>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</si>
  <si>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</si>
  <si>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</si>
  <si>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</si>
  <si>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</si>
  <si>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</si>
  <si>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</si>
  <si>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</si>
  <si>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</si>
  <si>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</si>
  <si>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</si>
  <si>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</si>
  <si>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</si>
  <si>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</si>
  <si>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</si>
  <si>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</si>
  <si>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</si>
  <si>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</si>
  <si>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</si>
  <si>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</si>
  <si>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</si>
  <si>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</si>
  <si>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</si>
  <si>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</si>
  <si>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</si>
  <si>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</si>
  <si>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</si>
  <si>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</si>
  <si>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</si>
  <si>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</si>
  <si>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</si>
  <si>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</si>
  <si>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</si>
  <si>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</si>
  <si>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</si>
  <si>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</si>
  <si>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</si>
  <si>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</si>
  <si>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</si>
  <si>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</si>
  <si>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</si>
  <si>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</si>
  <si>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</si>
  <si>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</si>
  <si>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</si>
  <si>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</si>
  <si>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</si>
  <si>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</si>
  <si>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</si>
  <si>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</si>
  <si>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</si>
  <si>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</si>
  <si>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</si>
  <si>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</si>
  <si>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</si>
  <si>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</si>
  <si>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</si>
  <si>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</si>
  <si>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</si>
  <si>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</si>
  <si>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</si>
  <si>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</si>
  <si>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</si>
  <si>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</si>
  <si>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</si>
  <si>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</si>
  <si>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</si>
  <si>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</si>
  <si>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</si>
  <si>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</si>
  <si>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</si>
  <si>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</si>
  <si>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</si>
  <si>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</si>
  <si>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</si>
  <si>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</si>
  <si>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</si>
  <si>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</si>
  <si>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</si>
  <si>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</si>
  <si>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</si>
  <si>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</si>
  <si>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</si>
  <si>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</si>
  <si>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</si>
  <si>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</si>
  <si>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</si>
  <si>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</si>
  <si>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</si>
  <si>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</si>
  <si>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</si>
  <si>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</si>
  <si>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</si>
  <si>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</si>
  <si>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</si>
  <si>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</si>
  <si>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</si>
  <si>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</si>
  <si>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</si>
  <si>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</si>
  <si>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</si>
  <si>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</si>
  <si>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</si>
  <si>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</si>
  <si>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</si>
  <si>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</si>
  <si>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</si>
  <si>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</si>
  <si>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</si>
  <si>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</si>
  <si>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</si>
  <si>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</si>
  <si>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</si>
  <si>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</si>
  <si>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</si>
  <si>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</si>
  <si>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</si>
  <si>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</si>
  <si>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</si>
  <si>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</si>
  <si>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</si>
  <si>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</si>
  <si>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</si>
  <si>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</si>
  <si>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</si>
  <si>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</si>
  <si>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</si>
  <si>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</si>
  <si>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</si>
  <si>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</si>
  <si>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</si>
  <si>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</si>
  <si>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</si>
  <si>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</si>
  <si>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</si>
  <si>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</si>
  <si>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</si>
  <si>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</si>
  <si>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</si>
  <si>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</si>
  <si>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</si>
  <si>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</si>
  <si>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</si>
  <si>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</si>
  <si>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</si>
  <si>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</si>
  <si>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</si>
  <si>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</si>
  <si>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</si>
  <si>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</si>
  <si>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</si>
  <si>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</si>
  <si>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</si>
  <si>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</si>
  <si>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</si>
  <si>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</si>
  <si>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</si>
  <si>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</si>
  <si>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</si>
  <si>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</si>
  <si>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</si>
  <si>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NTN</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</si>
  <si>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</si>
  <si>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</si>
  <si>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</si>
  <si>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</si>
  <si>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</si>
  <si>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</si>
  <si>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</si>
  <si>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</si>
  <si>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</si>
  <si>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</si>
  <si>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</si>
  <si>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</si>
  <si>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</si>
  <si>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</si>
  <si>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</si>
  <si>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</si>
  <si>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</si>
  <si>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</si>
  <si>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</si>
  <si>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</si>
  <si>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</si>
  <si>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</si>
  <si>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</si>
  <si>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</si>
  <si>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</si>
  <si>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</si>
  <si>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</si>
  <si>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</si>
  <si>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</si>
  <si>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</si>
  <si>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</si>
  <si>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</si>
  <si>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</si>
  <si>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</si>
  <si>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</si>
  <si>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</si>
  <si>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</si>
  <si>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</si>
  <si>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</si>
  <si>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</si>
  <si>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</si>
  <si>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</si>
  <si>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</si>
  <si>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</si>
  <si>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</si>
  <si>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</si>
  <si>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</si>
  <si>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</si>
  <si>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</si>
  <si>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</si>
  <si>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</si>
  <si>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</si>
  <si>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</si>
  <si>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</si>
  <si>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</si>
  <si>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</si>
  <si>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</si>
  <si>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</si>
  <si>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</si>
  <si>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</si>
  <si>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</si>
  <si>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</si>
  <si>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</si>
  <si>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</si>
  <si>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</si>
  <si>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</si>
  <si>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</si>
  <si>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</si>
  <si>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</si>
  <si>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</si>
  <si>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</si>
  <si>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</si>
  <si>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</si>
  <si>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</si>
  <si>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</si>
  <si>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</si>
  <si>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</si>
  <si>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</si>
  <si>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</si>
  <si>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</si>
  <si>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</si>
  <si>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</si>
  <si>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</si>
  <si>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</si>
  <si>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</si>
  <si>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</si>
  <si>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</si>
  <si>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</si>
  <si>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</si>
  <si>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</si>
  <si>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</si>
  <si>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</si>
  <si>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</si>
  <si>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</si>
  <si>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</si>
  <si>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</si>
  <si>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</si>
  <si>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</si>
  <si>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</si>
  <si>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</si>
  <si>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</si>
  <si>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</si>
  <si>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</si>
  <si>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</si>
  <si>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</si>
  <si>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</si>
  <si>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</si>
  <si>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</si>
  <si>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</si>
  <si>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</si>
  <si>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</si>
  <si>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</si>
  <si>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</si>
  <si>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</si>
  <si>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</si>
  <si>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</si>
  <si>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</si>
  <si>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</si>
  <si>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</si>
  <si>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</si>
  <si>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</si>
  <si>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</si>
  <si>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</si>
  <si>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</si>
  <si>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</si>
  <si>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</si>
  <si>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</si>
  <si>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</si>
  <si>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</si>
  <si>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</si>
  <si>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</si>
  <si>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</si>
  <si>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</si>
  <si>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STG</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</si>
  <si>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</si>
  <si>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</si>
  <si>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</si>
  <si>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</si>
  <si>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</si>
  <si>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</si>
  <si>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</si>
  <si>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</si>
  <si>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</si>
  <si>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</si>
  <si>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</si>
  <si>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</si>
  <si>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</si>
  <si>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</si>
  <si>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</si>
  <si>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</si>
  <si>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</si>
  <si>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</si>
  <si>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</si>
  <si>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</si>
  <si>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</si>
  <si>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</si>
  <si>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</si>
  <si>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</si>
  <si>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</si>
  <si>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</si>
  <si>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</si>
  <si>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</si>
  <si>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</si>
  <si>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</si>
  <si>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</si>
  <si>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</si>
  <si>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</si>
  <si>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</si>
  <si>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</si>
  <si>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</si>
  <si>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</si>
  <si>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</si>
  <si>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</si>
  <si>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</si>
  <si>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</si>
  <si>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</si>
  <si>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</si>
  <si>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</si>
  <si>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</si>
  <si>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</si>
  <si>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</si>
  <si>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</si>
  <si>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</si>
  <si>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</si>
  <si>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</si>
  <si>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</si>
  <si>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</si>
  <si>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</si>
  <si>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</si>
  <si>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</si>
  <si>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</si>
  <si>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</si>
  <si>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</si>
  <si>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</si>
  <si>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</si>
  <si>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</si>
  <si>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</si>
  <si>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</si>
  <si>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</si>
  <si>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</si>
  <si>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</si>
  <si>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</si>
  <si>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</si>
  <si>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</si>
  <si>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</si>
  <si>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</si>
  <si>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</si>
  <si>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</si>
  <si>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</si>
  <si>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</si>
  <si>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</si>
  <si>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</si>
  <si>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</si>
  <si>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</si>
  <si>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</si>
  <si>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</si>
  <si>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</si>
  <si>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</si>
  <si>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</si>
  <si>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</si>
  <si>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</si>
  <si>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</si>
  <si>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</si>
  <si>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</si>
  <si>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</si>
  <si>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</si>
  <si>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</si>
  <si>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</si>
  <si>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</si>
  <si>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</si>
  <si>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</si>
  <si>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</si>
  <si>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</si>
  <si>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</si>
  <si>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</si>
  <si>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</si>
  <si>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</si>
  <si>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</si>
  <si>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</si>
  <si>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</si>
  <si>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</si>
  <si>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</si>
  <si>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</si>
  <si>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</si>
  <si>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</si>
  <si>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</si>
  <si>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</si>
  <si>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</si>
  <si>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</si>
  <si>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</si>
  <si>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</si>
  <si>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</si>
  <si>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</si>
  <si>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</si>
  <si>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</si>
  <si>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</si>
  <si>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</si>
  <si>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</si>
  <si>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</si>
  <si>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</si>
  <si>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</si>
  <si>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</si>
  <si>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</si>
  <si>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</si>
  <si>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</si>
  <si>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</si>
  <si>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</si>
  <si>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</si>
  <si>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</si>
  <si>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</si>
  <si>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</si>
  <si>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</si>
  <si>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</si>
  <si>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</si>
  <si>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</si>
  <si>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</si>
  <si>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</si>
  <si>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</si>
  <si>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</si>
  <si>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</si>
  <si>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</si>
  <si>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</si>
  <si>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</si>
  <si>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</si>
  <si>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</si>
  <si>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</si>
  <si>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</si>
  <si>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</si>
  <si>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</si>
  <si>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</si>
  <si>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</si>
  <si>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</si>
  <si>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</si>
  <si>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</si>
  <si>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</si>
  <si>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</si>
  <si>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</si>
  <si>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</si>
  <si>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</si>
  <si>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</si>
  <si>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</si>
  <si>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</si>
  <si>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</si>
  <si>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</si>
  <si>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</si>
  <si>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</si>
  <si>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</si>
  <si>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</si>
  <si>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</si>
  <si>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</si>
  <si>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</si>
  <si>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</si>
  <si>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</si>
  <si>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</si>
  <si>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</si>
  <si>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</si>
  <si>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</si>
  <si>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</si>
  <si>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</si>
  <si>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</si>
  <si>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</si>
  <si>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</si>
  <si>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</si>
  <si>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</si>
  <si>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</si>
  <si>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</si>
  <si>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</si>
  <si>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</si>
  <si>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</si>
  <si>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</si>
  <si>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</si>
  <si>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TGG</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</si>
  <si>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</si>
  <si>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</si>
  <si>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</si>
  <si>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</si>
  <si>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</si>
  <si>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</si>
  <si>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</si>
  <si>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</si>
  <si>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</si>
  <si>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</si>
  <si>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</si>
  <si>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</si>
  <si>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</si>
  <si>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</si>
  <si>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</si>
  <si>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</si>
  <si>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</si>
  <si>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</si>
  <si>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</si>
  <si>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</si>
  <si>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</si>
  <si>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</si>
  <si>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</si>
  <si>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</si>
  <si>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</si>
  <si>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</si>
  <si>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</si>
  <si>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</si>
  <si>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</si>
  <si>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</si>
  <si>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</si>
  <si>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</si>
  <si>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</si>
  <si>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</si>
  <si>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</si>
  <si>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</si>
  <si>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</si>
  <si>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</si>
  <si>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</si>
  <si>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</si>
  <si>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</si>
  <si>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</si>
  <si>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</si>
  <si>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</si>
  <si>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</si>
  <si>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</si>
  <si>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</si>
  <si>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</si>
  <si>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</si>
  <si>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</si>
  <si>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</si>
  <si>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</si>
  <si>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</si>
  <si>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</si>
  <si>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</si>
  <si>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</si>
  <si>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</si>
  <si>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</si>
  <si>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</si>
  <si>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</si>
  <si>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</si>
  <si>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</si>
  <si>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</si>
  <si>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</si>
  <si>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</si>
  <si>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</si>
  <si>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</si>
  <si>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</si>
  <si>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</si>
  <si>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</si>
  <si>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</si>
  <si>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</si>
  <si>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</si>
  <si>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</si>
  <si>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</si>
  <si>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</si>
  <si>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</si>
  <si>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</si>
  <si>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</si>
  <si>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</si>
  <si>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</si>
  <si>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</si>
  <si>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</si>
  <si>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</si>
  <si>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</si>
  <si>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</si>
  <si>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</si>
  <si>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</si>
  <si>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</si>
  <si>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</si>
  <si>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</si>
  <si>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</si>
  <si>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</si>
  <si>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</si>
  <si>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</si>
  <si>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</si>
  <si>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</si>
  <si>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</si>
  <si>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</si>
  <si>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</si>
  <si>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</si>
  <si>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</si>
  <si>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</si>
  <si>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</si>
  <si>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</si>
  <si>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</si>
  <si>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</si>
  <si>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</si>
  <si>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</si>
  <si>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</si>
  <si>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</si>
  <si>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</si>
  <si>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</si>
  <si>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</si>
  <si>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</si>
  <si>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</si>
  <si>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</si>
  <si>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</si>
  <si>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</si>
  <si>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</si>
  <si>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</si>
  <si>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</si>
  <si>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</si>
  <si>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</si>
  <si>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</si>
  <si>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</si>
  <si>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</si>
  <si>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</si>
  <si>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</si>
  <si>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</si>
  <si>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</si>
  <si>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</si>
  <si>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</si>
  <si>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</si>
  <si>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</si>
  <si>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</si>
  <si>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</si>
  <si>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</si>
  <si>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</si>
  <si>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</si>
  <si>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</si>
  <si>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</si>
  <si>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</si>
  <si>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</si>
  <si>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</si>
  <si>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</si>
  <si>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</si>
  <si>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</si>
  <si>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</si>
  <si>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</si>
  <si>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</si>
  <si>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</si>
  <si>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</si>
  <si>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</si>
  <si>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</si>
  <si>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</si>
  <si>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</si>
  <si>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</si>
  <si>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</si>
  <si>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</si>
  <si>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</si>
  <si>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</si>
  <si>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</si>
  <si>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</si>
  <si>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</si>
  <si>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</si>
  <si>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</si>
  <si>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</si>
  <si>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</si>
  <si>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</si>
  <si>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</si>
  <si>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</si>
  <si>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</si>
  <si>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</si>
  <si>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</si>
  <si>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</si>
  <si>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</si>
  <si>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</si>
  <si>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</si>
  <si>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</si>
  <si>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</si>
  <si>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</si>
  <si>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</si>
  <si>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</si>
  <si>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</si>
  <si>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</si>
  <si>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</si>
  <si>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</si>
  <si>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</si>
  <si>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</si>
  <si>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</si>
  <si>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</si>
  <si>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</si>
  <si>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</si>
  <si>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</si>
  <si>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</si>
  <si>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</si>
  <si>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</si>
  <si>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</si>
  <si>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</si>
  <si>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</si>
  <si>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</si>
  <si>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</si>
  <si>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</si>
  <si>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</si>
  <si>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</si>
  <si>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</si>
  <si>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</si>
  <si>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</si>
  <si>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</si>
  <si>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</si>
  <si>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</si>
  <si>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</si>
  <si>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</si>
  <si>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</si>
  <si>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</si>
  <si>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</si>
  <si>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</si>
  <si>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</si>
  <si>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</si>
  <si>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</si>
  <si>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</si>
  <si>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</si>
  <si>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</si>
  <si>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</si>
  <si>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</si>
  <si>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</si>
  <si>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</si>
  <si>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</si>
  <si>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</si>
  <si>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</si>
  <si>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</si>
  <si>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</si>
  <si>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</si>
  <si>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</si>
  <si>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</si>
  <si>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</si>
  <si>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</si>
  <si>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</si>
  <si>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</si>
  <si>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</si>
  <si>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</si>
  <si>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</si>
  <si>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</si>
  <si>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</si>
  <si>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</si>
  <si>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</si>
  <si>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</si>
  <si>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</si>
  <si>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</si>
  <si>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</si>
  <si>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</si>
  <si>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</si>
  <si>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</si>
  <si>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</si>
  <si>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</si>
  <si>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</si>
  <si>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</si>
  <si>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</si>
  <si>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</si>
  <si>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</si>
  <si>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</si>
  <si>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</si>
  <si>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</si>
  <si>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</si>
  <si>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</si>
  <si>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</si>
  <si>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</si>
  <si>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</si>
  <si>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</si>
  <si>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</si>
  <si>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</si>
  <si>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</si>
  <si>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</si>
  <si>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</si>
  <si>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</si>
  <si>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</si>
  <si>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</si>
  <si>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</si>
  <si>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</si>
  <si>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</si>
  <si>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</si>
  <si>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</si>
  <si>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</si>
  <si>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</si>
  <si>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</si>
  <si>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</si>
  <si>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</si>
  <si>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</si>
  <si>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TNH</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</si>
  <si>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</si>
  <si>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</si>
  <si>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</si>
  <si>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</si>
  <si>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</si>
  <si>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</si>
  <si>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</si>
  <si>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</si>
  <si>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</si>
  <si>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</si>
  <si>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</si>
  <si>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</si>
  <si>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</si>
  <si>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</si>
  <si>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</si>
  <si>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</si>
  <si>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</si>
  <si>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</si>
  <si>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</si>
  <si>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</si>
  <si>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</si>
  <si>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</si>
  <si>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</si>
  <si>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</si>
  <si>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</si>
  <si>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</si>
  <si>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</si>
  <si>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</si>
  <si>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</si>
  <si>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</si>
  <si>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</si>
  <si>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</si>
  <si>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</si>
  <si>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</si>
  <si>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</si>
  <si>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</si>
  <si>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</si>
  <si>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</si>
  <si>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</si>
  <si>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</si>
  <si>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</si>
  <si>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</si>
  <si>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</si>
  <si>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</si>
  <si>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</si>
  <si>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</si>
  <si>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</si>
  <si>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</si>
  <si>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</si>
  <si>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</si>
  <si>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</si>
  <si>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</si>
  <si>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</si>
  <si>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</si>
  <si>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</si>
  <si>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</si>
  <si>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</si>
  <si>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</si>
  <si>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</si>
  <si>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</si>
  <si>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</si>
  <si>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</si>
  <si>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</si>
  <si>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</si>
  <si>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</si>
  <si>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</si>
  <si>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</si>
  <si>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</si>
  <si>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</si>
  <si>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</si>
  <si>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</si>
  <si>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</si>
  <si>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</si>
  <si>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</si>
  <si>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</si>
  <si>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</si>
  <si>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</si>
  <si>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</si>
  <si>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</si>
  <si>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</si>
  <si>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</si>
  <si>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</si>
  <si>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</si>
  <si>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</si>
  <si>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</si>
  <si>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</si>
  <si>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</si>
  <si>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</si>
  <si>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</si>
  <si>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</si>
  <si>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</si>
  <si>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</si>
  <si>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</si>
  <si>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</si>
  <si>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</si>
  <si>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</si>
  <si>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</si>
  <si>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</si>
  <si>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</si>
  <si>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</si>
  <si>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</si>
  <si>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</si>
  <si>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</si>
  <si>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</si>
  <si>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</si>
  <si>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</si>
  <si>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</si>
  <si>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</si>
  <si>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</si>
  <si>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</si>
  <si>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</si>
  <si>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</si>
  <si>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</si>
  <si>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</si>
  <si>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</si>
  <si>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</si>
  <si>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</si>
  <si>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</si>
  <si>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</si>
  <si>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</si>
  <si>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</si>
  <si>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</si>
  <si>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</si>
  <si>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</si>
  <si>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</si>
  <si>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</si>
  <si>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</si>
  <si>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</si>
  <si>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</si>
  <si>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</si>
  <si>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</si>
  <si>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</si>
  <si>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</si>
  <si>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</si>
  <si>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</si>
  <si>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</si>
  <si>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</si>
  <si>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</si>
  <si>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</si>
  <si>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</si>
  <si>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</si>
  <si>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</si>
  <si>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</si>
  <si>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</si>
  <si>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</si>
  <si>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</si>
  <si>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</si>
  <si>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</si>
  <si>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</si>
  <si>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</si>
  <si>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</si>
  <si>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</si>
  <si>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</si>
  <si>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</si>
  <si>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</si>
  <si>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</si>
  <si>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</si>
  <si>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</si>
  <si>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</si>
  <si>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</si>
  <si>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</si>
  <si>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</si>
  <si>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</si>
  <si>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</si>
  <si>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</si>
  <si>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</si>
  <si>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</si>
  <si>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</si>
  <si>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TVH</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</si>
  <si>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</si>
  <si>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</si>
  <si>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</si>
  <si>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</si>
  <si>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</si>
  <si>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</si>
  <si>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</si>
  <si>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</si>
  <si>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</si>
  <si>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</si>
  <si>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</si>
  <si>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</si>
  <si>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</si>
  <si>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</si>
  <si>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</si>
  <si>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</si>
  <si>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</si>
  <si>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</si>
  <si>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</si>
  <si>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</si>
  <si>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</si>
  <si>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</si>
  <si>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</si>
  <si>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</si>
  <si>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</si>
  <si>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</si>
  <si>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</si>
  <si>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</si>
  <si>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</si>
  <si>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</si>
  <si>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</si>
  <si>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</si>
  <si>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</si>
  <si>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</si>
  <si>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</si>
  <si>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</si>
  <si>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</si>
  <si>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</si>
  <si>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</si>
  <si>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</si>
  <si>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</si>
  <si>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</si>
  <si>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</si>
  <si>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</si>
  <si>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</si>
  <si>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</si>
  <si>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</si>
  <si>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</si>
  <si>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</si>
  <si>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</si>
  <si>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</si>
  <si>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</si>
  <si>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</si>
  <si>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</si>
  <si>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</si>
  <si>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</si>
  <si>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</si>
  <si>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</si>
  <si>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</si>
  <si>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</si>
  <si>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</si>
  <si>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</si>
  <si>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</si>
  <si>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</si>
  <si>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</si>
  <si>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</si>
  <si>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</si>
  <si>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</si>
  <si>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</si>
  <si>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</si>
  <si>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</si>
  <si>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</si>
  <si>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</si>
  <si>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</si>
  <si>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</si>
  <si>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</si>
  <si>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</si>
  <si>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</si>
  <si>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</si>
  <si>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</si>
  <si>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</si>
  <si>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</si>
  <si>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</si>
  <si>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</si>
  <si>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</si>
  <si>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</si>
  <si>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</si>
  <si>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</si>
  <si>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</si>
  <si>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</si>
  <si>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</si>
  <si>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</si>
  <si>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</si>
  <si>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</si>
  <si>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</si>
  <si>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</si>
  <si>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</si>
  <si>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</si>
  <si>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</si>
  <si>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</si>
  <si>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</si>
  <si>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</si>
  <si>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</si>
  <si>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</si>
  <si>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</si>
  <si>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</si>
  <si>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</si>
  <si>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</si>
  <si>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</si>
  <si>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</si>
  <si>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</si>
  <si>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</si>
  <si>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</si>
  <si>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</si>
  <si>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</si>
  <si>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</si>
  <si>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</si>
  <si>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</si>
  <si>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</si>
  <si>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</si>
  <si>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</si>
  <si>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</si>
  <si>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</si>
  <si>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</si>
  <si>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</si>
  <si>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</si>
  <si>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</si>
  <si>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</si>
  <si>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</si>
  <si>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</si>
  <si>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</si>
  <si>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</si>
  <si>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</si>
  <si>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</si>
  <si>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</si>
  <si>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</si>
  <si>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</si>
  <si>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</si>
  <si>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</si>
  <si>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</si>
  <si>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</si>
  <si>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</si>
  <si>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</si>
  <si>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</si>
  <si>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</si>
  <si>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</si>
  <si>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</si>
  <si>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</si>
  <si>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</si>
  <si>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</si>
  <si>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</si>
  <si>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</si>
  <si>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</si>
  <si>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</si>
  <si>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</si>
  <si>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</si>
  <si>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</si>
  <si>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</si>
  <si>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</si>
  <si>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</si>
  <si>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</si>
  <si>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</si>
  <si>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</si>
  <si>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</si>
  <si>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</si>
  <si>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</si>
  <si>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</si>
  <si>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</si>
  <si>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</si>
  <si>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</si>
  <si>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</si>
  <si>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</si>
  <si>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</si>
  <si>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</si>
  <si>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</si>
  <si>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</si>
  <si>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</si>
  <si>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</si>
  <si>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</si>
  <si>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</si>
  <si>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</si>
  <si>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</si>
  <si>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VLG</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</si>
  <si>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</si>
  <si>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</si>
  <si>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</si>
  <si>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</si>
  <si>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</si>
  <si>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</si>
  <si>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</si>
  <si>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</si>
  <si>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</si>
  <si>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</si>
  <si>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</si>
  <si>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</si>
  <si>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</si>
  <si>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</si>
  <si>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</si>
  <si>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</si>
  <si>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</si>
  <si>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</si>
  <si>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</si>
  <si>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</si>
  <si>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</si>
  <si>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</si>
  <si>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</si>
  <si>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</si>
  <si>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</si>
  <si>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</si>
  <si>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</si>
  <si>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</si>
  <si>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</si>
  <si>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</si>
  <si>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</si>
  <si>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</si>
  <si>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</si>
  <si>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</si>
  <si>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</si>
  <si>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</si>
  <si>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</si>
  <si>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</si>
  <si>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</si>
  <si>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</si>
  <si>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</si>
  <si>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</si>
  <si>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</si>
  <si>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</si>
  <si>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</si>
  <si>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</si>
  <si>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</si>
  <si>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</si>
  <si>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</si>
  <si>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</si>
  <si>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</si>
  <si>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</si>
  <si>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</si>
  <si>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</si>
  <si>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</si>
  <si>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</si>
  <si>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</si>
  <si>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</si>
  <si>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</si>
  <si>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</si>
  <si>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</si>
  <si>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</si>
  <si>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</si>
  <si>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</si>
  <si>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</si>
  <si>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</si>
  <si>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</si>
  <si>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</si>
  <si>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</si>
  <si>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</si>
  <si>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</si>
  <si>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</si>
  <si>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</si>
  <si>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</si>
  <si>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</si>
  <si>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</si>
  <si>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</si>
  <si>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</si>
  <si>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</si>
  <si>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</si>
  <si>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</si>
  <si>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</si>
  <si>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</si>
  <si>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</si>
  <si>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</si>
  <si>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</si>
  <si>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</si>
  <si>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</si>
  <si>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</si>
  <si>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</si>
  <si>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</si>
  <si>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</si>
  <si>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</si>
  <si>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</si>
  <si>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</si>
  <si>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</si>
  <si>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</si>
  <si>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</si>
  <si>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</si>
  <si>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</si>
  <si>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</si>
  <si>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</si>
  <si>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</si>
  <si>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</si>
  <si>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</si>
  <si>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</si>
  <si>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</si>
  <si>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</si>
  <si>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</si>
  <si>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</si>
  <si>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</si>
  <si>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</si>
  <si>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</si>
  <si>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</si>
  <si>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</si>
  <si>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</si>
  <si>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</si>
  <si>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</si>
  <si>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</si>
  <si>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</si>
  <si>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</si>
  <si>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</si>
  <si>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</si>
  <si>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</si>
  <si>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</si>
  <si>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</si>
  <si>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</si>
  <si>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</si>
  <si>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</si>
  <si>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</si>
  <si>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</si>
  <si>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</si>
  <si>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</si>
  <si>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</si>
  <si>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</si>
  <si>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</si>
  <si>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</si>
  <si>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</si>
  <si>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</si>
  <si>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</si>
  <si>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</si>
  <si>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</si>
  <si>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</si>
  <si>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</si>
  <si>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</si>
  <si>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</si>
  <si>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</si>
  <si>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</si>
  <si>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</si>
  <si>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</si>
  <si>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</si>
  <si>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</si>
  <si>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</si>
  <si>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</si>
  <si>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</si>
  <si>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</si>
  <si>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</si>
  <si>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</si>
  <si>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</si>
  <si>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</si>
  <si>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</si>
  <si>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</si>
  <si>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</si>
  <si>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</si>
  <si>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</si>
  <si>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</si>
  <si>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</si>
  <si>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</si>
  <si>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</si>
  <si>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</si>
  <si>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</si>
  <si>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</si>
  <si>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</si>
  <si>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</si>
  <si>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</si>
  <si>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</si>
  <si>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</si>
  <si>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</si>
  <si>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</si>
  <si>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</si>
  <si>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</si>
  <si>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</si>
  <si>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VTU</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</si>
  <si>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</si>
  <si>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</si>
  <si>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</si>
  <si>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</si>
  <si>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</si>
  <si>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</si>
  <si>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</si>
  <si>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</si>
  <si>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</si>
  <si>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</si>
  <si>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</si>
  <si>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</si>
  <si>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</si>
  <si>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</si>
  <si>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</si>
  <si>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</si>
  <si>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</si>
  <si>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</si>
  <si>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</si>
  <si>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</si>
  <si>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</si>
  <si>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</si>
  <si>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</si>
  <si>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</si>
  <si>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</si>
  <si>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</si>
  <si>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</si>
  <si>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</si>
  <si>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</si>
  <si>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</si>
  <si>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</si>
  <si>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</si>
  <si>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</si>
  <si>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</si>
  <si>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</si>
  <si>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</si>
  <si>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</si>
  <si>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</si>
  <si>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</si>
  <si>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</si>
  <si>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</si>
  <si>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</si>
  <si>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</si>
  <si>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</si>
  <si>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</si>
  <si>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</si>
  <si>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</si>
  <si>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</si>
  <si>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</si>
  <si>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</si>
  <si>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</si>
  <si>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</si>
  <si>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</si>
  <si>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</si>
  <si>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</si>
  <si>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</si>
  <si>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</si>
  <si>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</si>
  <si>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</si>
  <si>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</si>
  <si>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</si>
  <si>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</si>
  <si>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</si>
  <si>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</si>
  <si>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</si>
  <si>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</si>
  <si>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</si>
  <si>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</si>
  <si>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</si>
  <si>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</si>
  <si>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</si>
  <si>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</si>
  <si>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</si>
  <si>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</si>
  <si>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</si>
  <si>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</si>
  <si>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</si>
  <si>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</si>
  <si>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</si>
  <si>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</si>
  <si>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</si>
  <si>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</si>
  <si>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</si>
  <si>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</si>
  <si>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</si>
  <si>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</si>
  <si>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</si>
  <si>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</si>
  <si>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</si>
  <si>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</si>
  <si>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</si>
  <si>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</si>
  <si>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</si>
  <si>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</si>
  <si>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</si>
  <si>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</si>
  <si>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</si>
  <si>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</si>
  <si>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</si>
  <si>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</si>
  <si>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</si>
  <si>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</si>
  <si>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</si>
  <si>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</si>
  <si>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</si>
  <si>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</si>
  <si>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</si>
  <si>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</si>
  <si>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</si>
  <si>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</si>
  <si>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</si>
  <si>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</si>
  <si>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</si>
  <si>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</si>
  <si>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</si>
  <si>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</si>
  <si>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</si>
  <si>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</si>
  <si>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</si>
  <si>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</si>
  <si>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</si>
  <si>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</si>
  <si>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</si>
  <si>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</si>
  <si>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</si>
  <si>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</si>
  <si>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</si>
  <si>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</si>
  <si>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</si>
  <si>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</si>
  <si>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</si>
  <si>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</si>
  <si>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</si>
  <si>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</si>
  <si>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</si>
  <si>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</si>
  <si>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</si>
  <si>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</si>
  <si>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</si>
  <si>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</si>
  <si>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</si>
  <si>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Id</t>
  </si>
  <si>
    <t>Name</t>
  </si>
  <si>
    <t>Area</t>
  </si>
  <si>
    <t>An Giang</t>
  </si>
  <si>
    <t>Miền Nam</t>
  </si>
  <si>
    <t>Bình Dương</t>
  </si>
  <si>
    <t>BDH</t>
  </si>
  <si>
    <t>Bình Định</t>
  </si>
  <si>
    <t>Miền Trung</t>
  </si>
  <si>
    <t>BGG</t>
  </si>
  <si>
    <t>Bắc Giang</t>
  </si>
  <si>
    <t>Miền Bắc</t>
  </si>
  <si>
    <t>BKN</t>
  </si>
  <si>
    <t>Bắc Kạn</t>
  </si>
  <si>
    <t>Bạc Liêu</t>
  </si>
  <si>
    <t>BNH</t>
  </si>
  <si>
    <t>Bắc Ninh</t>
  </si>
  <si>
    <t>Bình Phước</t>
  </si>
  <si>
    <t>Bến Tre</t>
  </si>
  <si>
    <t>Bình Thuận</t>
  </si>
  <si>
    <t>CBG</t>
  </si>
  <si>
    <t>Cao Bằng</t>
  </si>
  <si>
    <t>Cà Mau</t>
  </si>
  <si>
    <t>Cần Thơ</t>
  </si>
  <si>
    <t>DBN</t>
  </si>
  <si>
    <t>Điện Biên</t>
  </si>
  <si>
    <t>DLK</t>
  </si>
  <si>
    <t>Đắk Lắk</t>
  </si>
  <si>
    <t>Đồng Nai</t>
  </si>
  <si>
    <t>DNO</t>
  </si>
  <si>
    <t>Đắk Nông</t>
  </si>
  <si>
    <t>DNG</t>
  </si>
  <si>
    <t>Đà Nẵng</t>
  </si>
  <si>
    <t>Đồng Tháp</t>
  </si>
  <si>
    <t>GLI</t>
  </si>
  <si>
    <t>Gia Lai</t>
  </si>
  <si>
    <t>HBH</t>
  </si>
  <si>
    <t>Hoà Bình</t>
  </si>
  <si>
    <t>Hồ Chí Minh</t>
  </si>
  <si>
    <t>HDG</t>
  </si>
  <si>
    <t>Hải Dương</t>
  </si>
  <si>
    <t>Hậu Giang</t>
  </si>
  <si>
    <t>HGI</t>
  </si>
  <si>
    <t>Hà Giang</t>
  </si>
  <si>
    <t>HNI</t>
  </si>
  <si>
    <t>Hà Nội</t>
  </si>
  <si>
    <t>HNM</t>
  </si>
  <si>
    <t>Hà Nam</t>
  </si>
  <si>
    <t>HPG</t>
  </si>
  <si>
    <t>Hải Phòng</t>
  </si>
  <si>
    <t>HTH</t>
  </si>
  <si>
    <t>Hà Tĩnh</t>
  </si>
  <si>
    <t>HYN</t>
  </si>
  <si>
    <t>Hưng Yên</t>
  </si>
  <si>
    <t>Kiên Giang</t>
  </si>
  <si>
    <t>KTM</t>
  </si>
  <si>
    <t>Kon Tum</t>
  </si>
  <si>
    <t>KHA</t>
  </si>
  <si>
    <t>Khánh Hòa</t>
  </si>
  <si>
    <t>Long An</t>
  </si>
  <si>
    <t>LCI</t>
  </si>
  <si>
    <t>Lào Cai</t>
  </si>
  <si>
    <t>LCU</t>
  </si>
  <si>
    <t>Lai Châu</t>
  </si>
  <si>
    <t>Lâm Đồng</t>
  </si>
  <si>
    <t>LSN</t>
  </si>
  <si>
    <t>Lạng Sơn</t>
  </si>
  <si>
    <t>NAN</t>
  </si>
  <si>
    <t>Nghệ An</t>
  </si>
  <si>
    <t>NBH</t>
  </si>
  <si>
    <t>Ninh Bình</t>
  </si>
  <si>
    <t>NDH</t>
  </si>
  <si>
    <t>Nam Định</t>
  </si>
  <si>
    <t>Ninh Thuận</t>
  </si>
  <si>
    <t>PTO</t>
  </si>
  <si>
    <t>Phú Thọ</t>
  </si>
  <si>
    <t>PYN</t>
  </si>
  <si>
    <t>Phú Yên</t>
  </si>
  <si>
    <t>QBH</t>
  </si>
  <si>
    <t>Quảng Bình</t>
  </si>
  <si>
    <t>QNI</t>
  </si>
  <si>
    <t>Quảng Ngãi</t>
  </si>
  <si>
    <t>QNM</t>
  </si>
  <si>
    <t>Quảng Nam</t>
  </si>
  <si>
    <t>QNH</t>
  </si>
  <si>
    <t>Quảng Ninh</t>
  </si>
  <si>
    <t>QTI</t>
  </si>
  <si>
    <t>Quảng Trị</t>
  </si>
  <si>
    <t>SLA</t>
  </si>
  <si>
    <t>Sơn La</t>
  </si>
  <si>
    <t>Sóc Trăng</t>
  </si>
  <si>
    <t>TBH</t>
  </si>
  <si>
    <t>Thái Bình</t>
  </si>
  <si>
    <t>Tiền Giang</t>
  </si>
  <si>
    <t>TNN</t>
  </si>
  <si>
    <t>Thái Nguyên</t>
  </si>
  <si>
    <t>Tây Ninh</t>
  </si>
  <si>
    <t>TQG</t>
  </si>
  <si>
    <t>Tuyên Quang</t>
  </si>
  <si>
    <t>TTH</t>
  </si>
  <si>
    <t>Thừa Thiên Huế</t>
  </si>
  <si>
    <t>Trà Vinh</t>
  </si>
  <si>
    <t>THA</t>
  </si>
  <si>
    <t>Thanh Hóa</t>
  </si>
  <si>
    <t>Vĩnh Long</t>
  </si>
  <si>
    <t>VPC</t>
  </si>
  <si>
    <t>Vĩnh Phúc</t>
  </si>
  <si>
    <t>Bà Rịa - Vũng Tàu</t>
  </si>
  <si>
    <t>YBI</t>
  </si>
  <si>
    <t>Yên Bái</t>
  </si>
  <si>
    <t>HƯỚNG DẪN SỬ DỤNG PHẦN MỀM</t>
  </si>
  <si>
    <t>Stt</t>
  </si>
  <si>
    <t>Nội dung</t>
  </si>
  <si>
    <t>Yêu cầu/ Ghi chú</t>
  </si>
  <si>
    <t>YÊU CẦU CẤU HÌNH</t>
  </si>
  <si>
    <t>Microsoft Office 2013 trở lên</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</si>
  <si>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</si>
  <si>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</si>
  <si>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</si>
  <si>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</si>
  <si>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</si>
  <si>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II</t>
  </si>
  <si>
    <t>COPY, CẤU HÌNH VÀ CHUYỂN ĐỔI SỐ LIỆU KIỂM ĐỊNH</t>
  </si>
  <si>
    <t>Yêu cầu đối với Sheet TT08: 
+ Tên các trường/cột nên là Tên không dấu.
+ Thứ tự các trường/cột có thể thay đổi được.</t>
  </si>
  <si>
    <t>Thực hiện chuẩn đổi số liệu kiểm định</t>
  </si>
  <si>
    <t>Thực hiện chuyển đổi số liệu kiểm định từ  Sheet TT08 -&gt; Sheet RawData -&gt; Sheet Input.</t>
  </si>
  <si>
    <t>Kiểm tra và sửa các lỗi số liệu kiểm định</t>
  </si>
  <si>
    <t>III</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</si>
  <si>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</si>
  <si>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</si>
  <si>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</si>
  <si>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</si>
  <si>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</si>
  <si>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</si>
  <si>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</si>
  <si>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</si>
  <si>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</si>
  <si>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</si>
  <si>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</si>
  <si>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</si>
  <si>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</si>
  <si>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</si>
  <si>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</si>
  <si>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</si>
  <si>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</si>
  <si>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</si>
  <si>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</si>
  <si>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</si>
  <si>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</si>
  <si>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</si>
  <si>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</si>
  <si>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</si>
  <si>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</si>
  <si>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</si>
  <si>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</si>
  <si>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</si>
  <si>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</si>
  <si>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</si>
  <si>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</si>
  <si>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</si>
  <si>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</si>
  <si>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</si>
  <si>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</si>
  <si>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</si>
  <si>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</si>
  <si>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</si>
  <si>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</si>
  <si>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</si>
  <si>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</si>
  <si>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</si>
  <si>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</si>
  <si>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</si>
  <si>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</si>
  <si>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</si>
  <si>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</si>
  <si>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</si>
  <si>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</si>
  <si>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</si>
  <si>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</si>
  <si>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</si>
  <si>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</si>
  <si>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</si>
  <si>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</si>
  <si>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</si>
  <si>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</si>
  <si>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</si>
  <si>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</si>
  <si>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</si>
  <si>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</si>
  <si>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</si>
  <si>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</si>
  <si>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</si>
  <si>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</si>
  <si>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</si>
  <si>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</si>
  <si>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</si>
  <si>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</si>
  <si>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</si>
  <si>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</si>
  <si>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</si>
  <si>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</si>
  <si>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</si>
  <si>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</si>
  <si>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</si>
  <si>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</si>
  <si>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</si>
  <si>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</si>
  <si>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</si>
  <si>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</si>
  <si>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</si>
  <si>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</si>
  <si>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</si>
  <si>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</si>
  <si>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</si>
  <si>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</si>
  <si>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</si>
  <si>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</si>
  <si>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</si>
  <si>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</si>
  <si>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</si>
  <si>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</si>
  <si>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</si>
  <si>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</si>
  <si>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</si>
  <si>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</si>
  <si>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</si>
  <si>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</si>
  <si>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</si>
  <si>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</si>
  <si>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</si>
  <si>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</si>
  <si>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</si>
  <si>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</si>
  <si>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</si>
  <si>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</si>
  <si>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</si>
  <si>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</si>
  <si>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</si>
  <si>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</si>
  <si>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</si>
  <si>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</si>
  <si>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</si>
  <si>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</si>
  <si>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</si>
  <si>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</si>
  <si>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</si>
  <si>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</si>
  <si>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</si>
  <si>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</si>
  <si>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</si>
  <si>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</si>
  <si>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</si>
  <si>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</si>
  <si>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</si>
  <si>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</si>
  <si>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</si>
  <si>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</si>
  <si>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</si>
  <si>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</si>
  <si>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</si>
  <si>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</si>
  <si>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</si>
  <si>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</si>
  <si>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</si>
  <si>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</si>
  <si>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</si>
  <si>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</si>
  <si>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</si>
  <si>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</si>
  <si>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</si>
  <si>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</si>
  <si>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</si>
  <si>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</si>
  <si>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</si>
  <si>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</si>
  <si>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</si>
  <si>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</si>
  <si>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</si>
  <si>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</si>
  <si>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</si>
  <si>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</si>
  <si>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</si>
  <si>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</si>
  <si>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</si>
  <si>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</si>
  <si>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</si>
  <si>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</si>
  <si>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</si>
  <si>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</si>
  <si>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</si>
  <si>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</si>
  <si>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</si>
  <si>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</si>
  <si>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</si>
  <si>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</si>
  <si>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</si>
  <si>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</si>
  <si>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</si>
  <si>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</si>
  <si>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</si>
  <si>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</si>
  <si>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</si>
  <si>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</si>
  <si>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</si>
  <si>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</si>
  <si>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</si>
  <si>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</si>
  <si>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</si>
  <si>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</si>
  <si>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</si>
  <si>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</si>
  <si>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</si>
  <si>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</si>
  <si>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</si>
  <si>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</si>
  <si>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</si>
  <si>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</si>
  <si>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</si>
  <si>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</si>
  <si>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</si>
  <si>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</si>
  <si>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</si>
  <si>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</si>
  <si>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</si>
  <si>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</si>
  <si>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</si>
  <si>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</si>
  <si>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</si>
  <si>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</si>
  <si>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</si>
  <si>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</si>
  <si>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</si>
  <si>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</si>
  <si>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</si>
  <si>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</si>
  <si>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</si>
  <si>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</si>
  <si>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</si>
  <si>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</si>
  <si>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</si>
  <si>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</si>
  <si>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</si>
  <si>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</si>
  <si>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</si>
  <si>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</si>
  <si>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</si>
  <si>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</si>
  <si>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</si>
  <si>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</si>
  <si>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</si>
  <si>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</si>
  <si>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</si>
  <si>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</si>
  <si>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</si>
  <si>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</si>
  <si>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</si>
  <si>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</si>
  <si>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</si>
  <si>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</si>
  <si>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</si>
  <si>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</si>
  <si>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</si>
  <si>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</si>
  <si>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</si>
  <si>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</si>
  <si>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</si>
  <si>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</si>
  <si>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</si>
  <si>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</si>
  <si>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</si>
  <si>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</si>
  <si>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</si>
  <si>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</si>
  <si>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</si>
  <si>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</si>
  <si>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</si>
  <si>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</si>
  <si>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</si>
  <si>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</si>
  <si>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</si>
  <si>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</si>
  <si>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</si>
  <si>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</si>
  <si>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</si>
  <si>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</si>
  <si>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</si>
  <si>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</si>
  <si>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</si>
  <si>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</si>
  <si>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</si>
  <si>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</si>
  <si>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</si>
  <si>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</si>
  <si>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</si>
  <si>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</si>
  <si>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</si>
  <si>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</si>
  <si>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</si>
  <si>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</si>
  <si>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</si>
  <si>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</si>
  <si>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</si>
  <si>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</si>
  <si>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</si>
  <si>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</si>
  <si>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</si>
  <si>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</si>
  <si>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</si>
  <si>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</si>
  <si>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</si>
  <si>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</si>
  <si>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</si>
  <si>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</si>
  <si>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</si>
  <si>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</si>
  <si>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</si>
  <si>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</si>
  <si>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</si>
  <si>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</si>
  <si>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</si>
  <si>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</si>
  <si>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</si>
  <si>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</si>
  <si>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</si>
  <si>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</si>
  <si>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</si>
  <si>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</si>
  <si>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</si>
  <si>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</si>
  <si>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</si>
  <si>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</si>
  <si>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</si>
  <si>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</si>
  <si>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</si>
  <si>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</si>
  <si>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</si>
  <si>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</si>
  <si>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</si>
  <si>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</si>
  <si>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</si>
  <si>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</si>
  <si>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</si>
  <si>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</si>
  <si>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</si>
  <si>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</si>
  <si>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</si>
  <si>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</si>
  <si>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</si>
  <si>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</si>
  <si>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</si>
  <si>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</si>
  <si>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</si>
  <si>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</si>
  <si>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</si>
  <si>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</si>
  <si>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</si>
  <si>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</si>
  <si>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</si>
  <si>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</si>
  <si>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</si>
  <si>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</si>
  <si>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</si>
  <si>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</si>
  <si>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</si>
  <si>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</si>
  <si>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</si>
  <si>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</si>
  <si>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</si>
  <si>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</si>
  <si>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</si>
  <si>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</si>
  <si>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</si>
  <si>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</si>
  <si>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03985</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</si>
  <si>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</si>
  <si>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</si>
  <si>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</si>
  <si>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</si>
  <si>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</si>
  <si>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</si>
  <si>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</si>
  <si>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</si>
  <si>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</si>
  <si>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</si>
  <si>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</si>
  <si>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</si>
  <si>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</si>
  <si>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03988</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</si>
  <si>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</si>
  <si>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</si>
  <si>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</si>
  <si>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</si>
  <si>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</si>
  <si>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</si>
  <si>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</si>
  <si>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</si>
  <si>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</si>
  <si>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</si>
  <si>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</si>
  <si>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</si>
  <si>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</si>
  <si>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</si>
  <si>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</si>
  <si>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</si>
  <si>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</si>
  <si>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</si>
  <si>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</si>
  <si>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</si>
  <si>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</si>
  <si>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</si>
  <si>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03991</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</si>
  <si>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</si>
  <si>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</si>
  <si>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</si>
  <si>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</si>
  <si>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</si>
  <si>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</si>
  <si>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</si>
  <si>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</si>
  <si>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</si>
  <si>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</si>
  <si>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</si>
  <si>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03994</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</si>
  <si>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</si>
  <si>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</si>
  <si>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</si>
  <si>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</si>
  <si>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</si>
  <si>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</si>
  <si>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</si>
  <si>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</si>
  <si>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</si>
  <si>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</si>
  <si>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</si>
  <si>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</si>
  <si>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</si>
  <si>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</si>
  <si>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</si>
  <si>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</si>
  <si>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</si>
  <si>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</si>
  <si>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</si>
  <si>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</si>
  <si>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</si>
  <si>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</si>
  <si>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</si>
  <si>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</si>
  <si>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</si>
  <si>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</si>
  <si>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t>
  </si>
  <si>
    <t>52m</t>
  </si>
  <si>
    <t>03997</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</si>
  <si>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</si>
  <si>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</si>
  <si>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</si>
  <si>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</si>
  <si>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</si>
  <si>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</si>
  <si>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</si>
  <si>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</si>
  <si>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</si>
  <si>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</si>
  <si>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</si>
  <si>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</si>
  <si>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</si>
  <si>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</si>
  <si>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</si>
  <si>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</si>
  <si>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04000</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</si>
  <si>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</si>
  <si>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</si>
  <si>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</si>
  <si>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</si>
  <si>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</si>
  <si>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</si>
  <si>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</si>
  <si>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</si>
  <si>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</si>
  <si>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</si>
  <si>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</si>
  <si>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</si>
  <si>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</si>
  <si>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</si>
  <si>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</si>
  <si>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</si>
  <si>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04003</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</si>
  <si>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</si>
  <si>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</si>
  <si>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</si>
  <si>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</si>
  <si>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</si>
  <si>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</si>
  <si>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</si>
  <si>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</si>
  <si>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</si>
  <si>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</si>
  <si>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</si>
  <si>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</si>
  <si>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</si>
  <si>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</si>
  <si>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</si>
  <si>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</si>
  <si>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</si>
  <si>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</si>
  <si>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</si>
  <si>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</si>
  <si>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</si>
  <si>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</si>
  <si>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</si>
  <si>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04006</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</si>
  <si>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</si>
  <si>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</si>
  <si>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</si>
  <si>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</si>
  <si>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</si>
  <si>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</si>
  <si>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</si>
  <si>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</si>
  <si>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</si>
  <si>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</si>
  <si>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</si>
  <si>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</si>
  <si>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</si>
  <si>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04009</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</si>
  <si>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</si>
  <si>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</si>
  <si>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</si>
  <si>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</si>
  <si>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</si>
  <si>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</si>
  <si>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</si>
  <si>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</si>
  <si>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</si>
  <si>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04012</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</si>
  <si>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</si>
  <si>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</si>
  <si>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</si>
  <si>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</si>
  <si>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</si>
  <si>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</si>
  <si>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</si>
  <si>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</si>
  <si>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</si>
  <si>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</si>
  <si>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</si>
  <si>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</si>
  <si>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04015</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</si>
  <si>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</si>
  <si>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</si>
  <si>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</si>
  <si>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</si>
  <si>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</si>
  <si>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</si>
  <si>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</si>
  <si>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</si>
  <si>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</si>
  <si>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</si>
  <si>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</si>
  <si>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</si>
  <si>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</si>
  <si>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04018</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</si>
  <si>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</si>
  <si>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</si>
  <si>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</si>
  <si>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</si>
  <si>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</si>
  <si>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</si>
  <si>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</si>
  <si>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</si>
  <si>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</si>
  <si>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</si>
  <si>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</si>
  <si>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</si>
  <si>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</si>
  <si>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</si>
  <si>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</si>
  <si>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</si>
  <si>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</si>
  <si>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</si>
  <si>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</si>
  <si>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</si>
  <si>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</si>
  <si>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</si>
  <si>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</si>
  <si>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</si>
  <si>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</si>
  <si>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</si>
  <si>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</si>
  <si>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</si>
  <si>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</si>
  <si>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</si>
  <si>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</si>
  <si>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</si>
  <si>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</si>
  <si>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</si>
  <si>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</si>
  <si>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</si>
  <si>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</si>
  <si>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</si>
  <si>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</si>
  <si>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</si>
  <si>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</si>
  <si>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</si>
  <si>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</si>
  <si>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</si>
  <si>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</si>
  <si>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</si>
  <si>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</si>
  <si>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</si>
  <si>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</si>
  <si>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</si>
  <si>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</si>
  <si>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</si>
  <si>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</si>
  <si>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</si>
  <si>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</si>
  <si>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</si>
  <si>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</si>
  <si>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</si>
  <si>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</si>
  <si>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</si>
  <si>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</si>
  <si>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</si>
  <si>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</si>
  <si>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</si>
  <si>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</si>
  <si>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</si>
  <si>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</si>
  <si>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</si>
  <si>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</si>
  <si>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</si>
  <si>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</si>
  <si>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</si>
  <si>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</si>
  <si>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</si>
  <si>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</si>
  <si>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</si>
  <si>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</si>
  <si>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</si>
  <si>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</si>
  <si>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</si>
  <si>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</si>
  <si>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</si>
  <si>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</si>
  <si>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</si>
  <si>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</si>
  <si>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</si>
  <si>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</si>
  <si>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</si>
  <si>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</si>
  <si>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</si>
  <si>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</si>
  <si>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</si>
  <si>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</si>
  <si>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</si>
  <si>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</si>
  <si>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</si>
  <si>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</si>
  <si>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</si>
  <si>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</si>
  <si>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</si>
  <si>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</si>
  <si>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</si>
  <si>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</si>
  <si>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</si>
  <si>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</si>
  <si>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</si>
  <si>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</si>
  <si>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</si>
  <si>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</si>
  <si>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</si>
  <si>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</si>
  <si>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</si>
  <si>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</si>
  <si>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</si>
  <si>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</si>
  <si>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</si>
  <si>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</si>
  <si>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</si>
  <si>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</si>
  <si>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</si>
  <si>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</si>
  <si>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</si>
  <si>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</si>
  <si>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</si>
  <si>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</si>
  <si>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</si>
  <si>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</si>
  <si>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</si>
  <si>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</si>
  <si>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</si>
  <si>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</si>
  <si>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</si>
  <si>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</si>
  <si>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</si>
  <si>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</si>
  <si>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</si>
  <si>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</si>
  <si>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</si>
  <si>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</si>
  <si>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</si>
  <si>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</si>
  <si>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</si>
  <si>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</si>
  <si>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</si>
  <si>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</si>
  <si>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</si>
  <si>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</si>
  <si>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</si>
  <si>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</si>
  <si>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</si>
  <si>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</si>
  <si>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</si>
  <si>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</si>
  <si>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</si>
  <si>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</si>
  <si>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</si>
  <si>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</si>
  <si>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</si>
  <si>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</si>
  <si>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</si>
  <si>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</si>
  <si>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</si>
  <si>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</si>
  <si>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</si>
  <si>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</si>
  <si>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</si>
  <si>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</si>
  <si>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</si>
  <si>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</si>
  <si>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</si>
  <si>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</si>
  <si>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</si>
  <si>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</si>
  <si>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</si>
  <si>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</si>
  <si>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</si>
  <si>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</si>
  <si>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</si>
  <si>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</si>
  <si>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</si>
  <si>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</si>
  <si>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</si>
  <si>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</si>
  <si>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</si>
  <si>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</si>
  <si>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</si>
  <si>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</si>
  <si>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</si>
  <si>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</si>
  <si>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</si>
  <si>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</si>
  <si>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</si>
  <si>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</si>
  <si>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</si>
  <si>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</si>
  <si>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</si>
  <si>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</si>
  <si>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</si>
  <si>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</si>
  <si>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</si>
  <si>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</si>
  <si>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</si>
  <si>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</si>
  <si>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</si>
  <si>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</si>
  <si>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</si>
  <si>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</si>
  <si>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</si>
  <si>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</si>
  <si>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</si>
  <si>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</si>
  <si>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</si>
  <si>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</si>
  <si>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</si>
  <si>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</si>
  <si>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</si>
  <si>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</si>
  <si>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</si>
  <si>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</si>
  <si>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</si>
  <si>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</si>
  <si>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</si>
  <si>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</si>
  <si>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</si>
  <si>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</si>
  <si>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</si>
  <si>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</si>
  <si>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</si>
  <si>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</si>
  <si>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</si>
  <si>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</si>
  <si>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</si>
  <si>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</si>
  <si>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</si>
  <si>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</si>
  <si>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</si>
  <si>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</si>
  <si>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</si>
  <si>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</si>
  <si>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</si>
  <si>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</si>
  <si>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</si>
  <si>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</si>
  <si>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</si>
  <si>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</si>
  <si>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</si>
  <si>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</si>
  <si>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</si>
  <si>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</si>
  <si>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</si>
  <si>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</si>
  <si>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</si>
  <si>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</si>
  <si>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</si>
  <si>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</si>
  <si>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</si>
  <si>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</si>
  <si>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</si>
  <si>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</si>
  <si>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</si>
  <si>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</si>
  <si>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</si>
  <si>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</si>
  <si>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</si>
  <si>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</si>
  <si>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</si>
  <si>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</si>
  <si>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</si>
  <si>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</si>
  <si>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</si>
  <si>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</si>
  <si>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</si>
  <si>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</si>
  <si>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</si>
  <si>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</si>
  <si>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</si>
  <si>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</si>
  <si>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</si>
  <si>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</si>
  <si>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</si>
  <si>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</si>
  <si>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</si>
  <si>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</si>
  <si>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</si>
  <si>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</si>
  <si>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</si>
  <si>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</si>
  <si>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</si>
  <si>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</si>
  <si>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</si>
  <si>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</si>
  <si>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</si>
  <si>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</si>
  <si>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</si>
  <si>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</si>
  <si>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</si>
  <si>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</si>
  <si>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</si>
  <si>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</si>
  <si>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</si>
  <si>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</si>
  <si>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</si>
  <si>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</si>
  <si>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</si>
  <si>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</si>
  <si>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</si>
  <si>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</si>
  <si>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</si>
  <si>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</si>
  <si>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</si>
  <si>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</si>
  <si>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</si>
  <si>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</si>
  <si>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</si>
  <si>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</si>
  <si>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</si>
  <si>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</si>
  <si>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</si>
  <si>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</si>
  <si>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</si>
  <si>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</si>
  <si>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</si>
  <si>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</si>
  <si>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</si>
  <si>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</si>
  <si>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</si>
  <si>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</si>
  <si>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</si>
  <si>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</si>
  <si>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</si>
  <si>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</si>
  <si>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</si>
  <si>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</si>
  <si>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</si>
  <si>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</si>
  <si>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</si>
  <si>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</si>
  <si>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</si>
  <si>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</si>
  <si>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</si>
  <si>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</si>
  <si>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</si>
  <si>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</si>
  <si>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</si>
  <si>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</si>
  <si>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</si>
  <si>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</si>
  <si>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</si>
  <si>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</si>
  <si>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</si>
  <si>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</si>
  <si>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</si>
  <si>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</si>
  <si>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</si>
  <si>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</si>
  <si>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</si>
  <si>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</si>
  <si>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</si>
  <si>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</si>
  <si>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</si>
  <si>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</si>
  <si>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</si>
  <si>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</si>
  <si>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</si>
  <si>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</si>
  <si>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</si>
  <si>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</si>
  <si>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</si>
  <si>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</si>
  <si>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</si>
  <si>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</si>
  <si>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</si>
  <si>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</si>
  <si>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</si>
  <si>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</si>
  <si>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</si>
  <si>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</si>
  <si>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</si>
  <si>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</si>
  <si>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</si>
  <si>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</si>
  <si>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</si>
  <si>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</si>
  <si>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</si>
  <si>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</si>
  <si>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</si>
  <si>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</si>
  <si>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</si>
  <si>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</si>
  <si>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</si>
  <si>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</si>
  <si>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</si>
  <si>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</si>
  <si>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</si>
  <si>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</si>
  <si>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</si>
  <si>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</si>
  <si>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</si>
  <si>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</si>
  <si>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</si>
  <si>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</si>
  <si>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</si>
  <si>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</si>
  <si>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</si>
  <si>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</si>
  <si>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</si>
  <si>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</si>
  <si>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</si>
  <si>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</si>
  <si>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</si>
  <si>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</si>
  <si>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</si>
  <si>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</si>
  <si>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</si>
  <si>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</si>
  <si>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</si>
  <si>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</si>
  <si>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</si>
  <si>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</si>
  <si>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</si>
  <si>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</si>
  <si>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</si>
  <si>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</si>
  <si>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</si>
  <si>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</si>
  <si>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</si>
  <si>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</si>
  <si>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</si>
  <si>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</si>
  <si>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</si>
  <si>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</si>
  <si>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</si>
  <si>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</si>
  <si>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</si>
  <si>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</si>
  <si>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</si>
  <si>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</si>
  <si>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</si>
  <si>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</si>
  <si>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</si>
  <si>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</si>
  <si>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</si>
  <si>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</si>
  <si>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</si>
  <si>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</si>
  <si>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</si>
  <si>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</si>
  <si>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</si>
  <si>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Số đơn đề nghị kiểm định</t>
  </si>
  <si>
    <t>Ngày của đơn đề nghị kiểm định</t>
  </si>
  <si>
    <t>Số trạm BTS</t>
  </si>
  <si>
    <t>3xx/VNP</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</si>
  <si>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</si>
  <si>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</si>
  <si>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</si>
  <si>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</si>
  <si>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</si>
  <si>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</si>
  <si>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</si>
  <si>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</si>
  <si>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</si>
  <si>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</si>
  <si>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Tổng công ty viễn thông MobiFone</t>
  </si>
  <si>
    <t>A.Cương</t>
  </si>
  <si>
    <t>VIETTEL-2016</t>
  </si>
  <si>
    <t>TỔNG CÔNG TY MẠNG LƯỚI VIETTEL</t>
  </si>
  <si>
    <t>Số 1, đường Trần Hữu Dực, phường Mỹ Đình 2, quận Nam Từ Liêm, thành phố Hà Nội</t>
  </si>
  <si>
    <t>024 62556789</t>
  </si>
  <si>
    <t>024 62996789</t>
  </si>
  <si>
    <t>A.Hòa</t>
  </si>
  <si>
    <t>VIETTEL-HCM</t>
  </si>
  <si>
    <t>VIETTEL THÀNH PHỐ HỒ CHÍ  MINH - CHI NHÁNH TẬP ĐOÀN CÔNG NGHIỆP - VIỄN THÔNG QUÂN ĐỘI</t>
  </si>
  <si>
    <t>VIETTEL Tp. Hồ Chí Minh</t>
  </si>
  <si>
    <t>VIETTEL</t>
  </si>
  <si>
    <t>Số 30, đường Phạm Hùng, phường Mỹ Đình 1, quận Nam Từ Liêm, thành phố Hà Nội</t>
  </si>
  <si>
    <t>024 37877777</t>
  </si>
  <si>
    <t>024 37876600</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</si>
  <si>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</si>
  <si>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</si>
  <si>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</si>
  <si>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</si>
  <si>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</si>
  <si>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</si>
  <si>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</si>
  <si>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</si>
  <si>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</si>
  <si>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</si>
  <si>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</si>
  <si>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</si>
  <si>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VNM-ĐÀ NẴNG</t>
  </si>
  <si>
    <t>CHI NHÁNH CÔNG TY CỔ PHẦN VIỄN THÔNG DI ĐỘNG VIETNAMOBILE TẠI ĐÀ NẴNG</t>
  </si>
  <si>
    <t>Tầng 5 Vĩnh Trung Plaza, số 255-257, đường Hùng Vương, quận Thanh Khê, thành phố Đà Nẵng</t>
  </si>
  <si>
    <t>023 63584348</t>
  </si>
  <si>
    <t>023 63584358</t>
  </si>
  <si>
    <t>C. Linh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</si>
  <si>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</si>
  <si>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</si>
  <si>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</si>
  <si>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</si>
  <si>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</si>
  <si>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</si>
  <si>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VNP-2016</t>
  </si>
  <si>
    <t>TRUNG TÂM HẠ TẦNG MẠNG MIỀN NAM</t>
  </si>
  <si>
    <t>Số 224, đường Thành Thái, phường 14, quận 10, Thành Phố Hồ Chí Minh</t>
  </si>
  <si>
    <t>028 38666630</t>
  </si>
  <si>
    <t>028 38666628</t>
  </si>
  <si>
    <t>A.Huy</t>
  </si>
  <si>
    <t>VNP-HCM</t>
  </si>
  <si>
    <t>Trung tâm Hạ tầng mạng Miền Nam - Chi nhánh Tổng Công ty Hạ tầng mạng</t>
  </si>
  <si>
    <t>VT</t>
  </si>
  <si>
    <t>Tập đoàn Công nghiệp - Viễn thông Quân đội</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</si>
  <si>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</si>
  <si>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</si>
  <si>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</si>
  <si>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</si>
  <si>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</si>
  <si>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</si>
  <si>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</si>
  <si>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</si>
  <si>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</si>
  <si>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</si>
  <si>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</si>
  <si>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</si>
  <si>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</si>
  <si>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</si>
  <si>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</si>
  <si>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</si>
  <si>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</si>
  <si>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</si>
  <si>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</si>
  <si>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</si>
  <si>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</si>
  <si>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</si>
  <si>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</si>
  <si>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</si>
  <si>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</si>
  <si>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</si>
  <si>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</si>
  <si>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</si>
  <si>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</si>
  <si>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</si>
  <si>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</si>
  <si>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</si>
  <si>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</si>
  <si>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</si>
  <si>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</si>
  <si>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</si>
  <si>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</si>
  <si>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</si>
  <si>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</si>
  <si>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</si>
  <si>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</si>
  <si>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</si>
  <si>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</si>
  <si>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</si>
  <si>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</si>
  <si>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</si>
  <si>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</si>
  <si>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</si>
  <si>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</si>
  <si>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</si>
  <si>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</si>
  <si>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</si>
  <si>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</si>
  <si>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</si>
  <si>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</si>
  <si>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</si>
  <si>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</si>
  <si>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</si>
  <si>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</si>
  <si>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</si>
  <si>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</si>
  <si>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</si>
  <si>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</si>
  <si>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</si>
  <si>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</si>
  <si>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</si>
  <si>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</si>
  <si>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</si>
  <si>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</si>
  <si>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</si>
  <si>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</si>
  <si>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</si>
  <si>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</si>
  <si>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</si>
  <si>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</si>
  <si>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</si>
  <si>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</si>
  <si>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</si>
  <si>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</si>
  <si>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</si>
  <si>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</si>
  <si>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</si>
  <si>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</si>
  <si>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</si>
  <si>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</si>
  <si>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</si>
  <si>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</si>
  <si>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</si>
  <si>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</si>
  <si>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</si>
  <si>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</si>
  <si>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</si>
  <si>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</si>
  <si>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</si>
  <si>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</si>
  <si>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</si>
  <si>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</si>
  <si>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</si>
  <si>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</si>
  <si>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</si>
  <si>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</si>
  <si>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</si>
  <si>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</si>
  <si>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</si>
  <si>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</si>
  <si>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</si>
  <si>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</si>
  <si>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</si>
  <si>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</si>
  <si>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</si>
  <si>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</si>
  <si>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</si>
  <si>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</si>
  <si>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VTHANOI-2016</t>
  </si>
  <si>
    <t>CÔNG TY CỔ PHẦN VIỄN THÔNG HÀ NỘI</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</si>
  <si>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</si>
  <si>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</si>
  <si>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</si>
  <si>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</si>
  <si>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</si>
  <si>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</si>
  <si>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</si>
  <si>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</si>
  <si>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</si>
  <si>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</si>
  <si>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</si>
  <si>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</si>
  <si>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</si>
  <si>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</si>
  <si>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</si>
  <si>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</si>
  <si>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</si>
  <si>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</si>
  <si>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</si>
  <si>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</si>
  <si>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</si>
  <si>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</si>
  <si>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</si>
  <si>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</si>
  <si>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</si>
  <si>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</si>
  <si>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</si>
  <si>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</si>
  <si>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</si>
  <si>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</si>
  <si>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</si>
  <si>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</si>
  <si>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</si>
  <si>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</si>
  <si>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</si>
  <si>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</si>
  <si>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</si>
  <si>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</si>
  <si>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</si>
  <si>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</si>
  <si>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</si>
  <si>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</si>
  <si>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</si>
  <si>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</si>
  <si>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</si>
  <si>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</si>
  <si>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</si>
  <si>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</si>
  <si>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</si>
  <si>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</si>
  <si>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</si>
  <si>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</si>
  <si>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</si>
  <si>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</si>
  <si>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</si>
  <si>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</si>
  <si>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</si>
  <si>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</si>
  <si>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</si>
  <si>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</si>
  <si>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</si>
  <si>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</si>
  <si>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</si>
  <si>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</si>
  <si>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</si>
  <si>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</si>
  <si>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</si>
  <si>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</si>
  <si>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</si>
  <si>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CTIN</t>
  </si>
  <si>
    <t>Công ty Cổ phần Tin học Bưu điện</t>
  </si>
  <si>
    <t>158/2 Phố Hồng Mai, phường Quỳnh Lôi, quận Hai Bà Trưng, TP. Hà Nội.</t>
  </si>
  <si>
    <t>024.68634597</t>
  </si>
  <si>
    <t>024.68632061</t>
  </si>
  <si>
    <t>KST</t>
  </si>
  <si>
    <t>CÔNG TY CỔ PHẦN KASATI</t>
  </si>
  <si>
    <t>NAMPHUONG</t>
  </si>
  <si>
    <t>Công ty CP Giải Pháp Viễn Thông Nam Phương</t>
  </si>
  <si>
    <t>PITC</t>
  </si>
  <si>
    <t>Công ty Cổ phần Đầu tư PITC</t>
  </si>
  <si>
    <t>Tầng 12A, Tòa nhà Pico Plaza, số 20 Đường Cộng Hòa, Phường 12, Quận Tân Bình, TP. Hồ Chí Minh.</t>
  </si>
  <si>
    <t>028.38426160</t>
  </si>
  <si>
    <t>028.38426919</t>
  </si>
  <si>
    <t>TST</t>
  </si>
  <si>
    <t>Công ty TST</t>
  </si>
  <si>
    <t>Dương Đình Nghệ, Q. Cầu Giấy, TP. Hà Nội.</t>
  </si>
  <si>
    <t>VCC2</t>
  </si>
  <si>
    <t>60 Tân Canh, Phường 1, Quận Tân Bình, TP. HCM</t>
  </si>
  <si>
    <t>(+84)28.3991.9066</t>
  </si>
  <si>
    <t>(+84)28.3991.9065</t>
  </si>
  <si>
    <t>VCC3</t>
  </si>
  <si>
    <t>Trung tâm Kiểm định và Chứng nhận 3</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</si>
  <si>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</si>
  <si>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</si>
  <si>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</si>
  <si>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</si>
  <si>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</si>
  <si>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</si>
  <si>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</si>
  <si>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</si>
  <si>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</si>
  <si>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</si>
  <si>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</si>
  <si>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</si>
  <si>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</si>
  <si>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</si>
  <si>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</si>
  <si>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</si>
  <si>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</si>
  <si>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</si>
  <si>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</si>
  <si>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</si>
  <si>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</si>
  <si>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</si>
  <si>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</si>
  <si>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</si>
  <si>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</si>
  <si>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</si>
  <si>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</si>
  <si>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</si>
  <si>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</si>
  <si>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</si>
  <si>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</si>
  <si>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</si>
  <si>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</si>
  <si>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</si>
  <si>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</si>
  <si>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</si>
  <si>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</si>
  <si>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</si>
  <si>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</si>
  <si>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</si>
  <si>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</si>
  <si>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</si>
  <si>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</si>
  <si>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</si>
  <si>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</si>
  <si>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</si>
  <si>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</si>
  <si>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</si>
  <si>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</si>
  <si>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</si>
  <si>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</si>
  <si>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</si>
  <si>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</si>
  <si>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</si>
  <si>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</si>
  <si>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</si>
  <si>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</si>
  <si>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</si>
  <si>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EN_CONCAT</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</si>
  <si>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</si>
  <si>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</si>
  <si>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</si>
  <si>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</si>
  <si>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</si>
  <si>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</si>
  <si>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</si>
  <si>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</si>
  <si>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</si>
  <si>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</si>
  <si>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</si>
  <si>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</si>
  <si>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</si>
  <si>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</si>
  <si>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</si>
  <si>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</si>
  <si>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</si>
  <si>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</si>
  <si>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</si>
  <si>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</si>
  <si>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</si>
  <si>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</si>
  <si>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</si>
  <si>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</si>
  <si>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</si>
  <si>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</si>
  <si>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</si>
  <si>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</si>
  <si>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</si>
  <si>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</si>
  <si>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</si>
  <si>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</si>
  <si>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</si>
  <si>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</si>
  <si>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</si>
  <si>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</si>
  <si>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</si>
  <si>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</si>
  <si>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</si>
  <si>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</si>
  <si>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</si>
  <si>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</si>
  <si>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</si>
  <si>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</si>
  <si>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</si>
  <si>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</si>
  <si>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</si>
  <si>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</si>
  <si>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</si>
  <si>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</si>
  <si>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</si>
  <si>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</si>
  <si>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</si>
  <si>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</si>
  <si>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</si>
  <si>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</si>
  <si>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</si>
  <si>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</si>
  <si>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</si>
  <si>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</si>
  <si>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</si>
  <si>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</si>
  <si>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</si>
  <si>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</si>
  <si>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</si>
  <si>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</si>
  <si>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</si>
  <si>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</si>
  <si>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</si>
  <si>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</si>
  <si>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</si>
  <si>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</si>
  <si>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</si>
  <si>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</si>
  <si>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</si>
  <si>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</si>
  <si>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</si>
  <si>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</si>
  <si>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</si>
  <si>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</si>
  <si>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</si>
  <si>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</si>
  <si>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</si>
  <si>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</si>
  <si>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</si>
  <si>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</si>
  <si>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</si>
  <si>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</si>
  <si>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</si>
  <si>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</si>
  <si>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</si>
  <si>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</si>
  <si>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</si>
  <si>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</si>
  <si>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</si>
  <si>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</si>
  <si>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</si>
  <si>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</si>
  <si>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</si>
  <si>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</si>
  <si>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</si>
  <si>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</si>
  <si>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</si>
  <si>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</si>
  <si>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</si>
  <si>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</si>
  <si>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</si>
  <si>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</si>
  <si>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</si>
  <si>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</si>
  <si>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</si>
  <si>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</si>
  <si>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</si>
  <si>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</si>
  <si>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</si>
  <si>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</si>
  <si>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</si>
  <si>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</si>
  <si>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</si>
  <si>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</si>
  <si>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</si>
  <si>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</si>
  <si>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</si>
  <si>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</si>
  <si>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</si>
  <si>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</si>
  <si>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</si>
  <si>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</si>
  <si>
    <t>Danh mục Tỉnh/Thành phố (City)</t>
  </si>
  <si>
    <t>Danh mục Phường/Xã, Quận/ Huyện (Area)</t>
  </si>
  <si>
    <t>Danh mục Phòng Đo kiểm (Lab)</t>
  </si>
  <si>
    <t>Danh mục Nhà mạng (Operator)</t>
  </si>
  <si>
    <t>Danh mục Loại Kiểm định (InCaseOf)</t>
  </si>
  <si>
    <t>Danh mục thiết bị BTS (Equipment)</t>
  </si>
  <si>
    <t>Danh mục Đơn vị nộp hồ sơ kiểm định (Applicant)</t>
  </si>
  <si>
    <t>+ Id: Mã tỉnh/thành viết tắt gồm 3 ký tự để phân biệt giữa các Tỉnh/Thành phố. (Vd: BTE là Bến Tre). Chỉ được thêm mới không được sửa đổi Id đã có
+ Name: Tên tỉnh/thành phố đầy đủ.
+ Area: Khu vực vùng miền (Bắc, Trung, Nam).</t>
  </si>
  <si>
    <t>+ Id: Mã nhà mạng. Chỉ được thêm mới không được sửa đổi Id đã có
+ rootID: Mã ban đầu của nhà mạng. Khi nhà mạng đổi tên thì khai báo như nhà mạng mới và có RootID là Id ban đầu của nhà mạng.
+ Name: Tên nhà mạng đầy đủ.</t>
  </si>
  <si>
    <t>+ Id: Chỉ được thêm mới không được sửa đổi Id đã có
+ Name: Tên loại trường hợp kiểm định.</t>
  </si>
  <si>
    <t>+ Id: Mã đơn vị nộp hồ sơ. Chỉ được thêm mới không được sửa đổi Id đã có
+ Name: Tên đơn vị nộp hồ sơ kiểm định
+ Address: Địa chỉ đơn vị nộp hồ sơ
+ Phone: Số điện thoại liên hệ (nếu có)
+ Fax: Số Fax liên hệ (nếu có)
+ OperatorID: Mã nhà mạng đơn vị nộp hồ sơ trực thuộc.</t>
  </si>
  <si>
    <t>+ Id: Mã phòng đo kiểm. Chỉ được thêm mới không được sửa đổi Id đã có
+ Name: Tên phòng đo kiểm được Bộ Chỉ định
+ Address: Địa chỉ Phòng đo kiểm (nếu có)
+ Phone: Số điện thoại liên hệ (nếu có)
+ Fax: Số Fax liên hệ (nếu có)</t>
  </si>
  <si>
    <t>Không bắt buộc nhập (Optional), Dữ liệu này được thu thập từ dữ liệu công bố của các cơ quan quản lý hành chính nhà nước và chỉ được sử dụng cho chức năng kiểm tra địa chỉ các trạm gốc BTS nhập vào khi cần thiết.
+ WardId: Mã Phường/ Xã
+ WardName: Tên Phường/ Xã
+ DistrictId: Mã Quận/ Huyện
+ DistrictName: Tên Quận/ Huyện
+ CityId: Mã Tỉnh/ Thành phố</t>
  </si>
  <si>
    <t>Không bắt buộc nhập (Optional), Dữ liệu này chỉ được sử dụng cho chức năng kiểm tra công suất phát tối đa của các thiết bị BTS nhập vào khi cần thiết.
+ Name: Tên chủng loại thiết bị BTS
+ Tx: Cấu hình số máy phát/ số sóng mang
+ Band: Băng tần hoạt động
+ MOBIFONE: Công suất phát tối đa (W)</t>
  </si>
  <si>
    <t>Cấu hình chuyển đổi số liệu (Options)</t>
  </si>
  <si>
    <t>Nhập Hồ sơ kiểm định (Profile)</t>
  </si>
  <si>
    <t>Sao chép số liệu dữ liệu kiểm định đã bổ sung các trường còn thiếu vào Sheet TT08 (TT08)</t>
  </si>
  <si>
    <t>Chỉ nhập thông tin Hồ sơ kiểm định (Các trường màu xanh) ở 1 dòng số 3
+ ApplicantId: Mã đơn vị nộp hồ sơ
+ ProfileNum: Đơn đề nghị kiểm định số, hoặc gói hồ sơ đề nghị kiểm định
+ ProfileDate: Ngày của đơn/ hồ sơ kiểm định
+ BtsQuantity: Số lượng trạm gốc BTS đề nghị kiểm định</t>
  </si>
  <si>
    <t>Cho phép kiểm tra tính hợp lệ của dữ liệu không?</t>
  </si>
  <si>
    <t>+ Cấu hình chuyển đổi số liệu giữa các trường/cột số liệu từ Sheet TT08 -&gt; Sheet RawData -&gt; Sheet Input từ dạng nhiều dòng sang dạng 1 dòng. 
Sử dụng các toán tử chuyển đổi (ConvertOperator) được xây dựng sẵn sau: 
       - FIRSTROW: Chuyển đổi lấy dữ liệu của dòng đầu tiên của trạm gốc BTS
       - COUNT: Chuyển đổi đếm số dòng dữ liệu của trạm gốc BTS
       - SUM: Chuyển đổi cộng dữ liệu (dạng số) của các dòng của trạm gốc BTS
       - CONCAT: Chuyển đổi cộng dữ liệu (dạng chuổi) của các dòng của trạm gốc BTS
       - VN_INDEX1(;): Chuyển đổi lấy số thập phân thứ 1 (định dạng VN) trong chuỗi tọa độ có có dạng (vĩ độ; kinh độ)
       - VN_INDEX2(;): Chuyển đổi lấy số thập phân thứ 2 (định dạng VN) trong chuỗi tọa độ có có dạng  (vĩ độ; kinh độ)
       - EN_INDEX1(,): Chuyển đổi lấy số thập phân thứ 1 (định dạng EN) trong chuỗi tọa độ có có dạng (vĩ độ, kinh độ)
       - EN_INDEX2(,): Chuyển đổi lấy số thập phân thứ 1 (định dạng EN) trong chuỗi tọa độ có có dạng (vĩ độ, kinh độ)
Cột Default: Giá trị mặc định sẽ được sử dụng khi trong quá trình chuyển đổi không tìm thấy cột cần chuyển đổi.
+ Khai báo cấu hình chuyển đổi các dạng của số liệu loại Logical, như: Có, Không, Yes, No.
+ Khai báo cấu hình kiểm tra chuẩn hóa số liệu:
      - Cho phép kiểm tra tính hợp lệ của dữ liệu
      - Cho phép kiểm tra địa chỉ
      - Cho phép kiểm tra công suất tối đa
+ Khai báo cấu hình thông tin Tổ chức kiểm định cấp giấy CNKĐ.</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</si>
  <si>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(hoặc Sheet TT08):
  + Cell màu đỏ: Lỗi dữ liệu chưa hợp lệ, lỗi nhập, Lỗi chủng loại thiết bị chưa khai báo.
  + Cell màu vàng: Công suất tối đa trạm gốc BTS khác với khai báo
  + Cell màu xanh: Công suất tối đa trạm gốc BTS chưa khai báo</t>
  </si>
  <si>
    <t>XUẤT DỮ LIỆU CẤP GIẤY CHỨNG NHẬN KIỂM ĐỊNH ĐÃ CHUẨN HÓA</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</si>
</sst>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
      <sz val="11"/>
      <color rgb="FF000000"/>
      <name val="Calibri"/>
    </font>
    <font>
      <b/>
      <sz val="8"/>
      <color indexed="81"/>
      <name val="Tahoma"/>
      <family val="2"/>
    </font>
    <font>
      <sz val="8"/>
      <color indexed="81"/>
      <name val="Tahoma"/>
      <family val="2"/>
    </font>
    <font>
      <b/>
      <sz val="9"/>
      <color indexed="81"/>
      <name val="Tahoma"/>
      <family val="2"/>
    </font>
    <font>
      <sz val="9"/>
      <color indexed="81"/>
      <name val="Tahoma"/>
      <family val="2"/>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394">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8" applyNumberFormat="1" applyFont="1" applyFill="1" applyBorder="1" applyAlignment="1" applyProtection="1">
      <alignment horizontal="center" vertical="center" wrapText="1"/>
      <protection locked="0"/>
    </xf>
    <xf numFmtId="0" fontId="1" fillId="0" borderId="1" xfId="128" applyNumberFormat="1" applyFont="1" applyFill="1" applyBorder="1" applyAlignment="1" applyProtection="1">
      <alignment vertical="center" wrapText="1"/>
      <protection locked="0"/>
    </xf>
    <xf numFmtId="200" fontId="1" fillId="0" borderId="1" xfId="128"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8" applyNumberFormat="1" applyFont="1" applyFill="1" applyBorder="1" applyProtection="1">
      <protection locked="0"/>
    </xf>
    <xf numFmtId="0" fontId="76" fillId="0" borderId="0" xfId="128" applyNumberFormat="1" applyFont="1" applyFill="1" applyBorder="1" applyAlignment="1" applyProtection="1">
      <alignment vertical="top"/>
      <protection locked="0"/>
    </xf>
    <xf numFmtId="0" fontId="1" fillId="0" borderId="0"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11"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vertical="center"/>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Protection="1">
      <protection locked="0"/>
    </xf>
    <xf numFmtId="0" fontId="76" fillId="0" borderId="0" xfId="128" applyNumberFormat="1" applyFont="1" applyFill="1" applyBorder="1" applyAlignment="1" applyProtection="1">
      <alignment horizontal="center" vertical="top" wrapText="1"/>
      <protection locked="0"/>
    </xf>
    <xf numFmtId="0" fontId="77" fillId="0" borderId="0" xfId="128" applyNumberFormat="1" applyFont="1" applyFill="1" applyBorder="1" applyAlignment="1" applyProtection="1">
      <alignment horizontal="center" vertical="center"/>
      <protection locked="0"/>
    </xf>
    <xf numFmtId="0" fontId="77" fillId="0" borderId="0"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6" fillId="0" borderId="0" xfId="128" applyNumberFormat="1" applyFont="1" applyFill="1" applyBorder="1" applyAlignment="1" applyProtection="1">
      <alignment horizontal="left" vertical="center"/>
      <protection locked="0"/>
    </xf>
    <xf numFmtId="0" fontId="76" fillId="0" borderId="0" xfId="128" applyNumberFormat="1" applyFont="1" applyFill="1" applyBorder="1" applyAlignment="1" applyProtection="1">
      <alignment horizontal="center"/>
      <protection locked="0"/>
    </xf>
    <xf numFmtId="0" fontId="76" fillId="0" borderId="0" xfId="128" applyNumberFormat="1" applyFont="1" applyFill="1" applyBorder="1" applyAlignment="1" applyProtection="1">
      <alignment horizontal="left"/>
      <protection locked="0"/>
    </xf>
    <xf numFmtId="0" fontId="4" fillId="0" borderId="0" xfId="128" applyNumberFormat="1" applyFont="1" applyFill="1" applyBorder="1" applyAlignment="1" applyProtection="1">
      <alignment vertical="top" wrapText="1"/>
      <protection locked="0"/>
    </xf>
    <xf numFmtId="0" fontId="1" fillId="0" borderId="0" xfId="128" applyNumberFormat="1" applyFont="1" applyFill="1" applyBorder="1" applyAlignment="1" applyProtection="1">
      <alignment horizontal="left"/>
      <protection locked="0"/>
    </xf>
    <xf numFmtId="0" fontId="79"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vertical="center" wrapText="1"/>
      <protection locked="0"/>
    </xf>
    <xf numFmtId="0" fontId="4" fillId="0" borderId="0" xfId="128" applyNumberFormat="1" applyFont="1" applyFill="1" applyBorder="1" applyProtection="1">
      <protection locked="0"/>
    </xf>
    <xf numFmtId="0" fontId="4" fillId="0" borderId="0" xfId="128" applyNumberFormat="1" applyFont="1" applyFill="1" applyBorder="1" applyAlignment="1" applyProtection="1">
      <alignment vertical="top" wrapText="1"/>
      <protection locked="0"/>
    </xf>
    <xf numFmtId="49" fontId="1" fillId="0" borderId="0" xfId="128" applyNumberFormat="1" applyFont="1" applyFill="1" applyBorder="1" applyProtection="1">
      <protection locked="0"/>
    </xf>
    <xf numFmtId="49" fontId="1" fillId="0" borderId="0" xfId="128" applyNumberFormat="1" applyFont="1" applyFill="1" applyBorder="1" applyProtection="1">
      <protection locked="0"/>
    </xf>
    <xf numFmtId="0" fontId="4" fillId="0" borderId="0" xfId="128" applyNumberFormat="1" applyFont="1" applyFill="1" applyBorder="1" applyProtection="1">
      <protection locked="0"/>
    </xf>
    <xf numFmtId="0" fontId="1" fillId="0" borderId="0" xfId="128" applyNumberFormat="1" applyFont="1" applyFill="1" applyBorder="1" applyProtection="1">
      <protection locked="0"/>
    </xf>
    <xf numFmtId="0" fontId="80" fillId="0" borderId="0" xfId="128" applyNumberFormat="1" applyFont="1" applyFill="1" applyBorder="1" applyAlignment="1" applyProtection="1">
      <alignment vertical="top" wrapText="1"/>
      <protection locked="0"/>
    </xf>
    <xf numFmtId="0" fontId="4" fillId="0" borderId="0" xfId="128" applyNumberFormat="1" applyFont="1" applyFill="1" applyBorder="1" applyAlignment="1" applyProtection="1">
      <alignment horizontal="center" vertical="center"/>
      <protection locked="0"/>
    </xf>
    <xf numFmtId="0" fontId="4" fillId="0" borderId="0" xfId="128" applyNumberFormat="1" applyFont="1" applyFill="1" applyBorder="1" applyAlignment="1" applyProtection="1">
      <alignment vertical="center"/>
      <protection locked="0"/>
    </xf>
    <xf numFmtId="0" fontId="4" fillId="0" borderId="0" xfId="128" applyNumberFormat="1" applyFont="1" applyFill="1" applyBorder="1" applyProtection="1">
      <protection locked="0"/>
    </xf>
    <xf numFmtId="14" fontId="1" fillId="0" borderId="0" xfId="128" applyNumberFormat="1" applyFont="1" applyFill="1" applyBorder="1" applyProtection="1">
      <protection locked="0"/>
    </xf>
    <xf numFmtId="0" fontId="77" fillId="0" borderId="0" xfId="128" applyNumberFormat="1" applyFont="1" applyFill="1" applyBorder="1" applyAlignment="1" applyProtection="1">
      <alignment vertical="top" wrapText="1"/>
      <protection locked="0"/>
    </xf>
    <xf numFmtId="0" fontId="4" fillId="0" borderId="0" xfId="128" applyNumberFormat="1" applyFont="1" applyFill="1" applyBorder="1" applyProtection="1">
      <protection locked="0"/>
    </xf>
    <xf numFmtId="0" fontId="1" fillId="0" borderId="0" xfId="128" applyNumberFormat="1" applyFont="1" applyFill="1" applyBorder="1" applyAlignment="1" applyProtection="1">
      <alignment horizontal="left"/>
      <protection locked="0"/>
    </xf>
    <xf numFmtId="0" fontId="76" fillId="0" borderId="0" xfId="128" applyNumberFormat="1" applyFont="1" applyFill="1" applyBorder="1" applyAlignment="1" applyProtection="1">
      <alignment vertical="center"/>
      <protection locked="0"/>
    </xf>
    <xf numFmtId="0" fontId="77" fillId="0" borderId="11"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horizontal="center" vertical="center" wrapText="1"/>
      <protection locked="0"/>
    </xf>
    <xf numFmtId="0" fontId="79" fillId="0" borderId="0" xfId="128" applyNumberFormat="1" applyFont="1" applyFill="1" applyBorder="1" applyProtection="1">
      <protection locked="0"/>
    </xf>
    <xf numFmtId="0" fontId="1" fillId="0" borderId="0" xfId="128" applyNumberFormat="1" applyFont="1" applyFill="1" applyBorder="1" applyAlignment="1" applyProtection="1">
      <alignment wrapText="1"/>
      <protection locked="0"/>
    </xf>
    <xf numFmtId="0" fontId="1" fillId="0" borderId="0" xfId="128" applyNumberFormat="1" applyFont="1" applyFill="1" applyBorder="1" applyAlignment="1" applyProtection="1">
      <alignment horizontal="center" vertical="center"/>
      <protection locked="0"/>
    </xf>
    <xf numFmtId="0" fontId="1" fillId="0" borderId="11"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81" fillId="0" borderId="0" xfId="128" applyNumberFormat="1" applyFont="1" applyFill="1" applyBorder="1" applyAlignment="1" applyProtection="1">
      <alignment horizontal="center" vertical="top" wrapText="1"/>
      <protection locked="0"/>
    </xf>
    <xf numFmtId="0" fontId="81" fillId="0" borderId="0" xfId="128" applyNumberFormat="1" applyFont="1" applyFill="1" applyBorder="1" applyAlignment="1" applyProtection="1">
      <alignment horizontal="left" vertical="top" wrapText="1"/>
      <protection locked="0"/>
    </xf>
    <xf numFmtId="0" fontId="81" fillId="0" borderId="0" xfId="128"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vertical="center" wrapText="1"/>
      <protection locked="0"/>
    </xf>
    <xf numFmtId="0" fontId="1" fillId="0" borderId="0" xfId="128"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8" applyNumberFormat="1" applyFont="1" applyFill="1" applyBorder="1" applyAlignment="1" applyProtection="1">
      <alignment vertical="center" wrapText="1"/>
      <protection locked="0"/>
    </xf>
    <xf numFmtId="0" fontId="81"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7" fillId="0" borderId="0" xfId="128"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8" applyNumberFormat="1" applyFont="1" applyFill="1" applyBorder="1" applyAlignment="1" applyProtection="1">
      <alignment horizontal="center" vertical="center" wrapText="1"/>
      <protection locked="0"/>
    </xf>
    <xf numFmtId="1" fontId="2" fillId="40" borderId="2" xfId="128" applyNumberFormat="1" applyFont="1" applyFill="1" applyBorder="1" applyAlignment="1" applyProtection="1">
      <alignment horizontal="center" vertical="center" wrapText="1"/>
      <protection locked="0"/>
    </xf>
    <xf numFmtId="0" fontId="2" fillId="39" borderId="2" xfId="128" applyNumberFormat="1" applyFont="1" applyFill="1" applyBorder="1" applyAlignment="1" applyProtection="1">
      <alignment horizontal="center" vertical="center" wrapText="1"/>
      <protection locked="0"/>
    </xf>
    <xf numFmtId="0" fontId="2" fillId="38" borderId="2" xfId="128" applyNumberFormat="1" applyFont="1" applyFill="1" applyBorder="1" applyAlignment="1" applyProtection="1">
      <alignment horizontal="center" vertical="center" wrapText="1"/>
      <protection locked="0"/>
    </xf>
    <xf numFmtId="0" fontId="2" fillId="3" borderId="2" xfId="128" applyNumberFormat="1" applyFont="1" applyFill="1" applyBorder="1" applyAlignment="1" applyProtection="1">
      <alignment horizontal="center" vertical="center" wrapText="1"/>
      <protection locked="0"/>
    </xf>
    <xf numFmtId="0" fontId="2" fillId="35" borderId="2" xfId="128" applyNumberFormat="1" applyFont="1" applyFill="1" applyBorder="1" applyAlignment="1" applyProtection="1">
      <alignment horizontal="center" vertical="center" wrapText="1"/>
      <protection locked="0"/>
    </xf>
    <xf numFmtId="0" fontId="79" fillId="5" borderId="2" xfId="128" applyNumberFormat="1" applyFont="1" applyFill="1" applyBorder="1" applyAlignment="1" applyProtection="1">
      <alignment horizontal="center" vertical="center" wrapText="1"/>
      <protection locked="0"/>
    </xf>
    <xf numFmtId="198" fontId="6" fillId="5" borderId="2" xfId="128" applyNumberFormat="1" applyFont="1" applyFill="1" applyBorder="1" applyAlignment="1" applyProtection="1">
      <alignment horizontal="center" vertical="center" wrapText="1"/>
      <protection locked="0"/>
    </xf>
    <xf numFmtId="0" fontId="6" fillId="5" borderId="2" xfId="128"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1" fillId="0" borderId="0" xfId="128"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horizontal="center" vertical="center" wrapText="1"/>
      <protection locked="0"/>
    </xf>
    <xf numFmtId="200" fontId="1" fillId="0" borderId="0" xfId="128" applyNumberFormat="1" applyFont="1" applyFill="1" applyBorder="1" applyAlignment="1" applyProtection="1">
      <alignment vertical="center" wrapText="1"/>
      <protection locked="0"/>
    </xf>
    <xf numFmtId="49" fontId="1" fillId="0" borderId="0" xfId="128" applyNumberFormat="1" applyFont="1" applyFill="1" applyBorder="1" applyAlignment="1" applyProtection="1">
      <alignment vertical="center" wrapText="1"/>
      <protection locked="0"/>
    </xf>
    <xf numFmtId="0" fontId="1" fillId="0" borderId="1" xfId="128" applyNumberFormat="1" applyFont="1" applyFill="1" applyBorder="1" applyAlignment="1" applyProtection="1">
      <alignment horizontal="left" vertical="center" wrapText="1"/>
      <protection locked="0"/>
    </xf>
    <xf numFmtId="0" fontId="1" fillId="0" borderId="0" xfId="128" applyNumberFormat="1" applyFont="1" applyFill="1" applyBorder="1" applyAlignment="1" applyProtection="1">
      <alignment horizontal="left" vertical="center" wrapText="1"/>
      <protection locked="0"/>
    </xf>
    <xf numFmtId="1" fontId="2" fillId="3" borderId="17" xfId="128" applyNumberFormat="1" applyFont="1" applyFill="1" applyBorder="1" applyAlignment="1" applyProtection="1">
      <alignment horizontal="center" vertical="center" wrapText="1"/>
      <protection locked="0"/>
    </xf>
    <xf numFmtId="0" fontId="74" fillId="0" borderId="17" xfId="128" applyNumberFormat="1" applyFont="1" applyFill="1" applyBorder="1" applyAlignment="1" applyProtection="1">
      <alignment horizontal="center" vertical="center" wrapText="1"/>
      <protection locked="0"/>
    </xf>
    <xf numFmtId="0" fontId="94" fillId="4" borderId="0" xfId="0" applyNumberFormat="1" applyFont="1" applyFill="1" applyBorder="1" applyAlignment="1" applyProtection="1">
      <alignment horizontal="center" vertical="center" wrapText="1"/>
      <protection locked="0"/>
    </xf>
    <xf numFmtId="0" fontId="94" fillId="3"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4" fillId="34" borderId="0" xfId="0" applyNumberFormat="1" applyFont="1" applyFill="1" applyBorder="1" applyAlignment="1" applyProtection="1">
      <alignment horizontal="center" vertical="center" wrapText="1"/>
      <protection locked="0"/>
    </xf>
    <xf numFmtId="0" fontId="2" fillId="39" borderId="1" xfId="128" applyNumberFormat="1" applyFont="1" applyFill="1" applyBorder="1" applyAlignment="1" applyProtection="1">
      <alignment horizontal="center" vertical="center" wrapText="1"/>
      <protection locked="0"/>
    </xf>
    <xf numFmtId="0" fontId="6" fillId="39" borderId="1" xfId="128" applyNumberFormat="1" applyFont="1" applyFill="1" applyBorder="1" applyAlignment="1" applyProtection="1">
      <alignment horizontal="center" vertical="center" wrapText="1"/>
      <protection locked="0"/>
    </xf>
    <xf numFmtId="198" fontId="6" fillId="39" borderId="1" xfId="128" applyNumberFormat="1" applyFont="1" applyFill="1" applyBorder="1" applyAlignment="1" applyProtection="1">
      <alignment horizontal="center" vertical="center" wrapText="1"/>
      <protection locked="0"/>
    </xf>
    <xf numFmtId="200" fontId="2" fillId="39" borderId="2" xfId="128" applyNumberFormat="1" applyFont="1" applyFill="1" applyBorder="1" applyAlignment="1" applyProtection="1">
      <alignment horizontal="center" vertical="center" wrapText="1"/>
      <protection locked="0"/>
    </xf>
    <xf numFmtId="43" fontId="6" fillId="39" borderId="1" xfId="64" applyNumberFormat="1" applyFont="1" applyFill="1" applyBorder="1" applyAlignment="1" applyProtection="1">
      <alignment horizontal="center" vertical="center" wrapText="1"/>
      <protection locked="0"/>
    </xf>
    <xf numFmtId="43" fontId="74" fillId="0" borderId="0" xfId="64" applyNumberFormat="1" applyFont="1" applyFill="1" applyBorder="1" applyAlignment="1" applyProtection="1">
      <alignment vertical="center" wrapText="1"/>
      <protection locked="0"/>
    </xf>
    <xf numFmtId="0" fontId="74" fillId="0" borderId="17" xfId="128" applyNumberFormat="1" applyFont="1" applyFill="1" applyBorder="1" applyAlignment="1" applyProtection="1">
      <alignment vertical="center" wrapText="1"/>
      <protection locked="0"/>
    </xf>
    <xf numFmtId="0" fontId="1" fillId="0" borderId="17" xfId="128" applyNumberFormat="1" applyFont="1" applyFill="1" applyBorder="1" applyAlignment="1" applyProtection="1">
      <alignment horizontal="center" vertical="center" wrapText="1"/>
      <protection locked="0"/>
    </xf>
    <xf numFmtId="1" fontId="2" fillId="39" borderId="2" xfId="128" applyNumberFormat="1" applyFont="1" applyFill="1" applyBorder="1" applyAlignment="1" applyProtection="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xf>
    <xf numFmtId="0" fontId="0" fillId="0" borderId="17" xfId="0" quotePrefix="1" applyNumberFormat="1" applyFont="1" applyFill="1" applyBorder="1" applyAlignment="1" applyProtection="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8"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horizontal="center" vertical="center" wrapText="1"/>
      <protection locked="0"/>
    </xf>
    <xf numFmtId="2" fontId="1" fillId="0" borderId="1" xfId="128" applyNumberFormat="1" applyFont="1" applyFill="1" applyBorder="1" applyAlignment="1" applyProtection="1">
      <alignment horizontal="center" vertical="center" wrapText="1"/>
      <protection locked="0"/>
    </xf>
    <xf numFmtId="0" fontId="96" fillId="37" borderId="2" xfId="0" applyNumberFormat="1" applyFont="1" applyFill="1" applyBorder="1" applyAlignment="1" applyProtection="1">
      <alignment horizontal="center" vertical="center" wrapText="1"/>
      <protection locked="0"/>
    </xf>
    <xf numFmtId="0" fontId="75" fillId="42" borderId="0" xfId="0" applyNumberFormat="1" applyFont="1" applyFill="1" applyBorder="1" applyProtection="1">
      <protection locked="0"/>
    </xf>
    <xf numFmtId="0" fontId="75" fillId="42" borderId="0" xfId="0" applyNumberFormat="1" applyFont="1" applyFill="1" applyBorder="1" applyProtection="1"/>
    <xf numFmtId="0" fontId="94" fillId="6" borderId="17" xfId="0"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right" vertical="center" wrapText="1"/>
      <protection locked="0"/>
    </xf>
    <xf numFmtId="0" fontId="2" fillId="6" borderId="17" xfId="128" applyNumberFormat="1" applyFont="1" applyFill="1" applyBorder="1" applyAlignment="1" applyProtection="1">
      <alignment horizontal="center" vertical="center" wrapText="1"/>
      <protection locked="0"/>
    </xf>
    <xf numFmtId="0" fontId="2" fillId="6" borderId="1" xfId="128" applyNumberFormat="1" applyFont="1" applyFill="1" applyBorder="1" applyAlignment="1" applyProtection="1">
      <alignment horizontal="center" vertical="center" wrapText="1"/>
      <protection locked="0"/>
    </xf>
    <xf numFmtId="0" fontId="6" fillId="6" borderId="1" xfId="128" applyNumberFormat="1" applyFont="1" applyFill="1" applyBorder="1" applyAlignment="1" applyProtection="1">
      <alignment horizontal="center" vertical="center" wrapText="1"/>
      <protection locked="0"/>
    </xf>
    <xf numFmtId="1" fontId="2" fillId="6" borderId="1" xfId="128" applyNumberFormat="1" applyFont="1" applyFill="1" applyBorder="1" applyAlignment="1" applyProtection="1">
      <alignment horizontal="center" vertical="center" wrapText="1"/>
      <protection locked="0"/>
    </xf>
    <xf numFmtId="1" fontId="2" fillId="6" borderId="2" xfId="128" applyNumberFormat="1" applyFont="1" applyFill="1" applyBorder="1" applyAlignment="1" applyProtection="1">
      <alignment horizontal="center" vertical="center" wrapText="1"/>
      <protection locked="0"/>
    </xf>
    <xf numFmtId="0" fontId="2" fillId="6" borderId="2" xfId="128" applyNumberFormat="1" applyFont="1" applyFill="1" applyBorder="1" applyAlignment="1" applyProtection="1">
      <alignment horizontal="center" vertical="center" wrapText="1"/>
      <protection locked="0"/>
    </xf>
    <xf numFmtId="1" fontId="2" fillId="3" borderId="2" xfId="128"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left" vertical="center" wrapText="1" indent="13"/>
      <protection locked="0"/>
    </xf>
    <xf numFmtId="1" fontId="2" fillId="6" borderId="2" xfId="128"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8"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8" applyNumberFormat="1" applyFont="1" applyFill="1" applyBorder="1" applyAlignment="1" applyProtection="1">
      <alignment horizontal="center" vertical="center" wrapText="1"/>
      <protection locked="0"/>
    </xf>
    <xf numFmtId="14" fontId="1" fillId="0" borderId="0" xfId="128" applyNumberFormat="1" applyFont="1" applyFill="1" applyBorder="1" applyAlignment="1" applyProtection="1">
      <alignment vertical="center" wrapText="1"/>
      <protection locked="0"/>
    </xf>
    <xf numFmtId="1" fontId="2" fillId="43" borderId="2" xfId="128"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97" fillId="0" borderId="0" xfId="0" applyNumberFormat="1" applyFont="1" applyFill="1" applyBorder="1" applyAlignment="1" applyProtection="1">
      <alignment vertical="center" wrapText="1"/>
    </xf>
    <xf numFmtId="0" fontId="98" fillId="0" borderId="0" xfId="0" applyNumberFormat="1" applyFont="1" applyFill="1" applyBorder="1" applyAlignment="1" applyProtection="1">
      <alignment vertical="center" wrapText="1"/>
    </xf>
    <xf numFmtId="0" fontId="97" fillId="0" borderId="0" xfId="0" applyNumberFormat="1" applyFont="1" applyFill="1" applyBorder="1" applyAlignment="1" applyProtection="1">
      <alignment horizontal="center" vertical="center" wrapText="1"/>
    </xf>
    <xf numFmtId="0" fontId="98" fillId="6"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vertical="center" wrapText="1"/>
    </xf>
    <xf numFmtId="0" fontId="97" fillId="0" borderId="17" xfId="0" quotePrefix="1" applyNumberFormat="1" applyFont="1" applyFill="1" applyBorder="1" applyAlignment="1" applyProtection="1">
      <alignment vertical="center" wrapText="1"/>
    </xf>
    <xf numFmtId="0" fontId="98"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43" fontId="6" fillId="6" borderId="1" xfId="64" applyNumberFormat="1" applyFont="1" applyFill="1" applyBorder="1" applyAlignment="1" applyProtection="1">
      <alignment horizontal="center" vertical="center" wrapText="1"/>
      <protection locked="0"/>
    </xf>
    <xf numFmtId="49" fontId="74" fillId="0" borderId="0" xfId="128"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NumberFormat="1" applyFont="1" applyFill="1" applyBorder="1" applyAlignment="1" applyProtection="1">
      <alignment vertical="center" wrapText="1"/>
    </xf>
    <xf numFmtId="0" fontId="93" fillId="44" borderId="17" xfId="0" applyNumberFormat="1" applyFont="1" applyFill="1" applyBorder="1" applyAlignment="1" applyProtection="1">
      <alignment vertical="center" wrapText="1"/>
    </xf>
    <xf numFmtId="201" fontId="94"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8" applyNumberFormat="1" applyFont="1" applyFill="1" applyBorder="1" applyAlignment="1" applyProtection="1">
      <alignment horizontal="center" vertical="center" wrapText="1"/>
      <protection locked="0"/>
    </xf>
    <xf numFmtId="43" fontId="6" fillId="6" borderId="17" xfId="64" applyNumberFormat="1" applyFont="1" applyFill="1" applyBorder="1" applyAlignment="1" applyProtection="1">
      <alignment horizontal="center" vertical="center" wrapText="1"/>
      <protection locked="0"/>
    </xf>
    <xf numFmtId="1" fontId="2" fillId="6" borderId="17" xfId="128" applyNumberFormat="1" applyFont="1" applyFill="1" applyBorder="1" applyAlignment="1" applyProtection="1">
      <alignment horizontal="center" vertical="center" wrapText="1"/>
      <protection locked="0"/>
    </xf>
    <xf numFmtId="1" fontId="2" fillId="39" borderId="17" xfId="128" applyNumberFormat="1" applyFont="1" applyFill="1" applyBorder="1" applyAlignment="1" applyProtection="1">
      <alignment horizontal="center" vertical="center" wrapText="1"/>
      <protection locked="0"/>
    </xf>
    <xf numFmtId="0" fontId="2" fillId="39" borderId="17" xfId="128" applyNumberFormat="1" applyFont="1" applyFill="1" applyBorder="1" applyAlignment="1" applyProtection="1">
      <alignment horizontal="center" vertical="center" wrapText="1"/>
      <protection locked="0"/>
    </xf>
    <xf numFmtId="43" fontId="6" fillId="39" borderId="17" xfId="64" applyNumberFormat="1" applyFont="1" applyFill="1" applyBorder="1" applyAlignment="1" applyProtection="1">
      <alignment horizontal="center" vertical="center" wrapText="1"/>
      <protection locked="0"/>
    </xf>
    <xf numFmtId="49" fontId="2" fillId="6" borderId="17" xfId="128"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8" applyNumberFormat="1" applyFont="1" applyFill="1" applyBorder="1" applyAlignment="1" applyProtection="1">
      <alignment vertical="center" wrapText="1"/>
      <protection locked="0"/>
    </xf>
    <xf numFmtId="43" fontId="74" fillId="0" borderId="17" xfId="128" applyNumberFormat="1" applyFont="1" applyFill="1" applyBorder="1" applyAlignment="1" applyProtection="1">
      <alignment vertical="center" wrapText="1"/>
      <protection locked="0"/>
    </xf>
    <xf numFmtId="43" fontId="74" fillId="0" borderId="17" xfId="64"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center" vertical="center" wrapText="1"/>
      <protection locked="0"/>
    </xf>
    <xf numFmtId="201" fontId="101" fillId="45" borderId="17" xfId="0" applyNumberFormat="1" applyFont="1" applyFill="1" applyBorder="1" applyAlignment="1" applyProtection="1">
      <alignment horizontal="center" vertical="center" wrapText="1"/>
      <protection locked="0"/>
    </xf>
    <xf numFmtId="0" fontId="101" fillId="45" borderId="17" xfId="0" quotePrefix="1" applyNumberFormat="1" applyFont="1" applyFill="1" applyBorder="1" applyAlignment="1" applyProtection="1">
      <alignment horizontal="center" vertical="center" wrapText="1"/>
      <protection locked="0"/>
    </xf>
    <xf numFmtId="0" fontId="101" fillId="45" borderId="1" xfId="0" applyNumberFormat="1" applyFont="1" applyFill="1" applyBorder="1" applyAlignment="1" applyProtection="1">
      <alignment horizontal="center" vertical="center" wrapText="1"/>
      <protection locked="0"/>
    </xf>
    <xf numFmtId="43" fontId="101" fillId="45" borderId="1" xfId="0" applyNumberFormat="1" applyFont="1" applyFill="1" applyBorder="1" applyAlignment="1" applyProtection="1">
      <alignment horizontal="center" vertical="center" wrapText="1"/>
      <protection locked="0"/>
    </xf>
    <xf numFmtId="43" fontId="101" fillId="45" borderId="1" xfId="64" applyNumberFormat="1" applyFont="1" applyFill="1" applyBorder="1" applyAlignment="1" applyProtection="1">
      <alignment horizontal="center" vertical="center" wrapText="1"/>
      <protection locked="0"/>
    </xf>
    <xf numFmtId="0" fontId="102" fillId="45" borderId="1" xfId="128" applyNumberFormat="1" applyFont="1" applyFill="1" applyBorder="1" applyAlignment="1" applyProtection="1">
      <alignment horizontal="center" vertical="center" wrapText="1"/>
      <protection locked="0"/>
    </xf>
    <xf numFmtId="0" fontId="102" fillId="45" borderId="17" xfId="128" applyNumberFormat="1" applyFont="1" applyFill="1" applyBorder="1" applyAlignment="1" applyProtection="1">
      <alignment horizontal="center" vertical="center" wrapText="1"/>
      <protection locked="0"/>
    </xf>
    <xf numFmtId="0" fontId="103" fillId="45" borderId="17" xfId="128" applyNumberFormat="1" applyFont="1" applyFill="1" applyBorder="1" applyAlignment="1" applyProtection="1">
      <alignment horizontal="center" vertical="center" wrapText="1"/>
      <protection locked="0"/>
    </xf>
    <xf numFmtId="43" fontId="103" fillId="45" borderId="17" xfId="64" applyNumberFormat="1" applyFont="1" applyFill="1" applyBorder="1" applyAlignment="1" applyProtection="1">
      <alignment horizontal="center" vertical="center" wrapText="1"/>
      <protection locked="0"/>
    </xf>
    <xf numFmtId="0" fontId="103" fillId="45" borderId="1" xfId="0" applyNumberFormat="1" applyFont="1" applyFill="1" applyBorder="1" applyAlignment="1" applyProtection="1">
      <alignment horizontal="center" vertical="center" wrapText="1"/>
      <protection locked="0"/>
    </xf>
    <xf numFmtId="49" fontId="103" fillId="45" borderId="1" xfId="0" applyNumberFormat="1" applyFont="1" applyFill="1" applyBorder="1" applyAlignment="1" applyProtection="1">
      <alignment horizontal="center" vertical="center" wrapText="1"/>
      <protection locked="0"/>
    </xf>
    <xf numFmtId="0" fontId="103" fillId="45" borderId="1" xfId="128" applyNumberFormat="1" applyFont="1" applyFill="1" applyBorder="1" applyAlignment="1" applyProtection="1">
      <alignment horizontal="center" vertical="center" wrapText="1"/>
      <protection locked="0"/>
    </xf>
    <xf numFmtId="0" fontId="103" fillId="45" borderId="17" xfId="0" applyNumberFormat="1" applyFont="1" applyFill="1" applyBorder="1" applyAlignment="1" applyProtection="1">
      <alignment horizontal="center" vertical="center" wrapText="1"/>
      <protection locked="0"/>
    </xf>
    <xf numFmtId="49" fontId="103" fillId="45" borderId="17" xfId="128"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right" vertical="center" wrapText="1"/>
      <protection locked="0"/>
    </xf>
    <xf numFmtId="0" fontId="81" fillId="0" borderId="0" xfId="128" applyNumberFormat="1" applyFont="1" applyFill="1" applyBorder="1" applyAlignment="1" applyProtection="1">
      <alignment horizontal="center" vertical="center" wrapText="1"/>
      <protection locked="0"/>
    </xf>
    <xf numFmtId="0" fontId="1" fillId="43" borderId="1" xfId="128" applyNumberFormat="1" applyFont="1" applyFill="1" applyBorder="1" applyAlignment="1" applyProtection="1">
      <alignment vertical="center" wrapText="1"/>
      <protection locked="0"/>
    </xf>
    <xf numFmtId="0" fontId="1" fillId="43" borderId="1" xfId="128"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3" fillId="45" borderId="17" xfId="0" applyNumberFormat="1" applyFont="1" applyFill="1" applyBorder="1" applyAlignment="1" applyProtection="1">
      <alignment horizontal="center" vertical="center" wrapText="1"/>
    </xf>
    <xf numFmtId="49" fontId="103" fillId="45" borderId="17" xfId="0" applyNumberFormat="1" applyFont="1" applyFill="1" applyBorder="1" applyAlignment="1" applyProtection="1">
      <alignment horizontal="center" vertical="center" wrapText="1"/>
    </xf>
    <xf numFmtId="0" fontId="103" fillId="45" borderId="17" xfId="0" applyNumberFormat="1" applyFont="1" applyFill="1" applyBorder="1" applyAlignment="1" applyProtection="1">
      <alignment horizontal="center" vertical="center" wrapText="1"/>
    </xf>
    <xf numFmtId="0" fontId="81" fillId="0" borderId="0" xfId="128" applyNumberFormat="1" applyFont="1" applyFill="1" applyBorder="1" applyAlignment="1" applyProtection="1">
      <alignment vertical="center" wrapText="1"/>
      <protection locked="0"/>
    </xf>
    <xf numFmtId="0" fontId="75" fillId="0" borderId="0" xfId="0" applyNumberFormat="1" applyFont="1" applyFill="1" applyBorder="1" applyProtection="1"/>
    <xf numFmtId="0" fontId="75" fillId="0" borderId="0" xfId="0" applyNumberFormat="1" applyFont="1" applyFill="1" applyBorder="1" applyAlignment="1" applyProtection="1">
      <alignment horizontal="center"/>
    </xf>
    <xf numFmtId="14" fontId="0" fillId="0" borderId="17" xfId="0" quotePrefix="1" applyNumberFormat="1" applyFont="1" applyFill="1" applyBorder="1" applyAlignment="1" applyProtection="1">
      <alignment horizontal="center" vertical="center" wrapText="1"/>
    </xf>
    <xf numFmtId="14" fontId="74" fillId="0" borderId="0" xfId="128" applyNumberFormat="1" applyFont="1" applyFill="1" applyBorder="1" applyAlignment="1" applyProtection="1">
      <alignment vertical="center" wrapText="1"/>
      <protection locked="0"/>
    </xf>
    <xf numFmtId="14" fontId="2" fillId="39" borderId="17" xfId="128" applyNumberFormat="1" applyFont="1" applyFill="1" applyBorder="1" applyAlignment="1" applyProtection="1">
      <alignment horizontal="center" vertical="center" wrapText="1"/>
      <protection locked="0"/>
    </xf>
    <xf numFmtId="14" fontId="103" fillId="45" borderId="17" xfId="128" applyNumberFormat="1" applyFont="1" applyFill="1" applyBorder="1" applyAlignment="1" applyProtection="1">
      <alignment horizontal="center" vertical="center" wrapText="1"/>
      <protection locked="0"/>
    </xf>
    <xf numFmtId="14" fontId="2" fillId="39" borderId="1" xfId="128" applyNumberFormat="1" applyFont="1" applyFill="1" applyBorder="1" applyAlignment="1" applyProtection="1">
      <alignment horizontal="center" vertical="center" wrapText="1"/>
      <protection locked="0"/>
    </xf>
    <xf numFmtId="14" fontId="101" fillId="45" borderId="1" xfId="0" applyNumberFormat="1" applyFont="1" applyFill="1" applyBorder="1" applyAlignment="1" applyProtection="1">
      <alignment horizontal="center" vertical="center" wrapText="1"/>
      <protection locked="0"/>
    </xf>
    <xf numFmtId="14" fontId="74" fillId="0" borderId="17" xfId="128" applyNumberFormat="1" applyFont="1" applyFill="1" applyBorder="1" applyAlignment="1" applyProtection="1">
      <alignment vertical="center" wrapText="1"/>
      <protection locked="0"/>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2" fillId="41" borderId="17"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9" fillId="0" borderId="0" xfId="0" applyNumberFormat="1" applyFont="1" applyFill="1" applyBorder="1" applyAlignment="1" applyProtection="1">
      <alignment horizontal="center" vertical="center" wrapText="1"/>
    </xf>
    <xf numFmtId="0" fontId="98" fillId="0" borderId="0" xfId="0" applyNumberFormat="1" applyFont="1" applyFill="1" applyBorder="1" applyAlignment="1" applyProtection="1">
      <alignment horizontal="center" vertical="center" wrapText="1"/>
    </xf>
    <xf numFmtId="0" fontId="98" fillId="3" borderId="17" xfId="0" applyNumberFormat="1" applyFont="1" applyFill="1" applyBorder="1" applyAlignment="1" applyProtection="1">
      <alignment horizontal="left" vertical="center" wrapText="1"/>
    </xf>
    <xf numFmtId="0" fontId="100" fillId="37" borderId="11" xfId="0" applyNumberFormat="1" applyFont="1" applyFill="1" applyBorder="1" applyAlignment="1" applyProtection="1">
      <alignment horizontal="center" vertical="center" wrapText="1"/>
    </xf>
    <xf numFmtId="0" fontId="98" fillId="3" borderId="14" xfId="0" applyNumberFormat="1" applyFont="1" applyFill="1" applyBorder="1" applyAlignment="1" applyProtection="1">
      <alignment horizontal="left" vertical="center" wrapText="1"/>
    </xf>
    <xf numFmtId="0" fontId="98" fillId="3" borderId="15" xfId="0" applyNumberFormat="1" applyFont="1" applyFill="1" applyBorder="1" applyAlignment="1" applyProtection="1">
      <alignment horizontal="left" vertical="center" wrapText="1"/>
    </xf>
    <xf numFmtId="0" fontId="98"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protection locked="0"/>
    </xf>
    <xf numFmtId="0" fontId="7" fillId="0" borderId="0" xfId="128" applyNumberFormat="1" applyFont="1" applyFill="1" applyBorder="1" applyAlignment="1" applyProtection="1">
      <alignment horizontal="center" vertical="center"/>
      <protection locked="0"/>
    </xf>
    <xf numFmtId="0" fontId="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left" vertical="top" wrapText="1"/>
      <protection locked="0"/>
    </xf>
    <xf numFmtId="14" fontId="4"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horizontal="left" vertical="center"/>
      <protection locked="0"/>
    </xf>
    <xf numFmtId="0" fontId="7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center" vertical="top" wrapText="1"/>
      <protection locked="0"/>
    </xf>
    <xf numFmtId="0" fontId="4" fillId="0" borderId="0" xfId="128" applyNumberFormat="1" applyFont="1" applyFill="1" applyBorder="1" applyAlignment="1" applyProtection="1">
      <alignment horizontal="center"/>
      <protection locked="0"/>
    </xf>
    <xf numFmtId="0" fontId="76" fillId="0" borderId="0" xfId="128" applyNumberFormat="1" applyFont="1" applyFill="1" applyBorder="1" applyAlignment="1" applyProtection="1">
      <alignment horizontal="center" vertical="top"/>
      <protection locked="0"/>
    </xf>
    <xf numFmtId="0" fontId="4" fillId="0" borderId="14" xfId="128" applyNumberFormat="1" applyFont="1" applyFill="1" applyBorder="1" applyAlignment="1" applyProtection="1">
      <alignment horizontal="center" vertical="top" wrapText="1"/>
      <protection locked="0"/>
    </xf>
    <xf numFmtId="0" fontId="4" fillId="0" borderId="5" xfId="128" applyNumberFormat="1" applyFont="1" applyFill="1" applyBorder="1" applyAlignment="1" applyProtection="1">
      <alignment horizontal="center" vertical="top" wrapText="1"/>
      <protection locked="0"/>
    </xf>
    <xf numFmtId="0" fontId="4" fillId="0" borderId="15" xfId="128" applyNumberFormat="1" applyFont="1" applyFill="1" applyBorder="1" applyAlignment="1" applyProtection="1">
      <alignment horizontal="center" vertical="top" wrapText="1"/>
      <protection locked="0"/>
    </xf>
    <xf numFmtId="0" fontId="78" fillId="0" borderId="0" xfId="128" applyNumberFormat="1" applyFont="1" applyFill="1" applyBorder="1" applyAlignment="1" applyProtection="1">
      <alignment horizontal="center" vertical="center"/>
      <protection locked="0"/>
    </xf>
    <xf numFmtId="0" fontId="4" fillId="0" borderId="14" xfId="128" applyNumberFormat="1" applyFont="1" applyFill="1" applyBorder="1" applyAlignment="1" applyProtection="1">
      <alignment horizontal="center" vertical="center" wrapText="1"/>
      <protection locked="0"/>
    </xf>
    <xf numFmtId="0" fontId="4" fillId="0" borderId="5" xfId="128" applyNumberFormat="1" applyFont="1" applyFill="1" applyBorder="1" applyAlignment="1" applyProtection="1">
      <alignment horizontal="center" vertical="center" wrapText="1"/>
      <protection locked="0"/>
    </xf>
    <xf numFmtId="0" fontId="4" fillId="0" borderId="15" xfId="128" applyNumberFormat="1" applyFont="1" applyFill="1" applyBorder="1" applyAlignment="1" applyProtection="1">
      <alignment horizontal="center" vertical="center" wrapText="1"/>
      <protection locked="0"/>
    </xf>
    <xf numFmtId="0" fontId="7" fillId="0" borderId="14" xfId="128" applyNumberFormat="1" applyFont="1" applyFill="1" applyBorder="1" applyAlignment="1" applyProtection="1">
      <alignment horizontal="left" vertical="top" wrapText="1"/>
      <protection locked="0"/>
    </xf>
    <xf numFmtId="0" fontId="7" fillId="0" borderId="5" xfId="128" applyNumberFormat="1" applyFont="1" applyFill="1" applyBorder="1" applyAlignment="1" applyProtection="1">
      <alignment horizontal="left" vertical="top" wrapText="1"/>
      <protection locked="0"/>
    </xf>
    <xf numFmtId="0" fontId="7" fillId="0" borderId="15" xfId="128" applyNumberFormat="1" applyFont="1" applyFill="1" applyBorder="1" applyAlignment="1" applyProtection="1">
      <alignment horizontal="left" vertical="top" wrapText="1"/>
      <protection locked="0"/>
    </xf>
    <xf numFmtId="0" fontId="76" fillId="0" borderId="0" xfId="128" applyNumberFormat="1" applyFont="1" applyFill="1" applyBorder="1" applyAlignment="1" applyProtection="1">
      <alignment horizontal="center" vertical="center"/>
      <protection locked="0"/>
    </xf>
    <xf numFmtId="0" fontId="7" fillId="0" borderId="14" xfId="128" applyNumberFormat="1" applyFont="1" applyFill="1" applyBorder="1" applyAlignment="1" applyProtection="1">
      <alignment horizontal="left" vertical="center" wrapText="1"/>
      <protection locked="0"/>
    </xf>
    <xf numFmtId="0" fontId="7" fillId="0" borderId="5" xfId="128" applyNumberFormat="1" applyFont="1" applyFill="1" applyBorder="1" applyAlignment="1" applyProtection="1">
      <alignment horizontal="left" vertical="center" wrapText="1"/>
      <protection locked="0"/>
    </xf>
    <xf numFmtId="0" fontId="7" fillId="0" borderId="15" xfId="128" applyNumberFormat="1" applyFont="1" applyFill="1" applyBorder="1" applyAlignment="1" applyProtection="1">
      <alignment horizontal="left" vertical="center" wrapText="1"/>
      <protection locked="0"/>
    </xf>
    <xf numFmtId="0" fontId="4" fillId="0" borderId="14" xfId="128" applyNumberFormat="1" applyFont="1" applyFill="1" applyBorder="1" applyAlignment="1" applyProtection="1">
      <alignment horizontal="left" vertical="center" wrapText="1"/>
      <protection locked="0"/>
    </xf>
    <xf numFmtId="0" fontId="4" fillId="0" borderId="5" xfId="128" applyNumberFormat="1" applyFont="1" applyFill="1" applyBorder="1" applyAlignment="1" applyProtection="1">
      <alignment horizontal="left" vertical="center" wrapText="1"/>
      <protection locked="0"/>
    </xf>
    <xf numFmtId="0" fontId="4" fillId="0" borderId="15" xfId="128" applyNumberFormat="1" applyFont="1" applyFill="1" applyBorder="1" applyAlignment="1" applyProtection="1">
      <alignment horizontal="left" vertical="center" wrapText="1"/>
      <protection locked="0"/>
    </xf>
    <xf numFmtId="0" fontId="4" fillId="0" borderId="1" xfId="128" applyNumberFormat="1" applyFont="1" applyFill="1" applyBorder="1" applyAlignment="1" applyProtection="1">
      <alignment horizontal="left" vertical="top" wrapText="1"/>
      <protection locked="0"/>
    </xf>
    <xf numFmtId="0" fontId="7" fillId="0" borderId="11" xfId="128" applyNumberFormat="1" applyFont="1" applyFill="1" applyBorder="1" applyAlignment="1" applyProtection="1">
      <alignment wrapText="1"/>
      <protection locked="0"/>
    </xf>
    <xf numFmtId="0" fontId="7" fillId="0" borderId="0" xfId="128" applyNumberFormat="1" applyFont="1" applyFill="1" applyBorder="1" applyAlignment="1" applyProtection="1">
      <alignment horizontal="left" vertical="center" wrapText="1"/>
      <protection locked="0"/>
    </xf>
    <xf numFmtId="49" fontId="4" fillId="0" borderId="14" xfId="128" applyNumberFormat="1" applyFont="1" applyFill="1" applyBorder="1" applyAlignment="1" applyProtection="1">
      <alignment horizontal="center" vertical="top" wrapText="1"/>
      <protection locked="0"/>
    </xf>
    <xf numFmtId="49" fontId="4" fillId="0" borderId="5" xfId="128" applyNumberFormat="1" applyFont="1" applyFill="1" applyBorder="1" applyAlignment="1" applyProtection="1">
      <alignment horizontal="center" vertical="top" wrapText="1"/>
      <protection locked="0"/>
    </xf>
    <xf numFmtId="49" fontId="4" fillId="0" borderId="15" xfId="128" applyNumberFormat="1" applyFont="1" applyFill="1" applyBorder="1" applyAlignment="1" applyProtection="1">
      <alignment horizontal="center" vertical="top" wrapText="1"/>
      <protection locked="0"/>
    </xf>
    <xf numFmtId="0" fontId="7" fillId="0" borderId="14" xfId="128" applyNumberFormat="1" applyFont="1" applyFill="1" applyBorder="1" applyAlignment="1" applyProtection="1">
      <alignment horizontal="center" vertical="center" wrapText="1"/>
      <protection locked="0"/>
    </xf>
    <xf numFmtId="0" fontId="7" fillId="0" borderId="5" xfId="128" applyNumberFormat="1" applyFont="1" applyFill="1" applyBorder="1" applyAlignment="1" applyProtection="1">
      <alignment horizontal="center" vertical="center" wrapText="1"/>
      <protection locked="0"/>
    </xf>
    <xf numFmtId="0" fontId="7" fillId="0" borderId="15" xfId="128" applyNumberFormat="1" applyFont="1" applyFill="1" applyBorder="1" applyAlignment="1" applyProtection="1">
      <alignment horizontal="center" vertical="center" wrapText="1"/>
      <protection locked="0"/>
    </xf>
    <xf numFmtId="0" fontId="4" fillId="0" borderId="14" xfId="128" applyNumberFormat="1" applyFont="1" applyFill="1" applyBorder="1" applyAlignment="1" applyProtection="1">
      <alignment horizontal="left" vertical="top" wrapText="1"/>
      <protection locked="0"/>
    </xf>
    <xf numFmtId="0" fontId="4" fillId="0" borderId="5" xfId="128" applyNumberFormat="1" applyFont="1" applyFill="1" applyBorder="1" applyAlignment="1" applyProtection="1">
      <alignment horizontal="left" vertical="top" wrapText="1"/>
      <protection locked="0"/>
    </xf>
    <xf numFmtId="0" fontId="4" fillId="0" borderId="15" xfId="128" applyNumberFormat="1" applyFont="1" applyFill="1" applyBorder="1" applyAlignment="1" applyProtection="1">
      <alignment horizontal="left" vertical="top" wrapText="1"/>
      <protection locked="0"/>
    </xf>
    <xf numFmtId="0" fontId="4" fillId="0" borderId="0" xfId="128" applyNumberFormat="1" applyFont="1" applyFill="1" applyBorder="1" applyAlignment="1" applyProtection="1">
      <alignment horizontal="left" vertical="center" wrapText="1"/>
      <protection locked="0"/>
    </xf>
    <xf numFmtId="0" fontId="80" fillId="0" borderId="0" xfId="128" applyNumberFormat="1" applyFont="1" applyFill="1" applyBorder="1" applyAlignment="1" applyProtection="1">
      <alignment horizontal="left" vertical="top" wrapText="1"/>
      <protection locked="0"/>
    </xf>
    <xf numFmtId="49" fontId="81"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 fillId="0" borderId="12" xfId="128" applyNumberFormat="1" applyFont="1" applyFill="1" applyBorder="1" applyAlignment="1" applyProtection="1">
      <alignment horizontal="left" vertical="center" wrapText="1"/>
      <protection locked="0"/>
    </xf>
    <xf numFmtId="0" fontId="7" fillId="0" borderId="11" xfId="128" applyNumberFormat="1" applyFont="1" applyFill="1" applyBorder="1" applyAlignment="1" applyProtection="1">
      <alignment horizontal="left" vertical="center" wrapText="1"/>
      <protection locked="0"/>
    </xf>
    <xf numFmtId="0" fontId="7" fillId="0" borderId="16" xfId="128" applyNumberFormat="1" applyFont="1" applyFill="1" applyBorder="1" applyAlignment="1" applyProtection="1">
      <alignment horizontal="left" vertical="center" wrapText="1"/>
      <protection locked="0"/>
    </xf>
    <xf numFmtId="0" fontId="4" fillId="0" borderId="1" xfId="128" applyNumberFormat="1" applyFont="1" applyFill="1" applyBorder="1" applyAlignment="1" applyProtection="1">
      <alignment horizontal="center" vertical="top" wrapText="1"/>
      <protection locked="0"/>
    </xf>
    <xf numFmtId="49" fontId="4" fillId="0" borderId="1" xfId="128" applyNumberFormat="1" applyFont="1" applyFill="1" applyBorder="1" applyAlignment="1" applyProtection="1">
      <alignment horizontal="center" vertical="top" wrapText="1"/>
      <protection locked="0"/>
    </xf>
    <xf numFmtId="0" fontId="79" fillId="0" borderId="0" xfId="128" applyNumberFormat="1" applyFont="1" applyFill="1" applyBorder="1" applyAlignment="1" applyProtection="1">
      <alignment horizontal="center" wrapText="1"/>
      <protection locked="0"/>
    </xf>
    <xf numFmtId="0" fontId="81" fillId="0" borderId="1" xfId="128" applyNumberFormat="1" applyFont="1" applyFill="1" applyBorder="1" applyAlignment="1" applyProtection="1">
      <alignment horizontal="center" vertical="top" wrapText="1"/>
      <protection locked="0"/>
    </xf>
    <xf numFmtId="0" fontId="81" fillId="0" borderId="14" xfId="128" applyNumberFormat="1" applyFont="1" applyFill="1" applyBorder="1" applyAlignment="1" applyProtection="1">
      <alignment horizontal="left" vertical="top" wrapText="1"/>
      <protection locked="0"/>
    </xf>
    <xf numFmtId="0" fontId="81" fillId="0" borderId="5" xfId="128" applyNumberFormat="1" applyFont="1" applyFill="1" applyBorder="1" applyAlignment="1" applyProtection="1">
      <alignment horizontal="left" vertical="top" wrapText="1"/>
      <protection locked="0"/>
    </xf>
    <xf numFmtId="0" fontId="81" fillId="0" borderId="15" xfId="128" applyNumberFormat="1" applyFont="1" applyFill="1" applyBorder="1" applyAlignment="1" applyProtection="1">
      <alignment horizontal="left" vertical="top" wrapText="1"/>
      <protection locked="0"/>
    </xf>
    <xf numFmtId="0" fontId="81" fillId="0" borderId="1" xfId="128" applyNumberFormat="1" applyFont="1" applyFill="1" applyBorder="1" applyAlignment="1" applyProtection="1">
      <alignment horizontal="left" vertical="top" wrapText="1"/>
      <protection locked="0"/>
    </xf>
    <xf numFmtId="0" fontId="6" fillId="0" borderId="14" xfId="128" applyNumberFormat="1" applyFont="1" applyFill="1" applyBorder="1" applyAlignment="1" applyProtection="1">
      <alignment horizontal="left" vertical="top" wrapText="1"/>
      <protection locked="0"/>
    </xf>
    <xf numFmtId="0" fontId="6" fillId="0" borderId="5" xfId="128" applyNumberFormat="1" applyFont="1" applyFill="1" applyBorder="1" applyAlignment="1" applyProtection="1">
      <alignment horizontal="left" vertical="top" wrapText="1"/>
      <protection locked="0"/>
    </xf>
    <xf numFmtId="0" fontId="6" fillId="0" borderId="15" xfId="128" applyNumberFormat="1" applyFont="1" applyFill="1" applyBorder="1" applyAlignment="1" applyProtection="1">
      <alignment horizontal="left" vertical="top" wrapText="1"/>
      <protection locked="0"/>
    </xf>
    <xf numFmtId="0" fontId="81" fillId="0" borderId="14" xfId="128" applyNumberFormat="1" applyFont="1" applyFill="1" applyBorder="1" applyAlignment="1" applyProtection="1">
      <alignment horizontal="center" vertical="top" wrapText="1"/>
      <protection locked="0"/>
    </xf>
    <xf numFmtId="0" fontId="81" fillId="0" borderId="5" xfId="128" applyNumberFormat="1" applyFont="1" applyFill="1" applyBorder="1" applyAlignment="1" applyProtection="1">
      <alignment horizontal="center" vertical="top" wrapText="1"/>
      <protection locked="0"/>
    </xf>
    <xf numFmtId="0" fontId="81" fillId="0" borderId="15" xfId="128" applyNumberFormat="1" applyFont="1" applyFill="1" applyBorder="1" applyAlignment="1" applyProtection="1">
      <alignment horizontal="center" vertical="top" wrapText="1"/>
      <protection locked="0"/>
    </xf>
    <xf numFmtId="0" fontId="6" fillId="0" borderId="14" xfId="128" applyNumberFormat="1" applyFont="1" applyFill="1" applyBorder="1" applyAlignment="1" applyProtection="1">
      <alignment horizontal="center" vertical="center" wrapText="1"/>
      <protection locked="0"/>
    </xf>
    <xf numFmtId="0" fontId="6" fillId="0" borderId="5" xfId="128" applyNumberFormat="1" applyFont="1" applyFill="1" applyBorder="1" applyAlignment="1" applyProtection="1">
      <alignment horizontal="center" vertical="center" wrapText="1"/>
      <protection locked="0"/>
    </xf>
    <xf numFmtId="0" fontId="6" fillId="0" borderId="15" xfId="128" applyNumberFormat="1" applyFont="1" applyFill="1" applyBorder="1" applyAlignment="1" applyProtection="1">
      <alignment horizontal="center" vertical="center" wrapText="1"/>
      <protection locked="0"/>
    </xf>
    <xf numFmtId="0" fontId="6" fillId="0" borderId="14" xfId="128" applyNumberFormat="1" applyFont="1" applyFill="1" applyBorder="1" applyAlignment="1" applyProtection="1">
      <alignment horizontal="left" vertical="center" wrapText="1"/>
      <protection locked="0"/>
    </xf>
    <xf numFmtId="0" fontId="6" fillId="0" borderId="5" xfId="128" applyNumberFormat="1" applyFont="1" applyFill="1" applyBorder="1" applyAlignment="1" applyProtection="1">
      <alignment horizontal="left" vertical="center" wrapText="1"/>
      <protection locked="0"/>
    </xf>
    <xf numFmtId="0" fontId="6" fillId="0" borderId="15" xfId="128" applyNumberFormat="1" applyFont="1" applyFill="1" applyBorder="1" applyAlignment="1" applyProtection="1">
      <alignment horizontal="left" vertical="center" wrapText="1"/>
      <protection locked="0"/>
    </xf>
    <xf numFmtId="0" fontId="81" fillId="0" borderId="14" xfId="128" applyNumberFormat="1" applyFont="1" applyFill="1" applyBorder="1" applyAlignment="1" applyProtection="1">
      <alignment horizontal="left" vertical="center" wrapText="1"/>
      <protection locked="0"/>
    </xf>
    <xf numFmtId="0" fontId="81" fillId="0" borderId="5" xfId="128" applyNumberFormat="1" applyFont="1" applyFill="1" applyBorder="1" applyAlignment="1" applyProtection="1">
      <alignment horizontal="left" vertical="center" wrapText="1"/>
      <protection locked="0"/>
    </xf>
    <xf numFmtId="0" fontId="81" fillId="0" borderId="15" xfId="128" applyNumberFormat="1" applyFont="1" applyFill="1" applyBorder="1" applyAlignment="1" applyProtection="1">
      <alignment horizontal="left" vertical="center" wrapText="1"/>
      <protection locked="0"/>
    </xf>
    <xf numFmtId="49" fontId="81" fillId="0" borderId="1" xfId="128" applyNumberFormat="1" applyFont="1" applyFill="1" applyBorder="1" applyAlignment="1" applyProtection="1">
      <alignment horizontal="center" vertical="top" wrapText="1"/>
      <protection locked="0"/>
    </xf>
    <xf numFmtId="0" fontId="81" fillId="0" borderId="1" xfId="128" applyNumberFormat="1" applyFont="1" applyFill="1" applyBorder="1" applyAlignment="1" applyProtection="1">
      <alignment horizontal="center" vertical="center" wrapText="1"/>
      <protection locked="0"/>
    </xf>
    <xf numFmtId="0" fontId="81" fillId="0" borderId="14" xfId="128" applyNumberFormat="1" applyFont="1" applyFill="1" applyBorder="1" applyAlignment="1" applyProtection="1">
      <alignment horizontal="center" vertical="center" wrapText="1"/>
      <protection locked="0"/>
    </xf>
    <xf numFmtId="0" fontId="81" fillId="0" borderId="5" xfId="128" applyNumberFormat="1" applyFont="1" applyFill="1" applyBorder="1" applyAlignment="1" applyProtection="1">
      <alignment horizontal="center" vertical="center" wrapText="1"/>
      <protection locked="0"/>
    </xf>
    <xf numFmtId="0" fontId="81" fillId="0" borderId="15" xfId="128" applyNumberFormat="1" applyFont="1" applyFill="1" applyBorder="1" applyAlignment="1" applyProtection="1">
      <alignment horizontal="center" vertical="center" wrapText="1"/>
      <protection locked="0"/>
    </xf>
    <xf numFmtId="0" fontId="74" fillId="0" borderId="1" xfId="128" applyNumberFormat="1" applyFont="1" applyFill="1" applyBorder="1" applyAlignment="1" applyProtection="1">
      <alignment horizontal="center" vertical="top" wrapText="1"/>
      <protection locked="0"/>
    </xf>
    <xf numFmtId="0" fontId="7" fillId="0" borderId="0" xfId="128" applyNumberFormat="1" applyFont="1" applyFill="1" applyBorder="1" applyAlignment="1" applyProtection="1">
      <alignment wrapText="1"/>
      <protection locked="0"/>
    </xf>
    <xf numFmtId="0" fontId="6" fillId="0" borderId="1" xfId="128"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8" applyNumberFormat="1" applyFont="1" applyFill="1" applyBorder="1" applyAlignment="1" applyProtection="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5">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10363093"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10363093"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 TRÌNH CHUYỂN ĐỔI,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0</xdr:row>
      <xdr:rowOff>2</xdr:rowOff>
    </xdr:from>
    <xdr:to>
      <xdr:col>5</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7457" name="Button 1" hidden="1">
              <a:extLst>
                <a:ext uri="{63B3BB69-23CF-44E3-9099-C40C66FF867C}">
                  <a14:compatExt spid="_x0000_s147457"/>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zoomScaleNormal="100" workbookViewId="0"/>
  </sheetViews>
  <sheetFormatPr defaultRowHeight="15"/>
  <cols>
    <col min="1" max="21" width="9.140625" style="155" customWidth="1"/>
    <col min="22" max="16384" width="9.140625" style="155"/>
  </cols>
  <sheetData>
    <row r="23" spans="10:10">
      <c r="J23" s="154"/>
    </row>
  </sheetData>
  <dataConsolidate/>
  <pageMargins left="0.7" right="0.7" top="0.75" bottom="0.75" header="0.3" footer="0.3"/>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85" zoomScaleNormal="85" workbookViewId="0">
      <pane ySplit="1" topLeftCell="A23" activePane="bottomLeft" state="frozen"/>
      <selection pane="bottomLeft" activeCell="A27" sqref="A27:C27"/>
    </sheetView>
  </sheetViews>
  <sheetFormatPr defaultRowHeight="15.75"/>
  <cols>
    <col min="1" max="1" width="5.42578125" style="178" customWidth="1"/>
    <col min="2" max="2" width="34.28515625" style="176" customWidth="1"/>
    <col min="3" max="3" width="74.140625" style="176" customWidth="1"/>
    <col min="4" max="4" width="9.140625" style="176" customWidth="1"/>
    <col min="5" max="16384" width="9.140625" style="176"/>
  </cols>
  <sheetData>
    <row r="1" spans="1:3" ht="41.25" customHeight="1">
      <c r="A1" s="266" t="s">
        <v>5416</v>
      </c>
      <c r="B1" s="267"/>
      <c r="C1" s="267"/>
    </row>
    <row r="3" spans="1:3">
      <c r="A3" s="179" t="s">
        <v>5417</v>
      </c>
      <c r="B3" s="179" t="s">
        <v>5418</v>
      </c>
      <c r="C3" s="179" t="s">
        <v>5419</v>
      </c>
    </row>
    <row r="4" spans="1:3">
      <c r="A4" s="272" t="s">
        <v>5420</v>
      </c>
      <c r="B4" s="272"/>
      <c r="C4" s="272"/>
    </row>
    <row r="5" spans="1:3">
      <c r="A5" s="180">
        <v>1</v>
      </c>
      <c r="B5" s="181" t="s">
        <v>5421</v>
      </c>
      <c r="C5" s="181"/>
    </row>
    <row r="6" spans="1:3" ht="63">
      <c r="A6" s="180">
        <v>2</v>
      </c>
      <c r="B6" s="181" t="s">
        <v>5422</v>
      </c>
      <c r="C6" s="182" t="s">
        <v>5423</v>
      </c>
    </row>
    <row r="7" spans="1:3" s="177" customFormat="1">
      <c r="A7" s="272" t="s">
        <v>5424</v>
      </c>
      <c r="B7" s="272"/>
      <c r="C7" s="272"/>
    </row>
    <row r="8" spans="1:3" s="177" customFormat="1">
      <c r="A8" s="183" t="s">
        <v>5425</v>
      </c>
      <c r="B8" s="268" t="s">
        <v>5426</v>
      </c>
      <c r="C8" s="268"/>
    </row>
    <row r="9" spans="1:3" ht="63">
      <c r="A9" s="180">
        <v>1</v>
      </c>
      <c r="B9" s="181" t="s">
        <v>6872</v>
      </c>
      <c r="C9" s="182" t="s">
        <v>6879</v>
      </c>
    </row>
    <row r="10" spans="1:3" ht="63">
      <c r="A10" s="180">
        <v>2</v>
      </c>
      <c r="B10" s="181" t="s">
        <v>6875</v>
      </c>
      <c r="C10" s="182" t="s">
        <v>6880</v>
      </c>
    </row>
    <row r="11" spans="1:3" ht="94.5">
      <c r="A11" s="180">
        <v>3</v>
      </c>
      <c r="B11" s="181" t="s">
        <v>6878</v>
      </c>
      <c r="C11" s="182" t="s">
        <v>6882</v>
      </c>
    </row>
    <row r="12" spans="1:3" ht="31.5">
      <c r="A12" s="180">
        <v>4</v>
      </c>
      <c r="B12" s="181" t="s">
        <v>6876</v>
      </c>
      <c r="C12" s="182" t="s">
        <v>6881</v>
      </c>
    </row>
    <row r="13" spans="1:3" ht="78.75">
      <c r="A13" s="180">
        <v>5</v>
      </c>
      <c r="B13" s="181" t="s">
        <v>6874</v>
      </c>
      <c r="C13" s="182" t="s">
        <v>6883</v>
      </c>
    </row>
    <row r="14" spans="1:3" ht="126">
      <c r="A14" s="180">
        <v>6</v>
      </c>
      <c r="B14" s="181" t="s">
        <v>6873</v>
      </c>
      <c r="C14" s="181" t="s">
        <v>6884</v>
      </c>
    </row>
    <row r="15" spans="1:3" ht="110.25">
      <c r="A15" s="180">
        <v>7</v>
      </c>
      <c r="B15" s="181" t="s">
        <v>6877</v>
      </c>
      <c r="C15" s="181" t="s">
        <v>6885</v>
      </c>
    </row>
    <row r="16" spans="1:3">
      <c r="A16" s="183" t="s">
        <v>5427</v>
      </c>
      <c r="B16" s="268" t="s">
        <v>5428</v>
      </c>
      <c r="C16" s="268"/>
    </row>
    <row r="17" spans="1:3" ht="78.75">
      <c r="A17" s="180">
        <v>8</v>
      </c>
      <c r="B17" s="181" t="s">
        <v>6887</v>
      </c>
      <c r="C17" s="181" t="s">
        <v>6889</v>
      </c>
    </row>
    <row r="18" spans="1:3" ht="47.25">
      <c r="A18" s="180">
        <v>9</v>
      </c>
      <c r="B18" s="181" t="s">
        <v>6888</v>
      </c>
      <c r="C18" s="182" t="s">
        <v>5429</v>
      </c>
    </row>
    <row r="19" spans="1:3" ht="409.5">
      <c r="A19" s="180">
        <v>10</v>
      </c>
      <c r="B19" s="181" t="s">
        <v>6886</v>
      </c>
      <c r="C19" s="182" t="s">
        <v>6891</v>
      </c>
    </row>
    <row r="20" spans="1:3" ht="31.5">
      <c r="A20" s="180">
        <v>11</v>
      </c>
      <c r="B20" s="181" t="s">
        <v>5430</v>
      </c>
      <c r="C20" s="181" t="s">
        <v>5431</v>
      </c>
    </row>
    <row r="21" spans="1:3" ht="126">
      <c r="A21" s="180">
        <v>12</v>
      </c>
      <c r="B21" s="181" t="s">
        <v>5432</v>
      </c>
      <c r="C21" s="181" t="s">
        <v>6892</v>
      </c>
    </row>
    <row r="22" spans="1:3" ht="29.25" customHeight="1">
      <c r="A22" s="183" t="s">
        <v>5433</v>
      </c>
      <c r="B22" s="270" t="s">
        <v>6893</v>
      </c>
      <c r="C22" s="271"/>
    </row>
    <row r="23" spans="1:3" ht="30" customHeight="1">
      <c r="A23" s="180">
        <v>13</v>
      </c>
      <c r="B23" s="181" t="s">
        <v>5434</v>
      </c>
      <c r="C23" s="181" t="s">
        <v>5435</v>
      </c>
    </row>
    <row r="24" spans="1:3" ht="31.5">
      <c r="A24" s="180">
        <v>14</v>
      </c>
      <c r="B24" s="181" t="s">
        <v>5436</v>
      </c>
      <c r="C24" s="181" t="s">
        <v>5437</v>
      </c>
    </row>
    <row r="25" spans="1:3" ht="31.5">
      <c r="A25" s="180">
        <v>15</v>
      </c>
      <c r="B25" s="181" t="s">
        <v>5438</v>
      </c>
      <c r="C25" s="181" t="s">
        <v>5439</v>
      </c>
    </row>
    <row r="26" spans="1:3" ht="31.5">
      <c r="A26" s="180">
        <v>16</v>
      </c>
      <c r="B26" s="181" t="s">
        <v>5440</v>
      </c>
      <c r="C26" s="181" t="s">
        <v>5441</v>
      </c>
    </row>
    <row r="27" spans="1:3" ht="26.25" customHeight="1">
      <c r="A27" s="269" t="s">
        <v>5442</v>
      </c>
      <c r="B27" s="269"/>
      <c r="C27" s="269"/>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D64"/>
  <sheetViews>
    <sheetView zoomScale="145" zoomScaleNormal="145" workbookViewId="0">
      <pane xSplit="2" ySplit="1" topLeftCell="C44" activePane="bottomRight" state="frozen"/>
      <selection activeCell="G5" sqref="G5"/>
      <selection pane="topRight" activeCell="G5" sqref="G5"/>
      <selection pane="bottomLeft" activeCell="G5" sqref="G5"/>
      <selection pane="bottomRight" activeCell="D5" sqref="D5"/>
    </sheetView>
  </sheetViews>
  <sheetFormatPr defaultRowHeight="15"/>
  <cols>
    <col min="1" max="1" width="5" customWidth="1"/>
    <col min="2" max="2" width="6.140625" customWidth="1"/>
    <col min="3" max="3" width="16.7109375" customWidth="1"/>
    <col min="4" max="4" width="11.5703125" customWidth="1"/>
  </cols>
  <sheetData>
    <row r="1" spans="1:4" ht="33.75" customHeight="1">
      <c r="A1" s="255" t="s">
        <v>0</v>
      </c>
      <c r="B1" s="255" t="s">
        <v>5306</v>
      </c>
      <c r="C1" s="255" t="s">
        <v>5307</v>
      </c>
      <c r="D1" s="255" t="s">
        <v>5308</v>
      </c>
    </row>
    <row r="2" spans="1:4">
      <c r="A2" s="256">
        <v>1</v>
      </c>
      <c r="B2" s="256" t="s">
        <v>10</v>
      </c>
      <c r="C2" s="256" t="s">
        <v>5309</v>
      </c>
      <c r="D2" s="256" t="s">
        <v>5310</v>
      </c>
    </row>
    <row r="3" spans="1:4">
      <c r="A3" s="256">
        <v>2</v>
      </c>
      <c r="B3" s="256" t="s">
        <v>342</v>
      </c>
      <c r="C3" s="256" t="s">
        <v>5311</v>
      </c>
      <c r="D3" s="256" t="s">
        <v>5310</v>
      </c>
    </row>
    <row r="4" spans="1:4">
      <c r="A4" s="256">
        <v>3</v>
      </c>
      <c r="B4" s="256" t="s">
        <v>5312</v>
      </c>
      <c r="C4" s="256" t="s">
        <v>5313</v>
      </c>
      <c r="D4" s="256" t="s">
        <v>5314</v>
      </c>
    </row>
    <row r="5" spans="1:4">
      <c r="A5" s="256">
        <v>4</v>
      </c>
      <c r="B5" s="256" t="s">
        <v>5315</v>
      </c>
      <c r="C5" s="256" t="s">
        <v>5316</v>
      </c>
      <c r="D5" s="256" t="s">
        <v>5317</v>
      </c>
    </row>
    <row r="6" spans="1:4">
      <c r="A6" s="256">
        <v>5</v>
      </c>
      <c r="B6" s="256" t="s">
        <v>5318</v>
      </c>
      <c r="C6" s="256" t="s">
        <v>5319</v>
      </c>
      <c r="D6" s="256" t="s">
        <v>5317</v>
      </c>
    </row>
    <row r="7" spans="1:4">
      <c r="A7" s="256">
        <v>6</v>
      </c>
      <c r="B7" s="256" t="s">
        <v>536</v>
      </c>
      <c r="C7" s="256" t="s">
        <v>5320</v>
      </c>
      <c r="D7" s="256" t="s">
        <v>5310</v>
      </c>
    </row>
    <row r="8" spans="1:4">
      <c r="A8" s="256">
        <v>7</v>
      </c>
      <c r="B8" s="256" t="s">
        <v>5321</v>
      </c>
      <c r="C8" s="256" t="s">
        <v>5322</v>
      </c>
      <c r="D8" s="256" t="s">
        <v>5317</v>
      </c>
    </row>
    <row r="9" spans="1:4">
      <c r="A9" s="256">
        <v>8</v>
      </c>
      <c r="B9" s="256" t="s">
        <v>672</v>
      </c>
      <c r="C9" s="256" t="s">
        <v>5323</v>
      </c>
      <c r="D9" s="256" t="s">
        <v>5310</v>
      </c>
    </row>
    <row r="10" spans="1:4">
      <c r="A10" s="256">
        <v>9</v>
      </c>
      <c r="B10" s="256" t="s">
        <v>899</v>
      </c>
      <c r="C10" s="256" t="s">
        <v>5324</v>
      </c>
      <c r="D10" s="256" t="s">
        <v>5310</v>
      </c>
    </row>
    <row r="11" spans="1:4">
      <c r="A11" s="256">
        <v>10</v>
      </c>
      <c r="B11" s="256" t="s">
        <v>1209</v>
      </c>
      <c r="C11" s="256" t="s">
        <v>5325</v>
      </c>
      <c r="D11" s="256" t="s">
        <v>5310</v>
      </c>
    </row>
    <row r="12" spans="1:4">
      <c r="A12" s="256">
        <v>11</v>
      </c>
      <c r="B12" s="256" t="s">
        <v>5326</v>
      </c>
      <c r="C12" s="256" t="s">
        <v>5327</v>
      </c>
      <c r="D12" s="256" t="s">
        <v>5317</v>
      </c>
    </row>
    <row r="13" spans="1:4">
      <c r="A13" s="256">
        <v>12</v>
      </c>
      <c r="B13" s="256" t="s">
        <v>1468</v>
      </c>
      <c r="C13" s="256" t="s">
        <v>5328</v>
      </c>
      <c r="D13" s="256" t="s">
        <v>5310</v>
      </c>
    </row>
    <row r="14" spans="1:4">
      <c r="A14" s="256">
        <v>13</v>
      </c>
      <c r="B14" s="256" t="s">
        <v>1667</v>
      </c>
      <c r="C14" s="256" t="s">
        <v>5329</v>
      </c>
      <c r="D14" s="256" t="s">
        <v>5310</v>
      </c>
    </row>
    <row r="15" spans="1:4">
      <c r="A15" s="256">
        <v>14</v>
      </c>
      <c r="B15" s="256" t="s">
        <v>5330</v>
      </c>
      <c r="C15" s="256" t="s">
        <v>5331</v>
      </c>
      <c r="D15" s="256" t="s">
        <v>5317</v>
      </c>
    </row>
    <row r="16" spans="1:4">
      <c r="A16" s="256">
        <v>15</v>
      </c>
      <c r="B16" s="256" t="s">
        <v>5332</v>
      </c>
      <c r="C16" s="256" t="s">
        <v>5333</v>
      </c>
      <c r="D16" s="256" t="s">
        <v>5314</v>
      </c>
    </row>
    <row r="17" spans="1:4">
      <c r="A17" s="256">
        <v>16</v>
      </c>
      <c r="B17" s="256" t="s">
        <v>1845</v>
      </c>
      <c r="C17" s="256" t="s">
        <v>5334</v>
      </c>
      <c r="D17" s="256" t="s">
        <v>5310</v>
      </c>
    </row>
    <row r="18" spans="1:4">
      <c r="A18" s="256">
        <v>17</v>
      </c>
      <c r="B18" s="256" t="s">
        <v>5335</v>
      </c>
      <c r="C18" s="256" t="s">
        <v>5336</v>
      </c>
      <c r="D18" s="256" t="s">
        <v>5314</v>
      </c>
    </row>
    <row r="19" spans="1:4">
      <c r="A19" s="256">
        <v>18</v>
      </c>
      <c r="B19" s="256" t="s">
        <v>5337</v>
      </c>
      <c r="C19" s="256" t="s">
        <v>5338</v>
      </c>
      <c r="D19" s="256" t="s">
        <v>5314</v>
      </c>
    </row>
    <row r="20" spans="1:4">
      <c r="A20" s="256">
        <v>19</v>
      </c>
      <c r="B20" s="256" t="s">
        <v>2171</v>
      </c>
      <c r="C20" s="256" t="s">
        <v>5339</v>
      </c>
      <c r="D20" s="256" t="s">
        <v>5310</v>
      </c>
    </row>
    <row r="21" spans="1:4">
      <c r="A21" s="256">
        <v>20</v>
      </c>
      <c r="B21" s="256" t="s">
        <v>5340</v>
      </c>
      <c r="C21" s="256" t="s">
        <v>5341</v>
      </c>
      <c r="D21" s="256" t="s">
        <v>5314</v>
      </c>
    </row>
    <row r="22" spans="1:4">
      <c r="A22" s="256">
        <v>21</v>
      </c>
      <c r="B22" s="256" t="s">
        <v>5342</v>
      </c>
      <c r="C22" s="256" t="s">
        <v>5343</v>
      </c>
      <c r="D22" s="256" t="s">
        <v>5317</v>
      </c>
    </row>
    <row r="23" spans="1:4">
      <c r="A23" s="256">
        <v>22</v>
      </c>
      <c r="B23" s="256" t="s">
        <v>2425</v>
      </c>
      <c r="C23" s="256" t="s">
        <v>5344</v>
      </c>
      <c r="D23" s="256" t="s">
        <v>5310</v>
      </c>
    </row>
    <row r="24" spans="1:4">
      <c r="A24" s="256">
        <v>23</v>
      </c>
      <c r="B24" s="256" t="s">
        <v>5345</v>
      </c>
      <c r="C24" s="256" t="s">
        <v>5346</v>
      </c>
      <c r="D24" s="256" t="s">
        <v>5317</v>
      </c>
    </row>
    <row r="25" spans="1:4">
      <c r="A25" s="256">
        <v>24</v>
      </c>
      <c r="B25" s="256" t="s">
        <v>2935</v>
      </c>
      <c r="C25" s="256" t="s">
        <v>5347</v>
      </c>
      <c r="D25" s="256" t="s">
        <v>5310</v>
      </c>
    </row>
    <row r="26" spans="1:4">
      <c r="A26" s="256">
        <v>25</v>
      </c>
      <c r="B26" s="256" t="s">
        <v>5348</v>
      </c>
      <c r="C26" s="256" t="s">
        <v>5349</v>
      </c>
      <c r="D26" s="256" t="s">
        <v>5317</v>
      </c>
    </row>
    <row r="27" spans="1:4">
      <c r="A27" s="256">
        <v>26</v>
      </c>
      <c r="B27" s="256" t="s">
        <v>5350</v>
      </c>
      <c r="C27" s="256" t="s">
        <v>5351</v>
      </c>
      <c r="D27" s="256" t="s">
        <v>5317</v>
      </c>
    </row>
    <row r="28" spans="1:4">
      <c r="A28" s="256">
        <v>27</v>
      </c>
      <c r="B28" s="256" t="s">
        <v>5352</v>
      </c>
      <c r="C28" s="256" t="s">
        <v>5353</v>
      </c>
      <c r="D28" s="256" t="s">
        <v>5317</v>
      </c>
    </row>
    <row r="29" spans="1:4">
      <c r="A29" s="256">
        <v>28</v>
      </c>
      <c r="B29" s="256" t="s">
        <v>5354</v>
      </c>
      <c r="C29" s="256" t="s">
        <v>5355</v>
      </c>
      <c r="D29" s="256" t="s">
        <v>5317</v>
      </c>
    </row>
    <row r="30" spans="1:4">
      <c r="A30" s="256">
        <v>29</v>
      </c>
      <c r="B30" s="256" t="s">
        <v>5356</v>
      </c>
      <c r="C30" s="256" t="s">
        <v>5357</v>
      </c>
      <c r="D30" s="256" t="s">
        <v>5317</v>
      </c>
    </row>
    <row r="31" spans="1:4">
      <c r="A31" s="256">
        <v>30</v>
      </c>
      <c r="B31" s="256" t="s">
        <v>5358</v>
      </c>
      <c r="C31" s="256" t="s">
        <v>5359</v>
      </c>
      <c r="D31" s="256" t="s">
        <v>5317</v>
      </c>
    </row>
    <row r="32" spans="1:4">
      <c r="A32" s="256">
        <v>31</v>
      </c>
      <c r="B32" s="256" t="s">
        <v>3085</v>
      </c>
      <c r="C32" s="256" t="s">
        <v>5360</v>
      </c>
      <c r="D32" s="256" t="s">
        <v>5310</v>
      </c>
    </row>
    <row r="33" spans="1:4">
      <c r="A33" s="256">
        <v>32</v>
      </c>
      <c r="B33" s="256" t="s">
        <v>5361</v>
      </c>
      <c r="C33" s="256" t="s">
        <v>5362</v>
      </c>
      <c r="D33" s="256" t="s">
        <v>5314</v>
      </c>
    </row>
    <row r="34" spans="1:4">
      <c r="A34" s="256">
        <v>33</v>
      </c>
      <c r="B34" s="256" t="s">
        <v>5363</v>
      </c>
      <c r="C34" s="256" t="s">
        <v>5364</v>
      </c>
      <c r="D34" s="256" t="s">
        <v>5314</v>
      </c>
    </row>
    <row r="35" spans="1:4">
      <c r="A35" s="256">
        <v>34</v>
      </c>
      <c r="B35" s="256" t="s">
        <v>3370</v>
      </c>
      <c r="C35" s="256" t="s">
        <v>5365</v>
      </c>
      <c r="D35" s="256" t="s">
        <v>5310</v>
      </c>
    </row>
    <row r="36" spans="1:4">
      <c r="A36" s="256">
        <v>35</v>
      </c>
      <c r="B36" s="256" t="s">
        <v>5366</v>
      </c>
      <c r="C36" s="256" t="s">
        <v>5367</v>
      </c>
      <c r="D36" s="256" t="s">
        <v>5317</v>
      </c>
    </row>
    <row r="37" spans="1:4">
      <c r="A37" s="256">
        <v>36</v>
      </c>
      <c r="B37" s="256" t="s">
        <v>5368</v>
      </c>
      <c r="C37" s="256" t="s">
        <v>5369</v>
      </c>
      <c r="D37" s="256" t="s">
        <v>5317</v>
      </c>
    </row>
    <row r="38" spans="1:4">
      <c r="A38" s="256">
        <v>37</v>
      </c>
      <c r="B38" s="256" t="s">
        <v>3722</v>
      </c>
      <c r="C38" s="256" t="s">
        <v>5370</v>
      </c>
      <c r="D38" s="256" t="s">
        <v>5310</v>
      </c>
    </row>
    <row r="39" spans="1:4">
      <c r="A39" s="256">
        <v>38</v>
      </c>
      <c r="B39" s="256" t="s">
        <v>5371</v>
      </c>
      <c r="C39" s="256" t="s">
        <v>5372</v>
      </c>
      <c r="D39" s="256" t="s">
        <v>5317</v>
      </c>
    </row>
    <row r="40" spans="1:4">
      <c r="A40" s="256">
        <v>39</v>
      </c>
      <c r="B40" s="256" t="s">
        <v>5373</v>
      </c>
      <c r="C40" s="256" t="s">
        <v>5374</v>
      </c>
      <c r="D40" s="256" t="s">
        <v>5317</v>
      </c>
    </row>
    <row r="41" spans="1:4">
      <c r="A41" s="256">
        <v>40</v>
      </c>
      <c r="B41" s="256" t="s">
        <v>5375</v>
      </c>
      <c r="C41" s="256" t="s">
        <v>5376</v>
      </c>
      <c r="D41" s="256" t="s">
        <v>5317</v>
      </c>
    </row>
    <row r="42" spans="1:4">
      <c r="A42" s="256">
        <v>41</v>
      </c>
      <c r="B42" s="256" t="s">
        <v>5377</v>
      </c>
      <c r="C42" s="256" t="s">
        <v>5378</v>
      </c>
      <c r="D42" s="256" t="s">
        <v>5317</v>
      </c>
    </row>
    <row r="43" spans="1:4">
      <c r="A43" s="256">
        <v>42</v>
      </c>
      <c r="B43" s="256" t="s">
        <v>4007</v>
      </c>
      <c r="C43" s="256" t="s">
        <v>5379</v>
      </c>
      <c r="D43" s="256" t="s">
        <v>5310</v>
      </c>
    </row>
    <row r="44" spans="1:4">
      <c r="A44" s="256">
        <v>43</v>
      </c>
      <c r="B44" s="256" t="s">
        <v>5380</v>
      </c>
      <c r="C44" s="256" t="s">
        <v>5381</v>
      </c>
      <c r="D44" s="256" t="s">
        <v>5317</v>
      </c>
    </row>
    <row r="45" spans="1:4">
      <c r="A45" s="256">
        <v>44</v>
      </c>
      <c r="B45" s="256" t="s">
        <v>5382</v>
      </c>
      <c r="C45" s="256" t="s">
        <v>5383</v>
      </c>
      <c r="D45" s="256" t="s">
        <v>5314</v>
      </c>
    </row>
    <row r="46" spans="1:4">
      <c r="A46" s="256">
        <v>45</v>
      </c>
      <c r="B46" s="256" t="s">
        <v>5384</v>
      </c>
      <c r="C46" s="256" t="s">
        <v>5385</v>
      </c>
      <c r="D46" s="256" t="s">
        <v>5314</v>
      </c>
    </row>
    <row r="47" spans="1:4">
      <c r="A47" s="256">
        <v>46</v>
      </c>
      <c r="B47" s="256" t="s">
        <v>5386</v>
      </c>
      <c r="C47" s="256" t="s">
        <v>5387</v>
      </c>
      <c r="D47" s="256" t="s">
        <v>5314</v>
      </c>
    </row>
    <row r="48" spans="1:4">
      <c r="A48" s="256">
        <v>47</v>
      </c>
      <c r="B48" s="256" t="s">
        <v>5388</v>
      </c>
      <c r="C48" s="256" t="s">
        <v>5389</v>
      </c>
      <c r="D48" s="256" t="s">
        <v>5314</v>
      </c>
    </row>
    <row r="49" spans="1:4">
      <c r="A49" s="256">
        <v>48</v>
      </c>
      <c r="B49" s="256" t="s">
        <v>5390</v>
      </c>
      <c r="C49" s="256" t="s">
        <v>5391</v>
      </c>
      <c r="D49" s="256" t="s">
        <v>5317</v>
      </c>
    </row>
    <row r="50" spans="1:4">
      <c r="A50" s="256">
        <v>49</v>
      </c>
      <c r="B50" s="256" t="s">
        <v>5392</v>
      </c>
      <c r="C50" s="256" t="s">
        <v>5393</v>
      </c>
      <c r="D50" s="256" t="s">
        <v>5314</v>
      </c>
    </row>
    <row r="51" spans="1:4">
      <c r="A51" s="256">
        <v>50</v>
      </c>
      <c r="B51" s="256" t="s">
        <v>5394</v>
      </c>
      <c r="C51" s="256" t="s">
        <v>5395</v>
      </c>
      <c r="D51" s="256" t="s">
        <v>5317</v>
      </c>
    </row>
    <row r="52" spans="1:4">
      <c r="A52" s="256">
        <v>51</v>
      </c>
      <c r="B52" s="256" t="s">
        <v>4141</v>
      </c>
      <c r="C52" s="256" t="s">
        <v>5396</v>
      </c>
      <c r="D52" s="256" t="s">
        <v>5310</v>
      </c>
    </row>
    <row r="53" spans="1:4">
      <c r="A53" s="256">
        <v>52</v>
      </c>
      <c r="B53" s="256" t="s">
        <v>5397</v>
      </c>
      <c r="C53" s="256" t="s">
        <v>5398</v>
      </c>
      <c r="D53" s="256" t="s">
        <v>5317</v>
      </c>
    </row>
    <row r="54" spans="1:4">
      <c r="A54" s="256">
        <v>53</v>
      </c>
      <c r="B54" s="256" t="s">
        <v>4339</v>
      </c>
      <c r="C54" s="256" t="s">
        <v>5399</v>
      </c>
      <c r="D54" s="256" t="s">
        <v>5310</v>
      </c>
    </row>
    <row r="55" spans="1:4">
      <c r="A55" s="256">
        <v>54</v>
      </c>
      <c r="B55" s="256" t="s">
        <v>5400</v>
      </c>
      <c r="C55" s="256" t="s">
        <v>5401</v>
      </c>
      <c r="D55" s="256" t="s">
        <v>5317</v>
      </c>
    </row>
    <row r="56" spans="1:4">
      <c r="A56" s="256">
        <v>55</v>
      </c>
      <c r="B56" s="256" t="s">
        <v>4629</v>
      </c>
      <c r="C56" s="256" t="s">
        <v>5402</v>
      </c>
      <c r="D56" s="256" t="s">
        <v>5310</v>
      </c>
    </row>
    <row r="57" spans="1:4">
      <c r="A57" s="256">
        <v>56</v>
      </c>
      <c r="B57" s="256" t="s">
        <v>5403</v>
      </c>
      <c r="C57" s="256" t="s">
        <v>5404</v>
      </c>
      <c r="D57" s="256" t="s">
        <v>5317</v>
      </c>
    </row>
    <row r="58" spans="1:4">
      <c r="A58" s="256">
        <v>57</v>
      </c>
      <c r="B58" s="256" t="s">
        <v>5405</v>
      </c>
      <c r="C58" s="256" t="s">
        <v>5406</v>
      </c>
      <c r="D58" s="256" t="s">
        <v>5314</v>
      </c>
    </row>
    <row r="59" spans="1:4">
      <c r="A59" s="256">
        <v>58</v>
      </c>
      <c r="B59" s="256" t="s">
        <v>4798</v>
      </c>
      <c r="C59" s="256" t="s">
        <v>5407</v>
      </c>
      <c r="D59" s="256" t="s">
        <v>5310</v>
      </c>
    </row>
    <row r="60" spans="1:4">
      <c r="A60" s="256">
        <v>59</v>
      </c>
      <c r="B60" s="256" t="s">
        <v>5408</v>
      </c>
      <c r="C60" s="256" t="s">
        <v>5409</v>
      </c>
      <c r="D60" s="256" t="s">
        <v>5317</v>
      </c>
    </row>
    <row r="61" spans="1:4">
      <c r="A61" s="256">
        <v>60</v>
      </c>
      <c r="B61" s="256" t="s">
        <v>4981</v>
      </c>
      <c r="C61" s="256" t="s">
        <v>5410</v>
      </c>
      <c r="D61" s="256" t="s">
        <v>5310</v>
      </c>
    </row>
    <row r="62" spans="1:4">
      <c r="A62" s="256">
        <v>61</v>
      </c>
      <c r="B62" s="256" t="s">
        <v>5411</v>
      </c>
      <c r="C62" s="256" t="s">
        <v>5412</v>
      </c>
      <c r="D62" s="256" t="s">
        <v>5317</v>
      </c>
    </row>
    <row r="63" spans="1:4">
      <c r="A63" s="256">
        <v>62</v>
      </c>
      <c r="B63" s="256" t="s">
        <v>5164</v>
      </c>
      <c r="C63" s="256" t="s">
        <v>5413</v>
      </c>
      <c r="D63" s="256" t="s">
        <v>5310</v>
      </c>
    </row>
    <row r="64" spans="1:4">
      <c r="A64" s="256">
        <v>63</v>
      </c>
      <c r="B64" s="256" t="s">
        <v>5414</v>
      </c>
      <c r="C64" s="256" t="s">
        <v>5415</v>
      </c>
      <c r="D64" s="256" t="s">
        <v>5317</v>
      </c>
    </row>
  </sheetData>
  <sheetProtection formatCells="0" formatColumns="0" formatRows="0" sort="0" autoFilter="0" pivotTables="0"/>
  <autoFilter ref="A1:D64"/>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7"/>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5" style="243" customWidth="1"/>
    <col min="2" max="2" width="15.28515625" style="242" customWidth="1"/>
    <col min="3" max="3" width="14" style="242" customWidth="1"/>
    <col min="4" max="4" width="50" style="242" customWidth="1"/>
    <col min="5" max="6" width="9.140625" style="242" customWidth="1"/>
    <col min="7" max="16384" width="9.140625" style="242"/>
  </cols>
  <sheetData>
    <row r="1" spans="1:4" ht="33.75" customHeight="1">
      <c r="A1" s="257" t="s">
        <v>0</v>
      </c>
      <c r="B1" s="257" t="s">
        <v>5306</v>
      </c>
      <c r="C1" s="257" t="s">
        <v>6659</v>
      </c>
      <c r="D1" s="257" t="s">
        <v>5307</v>
      </c>
    </row>
    <row r="2" spans="1:4" ht="30">
      <c r="A2" s="258">
        <v>1</v>
      </c>
      <c r="B2" s="259" t="s">
        <v>6599</v>
      </c>
      <c r="C2" s="259" t="s">
        <v>6599</v>
      </c>
      <c r="D2" s="259" t="s">
        <v>5456</v>
      </c>
    </row>
    <row r="3" spans="1:4">
      <c r="A3" s="258">
        <v>2</v>
      </c>
      <c r="B3" s="259" t="s">
        <v>6428</v>
      </c>
      <c r="C3" s="259" t="s">
        <v>6428</v>
      </c>
      <c r="D3" s="259" t="s">
        <v>6660</v>
      </c>
    </row>
    <row r="4" spans="1:4" ht="30">
      <c r="A4" s="258">
        <v>3</v>
      </c>
      <c r="B4" s="259" t="s">
        <v>6440</v>
      </c>
      <c r="C4" s="259" t="s">
        <v>6440</v>
      </c>
      <c r="D4" s="259" t="s">
        <v>6661</v>
      </c>
    </row>
    <row r="5" spans="1:4">
      <c r="A5" s="258">
        <v>4</v>
      </c>
      <c r="B5" s="259" t="s">
        <v>6431</v>
      </c>
      <c r="C5" s="259" t="s">
        <v>6440</v>
      </c>
      <c r="D5" s="259" t="s">
        <v>6432</v>
      </c>
    </row>
    <row r="6" spans="1:4">
      <c r="A6" s="258">
        <v>5</v>
      </c>
      <c r="B6" s="259" t="s">
        <v>5723</v>
      </c>
      <c r="C6" s="259" t="s">
        <v>5723</v>
      </c>
      <c r="D6" s="259" t="s">
        <v>5741</v>
      </c>
    </row>
    <row r="7" spans="1:4">
      <c r="A7" s="258">
        <v>6</v>
      </c>
      <c r="B7" s="259" t="s">
        <v>6455</v>
      </c>
      <c r="C7" s="259" t="s">
        <v>6455</v>
      </c>
      <c r="D7" s="259" t="s">
        <v>6592</v>
      </c>
    </row>
  </sheetData>
  <sheetProtection formatCells="0" formatColumns="0" formatRows="0" sort="0" autoFilter="0" pivotTables="0"/>
  <autoFilter ref="A1:D7"/>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6"/>
  <sheetViews>
    <sheetView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5" customWidth="1"/>
    <col min="2" max="2" width="17.140625" customWidth="1"/>
    <col min="3" max="4" width="50" customWidth="1"/>
    <col min="5" max="5" width="14.7109375" customWidth="1"/>
    <col min="6" max="6" width="14" customWidth="1"/>
    <col min="7" max="7" width="10.140625" customWidth="1"/>
    <col min="8" max="8" width="13.28515625" customWidth="1"/>
  </cols>
  <sheetData>
    <row r="1" spans="1:8" ht="33.75" customHeight="1">
      <c r="A1" s="260" t="s">
        <v>0</v>
      </c>
      <c r="B1" s="260" t="s">
        <v>5306</v>
      </c>
      <c r="C1" s="260" t="s">
        <v>5307</v>
      </c>
      <c r="D1" s="260" t="s">
        <v>5980</v>
      </c>
      <c r="E1" s="260" t="s">
        <v>6419</v>
      </c>
      <c r="F1" s="260" t="s">
        <v>6420</v>
      </c>
      <c r="G1" s="260" t="s">
        <v>6421</v>
      </c>
      <c r="H1" s="260" t="s">
        <v>5719</v>
      </c>
    </row>
    <row r="2" spans="1:8" ht="45">
      <c r="A2" s="261">
        <v>1</v>
      </c>
      <c r="B2" s="261" t="s">
        <v>6422</v>
      </c>
      <c r="C2" s="261" t="s">
        <v>6423</v>
      </c>
      <c r="D2" s="261" t="s">
        <v>6424</v>
      </c>
      <c r="E2" s="261" t="s">
        <v>6425</v>
      </c>
      <c r="F2" s="261" t="s">
        <v>6426</v>
      </c>
      <c r="G2" s="261" t="s">
        <v>6427</v>
      </c>
      <c r="H2" s="261" t="s">
        <v>6428</v>
      </c>
    </row>
    <row r="3" spans="1:8" ht="30">
      <c r="A3" s="261">
        <v>2</v>
      </c>
      <c r="B3" s="261" t="s">
        <v>6428</v>
      </c>
      <c r="C3" s="261" t="s">
        <v>6429</v>
      </c>
      <c r="D3" s="261" t="s">
        <v>6424</v>
      </c>
      <c r="E3" s="261" t="s">
        <v>6425</v>
      </c>
      <c r="F3" s="261" t="s">
        <v>6426</v>
      </c>
      <c r="G3" s="261" t="s">
        <v>6430</v>
      </c>
      <c r="H3" s="261" t="s">
        <v>6428</v>
      </c>
    </row>
    <row r="4" spans="1:8" ht="30">
      <c r="A4" s="261">
        <v>3</v>
      </c>
      <c r="B4" s="261" t="s">
        <v>6431</v>
      </c>
      <c r="C4" s="261" t="s">
        <v>6432</v>
      </c>
      <c r="D4" s="261" t="s">
        <v>6433</v>
      </c>
      <c r="E4" s="261" t="s">
        <v>6434</v>
      </c>
      <c r="F4" s="261" t="s">
        <v>6435</v>
      </c>
      <c r="G4" s="261" t="s">
        <v>6436</v>
      </c>
      <c r="H4" s="261" t="s">
        <v>6431</v>
      </c>
    </row>
    <row r="5" spans="1:8" ht="30">
      <c r="A5" s="261">
        <v>4</v>
      </c>
      <c r="B5" s="261" t="s">
        <v>6437</v>
      </c>
      <c r="C5" s="261" t="s">
        <v>6438</v>
      </c>
      <c r="D5" s="261" t="s">
        <v>6439</v>
      </c>
      <c r="E5" s="261" t="s">
        <v>5738</v>
      </c>
      <c r="F5" s="261" t="s">
        <v>5738</v>
      </c>
      <c r="G5" s="261" t="s">
        <v>5738</v>
      </c>
      <c r="H5" s="261" t="s">
        <v>6440</v>
      </c>
    </row>
    <row r="6" spans="1:8" ht="30">
      <c r="A6" s="261">
        <v>5</v>
      </c>
      <c r="B6" s="261" t="s">
        <v>5723</v>
      </c>
      <c r="C6" s="261" t="s">
        <v>5740</v>
      </c>
      <c r="D6" s="261" t="s">
        <v>6441</v>
      </c>
      <c r="E6" s="261" t="s">
        <v>6442</v>
      </c>
      <c r="F6" s="261" t="s">
        <v>6443</v>
      </c>
      <c r="G6" s="261" t="s">
        <v>5738</v>
      </c>
      <c r="H6" s="261" t="s">
        <v>5723</v>
      </c>
    </row>
    <row r="7" spans="1:8">
      <c r="A7" s="261">
        <v>6</v>
      </c>
      <c r="B7" s="261" t="s">
        <v>6444</v>
      </c>
      <c r="C7" s="261" t="s">
        <v>6445</v>
      </c>
      <c r="D7" s="261" t="s">
        <v>6446</v>
      </c>
      <c r="E7" s="261" t="s">
        <v>6447</v>
      </c>
      <c r="F7" s="261" t="s">
        <v>6426</v>
      </c>
      <c r="G7" s="261" t="s">
        <v>6448</v>
      </c>
      <c r="H7" s="261" t="s">
        <v>5723</v>
      </c>
    </row>
    <row r="8" spans="1:8" ht="30">
      <c r="A8" s="261">
        <v>7</v>
      </c>
      <c r="B8" s="261" t="s">
        <v>6449</v>
      </c>
      <c r="C8" s="261" t="s">
        <v>6450</v>
      </c>
      <c r="D8" s="261" t="s">
        <v>6451</v>
      </c>
      <c r="E8" s="261" t="s">
        <v>6452</v>
      </c>
      <c r="F8" s="261" t="s">
        <v>6453</v>
      </c>
      <c r="G8" s="261" t="s">
        <v>6454</v>
      </c>
      <c r="H8" s="261" t="s">
        <v>6455</v>
      </c>
    </row>
    <row r="9" spans="1:8" ht="30">
      <c r="A9" s="261">
        <v>8</v>
      </c>
      <c r="B9" s="261" t="s">
        <v>6456</v>
      </c>
      <c r="C9" s="261" t="s">
        <v>6457</v>
      </c>
      <c r="D9" s="261" t="s">
        <v>6458</v>
      </c>
      <c r="E9" s="261" t="s">
        <v>6459</v>
      </c>
      <c r="F9" s="261" t="s">
        <v>6460</v>
      </c>
      <c r="G9" s="261" t="s">
        <v>6461</v>
      </c>
      <c r="H9" s="261" t="s">
        <v>6455</v>
      </c>
    </row>
    <row r="10" spans="1:8" ht="30">
      <c r="A10" s="261">
        <v>9</v>
      </c>
      <c r="B10" s="261" t="s">
        <v>6462</v>
      </c>
      <c r="C10" s="261" t="s">
        <v>6463</v>
      </c>
      <c r="D10" s="261" t="s">
        <v>6464</v>
      </c>
      <c r="E10" s="261" t="s">
        <v>6465</v>
      </c>
      <c r="F10" s="261" t="s">
        <v>6466</v>
      </c>
      <c r="G10" s="261" t="s">
        <v>6467</v>
      </c>
      <c r="H10" s="261" t="s">
        <v>6455</v>
      </c>
    </row>
    <row r="11" spans="1:8" ht="30">
      <c r="A11" s="261">
        <v>10</v>
      </c>
      <c r="B11" s="261" t="s">
        <v>6468</v>
      </c>
      <c r="C11" s="261" t="s">
        <v>6469</v>
      </c>
      <c r="D11" s="261" t="s">
        <v>6470</v>
      </c>
      <c r="E11" s="261" t="s">
        <v>6471</v>
      </c>
      <c r="F11" s="261" t="s">
        <v>6472</v>
      </c>
      <c r="G11" s="261" t="s">
        <v>6473</v>
      </c>
      <c r="H11" s="261" t="s">
        <v>5723</v>
      </c>
    </row>
    <row r="12" spans="1:8" ht="30">
      <c r="A12" s="261">
        <v>11</v>
      </c>
      <c r="B12" s="261" t="s">
        <v>6474</v>
      </c>
      <c r="C12" s="261" t="s">
        <v>6475</v>
      </c>
      <c r="D12" s="261" t="s">
        <v>6470</v>
      </c>
      <c r="E12" s="261" t="s">
        <v>6471</v>
      </c>
      <c r="F12" s="261" t="s">
        <v>6472</v>
      </c>
      <c r="G12" s="261" t="s">
        <v>6473</v>
      </c>
      <c r="H12" s="261" t="s">
        <v>5723</v>
      </c>
    </row>
    <row r="13" spans="1:8" ht="30">
      <c r="A13" s="261">
        <v>12</v>
      </c>
      <c r="B13" s="261" t="s">
        <v>6476</v>
      </c>
      <c r="C13" s="261" t="s">
        <v>6477</v>
      </c>
      <c r="D13" s="261" t="s">
        <v>6433</v>
      </c>
      <c r="E13" s="261" t="s">
        <v>6434</v>
      </c>
      <c r="F13" s="261" t="s">
        <v>6435</v>
      </c>
      <c r="G13" s="261" t="s">
        <v>6436</v>
      </c>
      <c r="H13" s="261" t="s">
        <v>6440</v>
      </c>
    </row>
    <row r="14" spans="1:8" ht="30">
      <c r="A14" s="261">
        <v>13</v>
      </c>
      <c r="B14" s="261" t="s">
        <v>6478</v>
      </c>
      <c r="C14" s="261" t="s">
        <v>6479</v>
      </c>
      <c r="D14" s="261" t="s">
        <v>6480</v>
      </c>
      <c r="E14" s="261" t="s">
        <v>6481</v>
      </c>
      <c r="F14" s="261" t="s">
        <v>5738</v>
      </c>
      <c r="G14" s="261" t="s">
        <v>6482</v>
      </c>
      <c r="H14" s="261" t="s">
        <v>6440</v>
      </c>
    </row>
    <row r="15" spans="1:8" ht="30">
      <c r="A15" s="261">
        <v>14</v>
      </c>
      <c r="B15" s="261" t="s">
        <v>6483</v>
      </c>
      <c r="C15" s="261" t="s">
        <v>6484</v>
      </c>
      <c r="D15" s="261" t="s">
        <v>6485</v>
      </c>
      <c r="E15" s="261" t="s">
        <v>6486</v>
      </c>
      <c r="F15" s="261" t="s">
        <v>6487</v>
      </c>
      <c r="G15" s="261" t="s">
        <v>6488</v>
      </c>
      <c r="H15" s="261" t="s">
        <v>6440</v>
      </c>
    </row>
    <row r="16" spans="1:8" ht="30">
      <c r="A16" s="261">
        <v>15</v>
      </c>
      <c r="B16" s="261" t="s">
        <v>6489</v>
      </c>
      <c r="C16" s="261" t="s">
        <v>6490</v>
      </c>
      <c r="D16" s="261" t="s">
        <v>6491</v>
      </c>
      <c r="E16" s="261" t="s">
        <v>6492</v>
      </c>
      <c r="F16" s="261" t="s">
        <v>6493</v>
      </c>
      <c r="G16" s="261" t="s">
        <v>6494</v>
      </c>
      <c r="H16" s="261" t="s">
        <v>6440</v>
      </c>
    </row>
    <row r="17" spans="1:8" ht="30">
      <c r="A17" s="261">
        <v>16</v>
      </c>
      <c r="B17" s="261" t="s">
        <v>6495</v>
      </c>
      <c r="C17" s="261" t="s">
        <v>6496</v>
      </c>
      <c r="D17" s="261" t="s">
        <v>6497</v>
      </c>
      <c r="E17" s="261" t="s">
        <v>6498</v>
      </c>
      <c r="F17" s="261" t="s">
        <v>5738</v>
      </c>
      <c r="G17" s="261" t="s">
        <v>6499</v>
      </c>
      <c r="H17" s="261" t="s">
        <v>6440</v>
      </c>
    </row>
    <row r="18" spans="1:8" ht="30">
      <c r="A18" s="261">
        <v>17</v>
      </c>
      <c r="B18" s="261" t="s">
        <v>6500</v>
      </c>
      <c r="C18" s="261" t="s">
        <v>6501</v>
      </c>
      <c r="D18" s="261" t="s">
        <v>6502</v>
      </c>
      <c r="E18" s="261" t="s">
        <v>6503</v>
      </c>
      <c r="F18" s="261" t="s">
        <v>5738</v>
      </c>
      <c r="G18" s="261" t="s">
        <v>6504</v>
      </c>
      <c r="H18" s="261" t="s">
        <v>6440</v>
      </c>
    </row>
    <row r="19" spans="1:8" ht="30">
      <c r="A19" s="261">
        <v>18</v>
      </c>
      <c r="B19" s="261" t="s">
        <v>6505</v>
      </c>
      <c r="C19" s="261" t="s">
        <v>6506</v>
      </c>
      <c r="D19" s="261" t="s">
        <v>6507</v>
      </c>
      <c r="E19" s="261" t="s">
        <v>6508</v>
      </c>
      <c r="F19" s="261" t="s">
        <v>5738</v>
      </c>
      <c r="G19" s="261" t="s">
        <v>6482</v>
      </c>
      <c r="H19" s="261" t="s">
        <v>6440</v>
      </c>
    </row>
    <row r="20" spans="1:8" ht="30">
      <c r="A20" s="261">
        <v>19</v>
      </c>
      <c r="B20" s="261" t="s">
        <v>6509</v>
      </c>
      <c r="C20" s="261" t="s">
        <v>6510</v>
      </c>
      <c r="D20" s="261" t="s">
        <v>6511</v>
      </c>
      <c r="E20" s="261" t="s">
        <v>6512</v>
      </c>
      <c r="F20" s="261" t="s">
        <v>6513</v>
      </c>
      <c r="G20" s="261" t="s">
        <v>6514</v>
      </c>
      <c r="H20" s="261" t="s">
        <v>6440</v>
      </c>
    </row>
    <row r="21" spans="1:8" ht="30">
      <c r="A21" s="261">
        <v>20</v>
      </c>
      <c r="B21" s="261" t="s">
        <v>6515</v>
      </c>
      <c r="C21" s="261" t="s">
        <v>6516</v>
      </c>
      <c r="D21" s="261" t="s">
        <v>6517</v>
      </c>
      <c r="E21" s="261" t="s">
        <v>6518</v>
      </c>
      <c r="F21" s="261" t="s">
        <v>6518</v>
      </c>
      <c r="G21" s="261" t="s">
        <v>6519</v>
      </c>
      <c r="H21" s="261" t="s">
        <v>6440</v>
      </c>
    </row>
    <row r="22" spans="1:8" ht="30">
      <c r="A22" s="261">
        <v>21</v>
      </c>
      <c r="B22" s="261" t="s">
        <v>6520</v>
      </c>
      <c r="C22" s="261" t="s">
        <v>6521</v>
      </c>
      <c r="D22" s="261" t="s">
        <v>6522</v>
      </c>
      <c r="E22" s="261" t="s">
        <v>6523</v>
      </c>
      <c r="F22" s="261" t="s">
        <v>5738</v>
      </c>
      <c r="G22" s="261" t="s">
        <v>6524</v>
      </c>
      <c r="H22" s="261" t="s">
        <v>6440</v>
      </c>
    </row>
    <row r="23" spans="1:8" ht="30">
      <c r="A23" s="261">
        <v>22</v>
      </c>
      <c r="B23" s="261" t="s">
        <v>6525</v>
      </c>
      <c r="C23" s="261" t="s">
        <v>6526</v>
      </c>
      <c r="D23" s="261" t="s">
        <v>6527</v>
      </c>
      <c r="E23" s="261" t="s">
        <v>6528</v>
      </c>
      <c r="F23" s="261" t="s">
        <v>6529</v>
      </c>
      <c r="G23" s="261" t="s">
        <v>6530</v>
      </c>
      <c r="H23" s="261" t="s">
        <v>6440</v>
      </c>
    </row>
    <row r="24" spans="1:8" ht="30">
      <c r="A24" s="261">
        <v>23</v>
      </c>
      <c r="B24" s="261" t="s">
        <v>6531</v>
      </c>
      <c r="C24" s="261" t="s">
        <v>6532</v>
      </c>
      <c r="D24" s="261" t="s">
        <v>6533</v>
      </c>
      <c r="E24" s="261" t="s">
        <v>6534</v>
      </c>
      <c r="F24" s="261" t="s">
        <v>5738</v>
      </c>
      <c r="G24" s="261" t="s">
        <v>6535</v>
      </c>
      <c r="H24" s="261" t="s">
        <v>6440</v>
      </c>
    </row>
    <row r="25" spans="1:8" ht="30">
      <c r="A25" s="261">
        <v>24</v>
      </c>
      <c r="B25" s="261" t="s">
        <v>6536</v>
      </c>
      <c r="C25" s="261" t="s">
        <v>6537</v>
      </c>
      <c r="D25" s="261" t="s">
        <v>6538</v>
      </c>
      <c r="E25" s="261" t="s">
        <v>6539</v>
      </c>
      <c r="F25" s="261" t="s">
        <v>5738</v>
      </c>
      <c r="G25" s="261" t="s">
        <v>6540</v>
      </c>
      <c r="H25" s="261" t="s">
        <v>6440</v>
      </c>
    </row>
    <row r="26" spans="1:8" ht="30">
      <c r="A26" s="261">
        <v>25</v>
      </c>
      <c r="B26" s="261" t="s">
        <v>6541</v>
      </c>
      <c r="C26" s="261" t="s">
        <v>6542</v>
      </c>
      <c r="D26" s="261" t="s">
        <v>6543</v>
      </c>
      <c r="E26" s="261" t="s">
        <v>6544</v>
      </c>
      <c r="F26" s="261" t="s">
        <v>5738</v>
      </c>
      <c r="G26" s="261" t="s">
        <v>6545</v>
      </c>
      <c r="H26" s="261" t="s">
        <v>6440</v>
      </c>
    </row>
    <row r="27" spans="1:8" ht="30">
      <c r="A27" s="261">
        <v>26</v>
      </c>
      <c r="B27" s="261" t="s">
        <v>6546</v>
      </c>
      <c r="C27" s="261" t="s">
        <v>6547</v>
      </c>
      <c r="D27" s="261" t="s">
        <v>6548</v>
      </c>
      <c r="E27" s="261" t="s">
        <v>6549</v>
      </c>
      <c r="F27" s="261" t="s">
        <v>5738</v>
      </c>
      <c r="G27" s="261" t="s">
        <v>6550</v>
      </c>
      <c r="H27" s="261" t="s">
        <v>6440</v>
      </c>
    </row>
    <row r="28" spans="1:8" ht="30">
      <c r="A28" s="261">
        <v>27</v>
      </c>
      <c r="B28" s="261" t="s">
        <v>6551</v>
      </c>
      <c r="C28" s="261" t="s">
        <v>6552</v>
      </c>
      <c r="D28" s="261" t="s">
        <v>6553</v>
      </c>
      <c r="E28" s="261" t="s">
        <v>5738</v>
      </c>
      <c r="F28" s="261" t="s">
        <v>6554</v>
      </c>
      <c r="G28" s="261" t="s">
        <v>6555</v>
      </c>
      <c r="H28" s="261" t="s">
        <v>6440</v>
      </c>
    </row>
    <row r="29" spans="1:8" ht="30">
      <c r="A29" s="261">
        <v>28</v>
      </c>
      <c r="B29" s="261" t="s">
        <v>6556</v>
      </c>
      <c r="C29" s="261" t="s">
        <v>6557</v>
      </c>
      <c r="D29" s="261" t="s">
        <v>6558</v>
      </c>
      <c r="E29" s="261" t="s">
        <v>6559</v>
      </c>
      <c r="F29" s="261" t="s">
        <v>5738</v>
      </c>
      <c r="G29" s="261" t="s">
        <v>6560</v>
      </c>
      <c r="H29" s="261" t="s">
        <v>6440</v>
      </c>
    </row>
    <row r="30" spans="1:8" ht="30">
      <c r="A30" s="261">
        <v>29</v>
      </c>
      <c r="B30" s="261" t="s">
        <v>6561</v>
      </c>
      <c r="C30" s="261" t="s">
        <v>6562</v>
      </c>
      <c r="D30" s="261" t="s">
        <v>6563</v>
      </c>
      <c r="E30" s="261" t="s">
        <v>6564</v>
      </c>
      <c r="F30" s="261" t="s">
        <v>6565</v>
      </c>
      <c r="G30" s="261" t="s">
        <v>6566</v>
      </c>
      <c r="H30" s="261" t="s">
        <v>6440</v>
      </c>
    </row>
    <row r="31" spans="1:8" ht="30">
      <c r="A31" s="261">
        <v>30</v>
      </c>
      <c r="B31" s="261" t="s">
        <v>6567</v>
      </c>
      <c r="C31" s="261" t="s">
        <v>6568</v>
      </c>
      <c r="D31" s="261" t="s">
        <v>6569</v>
      </c>
      <c r="E31" s="261" t="s">
        <v>6570</v>
      </c>
      <c r="F31" s="261" t="s">
        <v>5738</v>
      </c>
      <c r="G31" s="261" t="s">
        <v>6571</v>
      </c>
      <c r="H31" s="261" t="s">
        <v>6440</v>
      </c>
    </row>
    <row r="32" spans="1:8" ht="30">
      <c r="A32" s="261">
        <v>31</v>
      </c>
      <c r="B32" s="261" t="s">
        <v>6572</v>
      </c>
      <c r="C32" s="261" t="s">
        <v>6573</v>
      </c>
      <c r="D32" s="261" t="s">
        <v>6574</v>
      </c>
      <c r="E32" s="261" t="s">
        <v>6575</v>
      </c>
      <c r="F32" s="261" t="s">
        <v>6576</v>
      </c>
      <c r="G32" s="261" t="s">
        <v>6577</v>
      </c>
      <c r="H32" s="261" t="s">
        <v>6440</v>
      </c>
    </row>
    <row r="33" spans="1:8" ht="30">
      <c r="A33" s="261">
        <v>32</v>
      </c>
      <c r="B33" s="261" t="s">
        <v>6578</v>
      </c>
      <c r="C33" s="261" t="s">
        <v>6579</v>
      </c>
      <c r="D33" s="261" t="s">
        <v>6580</v>
      </c>
      <c r="E33" s="261" t="s">
        <v>6581</v>
      </c>
      <c r="F33" s="261" t="s">
        <v>5738</v>
      </c>
      <c r="G33" s="261" t="s">
        <v>6582</v>
      </c>
      <c r="H33" s="261" t="s">
        <v>6440</v>
      </c>
    </row>
    <row r="34" spans="1:8" ht="30">
      <c r="A34" s="261">
        <v>33</v>
      </c>
      <c r="B34" s="261" t="s">
        <v>6583</v>
      </c>
      <c r="C34" s="261" t="s">
        <v>6584</v>
      </c>
      <c r="D34" s="261" t="s">
        <v>6585</v>
      </c>
      <c r="E34" s="261" t="s">
        <v>6586</v>
      </c>
      <c r="F34" s="261" t="s">
        <v>6586</v>
      </c>
      <c r="G34" s="261" t="s">
        <v>6587</v>
      </c>
      <c r="H34" s="261" t="s">
        <v>6440</v>
      </c>
    </row>
    <row r="35" spans="1:8" ht="30">
      <c r="A35" s="261">
        <v>34</v>
      </c>
      <c r="B35" s="261" t="s">
        <v>6588</v>
      </c>
      <c r="C35" s="261" t="s">
        <v>6589</v>
      </c>
      <c r="D35" s="261" t="s">
        <v>6590</v>
      </c>
      <c r="E35" s="261" t="s">
        <v>5738</v>
      </c>
      <c r="F35" s="261" t="s">
        <v>5738</v>
      </c>
      <c r="G35" s="261" t="s">
        <v>6550</v>
      </c>
      <c r="H35" s="261" t="s">
        <v>6440</v>
      </c>
    </row>
    <row r="36" spans="1:8" ht="30">
      <c r="A36" s="261">
        <v>35</v>
      </c>
      <c r="B36" s="261" t="s">
        <v>6591</v>
      </c>
      <c r="C36" s="261" t="s">
        <v>6592</v>
      </c>
      <c r="D36" s="261" t="s">
        <v>6451</v>
      </c>
      <c r="E36" s="261" t="s">
        <v>6452</v>
      </c>
      <c r="F36" s="261" t="s">
        <v>6453</v>
      </c>
      <c r="G36" s="261" t="s">
        <v>5738</v>
      </c>
      <c r="H36" s="261" t="s">
        <v>6455</v>
      </c>
    </row>
  </sheetData>
  <sheetProtection formatCells="0" formatColumns="0" formatRows="0" sort="0" autoFilter="0" pivotTables="0"/>
  <autoFilter ref="A1:H36"/>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2" width="5" customWidth="1"/>
    <col min="3" max="3" width="25.140625" customWidth="1"/>
  </cols>
  <sheetData>
    <row r="1" spans="1:3" ht="33.75" customHeight="1">
      <c r="A1" s="251" t="s">
        <v>0</v>
      </c>
      <c r="B1" s="251" t="s">
        <v>5306</v>
      </c>
      <c r="C1" s="251" t="s">
        <v>5307</v>
      </c>
    </row>
    <row r="2" spans="1:3">
      <c r="A2" s="252">
        <v>1</v>
      </c>
      <c r="B2" s="252">
        <v>1</v>
      </c>
      <c r="C2" s="252" t="s">
        <v>6593</v>
      </c>
    </row>
    <row r="3" spans="1:3">
      <c r="A3" s="252">
        <v>2</v>
      </c>
      <c r="B3" s="252">
        <v>2</v>
      </c>
      <c r="C3" s="252" t="s">
        <v>6594</v>
      </c>
    </row>
    <row r="4" spans="1:3">
      <c r="A4" s="252">
        <v>3</v>
      </c>
      <c r="B4" s="252">
        <v>3</v>
      </c>
      <c r="C4" s="252" t="s">
        <v>6595</v>
      </c>
    </row>
    <row r="5" spans="1:3">
      <c r="A5" s="252">
        <v>4</v>
      </c>
      <c r="B5" s="252">
        <v>4</v>
      </c>
      <c r="C5" s="252" t="s">
        <v>6596</v>
      </c>
    </row>
  </sheetData>
  <sheetProtection formatCells="0" formatColumns="0" formatRows="0" sort="0" autoFilter="0" pivotTables="0"/>
  <autoFilter ref="A1:C5"/>
  <dataConsolidate/>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9"/>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activeCell="B5" sqref="B5"/>
    </sheetView>
  </sheetViews>
  <sheetFormatPr defaultRowHeight="15"/>
  <cols>
    <col min="1" max="1" width="5" customWidth="1"/>
    <col min="2" max="2" width="13.85546875" customWidth="1"/>
    <col min="3" max="3" width="42" customWidth="1"/>
    <col min="4" max="4" width="50" customWidth="1"/>
    <col min="5" max="6" width="18" customWidth="1"/>
  </cols>
  <sheetData>
    <row r="1" spans="1:6" ht="33.75" customHeight="1">
      <c r="A1" s="253" t="s">
        <v>0</v>
      </c>
      <c r="B1" s="253" t="s">
        <v>5306</v>
      </c>
      <c r="C1" s="253" t="s">
        <v>5307</v>
      </c>
      <c r="D1" s="253" t="s">
        <v>5980</v>
      </c>
      <c r="E1" s="253" t="s">
        <v>6419</v>
      </c>
      <c r="F1" s="253" t="s">
        <v>6420</v>
      </c>
    </row>
    <row r="2" spans="1:6" ht="30">
      <c r="A2" s="254">
        <v>1</v>
      </c>
      <c r="B2" s="254" t="s">
        <v>6662</v>
      </c>
      <c r="C2" s="254" t="s">
        <v>6663</v>
      </c>
      <c r="D2" s="254" t="s">
        <v>6664</v>
      </c>
      <c r="E2" s="254" t="s">
        <v>6665</v>
      </c>
      <c r="F2" s="254" t="s">
        <v>6666</v>
      </c>
    </row>
    <row r="3" spans="1:6">
      <c r="A3" s="254">
        <v>2</v>
      </c>
      <c r="B3" s="254" t="s">
        <v>6667</v>
      </c>
      <c r="C3" s="254" t="s">
        <v>6668</v>
      </c>
      <c r="D3" s="254" t="s">
        <v>5738</v>
      </c>
      <c r="E3" s="254" t="s">
        <v>5738</v>
      </c>
      <c r="F3" s="254" t="s">
        <v>5738</v>
      </c>
    </row>
    <row r="4" spans="1:6" ht="30">
      <c r="A4" s="254">
        <v>3</v>
      </c>
      <c r="B4" s="254" t="s">
        <v>6669</v>
      </c>
      <c r="C4" s="254" t="s">
        <v>6670</v>
      </c>
      <c r="D4" s="254" t="s">
        <v>5351</v>
      </c>
      <c r="E4" s="254" t="s">
        <v>5738</v>
      </c>
      <c r="F4" s="254" t="s">
        <v>5738</v>
      </c>
    </row>
    <row r="5" spans="1:6" ht="30">
      <c r="A5" s="254">
        <v>4</v>
      </c>
      <c r="B5" s="254" t="s">
        <v>6671</v>
      </c>
      <c r="C5" s="254" t="s">
        <v>6672</v>
      </c>
      <c r="D5" s="254" t="s">
        <v>6673</v>
      </c>
      <c r="E5" s="254" t="s">
        <v>6674</v>
      </c>
      <c r="F5" s="254" t="s">
        <v>6675</v>
      </c>
    </row>
    <row r="6" spans="1:6">
      <c r="A6" s="254">
        <v>5</v>
      </c>
      <c r="B6" s="254" t="s">
        <v>6676</v>
      </c>
      <c r="C6" s="254" t="s">
        <v>6677</v>
      </c>
      <c r="D6" s="254" t="s">
        <v>5738</v>
      </c>
      <c r="E6" s="254" t="s">
        <v>5738</v>
      </c>
      <c r="F6" s="254" t="s">
        <v>5738</v>
      </c>
    </row>
    <row r="7" spans="1:6">
      <c r="A7" s="254">
        <v>6</v>
      </c>
      <c r="B7" s="254" t="s">
        <v>5732</v>
      </c>
      <c r="C7" s="254" t="s">
        <v>5758</v>
      </c>
      <c r="D7" s="254" t="s">
        <v>6678</v>
      </c>
      <c r="E7" s="254" t="s">
        <v>5738</v>
      </c>
      <c r="F7" s="254" t="s">
        <v>5738</v>
      </c>
    </row>
    <row r="8" spans="1:6">
      <c r="A8" s="254">
        <v>7</v>
      </c>
      <c r="B8" s="254" t="s">
        <v>6679</v>
      </c>
      <c r="C8" s="254" t="s">
        <v>5692</v>
      </c>
      <c r="D8" s="254" t="s">
        <v>6680</v>
      </c>
      <c r="E8" s="254" t="s">
        <v>6681</v>
      </c>
      <c r="F8" s="254" t="s">
        <v>6682</v>
      </c>
    </row>
    <row r="9" spans="1:6">
      <c r="A9" s="254">
        <v>8</v>
      </c>
      <c r="B9" s="254" t="s">
        <v>6683</v>
      </c>
      <c r="C9" s="254" t="s">
        <v>6684</v>
      </c>
      <c r="D9" s="254" t="s">
        <v>6685</v>
      </c>
      <c r="E9" s="254" t="s">
        <v>5738</v>
      </c>
      <c r="F9" s="254" t="s">
        <v>5738</v>
      </c>
    </row>
  </sheetData>
  <sheetProtection formatCells="0" formatColumns="0" formatRows="0" sort="0" autoFilter="0" pivotTables="0"/>
  <autoFilter ref="A1:F9"/>
  <pageMargins left="0.7" right="0.7" top="0.75" bottom="0.75" header="0.3" footer="0.3"/>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2832"/>
  <sheetViews>
    <sheetView showGridLines="0" zoomScale="130" zoomScaleNormal="13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10" defaultRowHeight="15"/>
  <cols>
    <col min="1" max="1" width="5.7109375" bestFit="1" customWidth="1"/>
    <col min="2" max="2" width="8" customWidth="1"/>
    <col min="3" max="3" width="24.7109375" customWidth="1"/>
    <col min="4" max="4" width="5" customWidth="1"/>
    <col min="5" max="5" width="31.7109375" customWidth="1"/>
    <col min="6" max="6" width="5.85546875" customWidth="1"/>
  </cols>
  <sheetData>
    <row r="1" spans="1:6" ht="33.75" customHeight="1">
      <c r="A1" s="262" t="s">
        <v>0</v>
      </c>
      <c r="B1" s="262" t="s">
        <v>1</v>
      </c>
      <c r="C1" s="262" t="s">
        <v>2</v>
      </c>
      <c r="D1" s="262" t="s">
        <v>3</v>
      </c>
      <c r="E1" s="262" t="s">
        <v>4</v>
      </c>
      <c r="F1" s="262" t="s">
        <v>5</v>
      </c>
    </row>
    <row r="2" spans="1:6">
      <c r="A2" s="263">
        <v>1</v>
      </c>
      <c r="B2" s="263" t="s">
        <v>6</v>
      </c>
      <c r="C2" s="263" t="s">
        <v>7</v>
      </c>
      <c r="D2" s="263" t="s">
        <v>8</v>
      </c>
      <c r="E2" s="263" t="s">
        <v>9</v>
      </c>
      <c r="F2" s="263" t="s">
        <v>10</v>
      </c>
    </row>
    <row r="3" spans="1:6">
      <c r="A3" s="263">
        <v>2</v>
      </c>
      <c r="B3" s="263" t="s">
        <v>11</v>
      </c>
      <c r="C3" s="263" t="s">
        <v>12</v>
      </c>
      <c r="D3" s="263" t="s">
        <v>8</v>
      </c>
      <c r="E3" s="263" t="s">
        <v>9</v>
      </c>
      <c r="F3" s="263" t="s">
        <v>10</v>
      </c>
    </row>
    <row r="4" spans="1:6">
      <c r="A4" s="263">
        <v>3</v>
      </c>
      <c r="B4" s="263" t="s">
        <v>13</v>
      </c>
      <c r="C4" s="263" t="s">
        <v>14</v>
      </c>
      <c r="D4" s="263" t="s">
        <v>8</v>
      </c>
      <c r="E4" s="263" t="s">
        <v>9</v>
      </c>
      <c r="F4" s="263" t="s">
        <v>10</v>
      </c>
    </row>
    <row r="5" spans="1:6">
      <c r="A5" s="263">
        <v>4</v>
      </c>
      <c r="B5" s="263" t="s">
        <v>15</v>
      </c>
      <c r="C5" s="263" t="s">
        <v>16</v>
      </c>
      <c r="D5" s="263" t="s">
        <v>8</v>
      </c>
      <c r="E5" s="263" t="s">
        <v>9</v>
      </c>
      <c r="F5" s="263" t="s">
        <v>10</v>
      </c>
    </row>
    <row r="6" spans="1:6">
      <c r="A6" s="263">
        <v>5</v>
      </c>
      <c r="B6" s="263" t="s">
        <v>17</v>
      </c>
      <c r="C6" s="263" t="s">
        <v>18</v>
      </c>
      <c r="D6" s="263" t="s">
        <v>8</v>
      </c>
      <c r="E6" s="263" t="s">
        <v>9</v>
      </c>
      <c r="F6" s="263" t="s">
        <v>10</v>
      </c>
    </row>
    <row r="7" spans="1:6">
      <c r="A7" s="263">
        <v>6</v>
      </c>
      <c r="B7" s="263" t="s">
        <v>19</v>
      </c>
      <c r="C7" s="263" t="s">
        <v>20</v>
      </c>
      <c r="D7" s="263" t="s">
        <v>8</v>
      </c>
      <c r="E7" s="263" t="s">
        <v>9</v>
      </c>
      <c r="F7" s="263" t="s">
        <v>10</v>
      </c>
    </row>
    <row r="8" spans="1:6">
      <c r="A8" s="263">
        <v>7</v>
      </c>
      <c r="B8" s="263" t="s">
        <v>21</v>
      </c>
      <c r="C8" s="263" t="s">
        <v>22</v>
      </c>
      <c r="D8" s="263" t="s">
        <v>8</v>
      </c>
      <c r="E8" s="263" t="s">
        <v>9</v>
      </c>
      <c r="F8" s="263" t="s">
        <v>10</v>
      </c>
    </row>
    <row r="9" spans="1:6">
      <c r="A9" s="263">
        <v>8</v>
      </c>
      <c r="B9" s="263" t="s">
        <v>23</v>
      </c>
      <c r="C9" s="263" t="s">
        <v>24</v>
      </c>
      <c r="D9" s="263" t="s">
        <v>8</v>
      </c>
      <c r="E9" s="263" t="s">
        <v>9</v>
      </c>
      <c r="F9" s="263" t="s">
        <v>10</v>
      </c>
    </row>
    <row r="10" spans="1:6">
      <c r="A10" s="263">
        <v>9</v>
      </c>
      <c r="B10" s="263" t="s">
        <v>25</v>
      </c>
      <c r="C10" s="263" t="s">
        <v>26</v>
      </c>
      <c r="D10" s="263" t="s">
        <v>8</v>
      </c>
      <c r="E10" s="263" t="s">
        <v>9</v>
      </c>
      <c r="F10" s="263" t="s">
        <v>10</v>
      </c>
    </row>
    <row r="11" spans="1:6">
      <c r="A11" s="263">
        <v>10</v>
      </c>
      <c r="B11" s="263" t="s">
        <v>27</v>
      </c>
      <c r="C11" s="263" t="s">
        <v>28</v>
      </c>
      <c r="D11" s="263" t="s">
        <v>8</v>
      </c>
      <c r="E11" s="263" t="s">
        <v>9</v>
      </c>
      <c r="F11" s="263" t="s">
        <v>10</v>
      </c>
    </row>
    <row r="12" spans="1:6">
      <c r="A12" s="263">
        <v>11</v>
      </c>
      <c r="B12" s="263" t="s">
        <v>29</v>
      </c>
      <c r="C12" s="263" t="s">
        <v>30</v>
      </c>
      <c r="D12" s="263" t="s">
        <v>8</v>
      </c>
      <c r="E12" s="263" t="s">
        <v>9</v>
      </c>
      <c r="F12" s="263" t="s">
        <v>10</v>
      </c>
    </row>
    <row r="13" spans="1:6">
      <c r="A13" s="263">
        <v>12</v>
      </c>
      <c r="B13" s="263" t="s">
        <v>31</v>
      </c>
      <c r="C13" s="263" t="s">
        <v>32</v>
      </c>
      <c r="D13" s="263" t="s">
        <v>8</v>
      </c>
      <c r="E13" s="263" t="s">
        <v>9</v>
      </c>
      <c r="F13" s="263" t="s">
        <v>10</v>
      </c>
    </row>
    <row r="14" spans="1:6">
      <c r="A14" s="263">
        <v>13</v>
      </c>
      <c r="B14" s="263" t="s">
        <v>33</v>
      </c>
      <c r="C14" s="263" t="s">
        <v>34</v>
      </c>
      <c r="D14" s="263" t="s">
        <v>8</v>
      </c>
      <c r="E14" s="263" t="s">
        <v>9</v>
      </c>
      <c r="F14" s="263" t="s">
        <v>10</v>
      </c>
    </row>
    <row r="15" spans="1:6">
      <c r="A15" s="263">
        <v>14</v>
      </c>
      <c r="B15" s="263" t="s">
        <v>35</v>
      </c>
      <c r="C15" s="263" t="s">
        <v>36</v>
      </c>
      <c r="D15" s="263" t="s">
        <v>8</v>
      </c>
      <c r="E15" s="263" t="s">
        <v>9</v>
      </c>
      <c r="F15" s="263" t="s">
        <v>10</v>
      </c>
    </row>
    <row r="16" spans="1:6">
      <c r="A16" s="263">
        <v>15</v>
      </c>
      <c r="B16" s="263" t="s">
        <v>37</v>
      </c>
      <c r="C16" s="263" t="s">
        <v>38</v>
      </c>
      <c r="D16" s="263" t="s">
        <v>39</v>
      </c>
      <c r="E16" s="263" t="s">
        <v>40</v>
      </c>
      <c r="F16" s="263" t="s">
        <v>10</v>
      </c>
    </row>
    <row r="17" spans="1:6">
      <c r="A17" s="263">
        <v>16</v>
      </c>
      <c r="B17" s="263" t="s">
        <v>41</v>
      </c>
      <c r="C17" s="263" t="s">
        <v>42</v>
      </c>
      <c r="D17" s="263" t="s">
        <v>39</v>
      </c>
      <c r="E17" s="263" t="s">
        <v>40</v>
      </c>
      <c r="F17" s="263" t="s">
        <v>10</v>
      </c>
    </row>
    <row r="18" spans="1:6">
      <c r="A18" s="263">
        <v>17</v>
      </c>
      <c r="B18" s="263" t="s">
        <v>43</v>
      </c>
      <c r="C18" s="263" t="s">
        <v>44</v>
      </c>
      <c r="D18" s="263" t="s">
        <v>39</v>
      </c>
      <c r="E18" s="263" t="s">
        <v>40</v>
      </c>
      <c r="F18" s="263" t="s">
        <v>10</v>
      </c>
    </row>
    <row r="19" spans="1:6">
      <c r="A19" s="263">
        <v>18</v>
      </c>
      <c r="B19" s="263" t="s">
        <v>45</v>
      </c>
      <c r="C19" s="263" t="s">
        <v>46</v>
      </c>
      <c r="D19" s="263" t="s">
        <v>39</v>
      </c>
      <c r="E19" s="263" t="s">
        <v>40</v>
      </c>
      <c r="F19" s="263" t="s">
        <v>10</v>
      </c>
    </row>
    <row r="20" spans="1:6">
      <c r="A20" s="263">
        <v>19</v>
      </c>
      <c r="B20" s="263" t="s">
        <v>47</v>
      </c>
      <c r="C20" s="263" t="s">
        <v>48</v>
      </c>
      <c r="D20" s="263" t="s">
        <v>39</v>
      </c>
      <c r="E20" s="263" t="s">
        <v>40</v>
      </c>
      <c r="F20" s="263" t="s">
        <v>10</v>
      </c>
    </row>
    <row r="21" spans="1:6">
      <c r="A21" s="263">
        <v>20</v>
      </c>
      <c r="B21" s="263" t="s">
        <v>49</v>
      </c>
      <c r="C21" s="263" t="s">
        <v>50</v>
      </c>
      <c r="D21" s="263" t="s">
        <v>39</v>
      </c>
      <c r="E21" s="263" t="s">
        <v>40</v>
      </c>
      <c r="F21" s="263" t="s">
        <v>10</v>
      </c>
    </row>
    <row r="22" spans="1:6">
      <c r="A22" s="263">
        <v>21</v>
      </c>
      <c r="B22" s="263" t="s">
        <v>51</v>
      </c>
      <c r="C22" s="263" t="s">
        <v>52</v>
      </c>
      <c r="D22" s="263" t="s">
        <v>39</v>
      </c>
      <c r="E22" s="263" t="s">
        <v>40</v>
      </c>
      <c r="F22" s="263" t="s">
        <v>10</v>
      </c>
    </row>
    <row r="23" spans="1:6">
      <c r="A23" s="263">
        <v>22</v>
      </c>
      <c r="B23" s="263" t="s">
        <v>53</v>
      </c>
      <c r="C23" s="263" t="s">
        <v>54</v>
      </c>
      <c r="D23" s="263" t="s">
        <v>39</v>
      </c>
      <c r="E23" s="263" t="s">
        <v>40</v>
      </c>
      <c r="F23" s="263" t="s">
        <v>10</v>
      </c>
    </row>
    <row r="24" spans="1:6">
      <c r="A24" s="263">
        <v>23</v>
      </c>
      <c r="B24" s="263" t="s">
        <v>55</v>
      </c>
      <c r="C24" s="263" t="s">
        <v>56</v>
      </c>
      <c r="D24" s="263" t="s">
        <v>39</v>
      </c>
      <c r="E24" s="263" t="s">
        <v>40</v>
      </c>
      <c r="F24" s="263" t="s">
        <v>10</v>
      </c>
    </row>
    <row r="25" spans="1:6">
      <c r="A25" s="263">
        <v>24</v>
      </c>
      <c r="B25" s="263" t="s">
        <v>57</v>
      </c>
      <c r="C25" s="263" t="s">
        <v>58</v>
      </c>
      <c r="D25" s="263" t="s">
        <v>39</v>
      </c>
      <c r="E25" s="263" t="s">
        <v>40</v>
      </c>
      <c r="F25" s="263" t="s">
        <v>10</v>
      </c>
    </row>
    <row r="26" spans="1:6">
      <c r="A26" s="263">
        <v>25</v>
      </c>
      <c r="B26" s="263" t="s">
        <v>59</v>
      </c>
      <c r="C26" s="263" t="s">
        <v>60</v>
      </c>
      <c r="D26" s="263" t="s">
        <v>39</v>
      </c>
      <c r="E26" s="263" t="s">
        <v>40</v>
      </c>
      <c r="F26" s="263" t="s">
        <v>10</v>
      </c>
    </row>
    <row r="27" spans="1:6">
      <c r="A27" s="263">
        <v>26</v>
      </c>
      <c r="B27" s="263" t="s">
        <v>61</v>
      </c>
      <c r="C27" s="263" t="s">
        <v>62</v>
      </c>
      <c r="D27" s="263" t="s">
        <v>39</v>
      </c>
      <c r="E27" s="263" t="s">
        <v>40</v>
      </c>
      <c r="F27" s="263" t="s">
        <v>10</v>
      </c>
    </row>
    <row r="28" spans="1:6">
      <c r="A28" s="263">
        <v>27</v>
      </c>
      <c r="B28" s="263" t="s">
        <v>63</v>
      </c>
      <c r="C28" s="263" t="s">
        <v>64</v>
      </c>
      <c r="D28" s="263" t="s">
        <v>39</v>
      </c>
      <c r="E28" s="263" t="s">
        <v>40</v>
      </c>
      <c r="F28" s="263" t="s">
        <v>10</v>
      </c>
    </row>
    <row r="29" spans="1:6">
      <c r="A29" s="263">
        <v>28</v>
      </c>
      <c r="B29" s="263" t="s">
        <v>65</v>
      </c>
      <c r="C29" s="263" t="s">
        <v>66</v>
      </c>
      <c r="D29" s="263" t="s">
        <v>67</v>
      </c>
      <c r="E29" s="263" t="s">
        <v>68</v>
      </c>
      <c r="F29" s="263" t="s">
        <v>10</v>
      </c>
    </row>
    <row r="30" spans="1:6">
      <c r="A30" s="263">
        <v>29</v>
      </c>
      <c r="B30" s="263" t="s">
        <v>69</v>
      </c>
      <c r="C30" s="263" t="s">
        <v>70</v>
      </c>
      <c r="D30" s="263" t="s">
        <v>67</v>
      </c>
      <c r="E30" s="263" t="s">
        <v>68</v>
      </c>
      <c r="F30" s="263" t="s">
        <v>10</v>
      </c>
    </row>
    <row r="31" spans="1:6">
      <c r="A31" s="263">
        <v>30</v>
      </c>
      <c r="B31" s="263" t="s">
        <v>71</v>
      </c>
      <c r="C31" s="263" t="s">
        <v>72</v>
      </c>
      <c r="D31" s="263" t="s">
        <v>67</v>
      </c>
      <c r="E31" s="263" t="s">
        <v>68</v>
      </c>
      <c r="F31" s="263" t="s">
        <v>10</v>
      </c>
    </row>
    <row r="32" spans="1:6">
      <c r="A32" s="263">
        <v>31</v>
      </c>
      <c r="B32" s="263" t="s">
        <v>73</v>
      </c>
      <c r="C32" s="263" t="s">
        <v>74</v>
      </c>
      <c r="D32" s="263" t="s">
        <v>67</v>
      </c>
      <c r="E32" s="263" t="s">
        <v>68</v>
      </c>
      <c r="F32" s="263" t="s">
        <v>10</v>
      </c>
    </row>
    <row r="33" spans="1:6">
      <c r="A33" s="263">
        <v>32</v>
      </c>
      <c r="B33" s="263" t="s">
        <v>75</v>
      </c>
      <c r="C33" s="263" t="s">
        <v>76</v>
      </c>
      <c r="D33" s="263" t="s">
        <v>67</v>
      </c>
      <c r="E33" s="263" t="s">
        <v>68</v>
      </c>
      <c r="F33" s="263" t="s">
        <v>10</v>
      </c>
    </row>
    <row r="34" spans="1:6">
      <c r="A34" s="263">
        <v>33</v>
      </c>
      <c r="B34" s="263" t="s">
        <v>77</v>
      </c>
      <c r="C34" s="263" t="s">
        <v>78</v>
      </c>
      <c r="D34" s="263" t="s">
        <v>67</v>
      </c>
      <c r="E34" s="263" t="s">
        <v>68</v>
      </c>
      <c r="F34" s="263" t="s">
        <v>10</v>
      </c>
    </row>
    <row r="35" spans="1:6">
      <c r="A35" s="263">
        <v>34</v>
      </c>
      <c r="B35" s="263" t="s">
        <v>79</v>
      </c>
      <c r="C35" s="263" t="s">
        <v>80</v>
      </c>
      <c r="D35" s="263" t="s">
        <v>67</v>
      </c>
      <c r="E35" s="263" t="s">
        <v>68</v>
      </c>
      <c r="F35" s="263" t="s">
        <v>10</v>
      </c>
    </row>
    <row r="36" spans="1:6">
      <c r="A36" s="263">
        <v>35</v>
      </c>
      <c r="B36" s="263" t="s">
        <v>81</v>
      </c>
      <c r="C36" s="263" t="s">
        <v>82</v>
      </c>
      <c r="D36" s="263" t="s">
        <v>67</v>
      </c>
      <c r="E36" s="263" t="s">
        <v>68</v>
      </c>
      <c r="F36" s="263" t="s">
        <v>10</v>
      </c>
    </row>
    <row r="37" spans="1:6">
      <c r="A37" s="263">
        <v>36</v>
      </c>
      <c r="B37" s="263" t="s">
        <v>83</v>
      </c>
      <c r="C37" s="263" t="s">
        <v>84</v>
      </c>
      <c r="D37" s="263" t="s">
        <v>67</v>
      </c>
      <c r="E37" s="263" t="s">
        <v>68</v>
      </c>
      <c r="F37" s="263" t="s">
        <v>10</v>
      </c>
    </row>
    <row r="38" spans="1:6">
      <c r="A38" s="263">
        <v>37</v>
      </c>
      <c r="B38" s="263" t="s">
        <v>85</v>
      </c>
      <c r="C38" s="263" t="s">
        <v>86</v>
      </c>
      <c r="D38" s="263" t="s">
        <v>67</v>
      </c>
      <c r="E38" s="263" t="s">
        <v>68</v>
      </c>
      <c r="F38" s="263" t="s">
        <v>10</v>
      </c>
    </row>
    <row r="39" spans="1:6">
      <c r="A39" s="263">
        <v>38</v>
      </c>
      <c r="B39" s="263" t="s">
        <v>87</v>
      </c>
      <c r="C39" s="263" t="s">
        <v>88</v>
      </c>
      <c r="D39" s="263" t="s">
        <v>67</v>
      </c>
      <c r="E39" s="263" t="s">
        <v>68</v>
      </c>
      <c r="F39" s="263" t="s">
        <v>10</v>
      </c>
    </row>
    <row r="40" spans="1:6">
      <c r="A40" s="263">
        <v>39</v>
      </c>
      <c r="B40" s="263" t="s">
        <v>89</v>
      </c>
      <c r="C40" s="263" t="s">
        <v>90</v>
      </c>
      <c r="D40" s="263" t="s">
        <v>67</v>
      </c>
      <c r="E40" s="263" t="s">
        <v>68</v>
      </c>
      <c r="F40" s="263" t="s">
        <v>10</v>
      </c>
    </row>
    <row r="41" spans="1:6">
      <c r="A41" s="263">
        <v>40</v>
      </c>
      <c r="B41" s="263" t="s">
        <v>91</v>
      </c>
      <c r="C41" s="263" t="s">
        <v>92</v>
      </c>
      <c r="D41" s="263" t="s">
        <v>67</v>
      </c>
      <c r="E41" s="263" t="s">
        <v>68</v>
      </c>
      <c r="F41" s="263" t="s">
        <v>10</v>
      </c>
    </row>
    <row r="42" spans="1:6">
      <c r="A42" s="263">
        <v>41</v>
      </c>
      <c r="B42" s="263" t="s">
        <v>93</v>
      </c>
      <c r="C42" s="263" t="s">
        <v>94</v>
      </c>
      <c r="D42" s="263" t="s">
        <v>95</v>
      </c>
      <c r="E42" s="263" t="s">
        <v>96</v>
      </c>
      <c r="F42" s="263" t="s">
        <v>10</v>
      </c>
    </row>
    <row r="43" spans="1:6">
      <c r="A43" s="263">
        <v>42</v>
      </c>
      <c r="B43" s="263" t="s">
        <v>97</v>
      </c>
      <c r="C43" s="263" t="s">
        <v>98</v>
      </c>
      <c r="D43" s="263" t="s">
        <v>95</v>
      </c>
      <c r="E43" s="263" t="s">
        <v>96</v>
      </c>
      <c r="F43" s="263" t="s">
        <v>10</v>
      </c>
    </row>
    <row r="44" spans="1:6">
      <c r="A44" s="263">
        <v>43</v>
      </c>
      <c r="B44" s="263" t="s">
        <v>99</v>
      </c>
      <c r="C44" s="263" t="s">
        <v>100</v>
      </c>
      <c r="D44" s="263" t="s">
        <v>95</v>
      </c>
      <c r="E44" s="263" t="s">
        <v>96</v>
      </c>
      <c r="F44" s="263" t="s">
        <v>10</v>
      </c>
    </row>
    <row r="45" spans="1:6">
      <c r="A45" s="263">
        <v>44</v>
      </c>
      <c r="B45" s="263" t="s">
        <v>101</v>
      </c>
      <c r="C45" s="263" t="s">
        <v>102</v>
      </c>
      <c r="D45" s="263" t="s">
        <v>95</v>
      </c>
      <c r="E45" s="263" t="s">
        <v>96</v>
      </c>
      <c r="F45" s="263" t="s">
        <v>10</v>
      </c>
    </row>
    <row r="46" spans="1:6">
      <c r="A46" s="263">
        <v>45</v>
      </c>
      <c r="B46" s="263" t="s">
        <v>103</v>
      </c>
      <c r="C46" s="263" t="s">
        <v>104</v>
      </c>
      <c r="D46" s="263" t="s">
        <v>95</v>
      </c>
      <c r="E46" s="263" t="s">
        <v>96</v>
      </c>
      <c r="F46" s="263" t="s">
        <v>10</v>
      </c>
    </row>
    <row r="47" spans="1:6">
      <c r="A47" s="263">
        <v>46</v>
      </c>
      <c r="B47" s="263" t="s">
        <v>105</v>
      </c>
      <c r="C47" s="263" t="s">
        <v>106</v>
      </c>
      <c r="D47" s="263" t="s">
        <v>95</v>
      </c>
      <c r="E47" s="263" t="s">
        <v>96</v>
      </c>
      <c r="F47" s="263" t="s">
        <v>10</v>
      </c>
    </row>
    <row r="48" spans="1:6">
      <c r="A48" s="263">
        <v>47</v>
      </c>
      <c r="B48" s="263" t="s">
        <v>107</v>
      </c>
      <c r="C48" s="263" t="s">
        <v>108</v>
      </c>
      <c r="D48" s="263" t="s">
        <v>95</v>
      </c>
      <c r="E48" s="263" t="s">
        <v>96</v>
      </c>
      <c r="F48" s="263" t="s">
        <v>10</v>
      </c>
    </row>
    <row r="49" spans="1:6">
      <c r="A49" s="263">
        <v>48</v>
      </c>
      <c r="B49" s="263" t="s">
        <v>109</v>
      </c>
      <c r="C49" s="263" t="s">
        <v>110</v>
      </c>
      <c r="D49" s="263" t="s">
        <v>95</v>
      </c>
      <c r="E49" s="263" t="s">
        <v>96</v>
      </c>
      <c r="F49" s="263" t="s">
        <v>10</v>
      </c>
    </row>
    <row r="50" spans="1:6">
      <c r="A50" s="263">
        <v>49</v>
      </c>
      <c r="B50" s="263" t="s">
        <v>111</v>
      </c>
      <c r="C50" s="263" t="s">
        <v>112</v>
      </c>
      <c r="D50" s="263" t="s">
        <v>95</v>
      </c>
      <c r="E50" s="263" t="s">
        <v>96</v>
      </c>
      <c r="F50" s="263" t="s">
        <v>10</v>
      </c>
    </row>
    <row r="51" spans="1:6">
      <c r="A51" s="263">
        <v>50</v>
      </c>
      <c r="B51" s="263" t="s">
        <v>113</v>
      </c>
      <c r="C51" s="263" t="s">
        <v>114</v>
      </c>
      <c r="D51" s="263" t="s">
        <v>95</v>
      </c>
      <c r="E51" s="263" t="s">
        <v>96</v>
      </c>
      <c r="F51" s="263" t="s">
        <v>10</v>
      </c>
    </row>
    <row r="52" spans="1:6">
      <c r="A52" s="263">
        <v>51</v>
      </c>
      <c r="B52" s="263" t="s">
        <v>115</v>
      </c>
      <c r="C52" s="263" t="s">
        <v>116</v>
      </c>
      <c r="D52" s="263" t="s">
        <v>95</v>
      </c>
      <c r="E52" s="263" t="s">
        <v>96</v>
      </c>
      <c r="F52" s="263" t="s">
        <v>10</v>
      </c>
    </row>
    <row r="53" spans="1:6">
      <c r="A53" s="263">
        <v>52</v>
      </c>
      <c r="B53" s="263" t="s">
        <v>117</v>
      </c>
      <c r="C53" s="263" t="s">
        <v>118</v>
      </c>
      <c r="D53" s="263" t="s">
        <v>95</v>
      </c>
      <c r="E53" s="263" t="s">
        <v>96</v>
      </c>
      <c r="F53" s="263" t="s">
        <v>10</v>
      </c>
    </row>
    <row r="54" spans="1:6">
      <c r="A54" s="263">
        <v>53</v>
      </c>
      <c r="B54" s="263" t="s">
        <v>119</v>
      </c>
      <c r="C54" s="263" t="s">
        <v>120</v>
      </c>
      <c r="D54" s="263" t="s">
        <v>95</v>
      </c>
      <c r="E54" s="263" t="s">
        <v>96</v>
      </c>
      <c r="F54" s="263" t="s">
        <v>10</v>
      </c>
    </row>
    <row r="55" spans="1:6">
      <c r="A55" s="263">
        <v>54</v>
      </c>
      <c r="B55" s="263" t="s">
        <v>121</v>
      </c>
      <c r="C55" s="263" t="s">
        <v>122</v>
      </c>
      <c r="D55" s="263" t="s">
        <v>95</v>
      </c>
      <c r="E55" s="263" t="s">
        <v>96</v>
      </c>
      <c r="F55" s="263" t="s">
        <v>10</v>
      </c>
    </row>
    <row r="56" spans="1:6">
      <c r="A56" s="263">
        <v>55</v>
      </c>
      <c r="B56" s="263" t="s">
        <v>123</v>
      </c>
      <c r="C56" s="263" t="s">
        <v>124</v>
      </c>
      <c r="D56" s="263" t="s">
        <v>95</v>
      </c>
      <c r="E56" s="263" t="s">
        <v>96</v>
      </c>
      <c r="F56" s="263" t="s">
        <v>10</v>
      </c>
    </row>
    <row r="57" spans="1:6">
      <c r="A57" s="263">
        <v>56</v>
      </c>
      <c r="B57" s="263" t="s">
        <v>125</v>
      </c>
      <c r="C57" s="263" t="s">
        <v>126</v>
      </c>
      <c r="D57" s="263" t="s">
        <v>95</v>
      </c>
      <c r="E57" s="263" t="s">
        <v>96</v>
      </c>
      <c r="F57" s="263" t="s">
        <v>10</v>
      </c>
    </row>
    <row r="58" spans="1:6">
      <c r="A58" s="263">
        <v>57</v>
      </c>
      <c r="B58" s="263" t="s">
        <v>127</v>
      </c>
      <c r="C58" s="263" t="s">
        <v>128</v>
      </c>
      <c r="D58" s="263" t="s">
        <v>95</v>
      </c>
      <c r="E58" s="263" t="s">
        <v>96</v>
      </c>
      <c r="F58" s="263" t="s">
        <v>10</v>
      </c>
    </row>
    <row r="59" spans="1:6">
      <c r="A59" s="263">
        <v>58</v>
      </c>
      <c r="B59" s="263" t="s">
        <v>129</v>
      </c>
      <c r="C59" s="263" t="s">
        <v>130</v>
      </c>
      <c r="D59" s="263" t="s">
        <v>95</v>
      </c>
      <c r="E59" s="263" t="s">
        <v>96</v>
      </c>
      <c r="F59" s="263" t="s">
        <v>10</v>
      </c>
    </row>
    <row r="60" spans="1:6">
      <c r="A60" s="263">
        <v>59</v>
      </c>
      <c r="B60" s="263" t="s">
        <v>131</v>
      </c>
      <c r="C60" s="263" t="s">
        <v>132</v>
      </c>
      <c r="D60" s="263" t="s">
        <v>133</v>
      </c>
      <c r="E60" s="263" t="s">
        <v>134</v>
      </c>
      <c r="F60" s="263" t="s">
        <v>10</v>
      </c>
    </row>
    <row r="61" spans="1:6">
      <c r="A61" s="263">
        <v>60</v>
      </c>
      <c r="B61" s="263" t="s">
        <v>135</v>
      </c>
      <c r="C61" s="263" t="s">
        <v>136</v>
      </c>
      <c r="D61" s="263" t="s">
        <v>133</v>
      </c>
      <c r="E61" s="263" t="s">
        <v>134</v>
      </c>
      <c r="F61" s="263" t="s">
        <v>10</v>
      </c>
    </row>
    <row r="62" spans="1:6">
      <c r="A62" s="263">
        <v>61</v>
      </c>
      <c r="B62" s="263" t="s">
        <v>137</v>
      </c>
      <c r="C62" s="263" t="s">
        <v>138</v>
      </c>
      <c r="D62" s="263" t="s">
        <v>133</v>
      </c>
      <c r="E62" s="263" t="s">
        <v>134</v>
      </c>
      <c r="F62" s="263" t="s">
        <v>10</v>
      </c>
    </row>
    <row r="63" spans="1:6">
      <c r="A63" s="263">
        <v>62</v>
      </c>
      <c r="B63" s="263" t="s">
        <v>139</v>
      </c>
      <c r="C63" s="263" t="s">
        <v>140</v>
      </c>
      <c r="D63" s="263" t="s">
        <v>133</v>
      </c>
      <c r="E63" s="263" t="s">
        <v>134</v>
      </c>
      <c r="F63" s="263" t="s">
        <v>10</v>
      </c>
    </row>
    <row r="64" spans="1:6">
      <c r="A64" s="263">
        <v>63</v>
      </c>
      <c r="B64" s="263" t="s">
        <v>141</v>
      </c>
      <c r="C64" s="263" t="s">
        <v>142</v>
      </c>
      <c r="D64" s="263" t="s">
        <v>133</v>
      </c>
      <c r="E64" s="263" t="s">
        <v>134</v>
      </c>
      <c r="F64" s="263" t="s">
        <v>10</v>
      </c>
    </row>
    <row r="65" spans="1:6">
      <c r="A65" s="263">
        <v>64</v>
      </c>
      <c r="B65" s="263" t="s">
        <v>143</v>
      </c>
      <c r="C65" s="263" t="s">
        <v>144</v>
      </c>
      <c r="D65" s="263" t="s">
        <v>133</v>
      </c>
      <c r="E65" s="263" t="s">
        <v>134</v>
      </c>
      <c r="F65" s="263" t="s">
        <v>10</v>
      </c>
    </row>
    <row r="66" spans="1:6">
      <c r="A66" s="263">
        <v>65</v>
      </c>
      <c r="B66" s="263" t="s">
        <v>145</v>
      </c>
      <c r="C66" s="263" t="s">
        <v>146</v>
      </c>
      <c r="D66" s="263" t="s">
        <v>133</v>
      </c>
      <c r="E66" s="263" t="s">
        <v>134</v>
      </c>
      <c r="F66" s="263" t="s">
        <v>10</v>
      </c>
    </row>
    <row r="67" spans="1:6">
      <c r="A67" s="263">
        <v>66</v>
      </c>
      <c r="B67" s="263" t="s">
        <v>147</v>
      </c>
      <c r="C67" s="263" t="s">
        <v>148</v>
      </c>
      <c r="D67" s="263" t="s">
        <v>133</v>
      </c>
      <c r="E67" s="263" t="s">
        <v>134</v>
      </c>
      <c r="F67" s="263" t="s">
        <v>10</v>
      </c>
    </row>
    <row r="68" spans="1:6">
      <c r="A68" s="263">
        <v>67</v>
      </c>
      <c r="B68" s="263" t="s">
        <v>149</v>
      </c>
      <c r="C68" s="263" t="s">
        <v>150</v>
      </c>
      <c r="D68" s="263" t="s">
        <v>133</v>
      </c>
      <c r="E68" s="263" t="s">
        <v>134</v>
      </c>
      <c r="F68" s="263" t="s">
        <v>10</v>
      </c>
    </row>
    <row r="69" spans="1:6">
      <c r="A69" s="263">
        <v>68</v>
      </c>
      <c r="B69" s="263" t="s">
        <v>151</v>
      </c>
      <c r="C69" s="263" t="s">
        <v>152</v>
      </c>
      <c r="D69" s="263" t="s">
        <v>133</v>
      </c>
      <c r="E69" s="263" t="s">
        <v>134</v>
      </c>
      <c r="F69" s="263" t="s">
        <v>10</v>
      </c>
    </row>
    <row r="70" spans="1:6">
      <c r="A70" s="263">
        <v>69</v>
      </c>
      <c r="B70" s="263" t="s">
        <v>153</v>
      </c>
      <c r="C70" s="263" t="s">
        <v>154</v>
      </c>
      <c r="D70" s="263" t="s">
        <v>133</v>
      </c>
      <c r="E70" s="263" t="s">
        <v>134</v>
      </c>
      <c r="F70" s="263" t="s">
        <v>10</v>
      </c>
    </row>
    <row r="71" spans="1:6">
      <c r="A71" s="263">
        <v>70</v>
      </c>
      <c r="B71" s="263" t="s">
        <v>155</v>
      </c>
      <c r="C71" s="263" t="s">
        <v>156</v>
      </c>
      <c r="D71" s="263" t="s">
        <v>133</v>
      </c>
      <c r="E71" s="263" t="s">
        <v>134</v>
      </c>
      <c r="F71" s="263" t="s">
        <v>10</v>
      </c>
    </row>
    <row r="72" spans="1:6">
      <c r="A72" s="263">
        <v>71</v>
      </c>
      <c r="B72" s="263" t="s">
        <v>157</v>
      </c>
      <c r="C72" s="263" t="s">
        <v>158</v>
      </c>
      <c r="D72" s="263" t="s">
        <v>133</v>
      </c>
      <c r="E72" s="263" t="s">
        <v>134</v>
      </c>
      <c r="F72" s="263" t="s">
        <v>10</v>
      </c>
    </row>
    <row r="73" spans="1:6">
      <c r="A73" s="263">
        <v>72</v>
      </c>
      <c r="B73" s="263" t="s">
        <v>159</v>
      </c>
      <c r="C73" s="263" t="s">
        <v>160</v>
      </c>
      <c r="D73" s="263" t="s">
        <v>133</v>
      </c>
      <c r="E73" s="263" t="s">
        <v>134</v>
      </c>
      <c r="F73" s="263" t="s">
        <v>10</v>
      </c>
    </row>
    <row r="74" spans="1:6">
      <c r="A74" s="263">
        <v>73</v>
      </c>
      <c r="B74" s="263" t="s">
        <v>161</v>
      </c>
      <c r="C74" s="263" t="s">
        <v>162</v>
      </c>
      <c r="D74" s="263" t="s">
        <v>133</v>
      </c>
      <c r="E74" s="263" t="s">
        <v>134</v>
      </c>
      <c r="F74" s="263" t="s">
        <v>10</v>
      </c>
    </row>
    <row r="75" spans="1:6">
      <c r="A75" s="263">
        <v>74</v>
      </c>
      <c r="B75" s="263" t="s">
        <v>163</v>
      </c>
      <c r="C75" s="263" t="s">
        <v>164</v>
      </c>
      <c r="D75" s="263" t="s">
        <v>133</v>
      </c>
      <c r="E75" s="263" t="s">
        <v>134</v>
      </c>
      <c r="F75" s="263" t="s">
        <v>10</v>
      </c>
    </row>
    <row r="76" spans="1:6">
      <c r="A76" s="263">
        <v>75</v>
      </c>
      <c r="B76" s="263" t="s">
        <v>165</v>
      </c>
      <c r="C76" s="263" t="s">
        <v>166</v>
      </c>
      <c r="D76" s="263" t="s">
        <v>133</v>
      </c>
      <c r="E76" s="263" t="s">
        <v>134</v>
      </c>
      <c r="F76" s="263" t="s">
        <v>10</v>
      </c>
    </row>
    <row r="77" spans="1:6">
      <c r="A77" s="263">
        <v>76</v>
      </c>
      <c r="B77" s="263" t="s">
        <v>167</v>
      </c>
      <c r="C77" s="263" t="s">
        <v>168</v>
      </c>
      <c r="D77" s="263" t="s">
        <v>169</v>
      </c>
      <c r="E77" s="263" t="s">
        <v>170</v>
      </c>
      <c r="F77" s="263" t="s">
        <v>10</v>
      </c>
    </row>
    <row r="78" spans="1:6">
      <c r="A78" s="263">
        <v>77</v>
      </c>
      <c r="B78" s="263" t="s">
        <v>171</v>
      </c>
      <c r="C78" s="263" t="s">
        <v>172</v>
      </c>
      <c r="D78" s="263" t="s">
        <v>169</v>
      </c>
      <c r="E78" s="263" t="s">
        <v>170</v>
      </c>
      <c r="F78" s="263" t="s">
        <v>10</v>
      </c>
    </row>
    <row r="79" spans="1:6">
      <c r="A79" s="263">
        <v>78</v>
      </c>
      <c r="B79" s="263" t="s">
        <v>173</v>
      </c>
      <c r="C79" s="263" t="s">
        <v>174</v>
      </c>
      <c r="D79" s="263" t="s">
        <v>169</v>
      </c>
      <c r="E79" s="263" t="s">
        <v>170</v>
      </c>
      <c r="F79" s="263" t="s">
        <v>10</v>
      </c>
    </row>
    <row r="80" spans="1:6">
      <c r="A80" s="263">
        <v>79</v>
      </c>
      <c r="B80" s="263" t="s">
        <v>175</v>
      </c>
      <c r="C80" s="263" t="s">
        <v>176</v>
      </c>
      <c r="D80" s="263" t="s">
        <v>169</v>
      </c>
      <c r="E80" s="263" t="s">
        <v>170</v>
      </c>
      <c r="F80" s="263" t="s">
        <v>10</v>
      </c>
    </row>
    <row r="81" spans="1:6">
      <c r="A81" s="263">
        <v>80</v>
      </c>
      <c r="B81" s="263" t="s">
        <v>177</v>
      </c>
      <c r="C81" s="263" t="s">
        <v>178</v>
      </c>
      <c r="D81" s="263" t="s">
        <v>169</v>
      </c>
      <c r="E81" s="263" t="s">
        <v>170</v>
      </c>
      <c r="F81" s="263" t="s">
        <v>10</v>
      </c>
    </row>
    <row r="82" spans="1:6">
      <c r="A82" s="263">
        <v>81</v>
      </c>
      <c r="B82" s="263" t="s">
        <v>179</v>
      </c>
      <c r="C82" s="263" t="s">
        <v>180</v>
      </c>
      <c r="D82" s="263" t="s">
        <v>169</v>
      </c>
      <c r="E82" s="263" t="s">
        <v>170</v>
      </c>
      <c r="F82" s="263" t="s">
        <v>10</v>
      </c>
    </row>
    <row r="83" spans="1:6">
      <c r="A83" s="263">
        <v>82</v>
      </c>
      <c r="B83" s="263" t="s">
        <v>181</v>
      </c>
      <c r="C83" s="263" t="s">
        <v>182</v>
      </c>
      <c r="D83" s="263" t="s">
        <v>169</v>
      </c>
      <c r="E83" s="263" t="s">
        <v>170</v>
      </c>
      <c r="F83" s="263" t="s">
        <v>10</v>
      </c>
    </row>
    <row r="84" spans="1:6">
      <c r="A84" s="263">
        <v>83</v>
      </c>
      <c r="B84" s="263" t="s">
        <v>183</v>
      </c>
      <c r="C84" s="263" t="s">
        <v>184</v>
      </c>
      <c r="D84" s="263" t="s">
        <v>169</v>
      </c>
      <c r="E84" s="263" t="s">
        <v>170</v>
      </c>
      <c r="F84" s="263" t="s">
        <v>10</v>
      </c>
    </row>
    <row r="85" spans="1:6">
      <c r="A85" s="263">
        <v>84</v>
      </c>
      <c r="B85" s="263" t="s">
        <v>185</v>
      </c>
      <c r="C85" s="263" t="s">
        <v>186</v>
      </c>
      <c r="D85" s="263" t="s">
        <v>169</v>
      </c>
      <c r="E85" s="263" t="s">
        <v>170</v>
      </c>
      <c r="F85" s="263" t="s">
        <v>10</v>
      </c>
    </row>
    <row r="86" spans="1:6">
      <c r="A86" s="263">
        <v>85</v>
      </c>
      <c r="B86" s="263" t="s">
        <v>187</v>
      </c>
      <c r="C86" s="263" t="s">
        <v>188</v>
      </c>
      <c r="D86" s="263" t="s">
        <v>169</v>
      </c>
      <c r="E86" s="263" t="s">
        <v>170</v>
      </c>
      <c r="F86" s="263" t="s">
        <v>10</v>
      </c>
    </row>
    <row r="87" spans="1:6">
      <c r="A87" s="263">
        <v>86</v>
      </c>
      <c r="B87" s="263" t="s">
        <v>189</v>
      </c>
      <c r="C87" s="263" t="s">
        <v>190</v>
      </c>
      <c r="D87" s="263" t="s">
        <v>169</v>
      </c>
      <c r="E87" s="263" t="s">
        <v>170</v>
      </c>
      <c r="F87" s="263" t="s">
        <v>10</v>
      </c>
    </row>
    <row r="88" spans="1:6">
      <c r="A88" s="263">
        <v>87</v>
      </c>
      <c r="B88" s="263" t="s">
        <v>191</v>
      </c>
      <c r="C88" s="263" t="s">
        <v>192</v>
      </c>
      <c r="D88" s="263" t="s">
        <v>169</v>
      </c>
      <c r="E88" s="263" t="s">
        <v>170</v>
      </c>
      <c r="F88" s="263" t="s">
        <v>10</v>
      </c>
    </row>
    <row r="89" spans="1:6">
      <c r="A89" s="263">
        <v>88</v>
      </c>
      <c r="B89" s="263" t="s">
        <v>193</v>
      </c>
      <c r="C89" s="263" t="s">
        <v>194</v>
      </c>
      <c r="D89" s="263" t="s">
        <v>169</v>
      </c>
      <c r="E89" s="263" t="s">
        <v>170</v>
      </c>
      <c r="F89" s="263" t="s">
        <v>10</v>
      </c>
    </row>
    <row r="90" spans="1:6">
      <c r="A90" s="263">
        <v>89</v>
      </c>
      <c r="B90" s="263" t="s">
        <v>195</v>
      </c>
      <c r="C90" s="263" t="s">
        <v>196</v>
      </c>
      <c r="D90" s="263" t="s">
        <v>169</v>
      </c>
      <c r="E90" s="263" t="s">
        <v>170</v>
      </c>
      <c r="F90" s="263" t="s">
        <v>10</v>
      </c>
    </row>
    <row r="91" spans="1:6">
      <c r="A91" s="263">
        <v>90</v>
      </c>
      <c r="B91" s="263" t="s">
        <v>197</v>
      </c>
      <c r="C91" s="263" t="s">
        <v>198</v>
      </c>
      <c r="D91" s="263" t="s">
        <v>169</v>
      </c>
      <c r="E91" s="263" t="s">
        <v>170</v>
      </c>
      <c r="F91" s="263" t="s">
        <v>10</v>
      </c>
    </row>
    <row r="92" spans="1:6">
      <c r="A92" s="263">
        <v>91</v>
      </c>
      <c r="B92" s="263" t="s">
        <v>199</v>
      </c>
      <c r="C92" s="263" t="s">
        <v>200</v>
      </c>
      <c r="D92" s="263" t="s">
        <v>169</v>
      </c>
      <c r="E92" s="263" t="s">
        <v>170</v>
      </c>
      <c r="F92" s="263" t="s">
        <v>10</v>
      </c>
    </row>
    <row r="93" spans="1:6">
      <c r="A93" s="263">
        <v>92</v>
      </c>
      <c r="B93" s="263" t="s">
        <v>201</v>
      </c>
      <c r="C93" s="263" t="s">
        <v>202</v>
      </c>
      <c r="D93" s="263" t="s">
        <v>169</v>
      </c>
      <c r="E93" s="263" t="s">
        <v>170</v>
      </c>
      <c r="F93" s="263" t="s">
        <v>10</v>
      </c>
    </row>
    <row r="94" spans="1:6">
      <c r="A94" s="263">
        <v>93</v>
      </c>
      <c r="B94" s="263" t="s">
        <v>203</v>
      </c>
      <c r="C94" s="263" t="s">
        <v>204</v>
      </c>
      <c r="D94" s="263" t="s">
        <v>205</v>
      </c>
      <c r="E94" s="263" t="s">
        <v>206</v>
      </c>
      <c r="F94" s="263" t="s">
        <v>10</v>
      </c>
    </row>
    <row r="95" spans="1:6">
      <c r="A95" s="263">
        <v>94</v>
      </c>
      <c r="B95" s="263" t="s">
        <v>207</v>
      </c>
      <c r="C95" s="263" t="s">
        <v>208</v>
      </c>
      <c r="D95" s="263" t="s">
        <v>205</v>
      </c>
      <c r="E95" s="263" t="s">
        <v>206</v>
      </c>
      <c r="F95" s="263" t="s">
        <v>10</v>
      </c>
    </row>
    <row r="96" spans="1:6">
      <c r="A96" s="263">
        <v>95</v>
      </c>
      <c r="B96" s="263" t="s">
        <v>209</v>
      </c>
      <c r="C96" s="263" t="s">
        <v>210</v>
      </c>
      <c r="D96" s="263" t="s">
        <v>205</v>
      </c>
      <c r="E96" s="263" t="s">
        <v>206</v>
      </c>
      <c r="F96" s="263" t="s">
        <v>10</v>
      </c>
    </row>
    <row r="97" spans="1:6">
      <c r="A97" s="263">
        <v>96</v>
      </c>
      <c r="B97" s="263" t="s">
        <v>211</v>
      </c>
      <c r="C97" s="263" t="s">
        <v>212</v>
      </c>
      <c r="D97" s="263" t="s">
        <v>205</v>
      </c>
      <c r="E97" s="263" t="s">
        <v>206</v>
      </c>
      <c r="F97" s="263" t="s">
        <v>10</v>
      </c>
    </row>
    <row r="98" spans="1:6">
      <c r="A98" s="263">
        <v>97</v>
      </c>
      <c r="B98" s="263" t="s">
        <v>213</v>
      </c>
      <c r="C98" s="263" t="s">
        <v>214</v>
      </c>
      <c r="D98" s="263" t="s">
        <v>205</v>
      </c>
      <c r="E98" s="263" t="s">
        <v>206</v>
      </c>
      <c r="F98" s="263" t="s">
        <v>10</v>
      </c>
    </row>
    <row r="99" spans="1:6">
      <c r="A99" s="263">
        <v>98</v>
      </c>
      <c r="B99" s="263" t="s">
        <v>215</v>
      </c>
      <c r="C99" s="263" t="s">
        <v>216</v>
      </c>
      <c r="D99" s="263" t="s">
        <v>205</v>
      </c>
      <c r="E99" s="263" t="s">
        <v>206</v>
      </c>
      <c r="F99" s="263" t="s">
        <v>10</v>
      </c>
    </row>
    <row r="100" spans="1:6">
      <c r="A100" s="263">
        <v>99</v>
      </c>
      <c r="B100" s="263" t="s">
        <v>217</v>
      </c>
      <c r="C100" s="263" t="s">
        <v>218</v>
      </c>
      <c r="D100" s="263" t="s">
        <v>205</v>
      </c>
      <c r="E100" s="263" t="s">
        <v>206</v>
      </c>
      <c r="F100" s="263" t="s">
        <v>10</v>
      </c>
    </row>
    <row r="101" spans="1:6">
      <c r="A101" s="263">
        <v>100</v>
      </c>
      <c r="B101" s="263" t="s">
        <v>219</v>
      </c>
      <c r="C101" s="263" t="s">
        <v>220</v>
      </c>
      <c r="D101" s="263" t="s">
        <v>205</v>
      </c>
      <c r="E101" s="263" t="s">
        <v>206</v>
      </c>
      <c r="F101" s="263" t="s">
        <v>10</v>
      </c>
    </row>
    <row r="102" spans="1:6">
      <c r="A102" s="263">
        <v>101</v>
      </c>
      <c r="B102" s="263" t="s">
        <v>221</v>
      </c>
      <c r="C102" s="263" t="s">
        <v>222</v>
      </c>
      <c r="D102" s="263" t="s">
        <v>205</v>
      </c>
      <c r="E102" s="263" t="s">
        <v>206</v>
      </c>
      <c r="F102" s="263" t="s">
        <v>10</v>
      </c>
    </row>
    <row r="103" spans="1:6">
      <c r="A103" s="263">
        <v>102</v>
      </c>
      <c r="B103" s="263" t="s">
        <v>223</v>
      </c>
      <c r="C103" s="263" t="s">
        <v>224</v>
      </c>
      <c r="D103" s="263" t="s">
        <v>205</v>
      </c>
      <c r="E103" s="263" t="s">
        <v>206</v>
      </c>
      <c r="F103" s="263" t="s">
        <v>10</v>
      </c>
    </row>
    <row r="104" spans="1:6">
      <c r="A104" s="263">
        <v>103</v>
      </c>
      <c r="B104" s="263" t="s">
        <v>225</v>
      </c>
      <c r="C104" s="263" t="s">
        <v>226</v>
      </c>
      <c r="D104" s="263" t="s">
        <v>205</v>
      </c>
      <c r="E104" s="263" t="s">
        <v>206</v>
      </c>
      <c r="F104" s="263" t="s">
        <v>10</v>
      </c>
    </row>
    <row r="105" spans="1:6">
      <c r="A105" s="263">
        <v>104</v>
      </c>
      <c r="B105" s="263" t="s">
        <v>227</v>
      </c>
      <c r="C105" s="263" t="s">
        <v>228</v>
      </c>
      <c r="D105" s="263" t="s">
        <v>205</v>
      </c>
      <c r="E105" s="263" t="s">
        <v>206</v>
      </c>
      <c r="F105" s="263" t="s">
        <v>10</v>
      </c>
    </row>
    <row r="106" spans="1:6">
      <c r="A106" s="263">
        <v>105</v>
      </c>
      <c r="B106" s="263" t="s">
        <v>229</v>
      </c>
      <c r="C106" s="263" t="s">
        <v>230</v>
      </c>
      <c r="D106" s="263" t="s">
        <v>205</v>
      </c>
      <c r="E106" s="263" t="s">
        <v>206</v>
      </c>
      <c r="F106" s="263" t="s">
        <v>10</v>
      </c>
    </row>
    <row r="107" spans="1:6">
      <c r="A107" s="263">
        <v>106</v>
      </c>
      <c r="B107" s="263" t="s">
        <v>231</v>
      </c>
      <c r="C107" s="263" t="s">
        <v>232</v>
      </c>
      <c r="D107" s="263" t="s">
        <v>205</v>
      </c>
      <c r="E107" s="263" t="s">
        <v>206</v>
      </c>
      <c r="F107" s="263" t="s">
        <v>10</v>
      </c>
    </row>
    <row r="108" spans="1:6">
      <c r="A108" s="263">
        <v>107</v>
      </c>
      <c r="B108" s="263" t="s">
        <v>233</v>
      </c>
      <c r="C108" s="263" t="s">
        <v>234</v>
      </c>
      <c r="D108" s="263" t="s">
        <v>235</v>
      </c>
      <c r="E108" s="263" t="s">
        <v>236</v>
      </c>
      <c r="F108" s="263" t="s">
        <v>10</v>
      </c>
    </row>
    <row r="109" spans="1:6">
      <c r="A109" s="263">
        <v>108</v>
      </c>
      <c r="B109" s="263" t="s">
        <v>237</v>
      </c>
      <c r="C109" s="263" t="s">
        <v>238</v>
      </c>
      <c r="D109" s="263" t="s">
        <v>235</v>
      </c>
      <c r="E109" s="263" t="s">
        <v>236</v>
      </c>
      <c r="F109" s="263" t="s">
        <v>10</v>
      </c>
    </row>
    <row r="110" spans="1:6">
      <c r="A110" s="263">
        <v>109</v>
      </c>
      <c r="B110" s="263" t="s">
        <v>239</v>
      </c>
      <c r="C110" s="263" t="s">
        <v>240</v>
      </c>
      <c r="D110" s="263" t="s">
        <v>235</v>
      </c>
      <c r="E110" s="263" t="s">
        <v>236</v>
      </c>
      <c r="F110" s="263" t="s">
        <v>10</v>
      </c>
    </row>
    <row r="111" spans="1:6">
      <c r="A111" s="263">
        <v>110</v>
      </c>
      <c r="B111" s="263" t="s">
        <v>241</v>
      </c>
      <c r="C111" s="263" t="s">
        <v>242</v>
      </c>
      <c r="D111" s="263" t="s">
        <v>235</v>
      </c>
      <c r="E111" s="263" t="s">
        <v>236</v>
      </c>
      <c r="F111" s="263" t="s">
        <v>10</v>
      </c>
    </row>
    <row r="112" spans="1:6">
      <c r="A112" s="263">
        <v>111</v>
      </c>
      <c r="B112" s="263" t="s">
        <v>243</v>
      </c>
      <c r="C112" s="263" t="s">
        <v>244</v>
      </c>
      <c r="D112" s="263" t="s">
        <v>235</v>
      </c>
      <c r="E112" s="263" t="s">
        <v>236</v>
      </c>
      <c r="F112" s="263" t="s">
        <v>10</v>
      </c>
    </row>
    <row r="113" spans="1:6">
      <c r="A113" s="263">
        <v>112</v>
      </c>
      <c r="B113" s="263" t="s">
        <v>245</v>
      </c>
      <c r="C113" s="263" t="s">
        <v>246</v>
      </c>
      <c r="D113" s="263" t="s">
        <v>235</v>
      </c>
      <c r="E113" s="263" t="s">
        <v>236</v>
      </c>
      <c r="F113" s="263" t="s">
        <v>10</v>
      </c>
    </row>
    <row r="114" spans="1:6">
      <c r="A114" s="263">
        <v>113</v>
      </c>
      <c r="B114" s="263" t="s">
        <v>247</v>
      </c>
      <c r="C114" s="263" t="s">
        <v>248</v>
      </c>
      <c r="D114" s="263" t="s">
        <v>235</v>
      </c>
      <c r="E114" s="263" t="s">
        <v>236</v>
      </c>
      <c r="F114" s="263" t="s">
        <v>10</v>
      </c>
    </row>
    <row r="115" spans="1:6">
      <c r="A115" s="263">
        <v>114</v>
      </c>
      <c r="B115" s="263" t="s">
        <v>249</v>
      </c>
      <c r="C115" s="263" t="s">
        <v>250</v>
      </c>
      <c r="D115" s="263" t="s">
        <v>235</v>
      </c>
      <c r="E115" s="263" t="s">
        <v>236</v>
      </c>
      <c r="F115" s="263" t="s">
        <v>10</v>
      </c>
    </row>
    <row r="116" spans="1:6">
      <c r="A116" s="263">
        <v>115</v>
      </c>
      <c r="B116" s="263" t="s">
        <v>251</v>
      </c>
      <c r="C116" s="263" t="s">
        <v>252</v>
      </c>
      <c r="D116" s="263" t="s">
        <v>235</v>
      </c>
      <c r="E116" s="263" t="s">
        <v>236</v>
      </c>
      <c r="F116" s="263" t="s">
        <v>10</v>
      </c>
    </row>
    <row r="117" spans="1:6">
      <c r="A117" s="263">
        <v>116</v>
      </c>
      <c r="B117" s="263" t="s">
        <v>253</v>
      </c>
      <c r="C117" s="263" t="s">
        <v>254</v>
      </c>
      <c r="D117" s="263" t="s">
        <v>235</v>
      </c>
      <c r="E117" s="263" t="s">
        <v>236</v>
      </c>
      <c r="F117" s="263" t="s">
        <v>10</v>
      </c>
    </row>
    <row r="118" spans="1:6">
      <c r="A118" s="263">
        <v>117</v>
      </c>
      <c r="B118" s="263" t="s">
        <v>255</v>
      </c>
      <c r="C118" s="263" t="s">
        <v>256</v>
      </c>
      <c r="D118" s="263" t="s">
        <v>235</v>
      </c>
      <c r="E118" s="263" t="s">
        <v>236</v>
      </c>
      <c r="F118" s="263" t="s">
        <v>10</v>
      </c>
    </row>
    <row r="119" spans="1:6">
      <c r="A119" s="263">
        <v>118</v>
      </c>
      <c r="B119" s="263" t="s">
        <v>257</v>
      </c>
      <c r="C119" s="263" t="s">
        <v>258</v>
      </c>
      <c r="D119" s="263" t="s">
        <v>235</v>
      </c>
      <c r="E119" s="263" t="s">
        <v>236</v>
      </c>
      <c r="F119" s="263" t="s">
        <v>10</v>
      </c>
    </row>
    <row r="120" spans="1:6">
      <c r="A120" s="263">
        <v>119</v>
      </c>
      <c r="B120" s="263" t="s">
        <v>259</v>
      </c>
      <c r="C120" s="263" t="s">
        <v>260</v>
      </c>
      <c r="D120" s="263" t="s">
        <v>235</v>
      </c>
      <c r="E120" s="263" t="s">
        <v>236</v>
      </c>
      <c r="F120" s="263" t="s">
        <v>10</v>
      </c>
    </row>
    <row r="121" spans="1:6">
      <c r="A121" s="263">
        <v>120</v>
      </c>
      <c r="B121" s="263" t="s">
        <v>261</v>
      </c>
      <c r="C121" s="263" t="s">
        <v>262</v>
      </c>
      <c r="D121" s="263" t="s">
        <v>235</v>
      </c>
      <c r="E121" s="263" t="s">
        <v>236</v>
      </c>
      <c r="F121" s="263" t="s">
        <v>10</v>
      </c>
    </row>
    <row r="122" spans="1:6">
      <c r="A122" s="263">
        <v>121</v>
      </c>
      <c r="B122" s="263" t="s">
        <v>263</v>
      </c>
      <c r="C122" s="263" t="s">
        <v>264</v>
      </c>
      <c r="D122" s="263" t="s">
        <v>235</v>
      </c>
      <c r="E122" s="263" t="s">
        <v>236</v>
      </c>
      <c r="F122" s="263" t="s">
        <v>10</v>
      </c>
    </row>
    <row r="123" spans="1:6">
      <c r="A123" s="263">
        <v>122</v>
      </c>
      <c r="B123" s="263" t="s">
        <v>265</v>
      </c>
      <c r="C123" s="263" t="s">
        <v>266</v>
      </c>
      <c r="D123" s="263" t="s">
        <v>267</v>
      </c>
      <c r="E123" s="263" t="s">
        <v>268</v>
      </c>
      <c r="F123" s="263" t="s">
        <v>10</v>
      </c>
    </row>
    <row r="124" spans="1:6">
      <c r="A124" s="263">
        <v>123</v>
      </c>
      <c r="B124" s="263" t="s">
        <v>269</v>
      </c>
      <c r="C124" s="263" t="s">
        <v>270</v>
      </c>
      <c r="D124" s="263" t="s">
        <v>267</v>
      </c>
      <c r="E124" s="263" t="s">
        <v>268</v>
      </c>
      <c r="F124" s="263" t="s">
        <v>10</v>
      </c>
    </row>
    <row r="125" spans="1:6">
      <c r="A125" s="263">
        <v>124</v>
      </c>
      <c r="B125" s="263" t="s">
        <v>271</v>
      </c>
      <c r="C125" s="263" t="s">
        <v>272</v>
      </c>
      <c r="D125" s="263" t="s">
        <v>267</v>
      </c>
      <c r="E125" s="263" t="s">
        <v>268</v>
      </c>
      <c r="F125" s="263" t="s">
        <v>10</v>
      </c>
    </row>
    <row r="126" spans="1:6">
      <c r="A126" s="263">
        <v>125</v>
      </c>
      <c r="B126" s="263" t="s">
        <v>273</v>
      </c>
      <c r="C126" s="263" t="s">
        <v>274</v>
      </c>
      <c r="D126" s="263" t="s">
        <v>267</v>
      </c>
      <c r="E126" s="263" t="s">
        <v>268</v>
      </c>
      <c r="F126" s="263" t="s">
        <v>10</v>
      </c>
    </row>
    <row r="127" spans="1:6">
      <c r="A127" s="263">
        <v>126</v>
      </c>
      <c r="B127" s="263" t="s">
        <v>275</v>
      </c>
      <c r="C127" s="263" t="s">
        <v>276</v>
      </c>
      <c r="D127" s="263" t="s">
        <v>267</v>
      </c>
      <c r="E127" s="263" t="s">
        <v>268</v>
      </c>
      <c r="F127" s="263" t="s">
        <v>10</v>
      </c>
    </row>
    <row r="128" spans="1:6">
      <c r="A128" s="263">
        <v>127</v>
      </c>
      <c r="B128" s="263" t="s">
        <v>277</v>
      </c>
      <c r="C128" s="263" t="s">
        <v>278</v>
      </c>
      <c r="D128" s="263" t="s">
        <v>267</v>
      </c>
      <c r="E128" s="263" t="s">
        <v>268</v>
      </c>
      <c r="F128" s="263" t="s">
        <v>10</v>
      </c>
    </row>
    <row r="129" spans="1:6">
      <c r="A129" s="263">
        <v>128</v>
      </c>
      <c r="B129" s="263" t="s">
        <v>279</v>
      </c>
      <c r="C129" s="263" t="s">
        <v>280</v>
      </c>
      <c r="D129" s="263" t="s">
        <v>267</v>
      </c>
      <c r="E129" s="263" t="s">
        <v>268</v>
      </c>
      <c r="F129" s="263" t="s">
        <v>10</v>
      </c>
    </row>
    <row r="130" spans="1:6">
      <c r="A130" s="263">
        <v>129</v>
      </c>
      <c r="B130" s="263" t="s">
        <v>281</v>
      </c>
      <c r="C130" s="263" t="s">
        <v>282</v>
      </c>
      <c r="D130" s="263" t="s">
        <v>283</v>
      </c>
      <c r="E130" s="263" t="s">
        <v>284</v>
      </c>
      <c r="F130" s="263" t="s">
        <v>10</v>
      </c>
    </row>
    <row r="131" spans="1:6">
      <c r="A131" s="263">
        <v>130</v>
      </c>
      <c r="B131" s="263" t="s">
        <v>285</v>
      </c>
      <c r="C131" s="263" t="s">
        <v>286</v>
      </c>
      <c r="D131" s="263" t="s">
        <v>283</v>
      </c>
      <c r="E131" s="263" t="s">
        <v>284</v>
      </c>
      <c r="F131" s="263" t="s">
        <v>10</v>
      </c>
    </row>
    <row r="132" spans="1:6">
      <c r="A132" s="263">
        <v>131</v>
      </c>
      <c r="B132" s="263" t="s">
        <v>287</v>
      </c>
      <c r="C132" s="263" t="s">
        <v>288</v>
      </c>
      <c r="D132" s="263" t="s">
        <v>283</v>
      </c>
      <c r="E132" s="263" t="s">
        <v>284</v>
      </c>
      <c r="F132" s="263" t="s">
        <v>10</v>
      </c>
    </row>
    <row r="133" spans="1:6">
      <c r="A133" s="263">
        <v>132</v>
      </c>
      <c r="B133" s="263" t="s">
        <v>289</v>
      </c>
      <c r="C133" s="263" t="s">
        <v>290</v>
      </c>
      <c r="D133" s="263" t="s">
        <v>283</v>
      </c>
      <c r="E133" s="263" t="s">
        <v>284</v>
      </c>
      <c r="F133" s="263" t="s">
        <v>10</v>
      </c>
    </row>
    <row r="134" spans="1:6">
      <c r="A134" s="263">
        <v>133</v>
      </c>
      <c r="B134" s="263" t="s">
        <v>291</v>
      </c>
      <c r="C134" s="263" t="s">
        <v>292</v>
      </c>
      <c r="D134" s="263" t="s">
        <v>283</v>
      </c>
      <c r="E134" s="263" t="s">
        <v>284</v>
      </c>
      <c r="F134" s="263" t="s">
        <v>10</v>
      </c>
    </row>
    <row r="135" spans="1:6">
      <c r="A135" s="263">
        <v>134</v>
      </c>
      <c r="B135" s="263" t="s">
        <v>293</v>
      </c>
      <c r="C135" s="263" t="s">
        <v>294</v>
      </c>
      <c r="D135" s="263" t="s">
        <v>283</v>
      </c>
      <c r="E135" s="263" t="s">
        <v>284</v>
      </c>
      <c r="F135" s="263" t="s">
        <v>10</v>
      </c>
    </row>
    <row r="136" spans="1:6">
      <c r="A136" s="263">
        <v>135</v>
      </c>
      <c r="B136" s="263" t="s">
        <v>295</v>
      </c>
      <c r="C136" s="263" t="s">
        <v>296</v>
      </c>
      <c r="D136" s="263" t="s">
        <v>283</v>
      </c>
      <c r="E136" s="263" t="s">
        <v>284</v>
      </c>
      <c r="F136" s="263" t="s">
        <v>10</v>
      </c>
    </row>
    <row r="137" spans="1:6">
      <c r="A137" s="263">
        <v>136</v>
      </c>
      <c r="B137" s="263" t="s">
        <v>297</v>
      </c>
      <c r="C137" s="263" t="s">
        <v>298</v>
      </c>
      <c r="D137" s="263" t="s">
        <v>283</v>
      </c>
      <c r="E137" s="263" t="s">
        <v>284</v>
      </c>
      <c r="F137" s="263" t="s">
        <v>10</v>
      </c>
    </row>
    <row r="138" spans="1:6">
      <c r="A138" s="263">
        <v>137</v>
      </c>
      <c r="B138" s="263" t="s">
        <v>299</v>
      </c>
      <c r="C138" s="263" t="s">
        <v>300</v>
      </c>
      <c r="D138" s="263" t="s">
        <v>283</v>
      </c>
      <c r="E138" s="263" t="s">
        <v>284</v>
      </c>
      <c r="F138" s="263" t="s">
        <v>10</v>
      </c>
    </row>
    <row r="139" spans="1:6">
      <c r="A139" s="263">
        <v>138</v>
      </c>
      <c r="B139" s="263" t="s">
        <v>301</v>
      </c>
      <c r="C139" s="263" t="s">
        <v>302</v>
      </c>
      <c r="D139" s="263" t="s">
        <v>283</v>
      </c>
      <c r="E139" s="263" t="s">
        <v>284</v>
      </c>
      <c r="F139" s="263" t="s">
        <v>10</v>
      </c>
    </row>
    <row r="140" spans="1:6">
      <c r="A140" s="263">
        <v>139</v>
      </c>
      <c r="B140" s="263" t="s">
        <v>303</v>
      </c>
      <c r="C140" s="263" t="s">
        <v>304</v>
      </c>
      <c r="D140" s="263" t="s">
        <v>283</v>
      </c>
      <c r="E140" s="263" t="s">
        <v>284</v>
      </c>
      <c r="F140" s="263" t="s">
        <v>10</v>
      </c>
    </row>
    <row r="141" spans="1:6">
      <c r="A141" s="263">
        <v>140</v>
      </c>
      <c r="B141" s="263" t="s">
        <v>305</v>
      </c>
      <c r="C141" s="263" t="s">
        <v>306</v>
      </c>
      <c r="D141" s="263" t="s">
        <v>283</v>
      </c>
      <c r="E141" s="263" t="s">
        <v>284</v>
      </c>
      <c r="F141" s="263" t="s">
        <v>10</v>
      </c>
    </row>
    <row r="142" spans="1:6">
      <c r="A142" s="263">
        <v>141</v>
      </c>
      <c r="B142" s="263" t="s">
        <v>307</v>
      </c>
      <c r="C142" s="263" t="s">
        <v>308</v>
      </c>
      <c r="D142" s="263" t="s">
        <v>283</v>
      </c>
      <c r="E142" s="263" t="s">
        <v>284</v>
      </c>
      <c r="F142" s="263" t="s">
        <v>10</v>
      </c>
    </row>
    <row r="143" spans="1:6">
      <c r="A143" s="263">
        <v>142</v>
      </c>
      <c r="B143" s="263" t="s">
        <v>309</v>
      </c>
      <c r="C143" s="263" t="s">
        <v>310</v>
      </c>
      <c r="D143" s="263" t="s">
        <v>311</v>
      </c>
      <c r="E143" s="263" t="s">
        <v>312</v>
      </c>
      <c r="F143" s="263" t="s">
        <v>10</v>
      </c>
    </row>
    <row r="144" spans="1:6">
      <c r="A144" s="263">
        <v>143</v>
      </c>
      <c r="B144" s="263" t="s">
        <v>313</v>
      </c>
      <c r="C144" s="263" t="s">
        <v>314</v>
      </c>
      <c r="D144" s="263" t="s">
        <v>311</v>
      </c>
      <c r="E144" s="263" t="s">
        <v>312</v>
      </c>
      <c r="F144" s="263" t="s">
        <v>10</v>
      </c>
    </row>
    <row r="145" spans="1:6">
      <c r="A145" s="263">
        <v>144</v>
      </c>
      <c r="B145" s="263" t="s">
        <v>315</v>
      </c>
      <c r="C145" s="263" t="s">
        <v>316</v>
      </c>
      <c r="D145" s="263" t="s">
        <v>311</v>
      </c>
      <c r="E145" s="263" t="s">
        <v>312</v>
      </c>
      <c r="F145" s="263" t="s">
        <v>10</v>
      </c>
    </row>
    <row r="146" spans="1:6">
      <c r="A146" s="263">
        <v>145</v>
      </c>
      <c r="B146" s="263" t="s">
        <v>317</v>
      </c>
      <c r="C146" s="263" t="s">
        <v>318</v>
      </c>
      <c r="D146" s="263" t="s">
        <v>311</v>
      </c>
      <c r="E146" s="263" t="s">
        <v>312</v>
      </c>
      <c r="F146" s="263" t="s">
        <v>10</v>
      </c>
    </row>
    <row r="147" spans="1:6">
      <c r="A147" s="263">
        <v>146</v>
      </c>
      <c r="B147" s="263" t="s">
        <v>319</v>
      </c>
      <c r="C147" s="263" t="s">
        <v>320</v>
      </c>
      <c r="D147" s="263" t="s">
        <v>311</v>
      </c>
      <c r="E147" s="263" t="s">
        <v>312</v>
      </c>
      <c r="F147" s="263" t="s">
        <v>10</v>
      </c>
    </row>
    <row r="148" spans="1:6">
      <c r="A148" s="263">
        <v>147</v>
      </c>
      <c r="B148" s="263" t="s">
        <v>321</v>
      </c>
      <c r="C148" s="263" t="s">
        <v>322</v>
      </c>
      <c r="D148" s="263" t="s">
        <v>311</v>
      </c>
      <c r="E148" s="263" t="s">
        <v>312</v>
      </c>
      <c r="F148" s="263" t="s">
        <v>10</v>
      </c>
    </row>
    <row r="149" spans="1:6">
      <c r="A149" s="263">
        <v>148</v>
      </c>
      <c r="B149" s="263" t="s">
        <v>323</v>
      </c>
      <c r="C149" s="263" t="s">
        <v>324</v>
      </c>
      <c r="D149" s="263" t="s">
        <v>311</v>
      </c>
      <c r="E149" s="263" t="s">
        <v>312</v>
      </c>
      <c r="F149" s="263" t="s">
        <v>10</v>
      </c>
    </row>
    <row r="150" spans="1:6">
      <c r="A150" s="263">
        <v>149</v>
      </c>
      <c r="B150" s="263" t="s">
        <v>325</v>
      </c>
      <c r="C150" s="263" t="s">
        <v>326</v>
      </c>
      <c r="D150" s="263" t="s">
        <v>311</v>
      </c>
      <c r="E150" s="263" t="s">
        <v>312</v>
      </c>
      <c r="F150" s="263" t="s">
        <v>10</v>
      </c>
    </row>
    <row r="151" spans="1:6">
      <c r="A151" s="263">
        <v>150</v>
      </c>
      <c r="B151" s="263" t="s">
        <v>327</v>
      </c>
      <c r="C151" s="263" t="s">
        <v>328</v>
      </c>
      <c r="D151" s="263" t="s">
        <v>311</v>
      </c>
      <c r="E151" s="263" t="s">
        <v>312</v>
      </c>
      <c r="F151" s="263" t="s">
        <v>10</v>
      </c>
    </row>
    <row r="152" spans="1:6">
      <c r="A152" s="263">
        <v>151</v>
      </c>
      <c r="B152" s="263" t="s">
        <v>329</v>
      </c>
      <c r="C152" s="263" t="s">
        <v>330</v>
      </c>
      <c r="D152" s="263" t="s">
        <v>311</v>
      </c>
      <c r="E152" s="263" t="s">
        <v>312</v>
      </c>
      <c r="F152" s="263" t="s">
        <v>10</v>
      </c>
    </row>
    <row r="153" spans="1:6">
      <c r="A153" s="263">
        <v>152</v>
      </c>
      <c r="B153" s="263" t="s">
        <v>331</v>
      </c>
      <c r="C153" s="263" t="s">
        <v>332</v>
      </c>
      <c r="D153" s="263" t="s">
        <v>311</v>
      </c>
      <c r="E153" s="263" t="s">
        <v>312</v>
      </c>
      <c r="F153" s="263" t="s">
        <v>10</v>
      </c>
    </row>
    <row r="154" spans="1:6">
      <c r="A154" s="263">
        <v>153</v>
      </c>
      <c r="B154" s="263" t="s">
        <v>333</v>
      </c>
      <c r="C154" s="263" t="s">
        <v>334</v>
      </c>
      <c r="D154" s="263" t="s">
        <v>311</v>
      </c>
      <c r="E154" s="263" t="s">
        <v>312</v>
      </c>
      <c r="F154" s="263" t="s">
        <v>10</v>
      </c>
    </row>
    <row r="155" spans="1:6">
      <c r="A155" s="263">
        <v>154</v>
      </c>
      <c r="B155" s="263" t="s">
        <v>335</v>
      </c>
      <c r="C155" s="263" t="s">
        <v>336</v>
      </c>
      <c r="D155" s="263" t="s">
        <v>311</v>
      </c>
      <c r="E155" s="263" t="s">
        <v>312</v>
      </c>
      <c r="F155" s="263" t="s">
        <v>10</v>
      </c>
    </row>
    <row r="156" spans="1:6">
      <c r="A156" s="263">
        <v>155</v>
      </c>
      <c r="B156" s="263" t="s">
        <v>337</v>
      </c>
      <c r="C156" s="263" t="s">
        <v>338</v>
      </c>
      <c r="D156" s="263" t="s">
        <v>311</v>
      </c>
      <c r="E156" s="263" t="s">
        <v>312</v>
      </c>
      <c r="F156" s="263" t="s">
        <v>10</v>
      </c>
    </row>
    <row r="157" spans="1:6">
      <c r="A157" s="263">
        <v>156</v>
      </c>
      <c r="B157" s="263" t="s">
        <v>339</v>
      </c>
      <c r="C157" s="263" t="s">
        <v>46</v>
      </c>
      <c r="D157" s="263" t="s">
        <v>340</v>
      </c>
      <c r="E157" s="263" t="s">
        <v>341</v>
      </c>
      <c r="F157" s="263" t="s">
        <v>342</v>
      </c>
    </row>
    <row r="158" spans="1:6">
      <c r="A158" s="263">
        <v>157</v>
      </c>
      <c r="B158" s="263" t="s">
        <v>343</v>
      </c>
      <c r="C158" s="263" t="s">
        <v>344</v>
      </c>
      <c r="D158" s="263" t="s">
        <v>340</v>
      </c>
      <c r="E158" s="263" t="s">
        <v>341</v>
      </c>
      <c r="F158" s="263" t="s">
        <v>342</v>
      </c>
    </row>
    <row r="159" spans="1:6">
      <c r="A159" s="263">
        <v>158</v>
      </c>
      <c r="B159" s="263" t="s">
        <v>345</v>
      </c>
      <c r="C159" s="263" t="s">
        <v>346</v>
      </c>
      <c r="D159" s="263" t="s">
        <v>340</v>
      </c>
      <c r="E159" s="263" t="s">
        <v>341</v>
      </c>
      <c r="F159" s="263" t="s">
        <v>342</v>
      </c>
    </row>
    <row r="160" spans="1:6">
      <c r="A160" s="263">
        <v>159</v>
      </c>
      <c r="B160" s="263" t="s">
        <v>347</v>
      </c>
      <c r="C160" s="263" t="s">
        <v>348</v>
      </c>
      <c r="D160" s="263" t="s">
        <v>340</v>
      </c>
      <c r="E160" s="263" t="s">
        <v>341</v>
      </c>
      <c r="F160" s="263" t="s">
        <v>342</v>
      </c>
    </row>
    <row r="161" spans="1:6">
      <c r="A161" s="263">
        <v>160</v>
      </c>
      <c r="B161" s="263" t="s">
        <v>349</v>
      </c>
      <c r="C161" s="263" t="s">
        <v>224</v>
      </c>
      <c r="D161" s="263" t="s">
        <v>340</v>
      </c>
      <c r="E161" s="263" t="s">
        <v>341</v>
      </c>
      <c r="F161" s="263" t="s">
        <v>342</v>
      </c>
    </row>
    <row r="162" spans="1:6">
      <c r="A162" s="263">
        <v>161</v>
      </c>
      <c r="B162" s="263" t="s">
        <v>350</v>
      </c>
      <c r="C162" s="263" t="s">
        <v>351</v>
      </c>
      <c r="D162" s="263" t="s">
        <v>340</v>
      </c>
      <c r="E162" s="263" t="s">
        <v>341</v>
      </c>
      <c r="F162" s="263" t="s">
        <v>342</v>
      </c>
    </row>
    <row r="163" spans="1:6">
      <c r="A163" s="263">
        <v>162</v>
      </c>
      <c r="B163" s="263" t="s">
        <v>352</v>
      </c>
      <c r="C163" s="263" t="s">
        <v>353</v>
      </c>
      <c r="D163" s="263" t="s">
        <v>340</v>
      </c>
      <c r="E163" s="263" t="s">
        <v>341</v>
      </c>
      <c r="F163" s="263" t="s">
        <v>342</v>
      </c>
    </row>
    <row r="164" spans="1:6">
      <c r="A164" s="263">
        <v>163</v>
      </c>
      <c r="B164" s="263" t="s">
        <v>354</v>
      </c>
      <c r="C164" s="263" t="s">
        <v>355</v>
      </c>
      <c r="D164" s="263" t="s">
        <v>340</v>
      </c>
      <c r="E164" s="263" t="s">
        <v>341</v>
      </c>
      <c r="F164" s="263" t="s">
        <v>342</v>
      </c>
    </row>
    <row r="165" spans="1:6">
      <c r="A165" s="263">
        <v>164</v>
      </c>
      <c r="B165" s="263" t="s">
        <v>356</v>
      </c>
      <c r="C165" s="263" t="s">
        <v>357</v>
      </c>
      <c r="D165" s="263" t="s">
        <v>340</v>
      </c>
      <c r="E165" s="263" t="s">
        <v>341</v>
      </c>
      <c r="F165" s="263" t="s">
        <v>342</v>
      </c>
    </row>
    <row r="166" spans="1:6">
      <c r="A166" s="263">
        <v>165</v>
      </c>
      <c r="B166" s="263" t="s">
        <v>358</v>
      </c>
      <c r="C166" s="263" t="s">
        <v>359</v>
      </c>
      <c r="D166" s="263" t="s">
        <v>340</v>
      </c>
      <c r="E166" s="263" t="s">
        <v>341</v>
      </c>
      <c r="F166" s="263" t="s">
        <v>342</v>
      </c>
    </row>
    <row r="167" spans="1:6">
      <c r="A167" s="263">
        <v>166</v>
      </c>
      <c r="B167" s="263" t="s">
        <v>360</v>
      </c>
      <c r="C167" s="263" t="s">
        <v>361</v>
      </c>
      <c r="D167" s="263" t="s">
        <v>362</v>
      </c>
      <c r="E167" s="263" t="s">
        <v>363</v>
      </c>
      <c r="F167" s="263" t="s">
        <v>342</v>
      </c>
    </row>
    <row r="168" spans="1:6">
      <c r="A168" s="263">
        <v>167</v>
      </c>
      <c r="B168" s="263" t="s">
        <v>364</v>
      </c>
      <c r="C168" s="263" t="s">
        <v>365</v>
      </c>
      <c r="D168" s="263" t="s">
        <v>362</v>
      </c>
      <c r="E168" s="263" t="s">
        <v>363</v>
      </c>
      <c r="F168" s="263" t="s">
        <v>342</v>
      </c>
    </row>
    <row r="169" spans="1:6">
      <c r="A169" s="263">
        <v>168</v>
      </c>
      <c r="B169" s="263" t="s">
        <v>366</v>
      </c>
      <c r="C169" s="263" t="s">
        <v>367</v>
      </c>
      <c r="D169" s="263" t="s">
        <v>362</v>
      </c>
      <c r="E169" s="263" t="s">
        <v>363</v>
      </c>
      <c r="F169" s="263" t="s">
        <v>342</v>
      </c>
    </row>
    <row r="170" spans="1:6">
      <c r="A170" s="263">
        <v>169</v>
      </c>
      <c r="B170" s="263" t="s">
        <v>368</v>
      </c>
      <c r="C170" s="263" t="s">
        <v>369</v>
      </c>
      <c r="D170" s="263" t="s">
        <v>362</v>
      </c>
      <c r="E170" s="263" t="s">
        <v>363</v>
      </c>
      <c r="F170" s="263" t="s">
        <v>342</v>
      </c>
    </row>
    <row r="171" spans="1:6">
      <c r="A171" s="263">
        <v>170</v>
      </c>
      <c r="B171" s="263" t="s">
        <v>370</v>
      </c>
      <c r="C171" s="263" t="s">
        <v>371</v>
      </c>
      <c r="D171" s="263" t="s">
        <v>362</v>
      </c>
      <c r="E171" s="263" t="s">
        <v>363</v>
      </c>
      <c r="F171" s="263" t="s">
        <v>342</v>
      </c>
    </row>
    <row r="172" spans="1:6">
      <c r="A172" s="263">
        <v>171</v>
      </c>
      <c r="B172" s="263" t="s">
        <v>372</v>
      </c>
      <c r="C172" s="263" t="s">
        <v>373</v>
      </c>
      <c r="D172" s="263" t="s">
        <v>362</v>
      </c>
      <c r="E172" s="263" t="s">
        <v>363</v>
      </c>
      <c r="F172" s="263" t="s">
        <v>342</v>
      </c>
    </row>
    <row r="173" spans="1:6">
      <c r="A173" s="263">
        <v>172</v>
      </c>
      <c r="B173" s="263" t="s">
        <v>374</v>
      </c>
      <c r="C173" s="263" t="s">
        <v>375</v>
      </c>
      <c r="D173" s="263" t="s">
        <v>362</v>
      </c>
      <c r="E173" s="263" t="s">
        <v>363</v>
      </c>
      <c r="F173" s="263" t="s">
        <v>342</v>
      </c>
    </row>
    <row r="174" spans="1:6">
      <c r="A174" s="263">
        <v>173</v>
      </c>
      <c r="B174" s="263" t="s">
        <v>376</v>
      </c>
      <c r="C174" s="263" t="s">
        <v>377</v>
      </c>
      <c r="D174" s="263" t="s">
        <v>378</v>
      </c>
      <c r="E174" s="263" t="s">
        <v>379</v>
      </c>
      <c r="F174" s="263" t="s">
        <v>342</v>
      </c>
    </row>
    <row r="175" spans="1:6">
      <c r="A175" s="263">
        <v>174</v>
      </c>
      <c r="B175" s="263" t="s">
        <v>380</v>
      </c>
      <c r="C175" s="263" t="s">
        <v>381</v>
      </c>
      <c r="D175" s="263" t="s">
        <v>378</v>
      </c>
      <c r="E175" s="263" t="s">
        <v>379</v>
      </c>
      <c r="F175" s="263" t="s">
        <v>342</v>
      </c>
    </row>
    <row r="176" spans="1:6">
      <c r="A176" s="263">
        <v>175</v>
      </c>
      <c r="B176" s="263" t="s">
        <v>382</v>
      </c>
      <c r="C176" s="263" t="s">
        <v>144</v>
      </c>
      <c r="D176" s="263" t="s">
        <v>378</v>
      </c>
      <c r="E176" s="263" t="s">
        <v>379</v>
      </c>
      <c r="F176" s="263" t="s">
        <v>342</v>
      </c>
    </row>
    <row r="177" spans="1:6">
      <c r="A177" s="263">
        <v>176</v>
      </c>
      <c r="B177" s="263" t="s">
        <v>383</v>
      </c>
      <c r="C177" s="263" t="s">
        <v>384</v>
      </c>
      <c r="D177" s="263" t="s">
        <v>378</v>
      </c>
      <c r="E177" s="263" t="s">
        <v>379</v>
      </c>
      <c r="F177" s="263" t="s">
        <v>342</v>
      </c>
    </row>
    <row r="178" spans="1:6">
      <c r="A178" s="263">
        <v>177</v>
      </c>
      <c r="B178" s="263" t="s">
        <v>385</v>
      </c>
      <c r="C178" s="263" t="s">
        <v>386</v>
      </c>
      <c r="D178" s="263" t="s">
        <v>378</v>
      </c>
      <c r="E178" s="263" t="s">
        <v>379</v>
      </c>
      <c r="F178" s="263" t="s">
        <v>342</v>
      </c>
    </row>
    <row r="179" spans="1:6">
      <c r="A179" s="263">
        <v>178</v>
      </c>
      <c r="B179" s="263" t="s">
        <v>387</v>
      </c>
      <c r="C179" s="263" t="s">
        <v>388</v>
      </c>
      <c r="D179" s="263" t="s">
        <v>378</v>
      </c>
      <c r="E179" s="263" t="s">
        <v>379</v>
      </c>
      <c r="F179" s="263" t="s">
        <v>342</v>
      </c>
    </row>
    <row r="180" spans="1:6">
      <c r="A180" s="263">
        <v>179</v>
      </c>
      <c r="B180" s="263" t="s">
        <v>389</v>
      </c>
      <c r="C180" s="263" t="s">
        <v>390</v>
      </c>
      <c r="D180" s="263" t="s">
        <v>378</v>
      </c>
      <c r="E180" s="263" t="s">
        <v>379</v>
      </c>
      <c r="F180" s="263" t="s">
        <v>342</v>
      </c>
    </row>
    <row r="181" spans="1:6">
      <c r="A181" s="263">
        <v>180</v>
      </c>
      <c r="B181" s="263" t="s">
        <v>391</v>
      </c>
      <c r="C181" s="263" t="s">
        <v>392</v>
      </c>
      <c r="D181" s="263" t="s">
        <v>378</v>
      </c>
      <c r="E181" s="263" t="s">
        <v>379</v>
      </c>
      <c r="F181" s="263" t="s">
        <v>342</v>
      </c>
    </row>
    <row r="182" spans="1:6">
      <c r="A182" s="263">
        <v>181</v>
      </c>
      <c r="B182" s="263" t="s">
        <v>393</v>
      </c>
      <c r="C182" s="263" t="s">
        <v>394</v>
      </c>
      <c r="D182" s="263" t="s">
        <v>378</v>
      </c>
      <c r="E182" s="263" t="s">
        <v>379</v>
      </c>
      <c r="F182" s="263" t="s">
        <v>342</v>
      </c>
    </row>
    <row r="183" spans="1:6">
      <c r="A183" s="263">
        <v>182</v>
      </c>
      <c r="B183" s="263" t="s">
        <v>395</v>
      </c>
      <c r="C183" s="263" t="s">
        <v>396</v>
      </c>
      <c r="D183" s="263" t="s">
        <v>378</v>
      </c>
      <c r="E183" s="263" t="s">
        <v>379</v>
      </c>
      <c r="F183" s="263" t="s">
        <v>342</v>
      </c>
    </row>
    <row r="184" spans="1:6">
      <c r="A184" s="263">
        <v>183</v>
      </c>
      <c r="B184" s="263" t="s">
        <v>397</v>
      </c>
      <c r="C184" s="263" t="s">
        <v>398</v>
      </c>
      <c r="D184" s="263" t="s">
        <v>378</v>
      </c>
      <c r="E184" s="263" t="s">
        <v>379</v>
      </c>
      <c r="F184" s="263" t="s">
        <v>342</v>
      </c>
    </row>
    <row r="185" spans="1:6">
      <c r="A185" s="263">
        <v>184</v>
      </c>
      <c r="B185" s="263" t="s">
        <v>399</v>
      </c>
      <c r="C185" s="263" t="s">
        <v>202</v>
      </c>
      <c r="D185" s="263" t="s">
        <v>378</v>
      </c>
      <c r="E185" s="263" t="s">
        <v>379</v>
      </c>
      <c r="F185" s="263" t="s">
        <v>342</v>
      </c>
    </row>
    <row r="186" spans="1:6">
      <c r="A186" s="263">
        <v>185</v>
      </c>
      <c r="B186" s="263" t="s">
        <v>400</v>
      </c>
      <c r="C186" s="263" t="s">
        <v>401</v>
      </c>
      <c r="D186" s="263" t="s">
        <v>402</v>
      </c>
      <c r="E186" s="263" t="s">
        <v>403</v>
      </c>
      <c r="F186" s="263" t="s">
        <v>342</v>
      </c>
    </row>
    <row r="187" spans="1:6">
      <c r="A187" s="263">
        <v>186</v>
      </c>
      <c r="B187" s="263" t="s">
        <v>404</v>
      </c>
      <c r="C187" s="263" t="s">
        <v>176</v>
      </c>
      <c r="D187" s="263" t="s">
        <v>402</v>
      </c>
      <c r="E187" s="263" t="s">
        <v>403</v>
      </c>
      <c r="F187" s="263" t="s">
        <v>342</v>
      </c>
    </row>
    <row r="188" spans="1:6">
      <c r="A188" s="263">
        <v>187</v>
      </c>
      <c r="B188" s="263" t="s">
        <v>405</v>
      </c>
      <c r="C188" s="263" t="s">
        <v>406</v>
      </c>
      <c r="D188" s="263" t="s">
        <v>402</v>
      </c>
      <c r="E188" s="263" t="s">
        <v>403</v>
      </c>
      <c r="F188" s="263" t="s">
        <v>342</v>
      </c>
    </row>
    <row r="189" spans="1:6">
      <c r="A189" s="263">
        <v>188</v>
      </c>
      <c r="B189" s="263" t="s">
        <v>407</v>
      </c>
      <c r="C189" s="263" t="s">
        <v>408</v>
      </c>
      <c r="D189" s="263" t="s">
        <v>402</v>
      </c>
      <c r="E189" s="263" t="s">
        <v>403</v>
      </c>
      <c r="F189" s="263" t="s">
        <v>342</v>
      </c>
    </row>
    <row r="190" spans="1:6">
      <c r="A190" s="263">
        <v>189</v>
      </c>
      <c r="B190" s="263" t="s">
        <v>409</v>
      </c>
      <c r="C190" s="263" t="s">
        <v>410</v>
      </c>
      <c r="D190" s="263" t="s">
        <v>402</v>
      </c>
      <c r="E190" s="263" t="s">
        <v>403</v>
      </c>
      <c r="F190" s="263" t="s">
        <v>342</v>
      </c>
    </row>
    <row r="191" spans="1:6">
      <c r="A191" s="263">
        <v>190</v>
      </c>
      <c r="B191" s="263" t="s">
        <v>411</v>
      </c>
      <c r="C191" s="263" t="s">
        <v>412</v>
      </c>
      <c r="D191" s="263" t="s">
        <v>402</v>
      </c>
      <c r="E191" s="263" t="s">
        <v>403</v>
      </c>
      <c r="F191" s="263" t="s">
        <v>342</v>
      </c>
    </row>
    <row r="192" spans="1:6">
      <c r="A192" s="263">
        <v>191</v>
      </c>
      <c r="B192" s="263" t="s">
        <v>413</v>
      </c>
      <c r="C192" s="263" t="s">
        <v>414</v>
      </c>
      <c r="D192" s="263" t="s">
        <v>402</v>
      </c>
      <c r="E192" s="263" t="s">
        <v>403</v>
      </c>
      <c r="F192" s="263" t="s">
        <v>342</v>
      </c>
    </row>
    <row r="193" spans="1:6">
      <c r="A193" s="263">
        <v>192</v>
      </c>
      <c r="B193" s="263" t="s">
        <v>415</v>
      </c>
      <c r="C193" s="263" t="s">
        <v>416</v>
      </c>
      <c r="D193" s="263" t="s">
        <v>402</v>
      </c>
      <c r="E193" s="263" t="s">
        <v>403</v>
      </c>
      <c r="F193" s="263" t="s">
        <v>342</v>
      </c>
    </row>
    <row r="194" spans="1:6">
      <c r="A194" s="263">
        <v>193</v>
      </c>
      <c r="B194" s="263" t="s">
        <v>417</v>
      </c>
      <c r="C194" s="263" t="s">
        <v>418</v>
      </c>
      <c r="D194" s="263" t="s">
        <v>402</v>
      </c>
      <c r="E194" s="263" t="s">
        <v>403</v>
      </c>
      <c r="F194" s="263" t="s">
        <v>342</v>
      </c>
    </row>
    <row r="195" spans="1:6">
      <c r="A195" s="263">
        <v>194</v>
      </c>
      <c r="B195" s="263" t="s">
        <v>419</v>
      </c>
      <c r="C195" s="263" t="s">
        <v>420</v>
      </c>
      <c r="D195" s="263" t="s">
        <v>402</v>
      </c>
      <c r="E195" s="263" t="s">
        <v>403</v>
      </c>
      <c r="F195" s="263" t="s">
        <v>342</v>
      </c>
    </row>
    <row r="196" spans="1:6">
      <c r="A196" s="263">
        <v>195</v>
      </c>
      <c r="B196" s="263" t="s">
        <v>421</v>
      </c>
      <c r="C196" s="263" t="s">
        <v>336</v>
      </c>
      <c r="D196" s="263" t="s">
        <v>402</v>
      </c>
      <c r="E196" s="263" t="s">
        <v>403</v>
      </c>
      <c r="F196" s="263" t="s">
        <v>342</v>
      </c>
    </row>
    <row r="197" spans="1:6">
      <c r="A197" s="263">
        <v>196</v>
      </c>
      <c r="B197" s="263" t="s">
        <v>422</v>
      </c>
      <c r="C197" s="263" t="s">
        <v>423</v>
      </c>
      <c r="D197" s="263" t="s">
        <v>424</v>
      </c>
      <c r="E197" s="263" t="s">
        <v>425</v>
      </c>
      <c r="F197" s="263" t="s">
        <v>342</v>
      </c>
    </row>
    <row r="198" spans="1:6">
      <c r="A198" s="263">
        <v>197</v>
      </c>
      <c r="B198" s="263" t="s">
        <v>426</v>
      </c>
      <c r="C198" s="263" t="s">
        <v>427</v>
      </c>
      <c r="D198" s="263" t="s">
        <v>424</v>
      </c>
      <c r="E198" s="263" t="s">
        <v>425</v>
      </c>
      <c r="F198" s="263" t="s">
        <v>342</v>
      </c>
    </row>
    <row r="199" spans="1:6">
      <c r="A199" s="263">
        <v>198</v>
      </c>
      <c r="B199" s="263" t="s">
        <v>428</v>
      </c>
      <c r="C199" s="263" t="s">
        <v>429</v>
      </c>
      <c r="D199" s="263" t="s">
        <v>424</v>
      </c>
      <c r="E199" s="263" t="s">
        <v>425</v>
      </c>
      <c r="F199" s="263" t="s">
        <v>342</v>
      </c>
    </row>
    <row r="200" spans="1:6">
      <c r="A200" s="263">
        <v>199</v>
      </c>
      <c r="B200" s="263" t="s">
        <v>430</v>
      </c>
      <c r="C200" s="263" t="s">
        <v>431</v>
      </c>
      <c r="D200" s="263" t="s">
        <v>424</v>
      </c>
      <c r="E200" s="263" t="s">
        <v>425</v>
      </c>
      <c r="F200" s="263" t="s">
        <v>342</v>
      </c>
    </row>
    <row r="201" spans="1:6">
      <c r="A201" s="263">
        <v>200</v>
      </c>
      <c r="B201" s="263" t="s">
        <v>432</v>
      </c>
      <c r="C201" s="263" t="s">
        <v>433</v>
      </c>
      <c r="D201" s="263" t="s">
        <v>424</v>
      </c>
      <c r="E201" s="263" t="s">
        <v>425</v>
      </c>
      <c r="F201" s="263" t="s">
        <v>342</v>
      </c>
    </row>
    <row r="202" spans="1:6">
      <c r="A202" s="263">
        <v>201</v>
      </c>
      <c r="B202" s="263" t="s">
        <v>434</v>
      </c>
      <c r="C202" s="263" t="s">
        <v>435</v>
      </c>
      <c r="D202" s="263" t="s">
        <v>424</v>
      </c>
      <c r="E202" s="263" t="s">
        <v>425</v>
      </c>
      <c r="F202" s="263" t="s">
        <v>342</v>
      </c>
    </row>
    <row r="203" spans="1:6">
      <c r="A203" s="263">
        <v>202</v>
      </c>
      <c r="B203" s="263" t="s">
        <v>436</v>
      </c>
      <c r="C203" s="263" t="s">
        <v>437</v>
      </c>
      <c r="D203" s="263" t="s">
        <v>424</v>
      </c>
      <c r="E203" s="263" t="s">
        <v>425</v>
      </c>
      <c r="F203" s="263" t="s">
        <v>342</v>
      </c>
    </row>
    <row r="204" spans="1:6">
      <c r="A204" s="263">
        <v>203</v>
      </c>
      <c r="B204" s="263" t="s">
        <v>438</v>
      </c>
      <c r="C204" s="263" t="s">
        <v>439</v>
      </c>
      <c r="D204" s="263" t="s">
        <v>424</v>
      </c>
      <c r="E204" s="263" t="s">
        <v>425</v>
      </c>
      <c r="F204" s="263" t="s">
        <v>342</v>
      </c>
    </row>
    <row r="205" spans="1:6">
      <c r="A205" s="263">
        <v>204</v>
      </c>
      <c r="B205" s="263" t="s">
        <v>440</v>
      </c>
      <c r="C205" s="263" t="s">
        <v>441</v>
      </c>
      <c r="D205" s="263" t="s">
        <v>424</v>
      </c>
      <c r="E205" s="263" t="s">
        <v>425</v>
      </c>
      <c r="F205" s="263" t="s">
        <v>342</v>
      </c>
    </row>
    <row r="206" spans="1:6">
      <c r="A206" s="263">
        <v>205</v>
      </c>
      <c r="B206" s="263" t="s">
        <v>442</v>
      </c>
      <c r="C206" s="263" t="s">
        <v>443</v>
      </c>
      <c r="D206" s="263" t="s">
        <v>424</v>
      </c>
      <c r="E206" s="263" t="s">
        <v>425</v>
      </c>
      <c r="F206" s="263" t="s">
        <v>342</v>
      </c>
    </row>
    <row r="207" spans="1:6">
      <c r="A207" s="263">
        <v>206</v>
      </c>
      <c r="B207" s="263" t="s">
        <v>444</v>
      </c>
      <c r="C207" s="263" t="s">
        <v>445</v>
      </c>
      <c r="D207" s="263" t="s">
        <v>424</v>
      </c>
      <c r="E207" s="263" t="s">
        <v>425</v>
      </c>
      <c r="F207" s="263" t="s">
        <v>342</v>
      </c>
    </row>
    <row r="208" spans="1:6">
      <c r="A208" s="263">
        <v>207</v>
      </c>
      <c r="B208" s="263" t="s">
        <v>446</v>
      </c>
      <c r="C208" s="263" t="s">
        <v>447</v>
      </c>
      <c r="D208" s="263" t="s">
        <v>424</v>
      </c>
      <c r="E208" s="263" t="s">
        <v>425</v>
      </c>
      <c r="F208" s="263" t="s">
        <v>342</v>
      </c>
    </row>
    <row r="209" spans="1:6">
      <c r="A209" s="263">
        <v>208</v>
      </c>
      <c r="B209" s="263" t="s">
        <v>448</v>
      </c>
      <c r="C209" s="263" t="s">
        <v>449</v>
      </c>
      <c r="D209" s="263" t="s">
        <v>424</v>
      </c>
      <c r="E209" s="263" t="s">
        <v>425</v>
      </c>
      <c r="F209" s="263" t="s">
        <v>342</v>
      </c>
    </row>
    <row r="210" spans="1:6">
      <c r="A210" s="263">
        <v>209</v>
      </c>
      <c r="B210" s="263" t="s">
        <v>450</v>
      </c>
      <c r="C210" s="263" t="s">
        <v>451</v>
      </c>
      <c r="D210" s="263" t="s">
        <v>424</v>
      </c>
      <c r="E210" s="263" t="s">
        <v>425</v>
      </c>
      <c r="F210" s="263" t="s">
        <v>342</v>
      </c>
    </row>
    <row r="211" spans="1:6">
      <c r="A211" s="263">
        <v>210</v>
      </c>
      <c r="B211" s="263" t="s">
        <v>452</v>
      </c>
      <c r="C211" s="263" t="s">
        <v>453</v>
      </c>
      <c r="D211" s="263" t="s">
        <v>454</v>
      </c>
      <c r="E211" s="263" t="s">
        <v>455</v>
      </c>
      <c r="F211" s="263" t="s">
        <v>342</v>
      </c>
    </row>
    <row r="212" spans="1:6">
      <c r="A212" s="263">
        <v>211</v>
      </c>
      <c r="B212" s="263" t="s">
        <v>456</v>
      </c>
      <c r="C212" s="263" t="s">
        <v>457</v>
      </c>
      <c r="D212" s="263" t="s">
        <v>454</v>
      </c>
      <c r="E212" s="263" t="s">
        <v>455</v>
      </c>
      <c r="F212" s="263" t="s">
        <v>342</v>
      </c>
    </row>
    <row r="213" spans="1:6">
      <c r="A213" s="263">
        <v>212</v>
      </c>
      <c r="B213" s="263" t="s">
        <v>458</v>
      </c>
      <c r="C213" s="263" t="s">
        <v>294</v>
      </c>
      <c r="D213" s="263" t="s">
        <v>454</v>
      </c>
      <c r="E213" s="263" t="s">
        <v>455</v>
      </c>
      <c r="F213" s="263" t="s">
        <v>342</v>
      </c>
    </row>
    <row r="214" spans="1:6">
      <c r="A214" s="263">
        <v>213</v>
      </c>
      <c r="B214" s="263" t="s">
        <v>459</v>
      </c>
      <c r="C214" s="263" t="s">
        <v>460</v>
      </c>
      <c r="D214" s="263" t="s">
        <v>454</v>
      </c>
      <c r="E214" s="263" t="s">
        <v>455</v>
      </c>
      <c r="F214" s="263" t="s">
        <v>342</v>
      </c>
    </row>
    <row r="215" spans="1:6">
      <c r="A215" s="263">
        <v>214</v>
      </c>
      <c r="B215" s="263" t="s">
        <v>461</v>
      </c>
      <c r="C215" s="263" t="s">
        <v>462</v>
      </c>
      <c r="D215" s="263" t="s">
        <v>454</v>
      </c>
      <c r="E215" s="263" t="s">
        <v>455</v>
      </c>
      <c r="F215" s="263" t="s">
        <v>342</v>
      </c>
    </row>
    <row r="216" spans="1:6">
      <c r="A216" s="263">
        <v>215</v>
      </c>
      <c r="B216" s="263" t="s">
        <v>463</v>
      </c>
      <c r="C216" s="263" t="s">
        <v>464</v>
      </c>
      <c r="D216" s="263" t="s">
        <v>454</v>
      </c>
      <c r="E216" s="263" t="s">
        <v>455</v>
      </c>
      <c r="F216" s="263" t="s">
        <v>342</v>
      </c>
    </row>
    <row r="217" spans="1:6">
      <c r="A217" s="263">
        <v>216</v>
      </c>
      <c r="B217" s="263" t="s">
        <v>465</v>
      </c>
      <c r="C217" s="263" t="s">
        <v>466</v>
      </c>
      <c r="D217" s="263" t="s">
        <v>454</v>
      </c>
      <c r="E217" s="263" t="s">
        <v>455</v>
      </c>
      <c r="F217" s="263" t="s">
        <v>342</v>
      </c>
    </row>
    <row r="218" spans="1:6">
      <c r="A218" s="263">
        <v>217</v>
      </c>
      <c r="B218" s="263" t="s">
        <v>467</v>
      </c>
      <c r="C218" s="263" t="s">
        <v>146</v>
      </c>
      <c r="D218" s="263" t="s">
        <v>454</v>
      </c>
      <c r="E218" s="263" t="s">
        <v>455</v>
      </c>
      <c r="F218" s="263" t="s">
        <v>342</v>
      </c>
    </row>
    <row r="219" spans="1:6">
      <c r="A219" s="263">
        <v>218</v>
      </c>
      <c r="B219" s="263" t="s">
        <v>468</v>
      </c>
      <c r="C219" s="263" t="s">
        <v>469</v>
      </c>
      <c r="D219" s="263" t="s">
        <v>470</v>
      </c>
      <c r="E219" s="263" t="s">
        <v>471</v>
      </c>
      <c r="F219" s="263" t="s">
        <v>342</v>
      </c>
    </row>
    <row r="220" spans="1:6">
      <c r="A220" s="263">
        <v>219</v>
      </c>
      <c r="B220" s="263" t="s">
        <v>472</v>
      </c>
      <c r="C220" s="263" t="s">
        <v>473</v>
      </c>
      <c r="D220" s="263" t="s">
        <v>470</v>
      </c>
      <c r="E220" s="263" t="s">
        <v>471</v>
      </c>
      <c r="F220" s="263" t="s">
        <v>342</v>
      </c>
    </row>
    <row r="221" spans="1:6">
      <c r="A221" s="263">
        <v>220</v>
      </c>
      <c r="B221" s="263" t="s">
        <v>474</v>
      </c>
      <c r="C221" s="263" t="s">
        <v>475</v>
      </c>
      <c r="D221" s="263" t="s">
        <v>470</v>
      </c>
      <c r="E221" s="263" t="s">
        <v>471</v>
      </c>
      <c r="F221" s="263" t="s">
        <v>342</v>
      </c>
    </row>
    <row r="222" spans="1:6">
      <c r="A222" s="263">
        <v>221</v>
      </c>
      <c r="B222" s="263" t="s">
        <v>476</v>
      </c>
      <c r="C222" s="263" t="s">
        <v>477</v>
      </c>
      <c r="D222" s="263" t="s">
        <v>470</v>
      </c>
      <c r="E222" s="263" t="s">
        <v>471</v>
      </c>
      <c r="F222" s="263" t="s">
        <v>342</v>
      </c>
    </row>
    <row r="223" spans="1:6">
      <c r="A223" s="263">
        <v>222</v>
      </c>
      <c r="B223" s="263" t="s">
        <v>478</v>
      </c>
      <c r="C223" s="263" t="s">
        <v>479</v>
      </c>
      <c r="D223" s="263" t="s">
        <v>470</v>
      </c>
      <c r="E223" s="263" t="s">
        <v>471</v>
      </c>
      <c r="F223" s="263" t="s">
        <v>342</v>
      </c>
    </row>
    <row r="224" spans="1:6">
      <c r="A224" s="263">
        <v>223</v>
      </c>
      <c r="B224" s="263" t="s">
        <v>480</v>
      </c>
      <c r="C224" s="263" t="s">
        <v>481</v>
      </c>
      <c r="D224" s="263" t="s">
        <v>470</v>
      </c>
      <c r="E224" s="263" t="s">
        <v>471</v>
      </c>
      <c r="F224" s="263" t="s">
        <v>342</v>
      </c>
    </row>
    <row r="225" spans="1:6">
      <c r="A225" s="263">
        <v>224</v>
      </c>
      <c r="B225" s="263" t="s">
        <v>482</v>
      </c>
      <c r="C225" s="263" t="s">
        <v>483</v>
      </c>
      <c r="D225" s="263" t="s">
        <v>470</v>
      </c>
      <c r="E225" s="263" t="s">
        <v>471</v>
      </c>
      <c r="F225" s="263" t="s">
        <v>342</v>
      </c>
    </row>
    <row r="226" spans="1:6">
      <c r="A226" s="263">
        <v>225</v>
      </c>
      <c r="B226" s="263" t="s">
        <v>484</v>
      </c>
      <c r="C226" s="263" t="s">
        <v>485</v>
      </c>
      <c r="D226" s="263" t="s">
        <v>486</v>
      </c>
      <c r="E226" s="263" t="s">
        <v>487</v>
      </c>
      <c r="F226" s="263" t="s">
        <v>342</v>
      </c>
    </row>
    <row r="227" spans="1:6">
      <c r="A227" s="263">
        <v>226</v>
      </c>
      <c r="B227" s="263" t="s">
        <v>488</v>
      </c>
      <c r="C227" s="263" t="s">
        <v>489</v>
      </c>
      <c r="D227" s="263" t="s">
        <v>486</v>
      </c>
      <c r="E227" s="263" t="s">
        <v>487</v>
      </c>
      <c r="F227" s="263" t="s">
        <v>342</v>
      </c>
    </row>
    <row r="228" spans="1:6">
      <c r="A228" s="263">
        <v>227</v>
      </c>
      <c r="B228" s="263" t="s">
        <v>490</v>
      </c>
      <c r="C228" s="263" t="s">
        <v>491</v>
      </c>
      <c r="D228" s="263" t="s">
        <v>486</v>
      </c>
      <c r="E228" s="263" t="s">
        <v>487</v>
      </c>
      <c r="F228" s="263" t="s">
        <v>342</v>
      </c>
    </row>
    <row r="229" spans="1:6">
      <c r="A229" s="263">
        <v>228</v>
      </c>
      <c r="B229" s="263" t="s">
        <v>492</v>
      </c>
      <c r="C229" s="263" t="s">
        <v>493</v>
      </c>
      <c r="D229" s="263" t="s">
        <v>486</v>
      </c>
      <c r="E229" s="263" t="s">
        <v>487</v>
      </c>
      <c r="F229" s="263" t="s">
        <v>342</v>
      </c>
    </row>
    <row r="230" spans="1:6">
      <c r="A230" s="263">
        <v>229</v>
      </c>
      <c r="B230" s="263" t="s">
        <v>494</v>
      </c>
      <c r="C230" s="263" t="s">
        <v>495</v>
      </c>
      <c r="D230" s="263" t="s">
        <v>486</v>
      </c>
      <c r="E230" s="263" t="s">
        <v>487</v>
      </c>
      <c r="F230" s="263" t="s">
        <v>342</v>
      </c>
    </row>
    <row r="231" spans="1:6">
      <c r="A231" s="263">
        <v>230</v>
      </c>
      <c r="B231" s="263" t="s">
        <v>496</v>
      </c>
      <c r="C231" s="263" t="s">
        <v>497</v>
      </c>
      <c r="D231" s="263" t="s">
        <v>486</v>
      </c>
      <c r="E231" s="263" t="s">
        <v>487</v>
      </c>
      <c r="F231" s="263" t="s">
        <v>342</v>
      </c>
    </row>
    <row r="232" spans="1:6">
      <c r="A232" s="263">
        <v>231</v>
      </c>
      <c r="B232" s="263" t="s">
        <v>498</v>
      </c>
      <c r="C232" s="263" t="s">
        <v>499</v>
      </c>
      <c r="D232" s="263" t="s">
        <v>486</v>
      </c>
      <c r="E232" s="263" t="s">
        <v>487</v>
      </c>
      <c r="F232" s="263" t="s">
        <v>342</v>
      </c>
    </row>
    <row r="233" spans="1:6">
      <c r="A233" s="263">
        <v>232</v>
      </c>
      <c r="B233" s="263" t="s">
        <v>500</v>
      </c>
      <c r="C233" s="263" t="s">
        <v>501</v>
      </c>
      <c r="D233" s="263" t="s">
        <v>486</v>
      </c>
      <c r="E233" s="263" t="s">
        <v>487</v>
      </c>
      <c r="F233" s="263" t="s">
        <v>342</v>
      </c>
    </row>
    <row r="234" spans="1:6">
      <c r="A234" s="263">
        <v>233</v>
      </c>
      <c r="B234" s="263" t="s">
        <v>502</v>
      </c>
      <c r="C234" s="263" t="s">
        <v>503</v>
      </c>
      <c r="D234" s="263" t="s">
        <v>486</v>
      </c>
      <c r="E234" s="263" t="s">
        <v>487</v>
      </c>
      <c r="F234" s="263" t="s">
        <v>342</v>
      </c>
    </row>
    <row r="235" spans="1:6">
      <c r="A235" s="263">
        <v>234</v>
      </c>
      <c r="B235" s="263" t="s">
        <v>504</v>
      </c>
      <c r="C235" s="263" t="s">
        <v>505</v>
      </c>
      <c r="D235" s="263" t="s">
        <v>486</v>
      </c>
      <c r="E235" s="263" t="s">
        <v>487</v>
      </c>
      <c r="F235" s="263" t="s">
        <v>342</v>
      </c>
    </row>
    <row r="236" spans="1:6">
      <c r="A236" s="263">
        <v>235</v>
      </c>
      <c r="B236" s="263" t="s">
        <v>506</v>
      </c>
      <c r="C236" s="263" t="s">
        <v>507</v>
      </c>
      <c r="D236" s="263" t="s">
        <v>486</v>
      </c>
      <c r="E236" s="263" t="s">
        <v>487</v>
      </c>
      <c r="F236" s="263" t="s">
        <v>342</v>
      </c>
    </row>
    <row r="237" spans="1:6">
      <c r="A237" s="263">
        <v>236</v>
      </c>
      <c r="B237" s="263" t="s">
        <v>508</v>
      </c>
      <c r="C237" s="263" t="s">
        <v>509</v>
      </c>
      <c r="D237" s="263" t="s">
        <v>486</v>
      </c>
      <c r="E237" s="263" t="s">
        <v>487</v>
      </c>
      <c r="F237" s="263" t="s">
        <v>342</v>
      </c>
    </row>
    <row r="238" spans="1:6">
      <c r="A238" s="263">
        <v>237</v>
      </c>
      <c r="B238" s="263" t="s">
        <v>510</v>
      </c>
      <c r="C238" s="263" t="s">
        <v>511</v>
      </c>
      <c r="D238" s="263" t="s">
        <v>512</v>
      </c>
      <c r="E238" s="263" t="s">
        <v>513</v>
      </c>
      <c r="F238" s="263" t="s">
        <v>342</v>
      </c>
    </row>
    <row r="239" spans="1:6">
      <c r="A239" s="263">
        <v>238</v>
      </c>
      <c r="B239" s="263" t="s">
        <v>514</v>
      </c>
      <c r="C239" s="263" t="s">
        <v>515</v>
      </c>
      <c r="D239" s="263" t="s">
        <v>512</v>
      </c>
      <c r="E239" s="263" t="s">
        <v>513</v>
      </c>
      <c r="F239" s="263" t="s">
        <v>342</v>
      </c>
    </row>
    <row r="240" spans="1:6">
      <c r="A240" s="263">
        <v>239</v>
      </c>
      <c r="B240" s="263" t="s">
        <v>516</v>
      </c>
      <c r="C240" s="263" t="s">
        <v>517</v>
      </c>
      <c r="D240" s="263" t="s">
        <v>512</v>
      </c>
      <c r="E240" s="263" t="s">
        <v>513</v>
      </c>
      <c r="F240" s="263" t="s">
        <v>342</v>
      </c>
    </row>
    <row r="241" spans="1:6">
      <c r="A241" s="263">
        <v>240</v>
      </c>
      <c r="B241" s="263" t="s">
        <v>518</v>
      </c>
      <c r="C241" s="263" t="s">
        <v>519</v>
      </c>
      <c r="D241" s="263" t="s">
        <v>512</v>
      </c>
      <c r="E241" s="263" t="s">
        <v>513</v>
      </c>
      <c r="F241" s="263" t="s">
        <v>342</v>
      </c>
    </row>
    <row r="242" spans="1:6">
      <c r="A242" s="263">
        <v>241</v>
      </c>
      <c r="B242" s="263" t="s">
        <v>520</v>
      </c>
      <c r="C242" s="263" t="s">
        <v>521</v>
      </c>
      <c r="D242" s="263" t="s">
        <v>512</v>
      </c>
      <c r="E242" s="263" t="s">
        <v>513</v>
      </c>
      <c r="F242" s="263" t="s">
        <v>342</v>
      </c>
    </row>
    <row r="243" spans="1:6">
      <c r="A243" s="263">
        <v>242</v>
      </c>
      <c r="B243" s="263" t="s">
        <v>522</v>
      </c>
      <c r="C243" s="263" t="s">
        <v>523</v>
      </c>
      <c r="D243" s="263" t="s">
        <v>512</v>
      </c>
      <c r="E243" s="263" t="s">
        <v>513</v>
      </c>
      <c r="F243" s="263" t="s">
        <v>342</v>
      </c>
    </row>
    <row r="244" spans="1:6">
      <c r="A244" s="263">
        <v>243</v>
      </c>
      <c r="B244" s="263" t="s">
        <v>524</v>
      </c>
      <c r="C244" s="263" t="s">
        <v>525</v>
      </c>
      <c r="D244" s="263" t="s">
        <v>512</v>
      </c>
      <c r="E244" s="263" t="s">
        <v>513</v>
      </c>
      <c r="F244" s="263" t="s">
        <v>342</v>
      </c>
    </row>
    <row r="245" spans="1:6">
      <c r="A245" s="263">
        <v>244</v>
      </c>
      <c r="B245" s="263" t="s">
        <v>526</v>
      </c>
      <c r="C245" s="263" t="s">
        <v>527</v>
      </c>
      <c r="D245" s="263" t="s">
        <v>512</v>
      </c>
      <c r="E245" s="263" t="s">
        <v>513</v>
      </c>
      <c r="F245" s="263" t="s">
        <v>342</v>
      </c>
    </row>
    <row r="246" spans="1:6">
      <c r="A246" s="263">
        <v>245</v>
      </c>
      <c r="B246" s="263" t="s">
        <v>528</v>
      </c>
      <c r="C246" s="263" t="s">
        <v>529</v>
      </c>
      <c r="D246" s="263" t="s">
        <v>512</v>
      </c>
      <c r="E246" s="263" t="s">
        <v>513</v>
      </c>
      <c r="F246" s="263" t="s">
        <v>342</v>
      </c>
    </row>
    <row r="247" spans="1:6">
      <c r="A247" s="263">
        <v>246</v>
      </c>
      <c r="B247" s="263" t="s">
        <v>530</v>
      </c>
      <c r="C247" s="263" t="s">
        <v>531</v>
      </c>
      <c r="D247" s="263" t="s">
        <v>512</v>
      </c>
      <c r="E247" s="263" t="s">
        <v>513</v>
      </c>
      <c r="F247" s="263" t="s">
        <v>342</v>
      </c>
    </row>
    <row r="248" spans="1:6">
      <c r="A248" s="263">
        <v>247</v>
      </c>
      <c r="B248" s="263" t="s">
        <v>532</v>
      </c>
      <c r="C248" s="263" t="s">
        <v>533</v>
      </c>
      <c r="D248" s="263" t="s">
        <v>534</v>
      </c>
      <c r="E248" s="263" t="s">
        <v>535</v>
      </c>
      <c r="F248" s="263" t="s">
        <v>536</v>
      </c>
    </row>
    <row r="249" spans="1:6">
      <c r="A249" s="263">
        <v>248</v>
      </c>
      <c r="B249" s="263" t="s">
        <v>537</v>
      </c>
      <c r="C249" s="263" t="s">
        <v>538</v>
      </c>
      <c r="D249" s="263" t="s">
        <v>534</v>
      </c>
      <c r="E249" s="263" t="s">
        <v>535</v>
      </c>
      <c r="F249" s="263" t="s">
        <v>536</v>
      </c>
    </row>
    <row r="250" spans="1:6">
      <c r="A250" s="263">
        <v>249</v>
      </c>
      <c r="B250" s="263" t="s">
        <v>539</v>
      </c>
      <c r="C250" s="263" t="s">
        <v>84</v>
      </c>
      <c r="D250" s="263" t="s">
        <v>534</v>
      </c>
      <c r="E250" s="263" t="s">
        <v>535</v>
      </c>
      <c r="F250" s="263" t="s">
        <v>536</v>
      </c>
    </row>
    <row r="251" spans="1:6">
      <c r="A251" s="263">
        <v>250</v>
      </c>
      <c r="B251" s="263" t="s">
        <v>540</v>
      </c>
      <c r="C251" s="263" t="s">
        <v>28</v>
      </c>
      <c r="D251" s="263" t="s">
        <v>534</v>
      </c>
      <c r="E251" s="263" t="s">
        <v>535</v>
      </c>
      <c r="F251" s="263" t="s">
        <v>536</v>
      </c>
    </row>
    <row r="252" spans="1:6">
      <c r="A252" s="263">
        <v>251</v>
      </c>
      <c r="B252" s="263" t="s">
        <v>541</v>
      </c>
      <c r="C252" s="263" t="s">
        <v>542</v>
      </c>
      <c r="D252" s="263" t="s">
        <v>534</v>
      </c>
      <c r="E252" s="263" t="s">
        <v>535</v>
      </c>
      <c r="F252" s="263" t="s">
        <v>536</v>
      </c>
    </row>
    <row r="253" spans="1:6">
      <c r="A253" s="263">
        <v>252</v>
      </c>
      <c r="B253" s="263" t="s">
        <v>543</v>
      </c>
      <c r="C253" s="263" t="s">
        <v>544</v>
      </c>
      <c r="D253" s="263" t="s">
        <v>534</v>
      </c>
      <c r="E253" s="263" t="s">
        <v>535</v>
      </c>
      <c r="F253" s="263" t="s">
        <v>536</v>
      </c>
    </row>
    <row r="254" spans="1:6">
      <c r="A254" s="263">
        <v>253</v>
      </c>
      <c r="B254" s="263" t="s">
        <v>545</v>
      </c>
      <c r="C254" s="263" t="s">
        <v>546</v>
      </c>
      <c r="D254" s="263" t="s">
        <v>534</v>
      </c>
      <c r="E254" s="263" t="s">
        <v>535</v>
      </c>
      <c r="F254" s="263" t="s">
        <v>536</v>
      </c>
    </row>
    <row r="255" spans="1:6">
      <c r="A255" s="263">
        <v>254</v>
      </c>
      <c r="B255" s="263" t="s">
        <v>547</v>
      </c>
      <c r="C255" s="263" t="s">
        <v>548</v>
      </c>
      <c r="D255" s="263" t="s">
        <v>534</v>
      </c>
      <c r="E255" s="263" t="s">
        <v>535</v>
      </c>
      <c r="F255" s="263" t="s">
        <v>536</v>
      </c>
    </row>
    <row r="256" spans="1:6">
      <c r="A256" s="263">
        <v>255</v>
      </c>
      <c r="B256" s="263" t="s">
        <v>549</v>
      </c>
      <c r="C256" s="263" t="s">
        <v>550</v>
      </c>
      <c r="D256" s="263" t="s">
        <v>551</v>
      </c>
      <c r="E256" s="263" t="s">
        <v>552</v>
      </c>
      <c r="F256" s="263" t="s">
        <v>536</v>
      </c>
    </row>
    <row r="257" spans="1:6">
      <c r="A257" s="263">
        <v>256</v>
      </c>
      <c r="B257" s="263" t="s">
        <v>553</v>
      </c>
      <c r="C257" s="263" t="s">
        <v>554</v>
      </c>
      <c r="D257" s="263" t="s">
        <v>551</v>
      </c>
      <c r="E257" s="263" t="s">
        <v>552</v>
      </c>
      <c r="F257" s="263" t="s">
        <v>536</v>
      </c>
    </row>
    <row r="258" spans="1:6">
      <c r="A258" s="263">
        <v>257</v>
      </c>
      <c r="B258" s="263" t="s">
        <v>555</v>
      </c>
      <c r="C258" s="263" t="s">
        <v>556</v>
      </c>
      <c r="D258" s="263" t="s">
        <v>551</v>
      </c>
      <c r="E258" s="263" t="s">
        <v>552</v>
      </c>
      <c r="F258" s="263" t="s">
        <v>536</v>
      </c>
    </row>
    <row r="259" spans="1:6">
      <c r="A259" s="263">
        <v>258</v>
      </c>
      <c r="B259" s="263" t="s">
        <v>557</v>
      </c>
      <c r="C259" s="263" t="s">
        <v>558</v>
      </c>
      <c r="D259" s="263" t="s">
        <v>551</v>
      </c>
      <c r="E259" s="263" t="s">
        <v>552</v>
      </c>
      <c r="F259" s="263" t="s">
        <v>536</v>
      </c>
    </row>
    <row r="260" spans="1:6">
      <c r="A260" s="263">
        <v>259</v>
      </c>
      <c r="B260" s="263" t="s">
        <v>559</v>
      </c>
      <c r="C260" s="263" t="s">
        <v>560</v>
      </c>
      <c r="D260" s="263" t="s">
        <v>551</v>
      </c>
      <c r="E260" s="263" t="s">
        <v>552</v>
      </c>
      <c r="F260" s="263" t="s">
        <v>536</v>
      </c>
    </row>
    <row r="261" spans="1:6">
      <c r="A261" s="263">
        <v>260</v>
      </c>
      <c r="B261" s="263" t="s">
        <v>561</v>
      </c>
      <c r="C261" s="263" t="s">
        <v>562</v>
      </c>
      <c r="D261" s="263" t="s">
        <v>551</v>
      </c>
      <c r="E261" s="263" t="s">
        <v>552</v>
      </c>
      <c r="F261" s="263" t="s">
        <v>536</v>
      </c>
    </row>
    <row r="262" spans="1:6">
      <c r="A262" s="263">
        <v>261</v>
      </c>
      <c r="B262" s="263" t="s">
        <v>563</v>
      </c>
      <c r="C262" s="263" t="s">
        <v>564</v>
      </c>
      <c r="D262" s="263" t="s">
        <v>551</v>
      </c>
      <c r="E262" s="263" t="s">
        <v>552</v>
      </c>
      <c r="F262" s="263" t="s">
        <v>536</v>
      </c>
    </row>
    <row r="263" spans="1:6">
      <c r="A263" s="263">
        <v>262</v>
      </c>
      <c r="B263" s="263" t="s">
        <v>565</v>
      </c>
      <c r="C263" s="263" t="s">
        <v>32</v>
      </c>
      <c r="D263" s="263" t="s">
        <v>551</v>
      </c>
      <c r="E263" s="263" t="s">
        <v>552</v>
      </c>
      <c r="F263" s="263" t="s">
        <v>536</v>
      </c>
    </row>
    <row r="264" spans="1:6">
      <c r="A264" s="263">
        <v>263</v>
      </c>
      <c r="B264" s="263" t="s">
        <v>566</v>
      </c>
      <c r="C264" s="263" t="s">
        <v>567</v>
      </c>
      <c r="D264" s="263" t="s">
        <v>551</v>
      </c>
      <c r="E264" s="263" t="s">
        <v>552</v>
      </c>
      <c r="F264" s="263" t="s">
        <v>536</v>
      </c>
    </row>
    <row r="265" spans="1:6">
      <c r="A265" s="263">
        <v>264</v>
      </c>
      <c r="B265" s="263" t="s">
        <v>568</v>
      </c>
      <c r="C265" s="263" t="s">
        <v>569</v>
      </c>
      <c r="D265" s="263" t="s">
        <v>570</v>
      </c>
      <c r="E265" s="263" t="s">
        <v>571</v>
      </c>
      <c r="F265" s="263" t="s">
        <v>536</v>
      </c>
    </row>
    <row r="266" spans="1:6">
      <c r="A266" s="263">
        <v>265</v>
      </c>
      <c r="B266" s="263" t="s">
        <v>572</v>
      </c>
      <c r="C266" s="263" t="s">
        <v>573</v>
      </c>
      <c r="D266" s="263" t="s">
        <v>570</v>
      </c>
      <c r="E266" s="263" t="s">
        <v>571</v>
      </c>
      <c r="F266" s="263" t="s">
        <v>536</v>
      </c>
    </row>
    <row r="267" spans="1:6">
      <c r="A267" s="263">
        <v>266</v>
      </c>
      <c r="B267" s="263" t="s">
        <v>574</v>
      </c>
      <c r="C267" s="263" t="s">
        <v>575</v>
      </c>
      <c r="D267" s="263" t="s">
        <v>570</v>
      </c>
      <c r="E267" s="263" t="s">
        <v>571</v>
      </c>
      <c r="F267" s="263" t="s">
        <v>536</v>
      </c>
    </row>
    <row r="268" spans="1:6">
      <c r="A268" s="263">
        <v>267</v>
      </c>
      <c r="B268" s="263" t="s">
        <v>576</v>
      </c>
      <c r="C268" s="263" t="s">
        <v>577</v>
      </c>
      <c r="D268" s="263" t="s">
        <v>570</v>
      </c>
      <c r="E268" s="263" t="s">
        <v>571</v>
      </c>
      <c r="F268" s="263" t="s">
        <v>536</v>
      </c>
    </row>
    <row r="269" spans="1:6">
      <c r="A269" s="263">
        <v>268</v>
      </c>
      <c r="B269" s="263" t="s">
        <v>578</v>
      </c>
      <c r="C269" s="263" t="s">
        <v>579</v>
      </c>
      <c r="D269" s="263" t="s">
        <v>570</v>
      </c>
      <c r="E269" s="263" t="s">
        <v>571</v>
      </c>
      <c r="F269" s="263" t="s">
        <v>536</v>
      </c>
    </row>
    <row r="270" spans="1:6">
      <c r="A270" s="263">
        <v>269</v>
      </c>
      <c r="B270" s="263" t="s">
        <v>580</v>
      </c>
      <c r="C270" s="263" t="s">
        <v>581</v>
      </c>
      <c r="D270" s="263" t="s">
        <v>570</v>
      </c>
      <c r="E270" s="263" t="s">
        <v>571</v>
      </c>
      <c r="F270" s="263" t="s">
        <v>536</v>
      </c>
    </row>
    <row r="271" spans="1:6">
      <c r="A271" s="263">
        <v>270</v>
      </c>
      <c r="B271" s="263" t="s">
        <v>582</v>
      </c>
      <c r="C271" s="263" t="s">
        <v>583</v>
      </c>
      <c r="D271" s="263" t="s">
        <v>570</v>
      </c>
      <c r="E271" s="263" t="s">
        <v>571</v>
      </c>
      <c r="F271" s="263" t="s">
        <v>536</v>
      </c>
    </row>
    <row r="272" spans="1:6">
      <c r="A272" s="263">
        <v>271</v>
      </c>
      <c r="B272" s="263" t="s">
        <v>584</v>
      </c>
      <c r="C272" s="263" t="s">
        <v>585</v>
      </c>
      <c r="D272" s="263" t="s">
        <v>570</v>
      </c>
      <c r="E272" s="263" t="s">
        <v>571</v>
      </c>
      <c r="F272" s="263" t="s">
        <v>536</v>
      </c>
    </row>
    <row r="273" spans="1:6">
      <c r="A273" s="263">
        <v>272</v>
      </c>
      <c r="B273" s="263" t="s">
        <v>586</v>
      </c>
      <c r="C273" s="263" t="s">
        <v>587</v>
      </c>
      <c r="D273" s="263" t="s">
        <v>588</v>
      </c>
      <c r="E273" s="263" t="s">
        <v>589</v>
      </c>
      <c r="F273" s="263" t="s">
        <v>536</v>
      </c>
    </row>
    <row r="274" spans="1:6">
      <c r="A274" s="263">
        <v>273</v>
      </c>
      <c r="B274" s="263" t="s">
        <v>590</v>
      </c>
      <c r="C274" s="263" t="s">
        <v>591</v>
      </c>
      <c r="D274" s="263" t="s">
        <v>588</v>
      </c>
      <c r="E274" s="263" t="s">
        <v>589</v>
      </c>
      <c r="F274" s="263" t="s">
        <v>536</v>
      </c>
    </row>
    <row r="275" spans="1:6">
      <c r="A275" s="263">
        <v>274</v>
      </c>
      <c r="B275" s="263" t="s">
        <v>592</v>
      </c>
      <c r="C275" s="263" t="s">
        <v>593</v>
      </c>
      <c r="D275" s="263" t="s">
        <v>588</v>
      </c>
      <c r="E275" s="263" t="s">
        <v>589</v>
      </c>
      <c r="F275" s="263" t="s">
        <v>536</v>
      </c>
    </row>
    <row r="276" spans="1:6">
      <c r="A276" s="263">
        <v>275</v>
      </c>
      <c r="B276" s="263" t="s">
        <v>594</v>
      </c>
      <c r="C276" s="263" t="s">
        <v>595</v>
      </c>
      <c r="D276" s="263" t="s">
        <v>588</v>
      </c>
      <c r="E276" s="263" t="s">
        <v>589</v>
      </c>
      <c r="F276" s="263" t="s">
        <v>536</v>
      </c>
    </row>
    <row r="277" spans="1:6">
      <c r="A277" s="263">
        <v>276</v>
      </c>
      <c r="B277" s="263" t="s">
        <v>596</v>
      </c>
      <c r="C277" s="263" t="s">
        <v>597</v>
      </c>
      <c r="D277" s="263" t="s">
        <v>588</v>
      </c>
      <c r="E277" s="263" t="s">
        <v>589</v>
      </c>
      <c r="F277" s="263" t="s">
        <v>536</v>
      </c>
    </row>
    <row r="278" spans="1:6">
      <c r="A278" s="263">
        <v>277</v>
      </c>
      <c r="B278" s="263" t="s">
        <v>598</v>
      </c>
      <c r="C278" s="263" t="s">
        <v>599</v>
      </c>
      <c r="D278" s="263" t="s">
        <v>588</v>
      </c>
      <c r="E278" s="263" t="s">
        <v>589</v>
      </c>
      <c r="F278" s="263" t="s">
        <v>536</v>
      </c>
    </row>
    <row r="279" spans="1:6">
      <c r="A279" s="263">
        <v>278</v>
      </c>
      <c r="B279" s="263" t="s">
        <v>600</v>
      </c>
      <c r="C279" s="263" t="s">
        <v>601</v>
      </c>
      <c r="D279" s="263" t="s">
        <v>588</v>
      </c>
      <c r="E279" s="263" t="s">
        <v>589</v>
      </c>
      <c r="F279" s="263" t="s">
        <v>536</v>
      </c>
    </row>
    <row r="280" spans="1:6">
      <c r="A280" s="263">
        <v>279</v>
      </c>
      <c r="B280" s="263" t="s">
        <v>602</v>
      </c>
      <c r="C280" s="263" t="s">
        <v>603</v>
      </c>
      <c r="D280" s="263" t="s">
        <v>588</v>
      </c>
      <c r="E280" s="263" t="s">
        <v>589</v>
      </c>
      <c r="F280" s="263" t="s">
        <v>536</v>
      </c>
    </row>
    <row r="281" spans="1:6">
      <c r="A281" s="263">
        <v>280</v>
      </c>
      <c r="B281" s="263" t="s">
        <v>604</v>
      </c>
      <c r="C281" s="263" t="s">
        <v>605</v>
      </c>
      <c r="D281" s="263" t="s">
        <v>606</v>
      </c>
      <c r="E281" s="263" t="s">
        <v>607</v>
      </c>
      <c r="F281" s="263" t="s">
        <v>536</v>
      </c>
    </row>
    <row r="282" spans="1:6">
      <c r="A282" s="263">
        <v>281</v>
      </c>
      <c r="B282" s="263" t="s">
        <v>608</v>
      </c>
      <c r="C282" s="263" t="s">
        <v>609</v>
      </c>
      <c r="D282" s="263" t="s">
        <v>606</v>
      </c>
      <c r="E282" s="263" t="s">
        <v>607</v>
      </c>
      <c r="F282" s="263" t="s">
        <v>536</v>
      </c>
    </row>
    <row r="283" spans="1:6">
      <c r="A283" s="263">
        <v>282</v>
      </c>
      <c r="B283" s="263" t="s">
        <v>610</v>
      </c>
      <c r="C283" s="263" t="s">
        <v>611</v>
      </c>
      <c r="D283" s="263" t="s">
        <v>606</v>
      </c>
      <c r="E283" s="263" t="s">
        <v>607</v>
      </c>
      <c r="F283" s="263" t="s">
        <v>536</v>
      </c>
    </row>
    <row r="284" spans="1:6">
      <c r="A284" s="263">
        <v>283</v>
      </c>
      <c r="B284" s="263" t="s">
        <v>612</v>
      </c>
      <c r="C284" s="263" t="s">
        <v>613</v>
      </c>
      <c r="D284" s="263" t="s">
        <v>606</v>
      </c>
      <c r="E284" s="263" t="s">
        <v>607</v>
      </c>
      <c r="F284" s="263" t="s">
        <v>536</v>
      </c>
    </row>
    <row r="285" spans="1:6">
      <c r="A285" s="263">
        <v>284</v>
      </c>
      <c r="B285" s="263" t="s">
        <v>614</v>
      </c>
      <c r="C285" s="263" t="s">
        <v>615</v>
      </c>
      <c r="D285" s="263" t="s">
        <v>606</v>
      </c>
      <c r="E285" s="263" t="s">
        <v>607</v>
      </c>
      <c r="F285" s="263" t="s">
        <v>536</v>
      </c>
    </row>
    <row r="286" spans="1:6">
      <c r="A286" s="263">
        <v>285</v>
      </c>
      <c r="B286" s="263" t="s">
        <v>616</v>
      </c>
      <c r="C286" s="263" t="s">
        <v>617</v>
      </c>
      <c r="D286" s="263" t="s">
        <v>606</v>
      </c>
      <c r="E286" s="263" t="s">
        <v>607</v>
      </c>
      <c r="F286" s="263" t="s">
        <v>536</v>
      </c>
    </row>
    <row r="287" spans="1:6">
      <c r="A287" s="263">
        <v>286</v>
      </c>
      <c r="B287" s="263" t="s">
        <v>618</v>
      </c>
      <c r="C287" s="263" t="s">
        <v>619</v>
      </c>
      <c r="D287" s="263" t="s">
        <v>606</v>
      </c>
      <c r="E287" s="263" t="s">
        <v>607</v>
      </c>
      <c r="F287" s="263" t="s">
        <v>536</v>
      </c>
    </row>
    <row r="288" spans="1:6">
      <c r="A288" s="263">
        <v>287</v>
      </c>
      <c r="B288" s="263" t="s">
        <v>620</v>
      </c>
      <c r="C288" s="263" t="s">
        <v>621</v>
      </c>
      <c r="D288" s="263" t="s">
        <v>606</v>
      </c>
      <c r="E288" s="263" t="s">
        <v>607</v>
      </c>
      <c r="F288" s="263" t="s">
        <v>536</v>
      </c>
    </row>
    <row r="289" spans="1:6">
      <c r="A289" s="263">
        <v>288</v>
      </c>
      <c r="B289" s="263" t="s">
        <v>622</v>
      </c>
      <c r="C289" s="263" t="s">
        <v>623</v>
      </c>
      <c r="D289" s="263" t="s">
        <v>606</v>
      </c>
      <c r="E289" s="263" t="s">
        <v>607</v>
      </c>
      <c r="F289" s="263" t="s">
        <v>536</v>
      </c>
    </row>
    <row r="290" spans="1:6">
      <c r="A290" s="263">
        <v>289</v>
      </c>
      <c r="B290" s="263" t="s">
        <v>624</v>
      </c>
      <c r="C290" s="263" t="s">
        <v>202</v>
      </c>
      <c r="D290" s="263" t="s">
        <v>606</v>
      </c>
      <c r="E290" s="263" t="s">
        <v>607</v>
      </c>
      <c r="F290" s="263" t="s">
        <v>536</v>
      </c>
    </row>
    <row r="291" spans="1:6">
      <c r="A291" s="263">
        <v>290</v>
      </c>
      <c r="B291" s="263" t="s">
        <v>625</v>
      </c>
      <c r="C291" s="263" t="s">
        <v>626</v>
      </c>
      <c r="D291" s="263" t="s">
        <v>606</v>
      </c>
      <c r="E291" s="263" t="s">
        <v>607</v>
      </c>
      <c r="F291" s="263" t="s">
        <v>536</v>
      </c>
    </row>
    <row r="292" spans="1:6">
      <c r="A292" s="263">
        <v>291</v>
      </c>
      <c r="B292" s="263" t="s">
        <v>627</v>
      </c>
      <c r="C292" s="263" t="s">
        <v>628</v>
      </c>
      <c r="D292" s="263" t="s">
        <v>629</v>
      </c>
      <c r="E292" s="263" t="s">
        <v>630</v>
      </c>
      <c r="F292" s="263" t="s">
        <v>536</v>
      </c>
    </row>
    <row r="293" spans="1:6">
      <c r="A293" s="263">
        <v>292</v>
      </c>
      <c r="B293" s="263" t="s">
        <v>631</v>
      </c>
      <c r="C293" s="263" t="s">
        <v>632</v>
      </c>
      <c r="D293" s="263" t="s">
        <v>629</v>
      </c>
      <c r="E293" s="263" t="s">
        <v>630</v>
      </c>
      <c r="F293" s="263" t="s">
        <v>536</v>
      </c>
    </row>
    <row r="294" spans="1:6">
      <c r="A294" s="263">
        <v>293</v>
      </c>
      <c r="B294" s="263" t="s">
        <v>633</v>
      </c>
      <c r="C294" s="263" t="s">
        <v>634</v>
      </c>
      <c r="D294" s="263" t="s">
        <v>629</v>
      </c>
      <c r="E294" s="263" t="s">
        <v>630</v>
      </c>
      <c r="F294" s="263" t="s">
        <v>536</v>
      </c>
    </row>
    <row r="295" spans="1:6">
      <c r="A295" s="263">
        <v>294</v>
      </c>
      <c r="B295" s="263" t="s">
        <v>635</v>
      </c>
      <c r="C295" s="263" t="s">
        <v>636</v>
      </c>
      <c r="D295" s="263" t="s">
        <v>629</v>
      </c>
      <c r="E295" s="263" t="s">
        <v>630</v>
      </c>
      <c r="F295" s="263" t="s">
        <v>536</v>
      </c>
    </row>
    <row r="296" spans="1:6">
      <c r="A296" s="263">
        <v>295</v>
      </c>
      <c r="B296" s="263" t="s">
        <v>637</v>
      </c>
      <c r="C296" s="263" t="s">
        <v>638</v>
      </c>
      <c r="D296" s="263" t="s">
        <v>629</v>
      </c>
      <c r="E296" s="263" t="s">
        <v>630</v>
      </c>
      <c r="F296" s="263" t="s">
        <v>536</v>
      </c>
    </row>
    <row r="297" spans="1:6">
      <c r="A297" s="263">
        <v>296</v>
      </c>
      <c r="B297" s="263" t="s">
        <v>639</v>
      </c>
      <c r="C297" s="263" t="s">
        <v>640</v>
      </c>
      <c r="D297" s="263" t="s">
        <v>629</v>
      </c>
      <c r="E297" s="263" t="s">
        <v>630</v>
      </c>
      <c r="F297" s="263" t="s">
        <v>536</v>
      </c>
    </row>
    <row r="298" spans="1:6">
      <c r="A298" s="263">
        <v>297</v>
      </c>
      <c r="B298" s="263" t="s">
        <v>641</v>
      </c>
      <c r="C298" s="263" t="s">
        <v>642</v>
      </c>
      <c r="D298" s="263" t="s">
        <v>629</v>
      </c>
      <c r="E298" s="263" t="s">
        <v>630</v>
      </c>
      <c r="F298" s="263" t="s">
        <v>536</v>
      </c>
    </row>
    <row r="299" spans="1:6">
      <c r="A299" s="263">
        <v>298</v>
      </c>
      <c r="B299" s="263" t="s">
        <v>643</v>
      </c>
      <c r="C299" s="263" t="s">
        <v>644</v>
      </c>
      <c r="D299" s="263" t="s">
        <v>629</v>
      </c>
      <c r="E299" s="263" t="s">
        <v>630</v>
      </c>
      <c r="F299" s="263" t="s">
        <v>536</v>
      </c>
    </row>
    <row r="300" spans="1:6">
      <c r="A300" s="263">
        <v>299</v>
      </c>
      <c r="B300" s="263" t="s">
        <v>645</v>
      </c>
      <c r="C300" s="263" t="s">
        <v>194</v>
      </c>
      <c r="D300" s="263" t="s">
        <v>629</v>
      </c>
      <c r="E300" s="263" t="s">
        <v>630</v>
      </c>
      <c r="F300" s="263" t="s">
        <v>536</v>
      </c>
    </row>
    <row r="301" spans="1:6">
      <c r="A301" s="263">
        <v>300</v>
      </c>
      <c r="B301" s="263" t="s">
        <v>646</v>
      </c>
      <c r="C301" s="263" t="s">
        <v>647</v>
      </c>
      <c r="D301" s="263" t="s">
        <v>629</v>
      </c>
      <c r="E301" s="263" t="s">
        <v>630</v>
      </c>
      <c r="F301" s="263" t="s">
        <v>536</v>
      </c>
    </row>
    <row r="302" spans="1:6">
      <c r="A302" s="263">
        <v>301</v>
      </c>
      <c r="B302" s="263" t="s">
        <v>648</v>
      </c>
      <c r="C302" s="263" t="s">
        <v>628</v>
      </c>
      <c r="D302" s="263" t="s">
        <v>649</v>
      </c>
      <c r="E302" s="263" t="s">
        <v>650</v>
      </c>
      <c r="F302" s="263" t="s">
        <v>536</v>
      </c>
    </row>
    <row r="303" spans="1:6">
      <c r="A303" s="263">
        <v>302</v>
      </c>
      <c r="B303" s="263" t="s">
        <v>651</v>
      </c>
      <c r="C303" s="263" t="s">
        <v>652</v>
      </c>
      <c r="D303" s="263" t="s">
        <v>649</v>
      </c>
      <c r="E303" s="263" t="s">
        <v>650</v>
      </c>
      <c r="F303" s="263" t="s">
        <v>536</v>
      </c>
    </row>
    <row r="304" spans="1:6">
      <c r="A304" s="263">
        <v>303</v>
      </c>
      <c r="B304" s="263" t="s">
        <v>653</v>
      </c>
      <c r="C304" s="263" t="s">
        <v>654</v>
      </c>
      <c r="D304" s="263" t="s">
        <v>649</v>
      </c>
      <c r="E304" s="263" t="s">
        <v>650</v>
      </c>
      <c r="F304" s="263" t="s">
        <v>536</v>
      </c>
    </row>
    <row r="305" spans="1:6">
      <c r="A305" s="263">
        <v>304</v>
      </c>
      <c r="B305" s="263" t="s">
        <v>655</v>
      </c>
      <c r="C305" s="263" t="s">
        <v>656</v>
      </c>
      <c r="D305" s="263" t="s">
        <v>649</v>
      </c>
      <c r="E305" s="263" t="s">
        <v>650</v>
      </c>
      <c r="F305" s="263" t="s">
        <v>536</v>
      </c>
    </row>
    <row r="306" spans="1:6">
      <c r="A306" s="263">
        <v>305</v>
      </c>
      <c r="B306" s="263" t="s">
        <v>657</v>
      </c>
      <c r="C306" s="263" t="s">
        <v>658</v>
      </c>
      <c r="D306" s="263" t="s">
        <v>649</v>
      </c>
      <c r="E306" s="263" t="s">
        <v>650</v>
      </c>
      <c r="F306" s="263" t="s">
        <v>536</v>
      </c>
    </row>
    <row r="307" spans="1:6">
      <c r="A307" s="263">
        <v>306</v>
      </c>
      <c r="B307" s="263" t="s">
        <v>659</v>
      </c>
      <c r="C307" s="263" t="s">
        <v>660</v>
      </c>
      <c r="D307" s="263" t="s">
        <v>649</v>
      </c>
      <c r="E307" s="263" t="s">
        <v>650</v>
      </c>
      <c r="F307" s="263" t="s">
        <v>536</v>
      </c>
    </row>
    <row r="308" spans="1:6">
      <c r="A308" s="263">
        <v>307</v>
      </c>
      <c r="B308" s="263" t="s">
        <v>661</v>
      </c>
      <c r="C308" s="263" t="s">
        <v>662</v>
      </c>
      <c r="D308" s="263" t="s">
        <v>649</v>
      </c>
      <c r="E308" s="263" t="s">
        <v>650</v>
      </c>
      <c r="F308" s="263" t="s">
        <v>536</v>
      </c>
    </row>
    <row r="309" spans="1:6">
      <c r="A309" s="263">
        <v>308</v>
      </c>
      <c r="B309" s="263" t="s">
        <v>663</v>
      </c>
      <c r="C309" s="263" t="s">
        <v>664</v>
      </c>
      <c r="D309" s="263" t="s">
        <v>649</v>
      </c>
      <c r="E309" s="263" t="s">
        <v>650</v>
      </c>
      <c r="F309" s="263" t="s">
        <v>536</v>
      </c>
    </row>
    <row r="310" spans="1:6">
      <c r="A310" s="263">
        <v>309</v>
      </c>
      <c r="B310" s="263" t="s">
        <v>665</v>
      </c>
      <c r="C310" s="263" t="s">
        <v>666</v>
      </c>
      <c r="D310" s="263" t="s">
        <v>649</v>
      </c>
      <c r="E310" s="263" t="s">
        <v>650</v>
      </c>
      <c r="F310" s="263" t="s">
        <v>536</v>
      </c>
    </row>
    <row r="311" spans="1:6">
      <c r="A311" s="263">
        <v>310</v>
      </c>
      <c r="B311" s="263" t="s">
        <v>667</v>
      </c>
      <c r="C311" s="263" t="s">
        <v>334</v>
      </c>
      <c r="D311" s="263" t="s">
        <v>649</v>
      </c>
      <c r="E311" s="263" t="s">
        <v>650</v>
      </c>
      <c r="F311" s="263" t="s">
        <v>536</v>
      </c>
    </row>
    <row r="312" spans="1:6">
      <c r="A312" s="263">
        <v>311</v>
      </c>
      <c r="B312" s="263" t="s">
        <v>668</v>
      </c>
      <c r="C312" s="263" t="s">
        <v>669</v>
      </c>
      <c r="D312" s="263" t="s">
        <v>670</v>
      </c>
      <c r="E312" s="263" t="s">
        <v>671</v>
      </c>
      <c r="F312" s="263" t="s">
        <v>672</v>
      </c>
    </row>
    <row r="313" spans="1:6">
      <c r="A313" s="263">
        <v>312</v>
      </c>
      <c r="B313" s="263" t="s">
        <v>673</v>
      </c>
      <c r="C313" s="263" t="s">
        <v>674</v>
      </c>
      <c r="D313" s="263" t="s">
        <v>670</v>
      </c>
      <c r="E313" s="263" t="s">
        <v>671</v>
      </c>
      <c r="F313" s="263" t="s">
        <v>672</v>
      </c>
    </row>
    <row r="314" spans="1:6">
      <c r="A314" s="263">
        <v>313</v>
      </c>
      <c r="B314" s="263" t="s">
        <v>675</v>
      </c>
      <c r="C314" s="263" t="s">
        <v>676</v>
      </c>
      <c r="D314" s="263" t="s">
        <v>670</v>
      </c>
      <c r="E314" s="263" t="s">
        <v>671</v>
      </c>
      <c r="F314" s="263" t="s">
        <v>672</v>
      </c>
    </row>
    <row r="315" spans="1:6">
      <c r="A315" s="263">
        <v>314</v>
      </c>
      <c r="B315" s="263" t="s">
        <v>677</v>
      </c>
      <c r="C315" s="263" t="s">
        <v>678</v>
      </c>
      <c r="D315" s="263" t="s">
        <v>670</v>
      </c>
      <c r="E315" s="263" t="s">
        <v>671</v>
      </c>
      <c r="F315" s="263" t="s">
        <v>672</v>
      </c>
    </row>
    <row r="316" spans="1:6">
      <c r="A316" s="263">
        <v>315</v>
      </c>
      <c r="B316" s="263" t="s">
        <v>679</v>
      </c>
      <c r="C316" s="263" t="s">
        <v>680</v>
      </c>
      <c r="D316" s="263" t="s">
        <v>670</v>
      </c>
      <c r="E316" s="263" t="s">
        <v>671</v>
      </c>
      <c r="F316" s="263" t="s">
        <v>672</v>
      </c>
    </row>
    <row r="317" spans="1:6">
      <c r="A317" s="263">
        <v>316</v>
      </c>
      <c r="B317" s="263" t="s">
        <v>681</v>
      </c>
      <c r="C317" s="263" t="s">
        <v>682</v>
      </c>
      <c r="D317" s="263" t="s">
        <v>670</v>
      </c>
      <c r="E317" s="263" t="s">
        <v>671</v>
      </c>
      <c r="F317" s="263" t="s">
        <v>672</v>
      </c>
    </row>
    <row r="318" spans="1:6">
      <c r="A318" s="263">
        <v>317</v>
      </c>
      <c r="B318" s="263" t="s">
        <v>683</v>
      </c>
      <c r="C318" s="263" t="s">
        <v>684</v>
      </c>
      <c r="D318" s="263" t="s">
        <v>670</v>
      </c>
      <c r="E318" s="263" t="s">
        <v>671</v>
      </c>
      <c r="F318" s="263" t="s">
        <v>672</v>
      </c>
    </row>
    <row r="319" spans="1:6">
      <c r="A319" s="263">
        <v>318</v>
      </c>
      <c r="B319" s="263" t="s">
        <v>685</v>
      </c>
      <c r="C319" s="263" t="s">
        <v>686</v>
      </c>
      <c r="D319" s="263" t="s">
        <v>670</v>
      </c>
      <c r="E319" s="263" t="s">
        <v>671</v>
      </c>
      <c r="F319" s="263" t="s">
        <v>672</v>
      </c>
    </row>
    <row r="320" spans="1:6">
      <c r="A320" s="263">
        <v>319</v>
      </c>
      <c r="B320" s="263" t="s">
        <v>687</v>
      </c>
      <c r="C320" s="263" t="s">
        <v>688</v>
      </c>
      <c r="D320" s="263" t="s">
        <v>689</v>
      </c>
      <c r="E320" s="263" t="s">
        <v>690</v>
      </c>
      <c r="F320" s="263" t="s">
        <v>672</v>
      </c>
    </row>
    <row r="321" spans="1:6">
      <c r="A321" s="263">
        <v>320</v>
      </c>
      <c r="B321" s="263" t="s">
        <v>691</v>
      </c>
      <c r="C321" s="263" t="s">
        <v>692</v>
      </c>
      <c r="D321" s="263" t="s">
        <v>689</v>
      </c>
      <c r="E321" s="263" t="s">
        <v>690</v>
      </c>
      <c r="F321" s="263" t="s">
        <v>672</v>
      </c>
    </row>
    <row r="322" spans="1:6">
      <c r="A322" s="263">
        <v>321</v>
      </c>
      <c r="B322" s="263" t="s">
        <v>693</v>
      </c>
      <c r="C322" s="263" t="s">
        <v>694</v>
      </c>
      <c r="D322" s="263" t="s">
        <v>689</v>
      </c>
      <c r="E322" s="263" t="s">
        <v>690</v>
      </c>
      <c r="F322" s="263" t="s">
        <v>672</v>
      </c>
    </row>
    <row r="323" spans="1:6">
      <c r="A323" s="263">
        <v>322</v>
      </c>
      <c r="B323" s="263" t="s">
        <v>695</v>
      </c>
      <c r="C323" s="263" t="s">
        <v>696</v>
      </c>
      <c r="D323" s="263" t="s">
        <v>689</v>
      </c>
      <c r="E323" s="263" t="s">
        <v>690</v>
      </c>
      <c r="F323" s="263" t="s">
        <v>672</v>
      </c>
    </row>
    <row r="324" spans="1:6">
      <c r="A324" s="263">
        <v>323</v>
      </c>
      <c r="B324" s="263" t="s">
        <v>697</v>
      </c>
      <c r="C324" s="263" t="s">
        <v>698</v>
      </c>
      <c r="D324" s="263" t="s">
        <v>689</v>
      </c>
      <c r="E324" s="263" t="s">
        <v>690</v>
      </c>
      <c r="F324" s="263" t="s">
        <v>672</v>
      </c>
    </row>
    <row r="325" spans="1:6">
      <c r="A325" s="263">
        <v>324</v>
      </c>
      <c r="B325" s="263" t="s">
        <v>699</v>
      </c>
      <c r="C325" s="263" t="s">
        <v>700</v>
      </c>
      <c r="D325" s="263" t="s">
        <v>689</v>
      </c>
      <c r="E325" s="263" t="s">
        <v>690</v>
      </c>
      <c r="F325" s="263" t="s">
        <v>672</v>
      </c>
    </row>
    <row r="326" spans="1:6">
      <c r="A326" s="263">
        <v>325</v>
      </c>
      <c r="B326" s="263" t="s">
        <v>701</v>
      </c>
      <c r="C326" s="263" t="s">
        <v>702</v>
      </c>
      <c r="D326" s="263" t="s">
        <v>689</v>
      </c>
      <c r="E326" s="263" t="s">
        <v>690</v>
      </c>
      <c r="F326" s="263" t="s">
        <v>672</v>
      </c>
    </row>
    <row r="327" spans="1:6">
      <c r="A327" s="263">
        <v>326</v>
      </c>
      <c r="B327" s="263" t="s">
        <v>703</v>
      </c>
      <c r="C327" s="263" t="s">
        <v>704</v>
      </c>
      <c r="D327" s="263" t="s">
        <v>689</v>
      </c>
      <c r="E327" s="263" t="s">
        <v>690</v>
      </c>
      <c r="F327" s="263" t="s">
        <v>672</v>
      </c>
    </row>
    <row r="328" spans="1:6">
      <c r="A328" s="263">
        <v>327</v>
      </c>
      <c r="B328" s="263" t="s">
        <v>705</v>
      </c>
      <c r="C328" s="263" t="s">
        <v>706</v>
      </c>
      <c r="D328" s="263" t="s">
        <v>689</v>
      </c>
      <c r="E328" s="263" t="s">
        <v>690</v>
      </c>
      <c r="F328" s="263" t="s">
        <v>672</v>
      </c>
    </row>
    <row r="329" spans="1:6">
      <c r="A329" s="263">
        <v>328</v>
      </c>
      <c r="B329" s="263" t="s">
        <v>707</v>
      </c>
      <c r="C329" s="263" t="s">
        <v>708</v>
      </c>
      <c r="D329" s="263" t="s">
        <v>689</v>
      </c>
      <c r="E329" s="263" t="s">
        <v>690</v>
      </c>
      <c r="F329" s="263" t="s">
        <v>672</v>
      </c>
    </row>
    <row r="330" spans="1:6">
      <c r="A330" s="263">
        <v>329</v>
      </c>
      <c r="B330" s="263" t="s">
        <v>709</v>
      </c>
      <c r="C330" s="263" t="s">
        <v>710</v>
      </c>
      <c r="D330" s="263" t="s">
        <v>689</v>
      </c>
      <c r="E330" s="263" t="s">
        <v>690</v>
      </c>
      <c r="F330" s="263" t="s">
        <v>672</v>
      </c>
    </row>
    <row r="331" spans="1:6">
      <c r="A331" s="263">
        <v>330</v>
      </c>
      <c r="B331" s="263" t="s">
        <v>711</v>
      </c>
      <c r="C331" s="263" t="s">
        <v>712</v>
      </c>
      <c r="D331" s="263" t="s">
        <v>689</v>
      </c>
      <c r="E331" s="263" t="s">
        <v>690</v>
      </c>
      <c r="F331" s="263" t="s">
        <v>672</v>
      </c>
    </row>
    <row r="332" spans="1:6">
      <c r="A332" s="263">
        <v>331</v>
      </c>
      <c r="B332" s="263" t="s">
        <v>713</v>
      </c>
      <c r="C332" s="263" t="s">
        <v>714</v>
      </c>
      <c r="D332" s="263" t="s">
        <v>689</v>
      </c>
      <c r="E332" s="263" t="s">
        <v>690</v>
      </c>
      <c r="F332" s="263" t="s">
        <v>672</v>
      </c>
    </row>
    <row r="333" spans="1:6">
      <c r="A333" s="263">
        <v>332</v>
      </c>
      <c r="B333" s="263" t="s">
        <v>715</v>
      </c>
      <c r="C333" s="263" t="s">
        <v>716</v>
      </c>
      <c r="D333" s="263" t="s">
        <v>689</v>
      </c>
      <c r="E333" s="263" t="s">
        <v>690</v>
      </c>
      <c r="F333" s="263" t="s">
        <v>672</v>
      </c>
    </row>
    <row r="334" spans="1:6">
      <c r="A334" s="263">
        <v>333</v>
      </c>
      <c r="B334" s="263" t="s">
        <v>717</v>
      </c>
      <c r="C334" s="263" t="s">
        <v>718</v>
      </c>
      <c r="D334" s="263" t="s">
        <v>689</v>
      </c>
      <c r="E334" s="263" t="s">
        <v>690</v>
      </c>
      <c r="F334" s="263" t="s">
        <v>672</v>
      </c>
    </row>
    <row r="335" spans="1:6">
      <c r="A335" s="263">
        <v>334</v>
      </c>
      <c r="B335" s="263" t="s">
        <v>719</v>
      </c>
      <c r="C335" s="263" t="s">
        <v>720</v>
      </c>
      <c r="D335" s="263" t="s">
        <v>689</v>
      </c>
      <c r="E335" s="263" t="s">
        <v>690</v>
      </c>
      <c r="F335" s="263" t="s">
        <v>672</v>
      </c>
    </row>
    <row r="336" spans="1:6">
      <c r="A336" s="263">
        <v>335</v>
      </c>
      <c r="B336" s="263" t="s">
        <v>721</v>
      </c>
      <c r="C336" s="263" t="s">
        <v>722</v>
      </c>
      <c r="D336" s="263" t="s">
        <v>723</v>
      </c>
      <c r="E336" s="263" t="s">
        <v>724</v>
      </c>
      <c r="F336" s="263" t="s">
        <v>672</v>
      </c>
    </row>
    <row r="337" spans="1:6">
      <c r="A337" s="263">
        <v>336</v>
      </c>
      <c r="B337" s="263" t="s">
        <v>725</v>
      </c>
      <c r="C337" s="263" t="s">
        <v>726</v>
      </c>
      <c r="D337" s="263" t="s">
        <v>723</v>
      </c>
      <c r="E337" s="263" t="s">
        <v>724</v>
      </c>
      <c r="F337" s="263" t="s">
        <v>672</v>
      </c>
    </row>
    <row r="338" spans="1:6">
      <c r="A338" s="263">
        <v>337</v>
      </c>
      <c r="B338" s="263" t="s">
        <v>727</v>
      </c>
      <c r="C338" s="263" t="s">
        <v>728</v>
      </c>
      <c r="D338" s="263" t="s">
        <v>723</v>
      </c>
      <c r="E338" s="263" t="s">
        <v>724</v>
      </c>
      <c r="F338" s="263" t="s">
        <v>672</v>
      </c>
    </row>
    <row r="339" spans="1:6">
      <c r="A339" s="263">
        <v>338</v>
      </c>
      <c r="B339" s="263" t="s">
        <v>729</v>
      </c>
      <c r="C339" s="263" t="s">
        <v>353</v>
      </c>
      <c r="D339" s="263" t="s">
        <v>723</v>
      </c>
      <c r="E339" s="263" t="s">
        <v>724</v>
      </c>
      <c r="F339" s="263" t="s">
        <v>672</v>
      </c>
    </row>
    <row r="340" spans="1:6">
      <c r="A340" s="263">
        <v>339</v>
      </c>
      <c r="B340" s="263" t="s">
        <v>730</v>
      </c>
      <c r="C340" s="263" t="s">
        <v>731</v>
      </c>
      <c r="D340" s="263" t="s">
        <v>723</v>
      </c>
      <c r="E340" s="263" t="s">
        <v>724</v>
      </c>
      <c r="F340" s="263" t="s">
        <v>672</v>
      </c>
    </row>
    <row r="341" spans="1:6">
      <c r="A341" s="263">
        <v>340</v>
      </c>
      <c r="B341" s="263" t="s">
        <v>732</v>
      </c>
      <c r="C341" s="263" t="s">
        <v>733</v>
      </c>
      <c r="D341" s="263" t="s">
        <v>723</v>
      </c>
      <c r="E341" s="263" t="s">
        <v>724</v>
      </c>
      <c r="F341" s="263" t="s">
        <v>672</v>
      </c>
    </row>
    <row r="342" spans="1:6">
      <c r="A342" s="263">
        <v>341</v>
      </c>
      <c r="B342" s="263" t="s">
        <v>734</v>
      </c>
      <c r="C342" s="263" t="s">
        <v>735</v>
      </c>
      <c r="D342" s="263" t="s">
        <v>723</v>
      </c>
      <c r="E342" s="263" t="s">
        <v>724</v>
      </c>
      <c r="F342" s="263" t="s">
        <v>672</v>
      </c>
    </row>
    <row r="343" spans="1:6">
      <c r="A343" s="263">
        <v>342</v>
      </c>
      <c r="B343" s="263" t="s">
        <v>736</v>
      </c>
      <c r="C343" s="263" t="s">
        <v>737</v>
      </c>
      <c r="D343" s="263" t="s">
        <v>738</v>
      </c>
      <c r="E343" s="263" t="s">
        <v>739</v>
      </c>
      <c r="F343" s="263" t="s">
        <v>672</v>
      </c>
    </row>
    <row r="344" spans="1:6">
      <c r="A344" s="263">
        <v>343</v>
      </c>
      <c r="B344" s="263" t="s">
        <v>740</v>
      </c>
      <c r="C344" s="263" t="s">
        <v>696</v>
      </c>
      <c r="D344" s="263" t="s">
        <v>738</v>
      </c>
      <c r="E344" s="263" t="s">
        <v>739</v>
      </c>
      <c r="F344" s="263" t="s">
        <v>672</v>
      </c>
    </row>
    <row r="345" spans="1:6">
      <c r="A345" s="263">
        <v>344</v>
      </c>
      <c r="B345" s="263" t="s">
        <v>741</v>
      </c>
      <c r="C345" s="263" t="s">
        <v>742</v>
      </c>
      <c r="D345" s="263" t="s">
        <v>738</v>
      </c>
      <c r="E345" s="263" t="s">
        <v>739</v>
      </c>
      <c r="F345" s="263" t="s">
        <v>672</v>
      </c>
    </row>
    <row r="346" spans="1:6">
      <c r="A346" s="263">
        <v>345</v>
      </c>
      <c r="B346" s="263" t="s">
        <v>743</v>
      </c>
      <c r="C346" s="263" t="s">
        <v>744</v>
      </c>
      <c r="D346" s="263" t="s">
        <v>738</v>
      </c>
      <c r="E346" s="263" t="s">
        <v>739</v>
      </c>
      <c r="F346" s="263" t="s">
        <v>672</v>
      </c>
    </row>
    <row r="347" spans="1:6">
      <c r="A347" s="263">
        <v>346</v>
      </c>
      <c r="B347" s="263" t="s">
        <v>745</v>
      </c>
      <c r="C347" s="263" t="s">
        <v>746</v>
      </c>
      <c r="D347" s="263" t="s">
        <v>738</v>
      </c>
      <c r="E347" s="263" t="s">
        <v>739</v>
      </c>
      <c r="F347" s="263" t="s">
        <v>672</v>
      </c>
    </row>
    <row r="348" spans="1:6">
      <c r="A348" s="263">
        <v>347</v>
      </c>
      <c r="B348" s="263" t="s">
        <v>747</v>
      </c>
      <c r="C348" s="263" t="s">
        <v>748</v>
      </c>
      <c r="D348" s="263" t="s">
        <v>738</v>
      </c>
      <c r="E348" s="263" t="s">
        <v>739</v>
      </c>
      <c r="F348" s="263" t="s">
        <v>672</v>
      </c>
    </row>
    <row r="349" spans="1:6">
      <c r="A349" s="263">
        <v>348</v>
      </c>
      <c r="B349" s="263" t="s">
        <v>749</v>
      </c>
      <c r="C349" s="263" t="s">
        <v>750</v>
      </c>
      <c r="D349" s="263" t="s">
        <v>738</v>
      </c>
      <c r="E349" s="263" t="s">
        <v>739</v>
      </c>
      <c r="F349" s="263" t="s">
        <v>672</v>
      </c>
    </row>
    <row r="350" spans="1:6">
      <c r="A350" s="263">
        <v>349</v>
      </c>
      <c r="B350" s="263" t="s">
        <v>751</v>
      </c>
      <c r="C350" s="263" t="s">
        <v>752</v>
      </c>
      <c r="D350" s="263" t="s">
        <v>738</v>
      </c>
      <c r="E350" s="263" t="s">
        <v>739</v>
      </c>
      <c r="F350" s="263" t="s">
        <v>672</v>
      </c>
    </row>
    <row r="351" spans="1:6">
      <c r="A351" s="263">
        <v>350</v>
      </c>
      <c r="B351" s="263" t="s">
        <v>753</v>
      </c>
      <c r="C351" s="263" t="s">
        <v>754</v>
      </c>
      <c r="D351" s="263" t="s">
        <v>738</v>
      </c>
      <c r="E351" s="263" t="s">
        <v>739</v>
      </c>
      <c r="F351" s="263" t="s">
        <v>672</v>
      </c>
    </row>
    <row r="352" spans="1:6">
      <c r="A352" s="263">
        <v>351</v>
      </c>
      <c r="B352" s="263" t="s">
        <v>755</v>
      </c>
      <c r="C352" s="263" t="s">
        <v>756</v>
      </c>
      <c r="D352" s="263" t="s">
        <v>757</v>
      </c>
      <c r="E352" s="263" t="s">
        <v>758</v>
      </c>
      <c r="F352" s="263" t="s">
        <v>672</v>
      </c>
    </row>
    <row r="353" spans="1:6">
      <c r="A353" s="263">
        <v>352</v>
      </c>
      <c r="B353" s="263" t="s">
        <v>759</v>
      </c>
      <c r="C353" s="263" t="s">
        <v>218</v>
      </c>
      <c r="D353" s="263" t="s">
        <v>757</v>
      </c>
      <c r="E353" s="263" t="s">
        <v>758</v>
      </c>
      <c r="F353" s="263" t="s">
        <v>672</v>
      </c>
    </row>
    <row r="354" spans="1:6">
      <c r="A354" s="263">
        <v>353</v>
      </c>
      <c r="B354" s="263" t="s">
        <v>760</v>
      </c>
      <c r="C354" s="263" t="s">
        <v>761</v>
      </c>
      <c r="D354" s="263" t="s">
        <v>757</v>
      </c>
      <c r="E354" s="263" t="s">
        <v>758</v>
      </c>
      <c r="F354" s="263" t="s">
        <v>672</v>
      </c>
    </row>
    <row r="355" spans="1:6">
      <c r="A355" s="263">
        <v>354</v>
      </c>
      <c r="B355" s="263" t="s">
        <v>762</v>
      </c>
      <c r="C355" s="263" t="s">
        <v>763</v>
      </c>
      <c r="D355" s="263" t="s">
        <v>757</v>
      </c>
      <c r="E355" s="263" t="s">
        <v>758</v>
      </c>
      <c r="F355" s="263" t="s">
        <v>672</v>
      </c>
    </row>
    <row r="356" spans="1:6">
      <c r="A356" s="263">
        <v>355</v>
      </c>
      <c r="B356" s="263" t="s">
        <v>764</v>
      </c>
      <c r="C356" s="263" t="s">
        <v>765</v>
      </c>
      <c r="D356" s="263" t="s">
        <v>757</v>
      </c>
      <c r="E356" s="263" t="s">
        <v>758</v>
      </c>
      <c r="F356" s="263" t="s">
        <v>672</v>
      </c>
    </row>
    <row r="357" spans="1:6">
      <c r="A357" s="263">
        <v>356</v>
      </c>
      <c r="B357" s="263" t="s">
        <v>766</v>
      </c>
      <c r="C357" s="263" t="s">
        <v>418</v>
      </c>
      <c r="D357" s="263" t="s">
        <v>757</v>
      </c>
      <c r="E357" s="263" t="s">
        <v>758</v>
      </c>
      <c r="F357" s="263" t="s">
        <v>672</v>
      </c>
    </row>
    <row r="358" spans="1:6">
      <c r="A358" s="263">
        <v>357</v>
      </c>
      <c r="B358" s="263" t="s">
        <v>767</v>
      </c>
      <c r="C358" s="263" t="s">
        <v>373</v>
      </c>
      <c r="D358" s="263" t="s">
        <v>757</v>
      </c>
      <c r="E358" s="263" t="s">
        <v>758</v>
      </c>
      <c r="F358" s="263" t="s">
        <v>672</v>
      </c>
    </row>
    <row r="359" spans="1:6">
      <c r="A359" s="263">
        <v>358</v>
      </c>
      <c r="B359" s="263" t="s">
        <v>768</v>
      </c>
      <c r="C359" s="263" t="s">
        <v>769</v>
      </c>
      <c r="D359" s="263" t="s">
        <v>757</v>
      </c>
      <c r="E359" s="263" t="s">
        <v>758</v>
      </c>
      <c r="F359" s="263" t="s">
        <v>672</v>
      </c>
    </row>
    <row r="360" spans="1:6">
      <c r="A360" s="263">
        <v>359</v>
      </c>
      <c r="B360" s="263" t="s">
        <v>770</v>
      </c>
      <c r="C360" s="263" t="s">
        <v>226</v>
      </c>
      <c r="D360" s="263" t="s">
        <v>757</v>
      </c>
      <c r="E360" s="263" t="s">
        <v>758</v>
      </c>
      <c r="F360" s="263" t="s">
        <v>672</v>
      </c>
    </row>
    <row r="361" spans="1:6">
      <c r="A361" s="263">
        <v>360</v>
      </c>
      <c r="B361" s="263" t="s">
        <v>771</v>
      </c>
      <c r="C361" s="263" t="s">
        <v>772</v>
      </c>
      <c r="D361" s="263" t="s">
        <v>757</v>
      </c>
      <c r="E361" s="263" t="s">
        <v>758</v>
      </c>
      <c r="F361" s="263" t="s">
        <v>672</v>
      </c>
    </row>
    <row r="362" spans="1:6">
      <c r="A362" s="263">
        <v>361</v>
      </c>
      <c r="B362" s="263" t="s">
        <v>773</v>
      </c>
      <c r="C362" s="263" t="s">
        <v>392</v>
      </c>
      <c r="D362" s="263" t="s">
        <v>757</v>
      </c>
      <c r="E362" s="263" t="s">
        <v>758</v>
      </c>
      <c r="F362" s="263" t="s">
        <v>672</v>
      </c>
    </row>
    <row r="363" spans="1:6">
      <c r="A363" s="263">
        <v>362</v>
      </c>
      <c r="B363" s="263" t="s">
        <v>774</v>
      </c>
      <c r="C363" s="263" t="s">
        <v>775</v>
      </c>
      <c r="D363" s="263" t="s">
        <v>757</v>
      </c>
      <c r="E363" s="263" t="s">
        <v>758</v>
      </c>
      <c r="F363" s="263" t="s">
        <v>672</v>
      </c>
    </row>
    <row r="364" spans="1:6">
      <c r="A364" s="263">
        <v>363</v>
      </c>
      <c r="B364" s="263" t="s">
        <v>776</v>
      </c>
      <c r="C364" s="263" t="s">
        <v>777</v>
      </c>
      <c r="D364" s="263" t="s">
        <v>757</v>
      </c>
      <c r="E364" s="263" t="s">
        <v>758</v>
      </c>
      <c r="F364" s="263" t="s">
        <v>672</v>
      </c>
    </row>
    <row r="365" spans="1:6">
      <c r="A365" s="263">
        <v>364</v>
      </c>
      <c r="B365" s="263" t="s">
        <v>778</v>
      </c>
      <c r="C365" s="263" t="s">
        <v>779</v>
      </c>
      <c r="D365" s="263" t="s">
        <v>780</v>
      </c>
      <c r="E365" s="263" t="s">
        <v>781</v>
      </c>
      <c r="F365" s="263" t="s">
        <v>672</v>
      </c>
    </row>
    <row r="366" spans="1:6">
      <c r="A366" s="263">
        <v>365</v>
      </c>
      <c r="B366" s="263" t="s">
        <v>782</v>
      </c>
      <c r="C366" s="263" t="s">
        <v>783</v>
      </c>
      <c r="D366" s="263" t="s">
        <v>780</v>
      </c>
      <c r="E366" s="263" t="s">
        <v>781</v>
      </c>
      <c r="F366" s="263" t="s">
        <v>672</v>
      </c>
    </row>
    <row r="367" spans="1:6">
      <c r="A367" s="263">
        <v>366</v>
      </c>
      <c r="B367" s="263" t="s">
        <v>784</v>
      </c>
      <c r="C367" s="263" t="s">
        <v>785</v>
      </c>
      <c r="D367" s="263" t="s">
        <v>780</v>
      </c>
      <c r="E367" s="263" t="s">
        <v>781</v>
      </c>
      <c r="F367" s="263" t="s">
        <v>672</v>
      </c>
    </row>
    <row r="368" spans="1:6">
      <c r="A368" s="263">
        <v>367</v>
      </c>
      <c r="B368" s="263" t="s">
        <v>786</v>
      </c>
      <c r="C368" s="263" t="s">
        <v>787</v>
      </c>
      <c r="D368" s="263" t="s">
        <v>780</v>
      </c>
      <c r="E368" s="263" t="s">
        <v>781</v>
      </c>
      <c r="F368" s="263" t="s">
        <v>672</v>
      </c>
    </row>
    <row r="369" spans="1:6">
      <c r="A369" s="263">
        <v>368</v>
      </c>
      <c r="B369" s="263" t="s">
        <v>788</v>
      </c>
      <c r="C369" s="263" t="s">
        <v>789</v>
      </c>
      <c r="D369" s="263" t="s">
        <v>780</v>
      </c>
      <c r="E369" s="263" t="s">
        <v>781</v>
      </c>
      <c r="F369" s="263" t="s">
        <v>672</v>
      </c>
    </row>
    <row r="370" spans="1:6">
      <c r="A370" s="263">
        <v>369</v>
      </c>
      <c r="B370" s="263" t="s">
        <v>790</v>
      </c>
      <c r="C370" s="263" t="s">
        <v>791</v>
      </c>
      <c r="D370" s="263" t="s">
        <v>780</v>
      </c>
      <c r="E370" s="263" t="s">
        <v>781</v>
      </c>
      <c r="F370" s="263" t="s">
        <v>672</v>
      </c>
    </row>
    <row r="371" spans="1:6">
      <c r="A371" s="263">
        <v>370</v>
      </c>
      <c r="B371" s="263" t="s">
        <v>792</v>
      </c>
      <c r="C371" s="263" t="s">
        <v>793</v>
      </c>
      <c r="D371" s="263" t="s">
        <v>780</v>
      </c>
      <c r="E371" s="263" t="s">
        <v>781</v>
      </c>
      <c r="F371" s="263" t="s">
        <v>672</v>
      </c>
    </row>
    <row r="372" spans="1:6">
      <c r="A372" s="263">
        <v>371</v>
      </c>
      <c r="B372" s="263" t="s">
        <v>794</v>
      </c>
      <c r="C372" s="263" t="s">
        <v>795</v>
      </c>
      <c r="D372" s="263" t="s">
        <v>780</v>
      </c>
      <c r="E372" s="263" t="s">
        <v>781</v>
      </c>
      <c r="F372" s="263" t="s">
        <v>672</v>
      </c>
    </row>
    <row r="373" spans="1:6">
      <c r="A373" s="263">
        <v>372</v>
      </c>
      <c r="B373" s="263" t="s">
        <v>796</v>
      </c>
      <c r="C373" s="263" t="s">
        <v>797</v>
      </c>
      <c r="D373" s="263" t="s">
        <v>780</v>
      </c>
      <c r="E373" s="263" t="s">
        <v>781</v>
      </c>
      <c r="F373" s="263" t="s">
        <v>672</v>
      </c>
    </row>
    <row r="374" spans="1:6">
      <c r="A374" s="263">
        <v>373</v>
      </c>
      <c r="B374" s="263" t="s">
        <v>798</v>
      </c>
      <c r="C374" s="263" t="s">
        <v>799</v>
      </c>
      <c r="D374" s="263" t="s">
        <v>780</v>
      </c>
      <c r="E374" s="263" t="s">
        <v>781</v>
      </c>
      <c r="F374" s="263" t="s">
        <v>672</v>
      </c>
    </row>
    <row r="375" spans="1:6">
      <c r="A375" s="263">
        <v>374</v>
      </c>
      <c r="B375" s="263" t="s">
        <v>800</v>
      </c>
      <c r="C375" s="263" t="s">
        <v>801</v>
      </c>
      <c r="D375" s="263" t="s">
        <v>780</v>
      </c>
      <c r="E375" s="263" t="s">
        <v>781</v>
      </c>
      <c r="F375" s="263" t="s">
        <v>672</v>
      </c>
    </row>
    <row r="376" spans="1:6">
      <c r="A376" s="263">
        <v>375</v>
      </c>
      <c r="B376" s="263" t="s">
        <v>802</v>
      </c>
      <c r="C376" s="263" t="s">
        <v>803</v>
      </c>
      <c r="D376" s="263" t="s">
        <v>780</v>
      </c>
      <c r="E376" s="263" t="s">
        <v>781</v>
      </c>
      <c r="F376" s="263" t="s">
        <v>672</v>
      </c>
    </row>
    <row r="377" spans="1:6">
      <c r="A377" s="263">
        <v>376</v>
      </c>
      <c r="B377" s="263" t="s">
        <v>804</v>
      </c>
      <c r="C377" s="263" t="s">
        <v>805</v>
      </c>
      <c r="D377" s="263" t="s">
        <v>780</v>
      </c>
      <c r="E377" s="263" t="s">
        <v>781</v>
      </c>
      <c r="F377" s="263" t="s">
        <v>672</v>
      </c>
    </row>
    <row r="378" spans="1:6">
      <c r="A378" s="263">
        <v>377</v>
      </c>
      <c r="B378" s="263" t="s">
        <v>806</v>
      </c>
      <c r="C378" s="263" t="s">
        <v>807</v>
      </c>
      <c r="D378" s="263" t="s">
        <v>780</v>
      </c>
      <c r="E378" s="263" t="s">
        <v>781</v>
      </c>
      <c r="F378" s="263" t="s">
        <v>672</v>
      </c>
    </row>
    <row r="379" spans="1:6">
      <c r="A379" s="263">
        <v>378</v>
      </c>
      <c r="B379" s="263" t="s">
        <v>808</v>
      </c>
      <c r="C379" s="263" t="s">
        <v>809</v>
      </c>
      <c r="D379" s="263" t="s">
        <v>780</v>
      </c>
      <c r="E379" s="263" t="s">
        <v>781</v>
      </c>
      <c r="F379" s="263" t="s">
        <v>672</v>
      </c>
    </row>
    <row r="380" spans="1:6">
      <c r="A380" s="263">
        <v>379</v>
      </c>
      <c r="B380" s="263" t="s">
        <v>810</v>
      </c>
      <c r="C380" s="263" t="s">
        <v>811</v>
      </c>
      <c r="D380" s="263" t="s">
        <v>812</v>
      </c>
      <c r="E380" s="263" t="s">
        <v>813</v>
      </c>
      <c r="F380" s="263" t="s">
        <v>672</v>
      </c>
    </row>
    <row r="381" spans="1:6">
      <c r="A381" s="263">
        <v>380</v>
      </c>
      <c r="B381" s="263" t="s">
        <v>814</v>
      </c>
      <c r="C381" s="263" t="s">
        <v>815</v>
      </c>
      <c r="D381" s="263" t="s">
        <v>812</v>
      </c>
      <c r="E381" s="263" t="s">
        <v>813</v>
      </c>
      <c r="F381" s="263" t="s">
        <v>672</v>
      </c>
    </row>
    <row r="382" spans="1:6">
      <c r="A382" s="263">
        <v>381</v>
      </c>
      <c r="B382" s="263" t="s">
        <v>816</v>
      </c>
      <c r="C382" s="263" t="s">
        <v>817</v>
      </c>
      <c r="D382" s="263" t="s">
        <v>812</v>
      </c>
      <c r="E382" s="263" t="s">
        <v>813</v>
      </c>
      <c r="F382" s="263" t="s">
        <v>672</v>
      </c>
    </row>
    <row r="383" spans="1:6">
      <c r="A383" s="263">
        <v>382</v>
      </c>
      <c r="B383" s="263" t="s">
        <v>818</v>
      </c>
      <c r="C383" s="263" t="s">
        <v>819</v>
      </c>
      <c r="D383" s="263" t="s">
        <v>812</v>
      </c>
      <c r="E383" s="263" t="s">
        <v>813</v>
      </c>
      <c r="F383" s="263" t="s">
        <v>672</v>
      </c>
    </row>
    <row r="384" spans="1:6">
      <c r="A384" s="263">
        <v>383</v>
      </c>
      <c r="B384" s="263" t="s">
        <v>820</v>
      </c>
      <c r="C384" s="263" t="s">
        <v>821</v>
      </c>
      <c r="D384" s="263" t="s">
        <v>812</v>
      </c>
      <c r="E384" s="263" t="s">
        <v>813</v>
      </c>
      <c r="F384" s="263" t="s">
        <v>672</v>
      </c>
    </row>
    <row r="385" spans="1:6">
      <c r="A385" s="263">
        <v>384</v>
      </c>
      <c r="B385" s="263" t="s">
        <v>822</v>
      </c>
      <c r="C385" s="263" t="s">
        <v>823</v>
      </c>
      <c r="D385" s="263" t="s">
        <v>812</v>
      </c>
      <c r="E385" s="263" t="s">
        <v>813</v>
      </c>
      <c r="F385" s="263" t="s">
        <v>672</v>
      </c>
    </row>
    <row r="386" spans="1:6">
      <c r="A386" s="263">
        <v>385</v>
      </c>
      <c r="B386" s="263" t="s">
        <v>824</v>
      </c>
      <c r="C386" s="263" t="s">
        <v>384</v>
      </c>
      <c r="D386" s="263" t="s">
        <v>812</v>
      </c>
      <c r="E386" s="263" t="s">
        <v>813</v>
      </c>
      <c r="F386" s="263" t="s">
        <v>672</v>
      </c>
    </row>
    <row r="387" spans="1:6">
      <c r="A387" s="263">
        <v>386</v>
      </c>
      <c r="B387" s="263" t="s">
        <v>825</v>
      </c>
      <c r="C387" s="263" t="s">
        <v>826</v>
      </c>
      <c r="D387" s="263" t="s">
        <v>812</v>
      </c>
      <c r="E387" s="263" t="s">
        <v>813</v>
      </c>
      <c r="F387" s="263" t="s">
        <v>672</v>
      </c>
    </row>
    <row r="388" spans="1:6">
      <c r="A388" s="263">
        <v>387</v>
      </c>
      <c r="B388" s="263" t="s">
        <v>827</v>
      </c>
      <c r="C388" s="263" t="s">
        <v>828</v>
      </c>
      <c r="D388" s="263" t="s">
        <v>812</v>
      </c>
      <c r="E388" s="263" t="s">
        <v>813</v>
      </c>
      <c r="F388" s="263" t="s">
        <v>672</v>
      </c>
    </row>
    <row r="389" spans="1:6">
      <c r="A389" s="263">
        <v>388</v>
      </c>
      <c r="B389" s="263" t="s">
        <v>829</v>
      </c>
      <c r="C389" s="263" t="s">
        <v>830</v>
      </c>
      <c r="D389" s="263" t="s">
        <v>812</v>
      </c>
      <c r="E389" s="263" t="s">
        <v>813</v>
      </c>
      <c r="F389" s="263" t="s">
        <v>672</v>
      </c>
    </row>
    <row r="390" spans="1:6">
      <c r="A390" s="263">
        <v>389</v>
      </c>
      <c r="B390" s="263" t="s">
        <v>831</v>
      </c>
      <c r="C390" s="263" t="s">
        <v>832</v>
      </c>
      <c r="D390" s="263" t="s">
        <v>833</v>
      </c>
      <c r="E390" s="263" t="s">
        <v>834</v>
      </c>
      <c r="F390" s="263" t="s">
        <v>672</v>
      </c>
    </row>
    <row r="391" spans="1:6">
      <c r="A391" s="263">
        <v>390</v>
      </c>
      <c r="B391" s="263" t="s">
        <v>835</v>
      </c>
      <c r="C391" s="263" t="s">
        <v>164</v>
      </c>
      <c r="D391" s="263" t="s">
        <v>833</v>
      </c>
      <c r="E391" s="263" t="s">
        <v>834</v>
      </c>
      <c r="F391" s="263" t="s">
        <v>672</v>
      </c>
    </row>
    <row r="392" spans="1:6">
      <c r="A392" s="263">
        <v>391</v>
      </c>
      <c r="B392" s="263" t="s">
        <v>836</v>
      </c>
      <c r="C392" s="263" t="s">
        <v>373</v>
      </c>
      <c r="D392" s="263" t="s">
        <v>833</v>
      </c>
      <c r="E392" s="263" t="s">
        <v>834</v>
      </c>
      <c r="F392" s="263" t="s">
        <v>672</v>
      </c>
    </row>
    <row r="393" spans="1:6">
      <c r="A393" s="263">
        <v>392</v>
      </c>
      <c r="B393" s="263" t="s">
        <v>837</v>
      </c>
      <c r="C393" s="263" t="s">
        <v>224</v>
      </c>
      <c r="D393" s="263" t="s">
        <v>833</v>
      </c>
      <c r="E393" s="263" t="s">
        <v>834</v>
      </c>
      <c r="F393" s="263" t="s">
        <v>672</v>
      </c>
    </row>
    <row r="394" spans="1:6">
      <c r="A394" s="263">
        <v>393</v>
      </c>
      <c r="B394" s="263" t="s">
        <v>838</v>
      </c>
      <c r="C394" s="263" t="s">
        <v>226</v>
      </c>
      <c r="D394" s="263" t="s">
        <v>833</v>
      </c>
      <c r="E394" s="263" t="s">
        <v>834</v>
      </c>
      <c r="F394" s="263" t="s">
        <v>672</v>
      </c>
    </row>
    <row r="395" spans="1:6">
      <c r="A395" s="263">
        <v>394</v>
      </c>
      <c r="B395" s="263" t="s">
        <v>839</v>
      </c>
      <c r="C395" s="263" t="s">
        <v>840</v>
      </c>
      <c r="D395" s="263" t="s">
        <v>833</v>
      </c>
      <c r="E395" s="263" t="s">
        <v>834</v>
      </c>
      <c r="F395" s="263" t="s">
        <v>672</v>
      </c>
    </row>
    <row r="396" spans="1:6">
      <c r="A396" s="263">
        <v>395</v>
      </c>
      <c r="B396" s="263" t="s">
        <v>841</v>
      </c>
      <c r="C396" s="263" t="s">
        <v>731</v>
      </c>
      <c r="D396" s="263" t="s">
        <v>833</v>
      </c>
      <c r="E396" s="263" t="s">
        <v>834</v>
      </c>
      <c r="F396" s="263" t="s">
        <v>672</v>
      </c>
    </row>
    <row r="397" spans="1:6">
      <c r="A397" s="263">
        <v>396</v>
      </c>
      <c r="B397" s="263" t="s">
        <v>842</v>
      </c>
      <c r="C397" s="263" t="s">
        <v>843</v>
      </c>
      <c r="D397" s="263" t="s">
        <v>833</v>
      </c>
      <c r="E397" s="263" t="s">
        <v>834</v>
      </c>
      <c r="F397" s="263" t="s">
        <v>672</v>
      </c>
    </row>
    <row r="398" spans="1:6">
      <c r="A398" s="263">
        <v>397</v>
      </c>
      <c r="B398" s="263" t="s">
        <v>844</v>
      </c>
      <c r="C398" s="263" t="s">
        <v>845</v>
      </c>
      <c r="D398" s="263" t="s">
        <v>833</v>
      </c>
      <c r="E398" s="263" t="s">
        <v>834</v>
      </c>
      <c r="F398" s="263" t="s">
        <v>672</v>
      </c>
    </row>
    <row r="399" spans="1:6">
      <c r="A399" s="263">
        <v>398</v>
      </c>
      <c r="B399" s="263" t="s">
        <v>846</v>
      </c>
      <c r="C399" s="263" t="s">
        <v>847</v>
      </c>
      <c r="D399" s="263" t="s">
        <v>833</v>
      </c>
      <c r="E399" s="263" t="s">
        <v>834</v>
      </c>
      <c r="F399" s="263" t="s">
        <v>672</v>
      </c>
    </row>
    <row r="400" spans="1:6">
      <c r="A400" s="263">
        <v>399</v>
      </c>
      <c r="B400" s="263" t="s">
        <v>848</v>
      </c>
      <c r="C400" s="263" t="s">
        <v>849</v>
      </c>
      <c r="D400" s="263" t="s">
        <v>833</v>
      </c>
      <c r="E400" s="263" t="s">
        <v>834</v>
      </c>
      <c r="F400" s="263" t="s">
        <v>672</v>
      </c>
    </row>
    <row r="401" spans="1:6">
      <c r="A401" s="263">
        <v>400</v>
      </c>
      <c r="B401" s="263" t="s">
        <v>850</v>
      </c>
      <c r="C401" s="263" t="s">
        <v>851</v>
      </c>
      <c r="D401" s="263" t="s">
        <v>852</v>
      </c>
      <c r="E401" s="263" t="s">
        <v>853</v>
      </c>
      <c r="F401" s="263" t="s">
        <v>672</v>
      </c>
    </row>
    <row r="402" spans="1:6">
      <c r="A402" s="263">
        <v>401</v>
      </c>
      <c r="B402" s="263" t="s">
        <v>854</v>
      </c>
      <c r="C402" s="263" t="s">
        <v>855</v>
      </c>
      <c r="D402" s="263" t="s">
        <v>852</v>
      </c>
      <c r="E402" s="263" t="s">
        <v>853</v>
      </c>
      <c r="F402" s="263" t="s">
        <v>672</v>
      </c>
    </row>
    <row r="403" spans="1:6">
      <c r="A403" s="263">
        <v>402</v>
      </c>
      <c r="B403" s="263" t="s">
        <v>856</v>
      </c>
      <c r="C403" s="263" t="s">
        <v>857</v>
      </c>
      <c r="D403" s="263" t="s">
        <v>852</v>
      </c>
      <c r="E403" s="263" t="s">
        <v>853</v>
      </c>
      <c r="F403" s="263" t="s">
        <v>672</v>
      </c>
    </row>
    <row r="404" spans="1:6">
      <c r="A404" s="263">
        <v>403</v>
      </c>
      <c r="B404" s="263" t="s">
        <v>858</v>
      </c>
      <c r="C404" s="263" t="s">
        <v>859</v>
      </c>
      <c r="D404" s="263" t="s">
        <v>852</v>
      </c>
      <c r="E404" s="263" t="s">
        <v>853</v>
      </c>
      <c r="F404" s="263" t="s">
        <v>672</v>
      </c>
    </row>
    <row r="405" spans="1:6">
      <c r="A405" s="263">
        <v>404</v>
      </c>
      <c r="B405" s="263" t="s">
        <v>860</v>
      </c>
      <c r="C405" s="263" t="s">
        <v>861</v>
      </c>
      <c r="D405" s="263" t="s">
        <v>852</v>
      </c>
      <c r="E405" s="263" t="s">
        <v>853</v>
      </c>
      <c r="F405" s="263" t="s">
        <v>672</v>
      </c>
    </row>
    <row r="406" spans="1:6">
      <c r="A406" s="263">
        <v>405</v>
      </c>
      <c r="B406" s="263" t="s">
        <v>862</v>
      </c>
      <c r="C406" s="263" t="s">
        <v>863</v>
      </c>
      <c r="D406" s="263" t="s">
        <v>852</v>
      </c>
      <c r="E406" s="263" t="s">
        <v>853</v>
      </c>
      <c r="F406" s="263" t="s">
        <v>672</v>
      </c>
    </row>
    <row r="407" spans="1:6">
      <c r="A407" s="263">
        <v>406</v>
      </c>
      <c r="B407" s="263" t="s">
        <v>864</v>
      </c>
      <c r="C407" s="263" t="s">
        <v>865</v>
      </c>
      <c r="D407" s="263" t="s">
        <v>866</v>
      </c>
      <c r="E407" s="263" t="s">
        <v>867</v>
      </c>
      <c r="F407" s="263" t="s">
        <v>672</v>
      </c>
    </row>
    <row r="408" spans="1:6">
      <c r="A408" s="263">
        <v>407</v>
      </c>
      <c r="B408" s="263" t="s">
        <v>868</v>
      </c>
      <c r="C408" s="263" t="s">
        <v>869</v>
      </c>
      <c r="D408" s="263" t="s">
        <v>866</v>
      </c>
      <c r="E408" s="263" t="s">
        <v>867</v>
      </c>
      <c r="F408" s="263" t="s">
        <v>672</v>
      </c>
    </row>
    <row r="409" spans="1:6">
      <c r="A409" s="263">
        <v>408</v>
      </c>
      <c r="B409" s="263" t="s">
        <v>870</v>
      </c>
      <c r="C409" s="263" t="s">
        <v>871</v>
      </c>
      <c r="D409" s="263" t="s">
        <v>866</v>
      </c>
      <c r="E409" s="263" t="s">
        <v>867</v>
      </c>
      <c r="F409" s="263" t="s">
        <v>672</v>
      </c>
    </row>
    <row r="410" spans="1:6">
      <c r="A410" s="263">
        <v>409</v>
      </c>
      <c r="B410" s="263" t="s">
        <v>872</v>
      </c>
      <c r="C410" s="263" t="s">
        <v>873</v>
      </c>
      <c r="D410" s="263" t="s">
        <v>866</v>
      </c>
      <c r="E410" s="263" t="s">
        <v>867</v>
      </c>
      <c r="F410" s="263" t="s">
        <v>672</v>
      </c>
    </row>
    <row r="411" spans="1:6">
      <c r="A411" s="263">
        <v>410</v>
      </c>
      <c r="B411" s="263" t="s">
        <v>874</v>
      </c>
      <c r="C411" s="263" t="s">
        <v>875</v>
      </c>
      <c r="D411" s="263" t="s">
        <v>866</v>
      </c>
      <c r="E411" s="263" t="s">
        <v>867</v>
      </c>
      <c r="F411" s="263" t="s">
        <v>672</v>
      </c>
    </row>
    <row r="412" spans="1:6">
      <c r="A412" s="263">
        <v>411</v>
      </c>
      <c r="B412" s="263" t="s">
        <v>876</v>
      </c>
      <c r="C412" s="263" t="s">
        <v>114</v>
      </c>
      <c r="D412" s="263" t="s">
        <v>866</v>
      </c>
      <c r="E412" s="263" t="s">
        <v>867</v>
      </c>
      <c r="F412" s="263" t="s">
        <v>672</v>
      </c>
    </row>
    <row r="413" spans="1:6">
      <c r="A413" s="263">
        <v>412</v>
      </c>
      <c r="B413" s="263" t="s">
        <v>877</v>
      </c>
      <c r="C413" s="263" t="s">
        <v>878</v>
      </c>
      <c r="D413" s="263" t="s">
        <v>866</v>
      </c>
      <c r="E413" s="263" t="s">
        <v>867</v>
      </c>
      <c r="F413" s="263" t="s">
        <v>672</v>
      </c>
    </row>
    <row r="414" spans="1:6">
      <c r="A414" s="263">
        <v>413</v>
      </c>
      <c r="B414" s="263" t="s">
        <v>879</v>
      </c>
      <c r="C414" s="263" t="s">
        <v>479</v>
      </c>
      <c r="D414" s="263" t="s">
        <v>880</v>
      </c>
      <c r="E414" s="263" t="s">
        <v>881</v>
      </c>
      <c r="F414" s="263" t="s">
        <v>672</v>
      </c>
    </row>
    <row r="415" spans="1:6">
      <c r="A415" s="263">
        <v>414</v>
      </c>
      <c r="B415" s="263" t="s">
        <v>882</v>
      </c>
      <c r="C415" s="263" t="s">
        <v>883</v>
      </c>
      <c r="D415" s="263" t="s">
        <v>880</v>
      </c>
      <c r="E415" s="263" t="s">
        <v>881</v>
      </c>
      <c r="F415" s="263" t="s">
        <v>672</v>
      </c>
    </row>
    <row r="416" spans="1:6">
      <c r="A416" s="263">
        <v>415</v>
      </c>
      <c r="B416" s="263" t="s">
        <v>884</v>
      </c>
      <c r="C416" s="263" t="s">
        <v>885</v>
      </c>
      <c r="D416" s="263" t="s">
        <v>880</v>
      </c>
      <c r="E416" s="263" t="s">
        <v>881</v>
      </c>
      <c r="F416" s="263" t="s">
        <v>672</v>
      </c>
    </row>
    <row r="417" spans="1:6">
      <c r="A417" s="263">
        <v>416</v>
      </c>
      <c r="B417" s="263" t="s">
        <v>886</v>
      </c>
      <c r="C417" s="263" t="s">
        <v>887</v>
      </c>
      <c r="D417" s="263" t="s">
        <v>880</v>
      </c>
      <c r="E417" s="263" t="s">
        <v>881</v>
      </c>
      <c r="F417" s="263" t="s">
        <v>672</v>
      </c>
    </row>
    <row r="418" spans="1:6">
      <c r="A418" s="263">
        <v>417</v>
      </c>
      <c r="B418" s="263" t="s">
        <v>888</v>
      </c>
      <c r="C418" s="263" t="s">
        <v>889</v>
      </c>
      <c r="D418" s="263" t="s">
        <v>880</v>
      </c>
      <c r="E418" s="263" t="s">
        <v>881</v>
      </c>
      <c r="F418" s="263" t="s">
        <v>672</v>
      </c>
    </row>
    <row r="419" spans="1:6">
      <c r="A419" s="263">
        <v>418</v>
      </c>
      <c r="B419" s="263" t="s">
        <v>890</v>
      </c>
      <c r="C419" s="263" t="s">
        <v>353</v>
      </c>
      <c r="D419" s="263" t="s">
        <v>880</v>
      </c>
      <c r="E419" s="263" t="s">
        <v>881</v>
      </c>
      <c r="F419" s="263" t="s">
        <v>672</v>
      </c>
    </row>
    <row r="420" spans="1:6">
      <c r="A420" s="263">
        <v>419</v>
      </c>
      <c r="B420" s="263" t="s">
        <v>891</v>
      </c>
      <c r="C420" s="263" t="s">
        <v>892</v>
      </c>
      <c r="D420" s="263" t="s">
        <v>880</v>
      </c>
      <c r="E420" s="263" t="s">
        <v>881</v>
      </c>
      <c r="F420" s="263" t="s">
        <v>672</v>
      </c>
    </row>
    <row r="421" spans="1:6">
      <c r="A421" s="263">
        <v>420</v>
      </c>
      <c r="B421" s="263" t="s">
        <v>893</v>
      </c>
      <c r="C421" s="263" t="s">
        <v>894</v>
      </c>
      <c r="D421" s="263" t="s">
        <v>880</v>
      </c>
      <c r="E421" s="263" t="s">
        <v>881</v>
      </c>
      <c r="F421" s="263" t="s">
        <v>672</v>
      </c>
    </row>
    <row r="422" spans="1:6">
      <c r="A422" s="263">
        <v>421</v>
      </c>
      <c r="B422" s="263" t="s">
        <v>895</v>
      </c>
      <c r="C422" s="263" t="s">
        <v>896</v>
      </c>
      <c r="D422" s="263" t="s">
        <v>897</v>
      </c>
      <c r="E422" s="263" t="s">
        <v>898</v>
      </c>
      <c r="F422" s="263" t="s">
        <v>899</v>
      </c>
    </row>
    <row r="423" spans="1:6">
      <c r="A423" s="263">
        <v>422</v>
      </c>
      <c r="B423" s="263" t="s">
        <v>900</v>
      </c>
      <c r="C423" s="263" t="s">
        <v>901</v>
      </c>
      <c r="D423" s="263" t="s">
        <v>897</v>
      </c>
      <c r="E423" s="263" t="s">
        <v>898</v>
      </c>
      <c r="F423" s="263" t="s">
        <v>899</v>
      </c>
    </row>
    <row r="424" spans="1:6">
      <c r="A424" s="263">
        <v>423</v>
      </c>
      <c r="B424" s="263" t="s">
        <v>902</v>
      </c>
      <c r="C424" s="263" t="s">
        <v>903</v>
      </c>
      <c r="D424" s="263" t="s">
        <v>897</v>
      </c>
      <c r="E424" s="263" t="s">
        <v>898</v>
      </c>
      <c r="F424" s="263" t="s">
        <v>899</v>
      </c>
    </row>
    <row r="425" spans="1:6">
      <c r="A425" s="263">
        <v>424</v>
      </c>
      <c r="B425" s="263" t="s">
        <v>904</v>
      </c>
      <c r="C425" s="263" t="s">
        <v>905</v>
      </c>
      <c r="D425" s="263" t="s">
        <v>897</v>
      </c>
      <c r="E425" s="263" t="s">
        <v>898</v>
      </c>
      <c r="F425" s="263" t="s">
        <v>899</v>
      </c>
    </row>
    <row r="426" spans="1:6">
      <c r="A426" s="263">
        <v>425</v>
      </c>
      <c r="B426" s="263" t="s">
        <v>906</v>
      </c>
      <c r="C426" s="263" t="s">
        <v>907</v>
      </c>
      <c r="D426" s="263" t="s">
        <v>897</v>
      </c>
      <c r="E426" s="263" t="s">
        <v>898</v>
      </c>
      <c r="F426" s="263" t="s">
        <v>899</v>
      </c>
    </row>
    <row r="427" spans="1:6">
      <c r="A427" s="263">
        <v>426</v>
      </c>
      <c r="B427" s="263" t="s">
        <v>908</v>
      </c>
      <c r="C427" s="263" t="s">
        <v>909</v>
      </c>
      <c r="D427" s="263" t="s">
        <v>897</v>
      </c>
      <c r="E427" s="263" t="s">
        <v>898</v>
      </c>
      <c r="F427" s="263" t="s">
        <v>899</v>
      </c>
    </row>
    <row r="428" spans="1:6">
      <c r="A428" s="263">
        <v>427</v>
      </c>
      <c r="B428" s="263" t="s">
        <v>910</v>
      </c>
      <c r="C428" s="263" t="s">
        <v>911</v>
      </c>
      <c r="D428" s="263" t="s">
        <v>897</v>
      </c>
      <c r="E428" s="263" t="s">
        <v>898</v>
      </c>
      <c r="F428" s="263" t="s">
        <v>899</v>
      </c>
    </row>
    <row r="429" spans="1:6">
      <c r="A429" s="263">
        <v>428</v>
      </c>
      <c r="B429" s="263" t="s">
        <v>912</v>
      </c>
      <c r="C429" s="263" t="s">
        <v>913</v>
      </c>
      <c r="D429" s="263" t="s">
        <v>897</v>
      </c>
      <c r="E429" s="263" t="s">
        <v>898</v>
      </c>
      <c r="F429" s="263" t="s">
        <v>899</v>
      </c>
    </row>
    <row r="430" spans="1:6">
      <c r="A430" s="263">
        <v>429</v>
      </c>
      <c r="B430" s="263" t="s">
        <v>914</v>
      </c>
      <c r="C430" s="263" t="s">
        <v>915</v>
      </c>
      <c r="D430" s="263" t="s">
        <v>897</v>
      </c>
      <c r="E430" s="263" t="s">
        <v>898</v>
      </c>
      <c r="F430" s="263" t="s">
        <v>899</v>
      </c>
    </row>
    <row r="431" spans="1:6">
      <c r="A431" s="263">
        <v>430</v>
      </c>
      <c r="B431" s="263" t="s">
        <v>916</v>
      </c>
      <c r="C431" s="263" t="s">
        <v>917</v>
      </c>
      <c r="D431" s="263" t="s">
        <v>897</v>
      </c>
      <c r="E431" s="263" t="s">
        <v>898</v>
      </c>
      <c r="F431" s="263" t="s">
        <v>899</v>
      </c>
    </row>
    <row r="432" spans="1:6">
      <c r="A432" s="263">
        <v>431</v>
      </c>
      <c r="B432" s="263" t="s">
        <v>918</v>
      </c>
      <c r="C432" s="263" t="s">
        <v>919</v>
      </c>
      <c r="D432" s="263" t="s">
        <v>897</v>
      </c>
      <c r="E432" s="263" t="s">
        <v>898</v>
      </c>
      <c r="F432" s="263" t="s">
        <v>899</v>
      </c>
    </row>
    <row r="433" spans="1:6">
      <c r="A433" s="263">
        <v>432</v>
      </c>
      <c r="B433" s="263" t="s">
        <v>920</v>
      </c>
      <c r="C433" s="263" t="s">
        <v>921</v>
      </c>
      <c r="D433" s="263" t="s">
        <v>897</v>
      </c>
      <c r="E433" s="263" t="s">
        <v>898</v>
      </c>
      <c r="F433" s="263" t="s">
        <v>899</v>
      </c>
    </row>
    <row r="434" spans="1:6">
      <c r="A434" s="263">
        <v>433</v>
      </c>
      <c r="B434" s="263" t="s">
        <v>922</v>
      </c>
      <c r="C434" s="263" t="s">
        <v>923</v>
      </c>
      <c r="D434" s="263" t="s">
        <v>897</v>
      </c>
      <c r="E434" s="263" t="s">
        <v>898</v>
      </c>
      <c r="F434" s="263" t="s">
        <v>899</v>
      </c>
    </row>
    <row r="435" spans="1:6">
      <c r="A435" s="263">
        <v>434</v>
      </c>
      <c r="B435" s="263" t="s">
        <v>924</v>
      </c>
      <c r="C435" s="263" t="s">
        <v>925</v>
      </c>
      <c r="D435" s="263" t="s">
        <v>897</v>
      </c>
      <c r="E435" s="263" t="s">
        <v>898</v>
      </c>
      <c r="F435" s="263" t="s">
        <v>899</v>
      </c>
    </row>
    <row r="436" spans="1:6">
      <c r="A436" s="263">
        <v>435</v>
      </c>
      <c r="B436" s="263" t="s">
        <v>926</v>
      </c>
      <c r="C436" s="263" t="s">
        <v>927</v>
      </c>
      <c r="D436" s="263" t="s">
        <v>897</v>
      </c>
      <c r="E436" s="263" t="s">
        <v>898</v>
      </c>
      <c r="F436" s="263" t="s">
        <v>899</v>
      </c>
    </row>
    <row r="437" spans="1:6">
      <c r="A437" s="263">
        <v>436</v>
      </c>
      <c r="B437" s="263" t="s">
        <v>928</v>
      </c>
      <c r="C437" s="263" t="s">
        <v>929</v>
      </c>
      <c r="D437" s="263" t="s">
        <v>897</v>
      </c>
      <c r="E437" s="263" t="s">
        <v>898</v>
      </c>
      <c r="F437" s="263" t="s">
        <v>899</v>
      </c>
    </row>
    <row r="438" spans="1:6">
      <c r="A438" s="263">
        <v>437</v>
      </c>
      <c r="B438" s="263" t="s">
        <v>930</v>
      </c>
      <c r="C438" s="263" t="s">
        <v>931</v>
      </c>
      <c r="D438" s="263" t="s">
        <v>897</v>
      </c>
      <c r="E438" s="263" t="s">
        <v>898</v>
      </c>
      <c r="F438" s="263" t="s">
        <v>899</v>
      </c>
    </row>
    <row r="439" spans="1:6">
      <c r="A439" s="263">
        <v>438</v>
      </c>
      <c r="B439" s="263" t="s">
        <v>932</v>
      </c>
      <c r="C439" s="263" t="s">
        <v>933</v>
      </c>
      <c r="D439" s="263" t="s">
        <v>897</v>
      </c>
      <c r="E439" s="263" t="s">
        <v>898</v>
      </c>
      <c r="F439" s="263" t="s">
        <v>899</v>
      </c>
    </row>
    <row r="440" spans="1:6">
      <c r="A440" s="263">
        <v>439</v>
      </c>
      <c r="B440" s="263" t="s">
        <v>934</v>
      </c>
      <c r="C440" s="263" t="s">
        <v>373</v>
      </c>
      <c r="D440" s="263" t="s">
        <v>897</v>
      </c>
      <c r="E440" s="263" t="s">
        <v>898</v>
      </c>
      <c r="F440" s="263" t="s">
        <v>899</v>
      </c>
    </row>
    <row r="441" spans="1:6">
      <c r="A441" s="263">
        <v>440</v>
      </c>
      <c r="B441" s="263" t="s">
        <v>935</v>
      </c>
      <c r="C441" s="263" t="s">
        <v>351</v>
      </c>
      <c r="D441" s="263" t="s">
        <v>897</v>
      </c>
      <c r="E441" s="263" t="s">
        <v>898</v>
      </c>
      <c r="F441" s="263" t="s">
        <v>899</v>
      </c>
    </row>
    <row r="442" spans="1:6">
      <c r="A442" s="263">
        <v>441</v>
      </c>
      <c r="B442" s="263" t="s">
        <v>936</v>
      </c>
      <c r="C442" s="263" t="s">
        <v>937</v>
      </c>
      <c r="D442" s="263" t="s">
        <v>897</v>
      </c>
      <c r="E442" s="263" t="s">
        <v>898</v>
      </c>
      <c r="F442" s="263" t="s">
        <v>899</v>
      </c>
    </row>
    <row r="443" spans="1:6">
      <c r="A443" s="263">
        <v>442</v>
      </c>
      <c r="B443" s="263" t="s">
        <v>938</v>
      </c>
      <c r="C443" s="263" t="s">
        <v>939</v>
      </c>
      <c r="D443" s="263" t="s">
        <v>897</v>
      </c>
      <c r="E443" s="263" t="s">
        <v>898</v>
      </c>
      <c r="F443" s="263" t="s">
        <v>899</v>
      </c>
    </row>
    <row r="444" spans="1:6">
      <c r="A444" s="263">
        <v>443</v>
      </c>
      <c r="B444" s="263" t="s">
        <v>940</v>
      </c>
      <c r="C444" s="263" t="s">
        <v>82</v>
      </c>
      <c r="D444" s="263" t="s">
        <v>897</v>
      </c>
      <c r="E444" s="263" t="s">
        <v>898</v>
      </c>
      <c r="F444" s="263" t="s">
        <v>899</v>
      </c>
    </row>
    <row r="445" spans="1:6">
      <c r="A445" s="263">
        <v>444</v>
      </c>
      <c r="B445" s="263" t="s">
        <v>941</v>
      </c>
      <c r="C445" s="263" t="s">
        <v>336</v>
      </c>
      <c r="D445" s="263" t="s">
        <v>897</v>
      </c>
      <c r="E445" s="263" t="s">
        <v>898</v>
      </c>
      <c r="F445" s="263" t="s">
        <v>899</v>
      </c>
    </row>
    <row r="446" spans="1:6">
      <c r="A446" s="263">
        <v>445</v>
      </c>
      <c r="B446" s="263" t="s">
        <v>942</v>
      </c>
      <c r="C446" s="263" t="s">
        <v>943</v>
      </c>
      <c r="D446" s="263" t="s">
        <v>944</v>
      </c>
      <c r="E446" s="263" t="s">
        <v>945</v>
      </c>
      <c r="F446" s="263" t="s">
        <v>899</v>
      </c>
    </row>
    <row r="447" spans="1:6">
      <c r="A447" s="263">
        <v>446</v>
      </c>
      <c r="B447" s="263" t="s">
        <v>946</v>
      </c>
      <c r="C447" s="263" t="s">
        <v>669</v>
      </c>
      <c r="D447" s="263" t="s">
        <v>944</v>
      </c>
      <c r="E447" s="263" t="s">
        <v>945</v>
      </c>
      <c r="F447" s="263" t="s">
        <v>899</v>
      </c>
    </row>
    <row r="448" spans="1:6">
      <c r="A448" s="263">
        <v>447</v>
      </c>
      <c r="B448" s="263" t="s">
        <v>947</v>
      </c>
      <c r="C448" s="263" t="s">
        <v>948</v>
      </c>
      <c r="D448" s="263" t="s">
        <v>944</v>
      </c>
      <c r="E448" s="263" t="s">
        <v>945</v>
      </c>
      <c r="F448" s="263" t="s">
        <v>899</v>
      </c>
    </row>
    <row r="449" spans="1:6">
      <c r="A449" s="263">
        <v>448</v>
      </c>
      <c r="B449" s="263" t="s">
        <v>949</v>
      </c>
      <c r="C449" s="263" t="s">
        <v>950</v>
      </c>
      <c r="D449" s="263" t="s">
        <v>944</v>
      </c>
      <c r="E449" s="263" t="s">
        <v>945</v>
      </c>
      <c r="F449" s="263" t="s">
        <v>899</v>
      </c>
    </row>
    <row r="450" spans="1:6">
      <c r="A450" s="263">
        <v>449</v>
      </c>
      <c r="B450" s="263" t="s">
        <v>951</v>
      </c>
      <c r="C450" s="263" t="s">
        <v>807</v>
      </c>
      <c r="D450" s="263" t="s">
        <v>944</v>
      </c>
      <c r="E450" s="263" t="s">
        <v>945</v>
      </c>
      <c r="F450" s="263" t="s">
        <v>899</v>
      </c>
    </row>
    <row r="451" spans="1:6">
      <c r="A451" s="263">
        <v>450</v>
      </c>
      <c r="B451" s="263" t="s">
        <v>952</v>
      </c>
      <c r="C451" s="263" t="s">
        <v>144</v>
      </c>
      <c r="D451" s="263" t="s">
        <v>944</v>
      </c>
      <c r="E451" s="263" t="s">
        <v>945</v>
      </c>
      <c r="F451" s="263" t="s">
        <v>899</v>
      </c>
    </row>
    <row r="452" spans="1:6">
      <c r="A452" s="263">
        <v>451</v>
      </c>
      <c r="B452" s="263" t="s">
        <v>953</v>
      </c>
      <c r="C452" s="263" t="s">
        <v>954</v>
      </c>
      <c r="D452" s="263" t="s">
        <v>944</v>
      </c>
      <c r="E452" s="263" t="s">
        <v>945</v>
      </c>
      <c r="F452" s="263" t="s">
        <v>899</v>
      </c>
    </row>
    <row r="453" spans="1:6">
      <c r="A453" s="263">
        <v>452</v>
      </c>
      <c r="B453" s="263" t="s">
        <v>955</v>
      </c>
      <c r="C453" s="263" t="s">
        <v>156</v>
      </c>
      <c r="D453" s="263" t="s">
        <v>944</v>
      </c>
      <c r="E453" s="263" t="s">
        <v>945</v>
      </c>
      <c r="F453" s="263" t="s">
        <v>899</v>
      </c>
    </row>
    <row r="454" spans="1:6">
      <c r="A454" s="263">
        <v>453</v>
      </c>
      <c r="B454" s="263" t="s">
        <v>956</v>
      </c>
      <c r="C454" s="263" t="s">
        <v>182</v>
      </c>
      <c r="D454" s="263" t="s">
        <v>944</v>
      </c>
      <c r="E454" s="263" t="s">
        <v>945</v>
      </c>
      <c r="F454" s="263" t="s">
        <v>899</v>
      </c>
    </row>
    <row r="455" spans="1:6">
      <c r="A455" s="263">
        <v>454</v>
      </c>
      <c r="B455" s="263" t="s">
        <v>957</v>
      </c>
      <c r="C455" s="263" t="s">
        <v>958</v>
      </c>
      <c r="D455" s="263" t="s">
        <v>944</v>
      </c>
      <c r="E455" s="263" t="s">
        <v>945</v>
      </c>
      <c r="F455" s="263" t="s">
        <v>899</v>
      </c>
    </row>
    <row r="456" spans="1:6">
      <c r="A456" s="263">
        <v>455</v>
      </c>
      <c r="B456" s="263" t="s">
        <v>959</v>
      </c>
      <c r="C456" s="263" t="s">
        <v>960</v>
      </c>
      <c r="D456" s="263" t="s">
        <v>944</v>
      </c>
      <c r="E456" s="263" t="s">
        <v>945</v>
      </c>
      <c r="F456" s="263" t="s">
        <v>899</v>
      </c>
    </row>
    <row r="457" spans="1:6">
      <c r="A457" s="263">
        <v>456</v>
      </c>
      <c r="B457" s="263" t="s">
        <v>961</v>
      </c>
      <c r="C457" s="263" t="s">
        <v>962</v>
      </c>
      <c r="D457" s="263" t="s">
        <v>944</v>
      </c>
      <c r="E457" s="263" t="s">
        <v>945</v>
      </c>
      <c r="F457" s="263" t="s">
        <v>899</v>
      </c>
    </row>
    <row r="458" spans="1:6">
      <c r="A458" s="263">
        <v>457</v>
      </c>
      <c r="B458" s="263" t="s">
        <v>963</v>
      </c>
      <c r="C458" s="263" t="s">
        <v>964</v>
      </c>
      <c r="D458" s="263" t="s">
        <v>944</v>
      </c>
      <c r="E458" s="263" t="s">
        <v>945</v>
      </c>
      <c r="F458" s="263" t="s">
        <v>899</v>
      </c>
    </row>
    <row r="459" spans="1:6">
      <c r="A459" s="263">
        <v>458</v>
      </c>
      <c r="B459" s="263" t="s">
        <v>965</v>
      </c>
      <c r="C459" s="263" t="s">
        <v>966</v>
      </c>
      <c r="D459" s="263" t="s">
        <v>944</v>
      </c>
      <c r="E459" s="263" t="s">
        <v>945</v>
      </c>
      <c r="F459" s="263" t="s">
        <v>899</v>
      </c>
    </row>
    <row r="460" spans="1:6">
      <c r="A460" s="263">
        <v>459</v>
      </c>
      <c r="B460" s="263" t="s">
        <v>967</v>
      </c>
      <c r="C460" s="263" t="s">
        <v>968</v>
      </c>
      <c r="D460" s="263" t="s">
        <v>944</v>
      </c>
      <c r="E460" s="263" t="s">
        <v>945</v>
      </c>
      <c r="F460" s="263" t="s">
        <v>899</v>
      </c>
    </row>
    <row r="461" spans="1:6">
      <c r="A461" s="263">
        <v>460</v>
      </c>
      <c r="B461" s="263" t="s">
        <v>969</v>
      </c>
      <c r="C461" s="263" t="s">
        <v>970</v>
      </c>
      <c r="D461" s="263" t="s">
        <v>944</v>
      </c>
      <c r="E461" s="263" t="s">
        <v>945</v>
      </c>
      <c r="F461" s="263" t="s">
        <v>899</v>
      </c>
    </row>
    <row r="462" spans="1:6">
      <c r="A462" s="263">
        <v>461</v>
      </c>
      <c r="B462" s="263" t="s">
        <v>971</v>
      </c>
      <c r="C462" s="263" t="s">
        <v>972</v>
      </c>
      <c r="D462" s="263" t="s">
        <v>944</v>
      </c>
      <c r="E462" s="263" t="s">
        <v>945</v>
      </c>
      <c r="F462" s="263" t="s">
        <v>899</v>
      </c>
    </row>
    <row r="463" spans="1:6">
      <c r="A463" s="263">
        <v>462</v>
      </c>
      <c r="B463" s="263" t="s">
        <v>973</v>
      </c>
      <c r="C463" s="263" t="s">
        <v>974</v>
      </c>
      <c r="D463" s="263" t="s">
        <v>944</v>
      </c>
      <c r="E463" s="263" t="s">
        <v>945</v>
      </c>
      <c r="F463" s="263" t="s">
        <v>899</v>
      </c>
    </row>
    <row r="464" spans="1:6">
      <c r="A464" s="263">
        <v>463</v>
      </c>
      <c r="B464" s="263" t="s">
        <v>975</v>
      </c>
      <c r="C464" s="263" t="s">
        <v>976</v>
      </c>
      <c r="D464" s="263" t="s">
        <v>944</v>
      </c>
      <c r="E464" s="263" t="s">
        <v>945</v>
      </c>
      <c r="F464" s="263" t="s">
        <v>899</v>
      </c>
    </row>
    <row r="465" spans="1:6">
      <c r="A465" s="263">
        <v>464</v>
      </c>
      <c r="B465" s="263" t="s">
        <v>977</v>
      </c>
      <c r="C465" s="263" t="s">
        <v>978</v>
      </c>
      <c r="D465" s="263" t="s">
        <v>944</v>
      </c>
      <c r="E465" s="263" t="s">
        <v>945</v>
      </c>
      <c r="F465" s="263" t="s">
        <v>899</v>
      </c>
    </row>
    <row r="466" spans="1:6">
      <c r="A466" s="263">
        <v>465</v>
      </c>
      <c r="B466" s="263" t="s">
        <v>979</v>
      </c>
      <c r="C466" s="263" t="s">
        <v>980</v>
      </c>
      <c r="D466" s="263" t="s">
        <v>981</v>
      </c>
      <c r="E466" s="263" t="s">
        <v>68</v>
      </c>
      <c r="F466" s="263" t="s">
        <v>899</v>
      </c>
    </row>
    <row r="467" spans="1:6">
      <c r="A467" s="263">
        <v>466</v>
      </c>
      <c r="B467" s="263" t="s">
        <v>982</v>
      </c>
      <c r="C467" s="263" t="s">
        <v>903</v>
      </c>
      <c r="D467" s="263" t="s">
        <v>981</v>
      </c>
      <c r="E467" s="263" t="s">
        <v>68</v>
      </c>
      <c r="F467" s="263" t="s">
        <v>899</v>
      </c>
    </row>
    <row r="468" spans="1:6">
      <c r="A468" s="263">
        <v>467</v>
      </c>
      <c r="B468" s="263" t="s">
        <v>983</v>
      </c>
      <c r="C468" s="263" t="s">
        <v>984</v>
      </c>
      <c r="D468" s="263" t="s">
        <v>981</v>
      </c>
      <c r="E468" s="263" t="s">
        <v>68</v>
      </c>
      <c r="F468" s="263" t="s">
        <v>899</v>
      </c>
    </row>
    <row r="469" spans="1:6">
      <c r="A469" s="263">
        <v>468</v>
      </c>
      <c r="B469" s="263" t="s">
        <v>985</v>
      </c>
      <c r="C469" s="263" t="s">
        <v>986</v>
      </c>
      <c r="D469" s="263" t="s">
        <v>981</v>
      </c>
      <c r="E469" s="263" t="s">
        <v>68</v>
      </c>
      <c r="F469" s="263" t="s">
        <v>899</v>
      </c>
    </row>
    <row r="470" spans="1:6">
      <c r="A470" s="263">
        <v>469</v>
      </c>
      <c r="B470" s="263" t="s">
        <v>987</v>
      </c>
      <c r="C470" s="263" t="s">
        <v>988</v>
      </c>
      <c r="D470" s="263" t="s">
        <v>981</v>
      </c>
      <c r="E470" s="263" t="s">
        <v>68</v>
      </c>
      <c r="F470" s="263" t="s">
        <v>899</v>
      </c>
    </row>
    <row r="471" spans="1:6">
      <c r="A471" s="263">
        <v>470</v>
      </c>
      <c r="B471" s="263" t="s">
        <v>989</v>
      </c>
      <c r="C471" s="263" t="s">
        <v>990</v>
      </c>
      <c r="D471" s="263" t="s">
        <v>981</v>
      </c>
      <c r="E471" s="263" t="s">
        <v>68</v>
      </c>
      <c r="F471" s="263" t="s">
        <v>899</v>
      </c>
    </row>
    <row r="472" spans="1:6">
      <c r="A472" s="263">
        <v>471</v>
      </c>
      <c r="B472" s="263" t="s">
        <v>991</v>
      </c>
      <c r="C472" s="263" t="s">
        <v>992</v>
      </c>
      <c r="D472" s="263" t="s">
        <v>981</v>
      </c>
      <c r="E472" s="263" t="s">
        <v>68</v>
      </c>
      <c r="F472" s="263" t="s">
        <v>899</v>
      </c>
    </row>
    <row r="473" spans="1:6">
      <c r="A473" s="263">
        <v>472</v>
      </c>
      <c r="B473" s="263" t="s">
        <v>993</v>
      </c>
      <c r="C473" s="263" t="s">
        <v>994</v>
      </c>
      <c r="D473" s="263" t="s">
        <v>981</v>
      </c>
      <c r="E473" s="263" t="s">
        <v>68</v>
      </c>
      <c r="F473" s="263" t="s">
        <v>899</v>
      </c>
    </row>
    <row r="474" spans="1:6">
      <c r="A474" s="263">
        <v>473</v>
      </c>
      <c r="B474" s="263" t="s">
        <v>995</v>
      </c>
      <c r="C474" s="263" t="s">
        <v>996</v>
      </c>
      <c r="D474" s="263" t="s">
        <v>981</v>
      </c>
      <c r="E474" s="263" t="s">
        <v>68</v>
      </c>
      <c r="F474" s="263" t="s">
        <v>899</v>
      </c>
    </row>
    <row r="475" spans="1:6">
      <c r="A475" s="263">
        <v>474</v>
      </c>
      <c r="B475" s="263" t="s">
        <v>997</v>
      </c>
      <c r="C475" s="263" t="s">
        <v>998</v>
      </c>
      <c r="D475" s="263" t="s">
        <v>981</v>
      </c>
      <c r="E475" s="263" t="s">
        <v>68</v>
      </c>
      <c r="F475" s="263" t="s">
        <v>899</v>
      </c>
    </row>
    <row r="476" spans="1:6">
      <c r="A476" s="263">
        <v>475</v>
      </c>
      <c r="B476" s="263" t="s">
        <v>999</v>
      </c>
      <c r="C476" s="263" t="s">
        <v>1000</v>
      </c>
      <c r="D476" s="263" t="s">
        <v>981</v>
      </c>
      <c r="E476" s="263" t="s">
        <v>68</v>
      </c>
      <c r="F476" s="263" t="s">
        <v>899</v>
      </c>
    </row>
    <row r="477" spans="1:6">
      <c r="A477" s="263">
        <v>476</v>
      </c>
      <c r="B477" s="263" t="s">
        <v>1001</v>
      </c>
      <c r="C477" s="263" t="s">
        <v>1002</v>
      </c>
      <c r="D477" s="263" t="s">
        <v>981</v>
      </c>
      <c r="E477" s="263" t="s">
        <v>68</v>
      </c>
      <c r="F477" s="263" t="s">
        <v>899</v>
      </c>
    </row>
    <row r="478" spans="1:6">
      <c r="A478" s="263">
        <v>477</v>
      </c>
      <c r="B478" s="263" t="s">
        <v>1003</v>
      </c>
      <c r="C478" s="263" t="s">
        <v>1004</v>
      </c>
      <c r="D478" s="263" t="s">
        <v>981</v>
      </c>
      <c r="E478" s="263" t="s">
        <v>68</v>
      </c>
      <c r="F478" s="263" t="s">
        <v>899</v>
      </c>
    </row>
    <row r="479" spans="1:6">
      <c r="A479" s="263">
        <v>478</v>
      </c>
      <c r="B479" s="263" t="s">
        <v>1005</v>
      </c>
      <c r="C479" s="263" t="s">
        <v>1006</v>
      </c>
      <c r="D479" s="263" t="s">
        <v>981</v>
      </c>
      <c r="E479" s="263" t="s">
        <v>68</v>
      </c>
      <c r="F479" s="263" t="s">
        <v>899</v>
      </c>
    </row>
    <row r="480" spans="1:6">
      <c r="A480" s="263">
        <v>479</v>
      </c>
      <c r="B480" s="263" t="s">
        <v>1007</v>
      </c>
      <c r="C480" s="263" t="s">
        <v>1008</v>
      </c>
      <c r="D480" s="263" t="s">
        <v>981</v>
      </c>
      <c r="E480" s="263" t="s">
        <v>68</v>
      </c>
      <c r="F480" s="263" t="s">
        <v>899</v>
      </c>
    </row>
    <row r="481" spans="1:6">
      <c r="A481" s="263">
        <v>480</v>
      </c>
      <c r="B481" s="263" t="s">
        <v>1009</v>
      </c>
      <c r="C481" s="263" t="s">
        <v>1010</v>
      </c>
      <c r="D481" s="263" t="s">
        <v>981</v>
      </c>
      <c r="E481" s="263" t="s">
        <v>68</v>
      </c>
      <c r="F481" s="263" t="s">
        <v>899</v>
      </c>
    </row>
    <row r="482" spans="1:6">
      <c r="A482" s="263">
        <v>481</v>
      </c>
      <c r="B482" s="263" t="s">
        <v>1011</v>
      </c>
      <c r="C482" s="263" t="s">
        <v>80</v>
      </c>
      <c r="D482" s="263" t="s">
        <v>981</v>
      </c>
      <c r="E482" s="263" t="s">
        <v>68</v>
      </c>
      <c r="F482" s="263" t="s">
        <v>899</v>
      </c>
    </row>
    <row r="483" spans="1:6">
      <c r="A483" s="263">
        <v>482</v>
      </c>
      <c r="B483" s="263" t="s">
        <v>1012</v>
      </c>
      <c r="C483" s="263" t="s">
        <v>1013</v>
      </c>
      <c r="D483" s="263" t="s">
        <v>981</v>
      </c>
      <c r="E483" s="263" t="s">
        <v>68</v>
      </c>
      <c r="F483" s="263" t="s">
        <v>899</v>
      </c>
    </row>
    <row r="484" spans="1:6">
      <c r="A484" s="263">
        <v>483</v>
      </c>
      <c r="B484" s="263" t="s">
        <v>1014</v>
      </c>
      <c r="C484" s="263" t="s">
        <v>1015</v>
      </c>
      <c r="D484" s="263" t="s">
        <v>981</v>
      </c>
      <c r="E484" s="263" t="s">
        <v>68</v>
      </c>
      <c r="F484" s="263" t="s">
        <v>899</v>
      </c>
    </row>
    <row r="485" spans="1:6">
      <c r="A485" s="263">
        <v>484</v>
      </c>
      <c r="B485" s="263" t="s">
        <v>1016</v>
      </c>
      <c r="C485" s="263" t="s">
        <v>1017</v>
      </c>
      <c r="D485" s="263" t="s">
        <v>981</v>
      </c>
      <c r="E485" s="263" t="s">
        <v>68</v>
      </c>
      <c r="F485" s="263" t="s">
        <v>899</v>
      </c>
    </row>
    <row r="486" spans="1:6">
      <c r="A486" s="263">
        <v>485</v>
      </c>
      <c r="B486" s="263" t="s">
        <v>1018</v>
      </c>
      <c r="C486" s="263" t="s">
        <v>1019</v>
      </c>
      <c r="D486" s="263" t="s">
        <v>981</v>
      </c>
      <c r="E486" s="263" t="s">
        <v>68</v>
      </c>
      <c r="F486" s="263" t="s">
        <v>899</v>
      </c>
    </row>
    <row r="487" spans="1:6">
      <c r="A487" s="263">
        <v>486</v>
      </c>
      <c r="B487" s="263" t="s">
        <v>1020</v>
      </c>
      <c r="C487" s="263" t="s">
        <v>1021</v>
      </c>
      <c r="D487" s="263" t="s">
        <v>981</v>
      </c>
      <c r="E487" s="263" t="s">
        <v>68</v>
      </c>
      <c r="F487" s="263" t="s">
        <v>899</v>
      </c>
    </row>
    <row r="488" spans="1:6">
      <c r="A488" s="263">
        <v>487</v>
      </c>
      <c r="B488" s="263" t="s">
        <v>1022</v>
      </c>
      <c r="C488" s="263" t="s">
        <v>1023</v>
      </c>
      <c r="D488" s="263" t="s">
        <v>1024</v>
      </c>
      <c r="E488" s="263" t="s">
        <v>1025</v>
      </c>
      <c r="F488" s="263" t="s">
        <v>899</v>
      </c>
    </row>
    <row r="489" spans="1:6">
      <c r="A489" s="263">
        <v>488</v>
      </c>
      <c r="B489" s="263" t="s">
        <v>1026</v>
      </c>
      <c r="C489" s="263" t="s">
        <v>1027</v>
      </c>
      <c r="D489" s="263" t="s">
        <v>1024</v>
      </c>
      <c r="E489" s="263" t="s">
        <v>1025</v>
      </c>
      <c r="F489" s="263" t="s">
        <v>899</v>
      </c>
    </row>
    <row r="490" spans="1:6">
      <c r="A490" s="263">
        <v>489</v>
      </c>
      <c r="B490" s="263" t="s">
        <v>1028</v>
      </c>
      <c r="C490" s="263" t="s">
        <v>1029</v>
      </c>
      <c r="D490" s="263" t="s">
        <v>1024</v>
      </c>
      <c r="E490" s="263" t="s">
        <v>1025</v>
      </c>
      <c r="F490" s="263" t="s">
        <v>899</v>
      </c>
    </row>
    <row r="491" spans="1:6">
      <c r="A491" s="263">
        <v>490</v>
      </c>
      <c r="B491" s="263" t="s">
        <v>1030</v>
      </c>
      <c r="C491" s="263" t="s">
        <v>1031</v>
      </c>
      <c r="D491" s="263" t="s">
        <v>1024</v>
      </c>
      <c r="E491" s="263" t="s">
        <v>1025</v>
      </c>
      <c r="F491" s="263" t="s">
        <v>899</v>
      </c>
    </row>
    <row r="492" spans="1:6">
      <c r="A492" s="263">
        <v>491</v>
      </c>
      <c r="B492" s="263" t="s">
        <v>1032</v>
      </c>
      <c r="C492" s="263" t="s">
        <v>1033</v>
      </c>
      <c r="D492" s="263" t="s">
        <v>1024</v>
      </c>
      <c r="E492" s="263" t="s">
        <v>1025</v>
      </c>
      <c r="F492" s="263" t="s">
        <v>899</v>
      </c>
    </row>
    <row r="493" spans="1:6">
      <c r="A493" s="263">
        <v>492</v>
      </c>
      <c r="B493" s="263" t="s">
        <v>1034</v>
      </c>
      <c r="C493" s="263" t="s">
        <v>702</v>
      </c>
      <c r="D493" s="263" t="s">
        <v>1024</v>
      </c>
      <c r="E493" s="263" t="s">
        <v>1025</v>
      </c>
      <c r="F493" s="263" t="s">
        <v>899</v>
      </c>
    </row>
    <row r="494" spans="1:6">
      <c r="A494" s="263">
        <v>493</v>
      </c>
      <c r="B494" s="263" t="s">
        <v>1035</v>
      </c>
      <c r="C494" s="263" t="s">
        <v>1036</v>
      </c>
      <c r="D494" s="263" t="s">
        <v>1024</v>
      </c>
      <c r="E494" s="263" t="s">
        <v>1025</v>
      </c>
      <c r="F494" s="263" t="s">
        <v>899</v>
      </c>
    </row>
    <row r="495" spans="1:6">
      <c r="A495" s="263">
        <v>494</v>
      </c>
      <c r="B495" s="263" t="s">
        <v>1037</v>
      </c>
      <c r="C495" s="263" t="s">
        <v>1038</v>
      </c>
      <c r="D495" s="263" t="s">
        <v>1024</v>
      </c>
      <c r="E495" s="263" t="s">
        <v>1025</v>
      </c>
      <c r="F495" s="263" t="s">
        <v>899</v>
      </c>
    </row>
    <row r="496" spans="1:6">
      <c r="A496" s="263">
        <v>495</v>
      </c>
      <c r="B496" s="263" t="s">
        <v>1039</v>
      </c>
      <c r="C496" s="263" t="s">
        <v>84</v>
      </c>
      <c r="D496" s="263" t="s">
        <v>1024</v>
      </c>
      <c r="E496" s="263" t="s">
        <v>1025</v>
      </c>
      <c r="F496" s="263" t="s">
        <v>899</v>
      </c>
    </row>
    <row r="497" spans="1:6">
      <c r="A497" s="263">
        <v>496</v>
      </c>
      <c r="B497" s="263" t="s">
        <v>1040</v>
      </c>
      <c r="C497" s="263" t="s">
        <v>336</v>
      </c>
      <c r="D497" s="263" t="s">
        <v>1024</v>
      </c>
      <c r="E497" s="263" t="s">
        <v>1025</v>
      </c>
      <c r="F497" s="263" t="s">
        <v>899</v>
      </c>
    </row>
    <row r="498" spans="1:6">
      <c r="A498" s="263">
        <v>497</v>
      </c>
      <c r="B498" s="263" t="s">
        <v>1041</v>
      </c>
      <c r="C498" s="263" t="s">
        <v>92</v>
      </c>
      <c r="D498" s="263" t="s">
        <v>1024</v>
      </c>
      <c r="E498" s="263" t="s">
        <v>1025</v>
      </c>
      <c r="F498" s="263" t="s">
        <v>899</v>
      </c>
    </row>
    <row r="499" spans="1:6">
      <c r="A499" s="263">
        <v>498</v>
      </c>
      <c r="B499" s="263" t="s">
        <v>1042</v>
      </c>
      <c r="C499" s="263" t="s">
        <v>1043</v>
      </c>
      <c r="D499" s="263" t="s">
        <v>1044</v>
      </c>
      <c r="E499" s="263" t="s">
        <v>1045</v>
      </c>
      <c r="F499" s="263" t="s">
        <v>899</v>
      </c>
    </row>
    <row r="500" spans="1:6">
      <c r="A500" s="263">
        <v>499</v>
      </c>
      <c r="B500" s="263" t="s">
        <v>1046</v>
      </c>
      <c r="C500" s="263" t="s">
        <v>72</v>
      </c>
      <c r="D500" s="263" t="s">
        <v>1044</v>
      </c>
      <c r="E500" s="263" t="s">
        <v>1045</v>
      </c>
      <c r="F500" s="263" t="s">
        <v>899</v>
      </c>
    </row>
    <row r="501" spans="1:6">
      <c r="A501" s="263">
        <v>500</v>
      </c>
      <c r="B501" s="263" t="s">
        <v>1047</v>
      </c>
      <c r="C501" s="263" t="s">
        <v>178</v>
      </c>
      <c r="D501" s="263" t="s">
        <v>1044</v>
      </c>
      <c r="E501" s="263" t="s">
        <v>1045</v>
      </c>
      <c r="F501" s="263" t="s">
        <v>899</v>
      </c>
    </row>
    <row r="502" spans="1:6">
      <c r="A502" s="263">
        <v>501</v>
      </c>
      <c r="B502" s="263" t="s">
        <v>1048</v>
      </c>
      <c r="C502" s="263" t="s">
        <v>1049</v>
      </c>
      <c r="D502" s="263" t="s">
        <v>1044</v>
      </c>
      <c r="E502" s="263" t="s">
        <v>1045</v>
      </c>
      <c r="F502" s="263" t="s">
        <v>899</v>
      </c>
    </row>
    <row r="503" spans="1:6">
      <c r="A503" s="263">
        <v>502</v>
      </c>
      <c r="B503" s="263" t="s">
        <v>1050</v>
      </c>
      <c r="C503" s="263" t="s">
        <v>1051</v>
      </c>
      <c r="D503" s="263" t="s">
        <v>1044</v>
      </c>
      <c r="E503" s="263" t="s">
        <v>1045</v>
      </c>
      <c r="F503" s="263" t="s">
        <v>899</v>
      </c>
    </row>
    <row r="504" spans="1:6">
      <c r="A504" s="263">
        <v>503</v>
      </c>
      <c r="B504" s="263" t="s">
        <v>1052</v>
      </c>
      <c r="C504" s="263" t="s">
        <v>1053</v>
      </c>
      <c r="D504" s="263" t="s">
        <v>1044</v>
      </c>
      <c r="E504" s="263" t="s">
        <v>1045</v>
      </c>
      <c r="F504" s="263" t="s">
        <v>899</v>
      </c>
    </row>
    <row r="505" spans="1:6">
      <c r="A505" s="263">
        <v>504</v>
      </c>
      <c r="B505" s="263" t="s">
        <v>1054</v>
      </c>
      <c r="C505" s="263" t="s">
        <v>1055</v>
      </c>
      <c r="D505" s="263" t="s">
        <v>1044</v>
      </c>
      <c r="E505" s="263" t="s">
        <v>1045</v>
      </c>
      <c r="F505" s="263" t="s">
        <v>899</v>
      </c>
    </row>
    <row r="506" spans="1:6">
      <c r="A506" s="263">
        <v>505</v>
      </c>
      <c r="B506" s="263" t="s">
        <v>1056</v>
      </c>
      <c r="C506" s="263" t="s">
        <v>1057</v>
      </c>
      <c r="D506" s="263" t="s">
        <v>1044</v>
      </c>
      <c r="E506" s="263" t="s">
        <v>1045</v>
      </c>
      <c r="F506" s="263" t="s">
        <v>899</v>
      </c>
    </row>
    <row r="507" spans="1:6">
      <c r="A507" s="263">
        <v>506</v>
      </c>
      <c r="B507" s="263" t="s">
        <v>1058</v>
      </c>
      <c r="C507" s="263" t="s">
        <v>1059</v>
      </c>
      <c r="D507" s="263" t="s">
        <v>1044</v>
      </c>
      <c r="E507" s="263" t="s">
        <v>1045</v>
      </c>
      <c r="F507" s="263" t="s">
        <v>899</v>
      </c>
    </row>
    <row r="508" spans="1:6">
      <c r="A508" s="263">
        <v>507</v>
      </c>
      <c r="B508" s="263" t="s">
        <v>1060</v>
      </c>
      <c r="C508" s="263" t="s">
        <v>1061</v>
      </c>
      <c r="D508" s="263" t="s">
        <v>1044</v>
      </c>
      <c r="E508" s="263" t="s">
        <v>1045</v>
      </c>
      <c r="F508" s="263" t="s">
        <v>899</v>
      </c>
    </row>
    <row r="509" spans="1:6">
      <c r="A509" s="263">
        <v>508</v>
      </c>
      <c r="B509" s="263" t="s">
        <v>1062</v>
      </c>
      <c r="C509" s="263" t="s">
        <v>1063</v>
      </c>
      <c r="D509" s="263" t="s">
        <v>1044</v>
      </c>
      <c r="E509" s="263" t="s">
        <v>1045</v>
      </c>
      <c r="F509" s="263" t="s">
        <v>899</v>
      </c>
    </row>
    <row r="510" spans="1:6">
      <c r="A510" s="263">
        <v>509</v>
      </c>
      <c r="B510" s="263" t="s">
        <v>1064</v>
      </c>
      <c r="C510" s="263" t="s">
        <v>1065</v>
      </c>
      <c r="D510" s="263" t="s">
        <v>1044</v>
      </c>
      <c r="E510" s="263" t="s">
        <v>1045</v>
      </c>
      <c r="F510" s="263" t="s">
        <v>899</v>
      </c>
    </row>
    <row r="511" spans="1:6">
      <c r="A511" s="263">
        <v>510</v>
      </c>
      <c r="B511" s="263" t="s">
        <v>1066</v>
      </c>
      <c r="C511" s="263" t="s">
        <v>927</v>
      </c>
      <c r="D511" s="263" t="s">
        <v>1044</v>
      </c>
      <c r="E511" s="263" t="s">
        <v>1045</v>
      </c>
      <c r="F511" s="263" t="s">
        <v>899</v>
      </c>
    </row>
    <row r="512" spans="1:6">
      <c r="A512" s="263">
        <v>511</v>
      </c>
      <c r="B512" s="263" t="s">
        <v>1067</v>
      </c>
      <c r="C512" s="263" t="s">
        <v>1068</v>
      </c>
      <c r="D512" s="263" t="s">
        <v>1044</v>
      </c>
      <c r="E512" s="263" t="s">
        <v>1045</v>
      </c>
      <c r="F512" s="263" t="s">
        <v>899</v>
      </c>
    </row>
    <row r="513" spans="1:6">
      <c r="A513" s="263">
        <v>512</v>
      </c>
      <c r="B513" s="263" t="s">
        <v>1069</v>
      </c>
      <c r="C513" s="263" t="s">
        <v>1070</v>
      </c>
      <c r="D513" s="263" t="s">
        <v>1044</v>
      </c>
      <c r="E513" s="263" t="s">
        <v>1045</v>
      </c>
      <c r="F513" s="263" t="s">
        <v>899</v>
      </c>
    </row>
    <row r="514" spans="1:6">
      <c r="A514" s="263">
        <v>513</v>
      </c>
      <c r="B514" s="263" t="s">
        <v>1071</v>
      </c>
      <c r="C514" s="263" t="s">
        <v>579</v>
      </c>
      <c r="D514" s="263" t="s">
        <v>1044</v>
      </c>
      <c r="E514" s="263" t="s">
        <v>1045</v>
      </c>
      <c r="F514" s="263" t="s">
        <v>899</v>
      </c>
    </row>
    <row r="515" spans="1:6">
      <c r="A515" s="263">
        <v>514</v>
      </c>
      <c r="B515" s="263" t="s">
        <v>1072</v>
      </c>
      <c r="C515" s="263" t="s">
        <v>1073</v>
      </c>
      <c r="D515" s="263" t="s">
        <v>1044</v>
      </c>
      <c r="E515" s="263" t="s">
        <v>1045</v>
      </c>
      <c r="F515" s="263" t="s">
        <v>899</v>
      </c>
    </row>
    <row r="516" spans="1:6">
      <c r="A516" s="263">
        <v>515</v>
      </c>
      <c r="B516" s="263" t="s">
        <v>1074</v>
      </c>
      <c r="C516" s="263" t="s">
        <v>1075</v>
      </c>
      <c r="D516" s="263" t="s">
        <v>1044</v>
      </c>
      <c r="E516" s="263" t="s">
        <v>1045</v>
      </c>
      <c r="F516" s="263" t="s">
        <v>899</v>
      </c>
    </row>
    <row r="517" spans="1:6">
      <c r="A517" s="263">
        <v>516</v>
      </c>
      <c r="B517" s="263" t="s">
        <v>1076</v>
      </c>
      <c r="C517" s="263" t="s">
        <v>1077</v>
      </c>
      <c r="D517" s="263" t="s">
        <v>1044</v>
      </c>
      <c r="E517" s="263" t="s">
        <v>1045</v>
      </c>
      <c r="F517" s="263" t="s">
        <v>899</v>
      </c>
    </row>
    <row r="518" spans="1:6">
      <c r="A518" s="263">
        <v>517</v>
      </c>
      <c r="B518" s="263" t="s">
        <v>1078</v>
      </c>
      <c r="C518" s="263" t="s">
        <v>1079</v>
      </c>
      <c r="D518" s="263" t="s">
        <v>1044</v>
      </c>
      <c r="E518" s="263" t="s">
        <v>1045</v>
      </c>
      <c r="F518" s="263" t="s">
        <v>899</v>
      </c>
    </row>
    <row r="519" spans="1:6">
      <c r="A519" s="263">
        <v>518</v>
      </c>
      <c r="B519" s="263" t="s">
        <v>1080</v>
      </c>
      <c r="C519" s="263" t="s">
        <v>1081</v>
      </c>
      <c r="D519" s="263" t="s">
        <v>1044</v>
      </c>
      <c r="E519" s="263" t="s">
        <v>1045</v>
      </c>
      <c r="F519" s="263" t="s">
        <v>899</v>
      </c>
    </row>
    <row r="520" spans="1:6">
      <c r="A520" s="263">
        <v>519</v>
      </c>
      <c r="B520" s="263" t="s">
        <v>1082</v>
      </c>
      <c r="C520" s="263" t="s">
        <v>1083</v>
      </c>
      <c r="D520" s="263" t="s">
        <v>1044</v>
      </c>
      <c r="E520" s="263" t="s">
        <v>1045</v>
      </c>
      <c r="F520" s="263" t="s">
        <v>899</v>
      </c>
    </row>
    <row r="521" spans="1:6">
      <c r="A521" s="263">
        <v>520</v>
      </c>
      <c r="B521" s="263" t="s">
        <v>1084</v>
      </c>
      <c r="C521" s="263" t="s">
        <v>1085</v>
      </c>
      <c r="D521" s="263" t="s">
        <v>1086</v>
      </c>
      <c r="E521" s="263" t="s">
        <v>1087</v>
      </c>
      <c r="F521" s="263" t="s">
        <v>899</v>
      </c>
    </row>
    <row r="522" spans="1:6">
      <c r="A522" s="263">
        <v>521</v>
      </c>
      <c r="B522" s="263" t="s">
        <v>1088</v>
      </c>
      <c r="C522" s="263" t="s">
        <v>1089</v>
      </c>
      <c r="D522" s="263" t="s">
        <v>1086</v>
      </c>
      <c r="E522" s="263" t="s">
        <v>1087</v>
      </c>
      <c r="F522" s="263" t="s">
        <v>899</v>
      </c>
    </row>
    <row r="523" spans="1:6">
      <c r="A523" s="263">
        <v>522</v>
      </c>
      <c r="B523" s="263" t="s">
        <v>1090</v>
      </c>
      <c r="C523" s="263" t="s">
        <v>1091</v>
      </c>
      <c r="D523" s="263" t="s">
        <v>1086</v>
      </c>
      <c r="E523" s="263" t="s">
        <v>1087</v>
      </c>
      <c r="F523" s="263" t="s">
        <v>899</v>
      </c>
    </row>
    <row r="524" spans="1:6">
      <c r="A524" s="263">
        <v>523</v>
      </c>
      <c r="B524" s="263" t="s">
        <v>1092</v>
      </c>
      <c r="C524" s="263" t="s">
        <v>1093</v>
      </c>
      <c r="D524" s="263" t="s">
        <v>1086</v>
      </c>
      <c r="E524" s="263" t="s">
        <v>1087</v>
      </c>
      <c r="F524" s="263" t="s">
        <v>899</v>
      </c>
    </row>
    <row r="525" spans="1:6">
      <c r="A525" s="263">
        <v>524</v>
      </c>
      <c r="B525" s="263" t="s">
        <v>1094</v>
      </c>
      <c r="C525" s="263" t="s">
        <v>1095</v>
      </c>
      <c r="D525" s="263" t="s">
        <v>1086</v>
      </c>
      <c r="E525" s="263" t="s">
        <v>1087</v>
      </c>
      <c r="F525" s="263" t="s">
        <v>899</v>
      </c>
    </row>
    <row r="526" spans="1:6">
      <c r="A526" s="263">
        <v>525</v>
      </c>
      <c r="B526" s="263" t="s">
        <v>1096</v>
      </c>
      <c r="C526" s="263" t="s">
        <v>1097</v>
      </c>
      <c r="D526" s="263" t="s">
        <v>1086</v>
      </c>
      <c r="E526" s="263" t="s">
        <v>1087</v>
      </c>
      <c r="F526" s="263" t="s">
        <v>899</v>
      </c>
    </row>
    <row r="527" spans="1:6">
      <c r="A527" s="263">
        <v>526</v>
      </c>
      <c r="B527" s="263" t="s">
        <v>1098</v>
      </c>
      <c r="C527" s="263" t="s">
        <v>348</v>
      </c>
      <c r="D527" s="263" t="s">
        <v>1086</v>
      </c>
      <c r="E527" s="263" t="s">
        <v>1087</v>
      </c>
      <c r="F527" s="263" t="s">
        <v>899</v>
      </c>
    </row>
    <row r="528" spans="1:6">
      <c r="A528" s="263">
        <v>527</v>
      </c>
      <c r="B528" s="263" t="s">
        <v>1099</v>
      </c>
      <c r="C528" s="263" t="s">
        <v>1100</v>
      </c>
      <c r="D528" s="263" t="s">
        <v>1086</v>
      </c>
      <c r="E528" s="263" t="s">
        <v>1087</v>
      </c>
      <c r="F528" s="263" t="s">
        <v>899</v>
      </c>
    </row>
    <row r="529" spans="1:6">
      <c r="A529" s="263">
        <v>528</v>
      </c>
      <c r="B529" s="263" t="s">
        <v>1101</v>
      </c>
      <c r="C529" s="263" t="s">
        <v>1102</v>
      </c>
      <c r="D529" s="263" t="s">
        <v>1086</v>
      </c>
      <c r="E529" s="263" t="s">
        <v>1087</v>
      </c>
      <c r="F529" s="263" t="s">
        <v>899</v>
      </c>
    </row>
    <row r="530" spans="1:6">
      <c r="A530" s="263">
        <v>529</v>
      </c>
      <c r="B530" s="263" t="s">
        <v>1103</v>
      </c>
      <c r="C530" s="263" t="s">
        <v>1104</v>
      </c>
      <c r="D530" s="263" t="s">
        <v>1086</v>
      </c>
      <c r="E530" s="263" t="s">
        <v>1087</v>
      </c>
      <c r="F530" s="263" t="s">
        <v>899</v>
      </c>
    </row>
    <row r="531" spans="1:6">
      <c r="A531" s="263">
        <v>530</v>
      </c>
      <c r="B531" s="263" t="s">
        <v>1105</v>
      </c>
      <c r="C531" s="263" t="s">
        <v>1106</v>
      </c>
      <c r="D531" s="263" t="s">
        <v>1086</v>
      </c>
      <c r="E531" s="263" t="s">
        <v>1087</v>
      </c>
      <c r="F531" s="263" t="s">
        <v>899</v>
      </c>
    </row>
    <row r="532" spans="1:6">
      <c r="A532" s="263">
        <v>531</v>
      </c>
      <c r="B532" s="263" t="s">
        <v>1107</v>
      </c>
      <c r="C532" s="263" t="s">
        <v>1108</v>
      </c>
      <c r="D532" s="263" t="s">
        <v>1086</v>
      </c>
      <c r="E532" s="263" t="s">
        <v>1087</v>
      </c>
      <c r="F532" s="263" t="s">
        <v>899</v>
      </c>
    </row>
    <row r="533" spans="1:6">
      <c r="A533" s="263">
        <v>532</v>
      </c>
      <c r="B533" s="263" t="s">
        <v>1109</v>
      </c>
      <c r="C533" s="263" t="s">
        <v>1110</v>
      </c>
      <c r="D533" s="263" t="s">
        <v>1086</v>
      </c>
      <c r="E533" s="263" t="s">
        <v>1087</v>
      </c>
      <c r="F533" s="263" t="s">
        <v>899</v>
      </c>
    </row>
    <row r="534" spans="1:6">
      <c r="A534" s="263">
        <v>533</v>
      </c>
      <c r="B534" s="263" t="s">
        <v>1111</v>
      </c>
      <c r="C534" s="263" t="s">
        <v>1112</v>
      </c>
      <c r="D534" s="263" t="s">
        <v>1113</v>
      </c>
      <c r="E534" s="263" t="s">
        <v>1114</v>
      </c>
      <c r="F534" s="263" t="s">
        <v>899</v>
      </c>
    </row>
    <row r="535" spans="1:6">
      <c r="A535" s="263">
        <v>534</v>
      </c>
      <c r="B535" s="263" t="s">
        <v>1115</v>
      </c>
      <c r="C535" s="263" t="s">
        <v>1116</v>
      </c>
      <c r="D535" s="263" t="s">
        <v>1113</v>
      </c>
      <c r="E535" s="263" t="s">
        <v>1114</v>
      </c>
      <c r="F535" s="263" t="s">
        <v>899</v>
      </c>
    </row>
    <row r="536" spans="1:6">
      <c r="A536" s="263">
        <v>535</v>
      </c>
      <c r="B536" s="263" t="s">
        <v>1117</v>
      </c>
      <c r="C536" s="263" t="s">
        <v>1118</v>
      </c>
      <c r="D536" s="263" t="s">
        <v>1113</v>
      </c>
      <c r="E536" s="263" t="s">
        <v>1114</v>
      </c>
      <c r="F536" s="263" t="s">
        <v>899</v>
      </c>
    </row>
    <row r="537" spans="1:6">
      <c r="A537" s="263">
        <v>536</v>
      </c>
      <c r="B537" s="263" t="s">
        <v>1119</v>
      </c>
      <c r="C537" s="263" t="s">
        <v>1120</v>
      </c>
      <c r="D537" s="263" t="s">
        <v>1113</v>
      </c>
      <c r="E537" s="263" t="s">
        <v>1114</v>
      </c>
      <c r="F537" s="263" t="s">
        <v>899</v>
      </c>
    </row>
    <row r="538" spans="1:6">
      <c r="A538" s="263">
        <v>537</v>
      </c>
      <c r="B538" s="263" t="s">
        <v>1121</v>
      </c>
      <c r="C538" s="263" t="s">
        <v>1122</v>
      </c>
      <c r="D538" s="263" t="s">
        <v>1113</v>
      </c>
      <c r="E538" s="263" t="s">
        <v>1114</v>
      </c>
      <c r="F538" s="263" t="s">
        <v>899</v>
      </c>
    </row>
    <row r="539" spans="1:6">
      <c r="A539" s="263">
        <v>538</v>
      </c>
      <c r="B539" s="263" t="s">
        <v>1123</v>
      </c>
      <c r="C539" s="263" t="s">
        <v>1124</v>
      </c>
      <c r="D539" s="263" t="s">
        <v>1113</v>
      </c>
      <c r="E539" s="263" t="s">
        <v>1114</v>
      </c>
      <c r="F539" s="263" t="s">
        <v>899</v>
      </c>
    </row>
    <row r="540" spans="1:6">
      <c r="A540" s="263">
        <v>539</v>
      </c>
      <c r="B540" s="263" t="s">
        <v>1125</v>
      </c>
      <c r="C540" s="263" t="s">
        <v>1126</v>
      </c>
      <c r="D540" s="263" t="s">
        <v>1113</v>
      </c>
      <c r="E540" s="263" t="s">
        <v>1114</v>
      </c>
      <c r="F540" s="263" t="s">
        <v>899</v>
      </c>
    </row>
    <row r="541" spans="1:6">
      <c r="A541" s="263">
        <v>540</v>
      </c>
      <c r="B541" s="263" t="s">
        <v>1127</v>
      </c>
      <c r="C541" s="263" t="s">
        <v>1128</v>
      </c>
      <c r="D541" s="263" t="s">
        <v>1113</v>
      </c>
      <c r="E541" s="263" t="s">
        <v>1114</v>
      </c>
      <c r="F541" s="263" t="s">
        <v>899</v>
      </c>
    </row>
    <row r="542" spans="1:6">
      <c r="A542" s="263">
        <v>541</v>
      </c>
      <c r="B542" s="263" t="s">
        <v>1129</v>
      </c>
      <c r="C542" s="263" t="s">
        <v>763</v>
      </c>
      <c r="D542" s="263" t="s">
        <v>1113</v>
      </c>
      <c r="E542" s="263" t="s">
        <v>1114</v>
      </c>
      <c r="F542" s="263" t="s">
        <v>899</v>
      </c>
    </row>
    <row r="543" spans="1:6">
      <c r="A543" s="263">
        <v>542</v>
      </c>
      <c r="B543" s="263" t="s">
        <v>1130</v>
      </c>
      <c r="C543" s="263" t="s">
        <v>1131</v>
      </c>
      <c r="D543" s="263" t="s">
        <v>1113</v>
      </c>
      <c r="E543" s="263" t="s">
        <v>1114</v>
      </c>
      <c r="F543" s="263" t="s">
        <v>899</v>
      </c>
    </row>
    <row r="544" spans="1:6">
      <c r="A544" s="263">
        <v>543</v>
      </c>
      <c r="B544" s="263" t="s">
        <v>1132</v>
      </c>
      <c r="C544" s="263" t="s">
        <v>1133</v>
      </c>
      <c r="D544" s="263" t="s">
        <v>1113</v>
      </c>
      <c r="E544" s="263" t="s">
        <v>1114</v>
      </c>
      <c r="F544" s="263" t="s">
        <v>899</v>
      </c>
    </row>
    <row r="545" spans="1:6">
      <c r="A545" s="263">
        <v>544</v>
      </c>
      <c r="B545" s="263" t="s">
        <v>1134</v>
      </c>
      <c r="C545" s="263" t="s">
        <v>1135</v>
      </c>
      <c r="D545" s="263" t="s">
        <v>1113</v>
      </c>
      <c r="E545" s="263" t="s">
        <v>1114</v>
      </c>
      <c r="F545" s="263" t="s">
        <v>899</v>
      </c>
    </row>
    <row r="546" spans="1:6">
      <c r="A546" s="263">
        <v>545</v>
      </c>
      <c r="B546" s="263" t="s">
        <v>1136</v>
      </c>
      <c r="C546" s="263" t="s">
        <v>166</v>
      </c>
      <c r="D546" s="263" t="s">
        <v>1113</v>
      </c>
      <c r="E546" s="263" t="s">
        <v>1114</v>
      </c>
      <c r="F546" s="263" t="s">
        <v>899</v>
      </c>
    </row>
    <row r="547" spans="1:6">
      <c r="A547" s="263">
        <v>546</v>
      </c>
      <c r="B547" s="263" t="s">
        <v>1137</v>
      </c>
      <c r="C547" s="263" t="s">
        <v>1138</v>
      </c>
      <c r="D547" s="263" t="s">
        <v>1113</v>
      </c>
      <c r="E547" s="263" t="s">
        <v>1114</v>
      </c>
      <c r="F547" s="263" t="s">
        <v>899</v>
      </c>
    </row>
    <row r="548" spans="1:6">
      <c r="A548" s="263">
        <v>547</v>
      </c>
      <c r="B548" s="263" t="s">
        <v>1139</v>
      </c>
      <c r="C548" s="263" t="s">
        <v>1140</v>
      </c>
      <c r="D548" s="263" t="s">
        <v>1113</v>
      </c>
      <c r="E548" s="263" t="s">
        <v>1114</v>
      </c>
      <c r="F548" s="263" t="s">
        <v>899</v>
      </c>
    </row>
    <row r="549" spans="1:6">
      <c r="A549" s="263">
        <v>548</v>
      </c>
      <c r="B549" s="263" t="s">
        <v>1141</v>
      </c>
      <c r="C549" s="263" t="s">
        <v>1142</v>
      </c>
      <c r="D549" s="263" t="s">
        <v>1113</v>
      </c>
      <c r="E549" s="263" t="s">
        <v>1114</v>
      </c>
      <c r="F549" s="263" t="s">
        <v>899</v>
      </c>
    </row>
    <row r="550" spans="1:6">
      <c r="A550" s="263">
        <v>549</v>
      </c>
      <c r="B550" s="263" t="s">
        <v>1143</v>
      </c>
      <c r="C550" s="263" t="s">
        <v>1144</v>
      </c>
      <c r="D550" s="263" t="s">
        <v>1113</v>
      </c>
      <c r="E550" s="263" t="s">
        <v>1114</v>
      </c>
      <c r="F550" s="263" t="s">
        <v>899</v>
      </c>
    </row>
    <row r="551" spans="1:6">
      <c r="A551" s="263">
        <v>550</v>
      </c>
      <c r="B551" s="263" t="s">
        <v>1145</v>
      </c>
      <c r="C551" s="263" t="s">
        <v>1146</v>
      </c>
      <c r="D551" s="263" t="s">
        <v>1147</v>
      </c>
      <c r="E551" s="263" t="s">
        <v>1148</v>
      </c>
      <c r="F551" s="263" t="s">
        <v>899</v>
      </c>
    </row>
    <row r="552" spans="1:6">
      <c r="A552" s="263">
        <v>551</v>
      </c>
      <c r="B552" s="263" t="s">
        <v>1149</v>
      </c>
      <c r="C552" s="263" t="s">
        <v>1150</v>
      </c>
      <c r="D552" s="263" t="s">
        <v>1147</v>
      </c>
      <c r="E552" s="263" t="s">
        <v>1148</v>
      </c>
      <c r="F552" s="263" t="s">
        <v>899</v>
      </c>
    </row>
    <row r="553" spans="1:6">
      <c r="A553" s="263">
        <v>552</v>
      </c>
      <c r="B553" s="263" t="s">
        <v>1151</v>
      </c>
      <c r="C553" s="263" t="s">
        <v>1152</v>
      </c>
      <c r="D553" s="263" t="s">
        <v>1147</v>
      </c>
      <c r="E553" s="263" t="s">
        <v>1148</v>
      </c>
      <c r="F553" s="263" t="s">
        <v>899</v>
      </c>
    </row>
    <row r="554" spans="1:6">
      <c r="A554" s="263">
        <v>553</v>
      </c>
      <c r="B554" s="263" t="s">
        <v>1153</v>
      </c>
      <c r="C554" s="263" t="s">
        <v>1116</v>
      </c>
      <c r="D554" s="263" t="s">
        <v>1147</v>
      </c>
      <c r="E554" s="263" t="s">
        <v>1148</v>
      </c>
      <c r="F554" s="263" t="s">
        <v>899</v>
      </c>
    </row>
    <row r="555" spans="1:6">
      <c r="A555" s="263">
        <v>554</v>
      </c>
      <c r="B555" s="263" t="s">
        <v>1154</v>
      </c>
      <c r="C555" s="263" t="s">
        <v>1155</v>
      </c>
      <c r="D555" s="263" t="s">
        <v>1147</v>
      </c>
      <c r="E555" s="263" t="s">
        <v>1148</v>
      </c>
      <c r="F555" s="263" t="s">
        <v>899</v>
      </c>
    </row>
    <row r="556" spans="1:6">
      <c r="A556" s="263">
        <v>555</v>
      </c>
      <c r="B556" s="263" t="s">
        <v>1156</v>
      </c>
      <c r="C556" s="263" t="s">
        <v>466</v>
      </c>
      <c r="D556" s="263" t="s">
        <v>1147</v>
      </c>
      <c r="E556" s="263" t="s">
        <v>1148</v>
      </c>
      <c r="F556" s="263" t="s">
        <v>899</v>
      </c>
    </row>
    <row r="557" spans="1:6">
      <c r="A557" s="263">
        <v>556</v>
      </c>
      <c r="B557" s="263" t="s">
        <v>1157</v>
      </c>
      <c r="C557" s="263" t="s">
        <v>74</v>
      </c>
      <c r="D557" s="263" t="s">
        <v>1147</v>
      </c>
      <c r="E557" s="263" t="s">
        <v>1148</v>
      </c>
      <c r="F557" s="263" t="s">
        <v>899</v>
      </c>
    </row>
    <row r="558" spans="1:6">
      <c r="A558" s="263">
        <v>557</v>
      </c>
      <c r="B558" s="263" t="s">
        <v>1158</v>
      </c>
      <c r="C558" s="263" t="s">
        <v>1159</v>
      </c>
      <c r="D558" s="263" t="s">
        <v>1147</v>
      </c>
      <c r="E558" s="263" t="s">
        <v>1148</v>
      </c>
      <c r="F558" s="263" t="s">
        <v>899</v>
      </c>
    </row>
    <row r="559" spans="1:6">
      <c r="A559" s="263">
        <v>558</v>
      </c>
      <c r="B559" s="263" t="s">
        <v>1160</v>
      </c>
      <c r="C559" s="263" t="s">
        <v>1161</v>
      </c>
      <c r="D559" s="263" t="s">
        <v>1147</v>
      </c>
      <c r="E559" s="263" t="s">
        <v>1148</v>
      </c>
      <c r="F559" s="263" t="s">
        <v>899</v>
      </c>
    </row>
    <row r="560" spans="1:6">
      <c r="A560" s="263">
        <v>559</v>
      </c>
      <c r="B560" s="263" t="s">
        <v>1162</v>
      </c>
      <c r="C560" s="263" t="s">
        <v>122</v>
      </c>
      <c r="D560" s="263" t="s">
        <v>1147</v>
      </c>
      <c r="E560" s="263" t="s">
        <v>1148</v>
      </c>
      <c r="F560" s="263" t="s">
        <v>899</v>
      </c>
    </row>
    <row r="561" spans="1:6">
      <c r="A561" s="263">
        <v>560</v>
      </c>
      <c r="B561" s="263" t="s">
        <v>1163</v>
      </c>
      <c r="C561" s="263" t="s">
        <v>1164</v>
      </c>
      <c r="D561" s="263" t="s">
        <v>1147</v>
      </c>
      <c r="E561" s="263" t="s">
        <v>1148</v>
      </c>
      <c r="F561" s="263" t="s">
        <v>899</v>
      </c>
    </row>
    <row r="562" spans="1:6">
      <c r="A562" s="263">
        <v>561</v>
      </c>
      <c r="B562" s="263" t="s">
        <v>1165</v>
      </c>
      <c r="C562" s="263" t="s">
        <v>1166</v>
      </c>
      <c r="D562" s="263" t="s">
        <v>1147</v>
      </c>
      <c r="E562" s="263" t="s">
        <v>1148</v>
      </c>
      <c r="F562" s="263" t="s">
        <v>899</v>
      </c>
    </row>
    <row r="563" spans="1:6">
      <c r="A563" s="263">
        <v>562</v>
      </c>
      <c r="B563" s="263" t="s">
        <v>1167</v>
      </c>
      <c r="C563" s="263" t="s">
        <v>1168</v>
      </c>
      <c r="D563" s="263" t="s">
        <v>1147</v>
      </c>
      <c r="E563" s="263" t="s">
        <v>1148</v>
      </c>
      <c r="F563" s="263" t="s">
        <v>899</v>
      </c>
    </row>
    <row r="564" spans="1:6">
      <c r="A564" s="263">
        <v>563</v>
      </c>
      <c r="B564" s="263" t="s">
        <v>1169</v>
      </c>
      <c r="C564" s="263" t="s">
        <v>666</v>
      </c>
      <c r="D564" s="263" t="s">
        <v>1147</v>
      </c>
      <c r="E564" s="263" t="s">
        <v>1148</v>
      </c>
      <c r="F564" s="263" t="s">
        <v>899</v>
      </c>
    </row>
    <row r="565" spans="1:6">
      <c r="A565" s="263">
        <v>564</v>
      </c>
      <c r="B565" s="263" t="s">
        <v>1170</v>
      </c>
      <c r="C565" s="263" t="s">
        <v>1171</v>
      </c>
      <c r="D565" s="263" t="s">
        <v>1147</v>
      </c>
      <c r="E565" s="263" t="s">
        <v>1148</v>
      </c>
      <c r="F565" s="263" t="s">
        <v>899</v>
      </c>
    </row>
    <row r="566" spans="1:6">
      <c r="A566" s="263">
        <v>565</v>
      </c>
      <c r="B566" s="263" t="s">
        <v>1172</v>
      </c>
      <c r="C566" s="263" t="s">
        <v>1173</v>
      </c>
      <c r="D566" s="263" t="s">
        <v>1147</v>
      </c>
      <c r="E566" s="263" t="s">
        <v>1148</v>
      </c>
      <c r="F566" s="263" t="s">
        <v>899</v>
      </c>
    </row>
    <row r="567" spans="1:6">
      <c r="A567" s="263">
        <v>566</v>
      </c>
      <c r="B567" s="263" t="s">
        <v>1174</v>
      </c>
      <c r="C567" s="263" t="s">
        <v>1175</v>
      </c>
      <c r="D567" s="263" t="s">
        <v>1147</v>
      </c>
      <c r="E567" s="263" t="s">
        <v>1148</v>
      </c>
      <c r="F567" s="263" t="s">
        <v>899</v>
      </c>
    </row>
    <row r="568" spans="1:6">
      <c r="A568" s="263">
        <v>567</v>
      </c>
      <c r="B568" s="263" t="s">
        <v>1176</v>
      </c>
      <c r="C568" s="263" t="s">
        <v>1177</v>
      </c>
      <c r="D568" s="263" t="s">
        <v>1147</v>
      </c>
      <c r="E568" s="263" t="s">
        <v>1148</v>
      </c>
      <c r="F568" s="263" t="s">
        <v>899</v>
      </c>
    </row>
    <row r="569" spans="1:6">
      <c r="A569" s="263">
        <v>568</v>
      </c>
      <c r="B569" s="263" t="s">
        <v>1178</v>
      </c>
      <c r="C569" s="263" t="s">
        <v>628</v>
      </c>
      <c r="D569" s="263" t="s">
        <v>1179</v>
      </c>
      <c r="E569" s="263" t="s">
        <v>1180</v>
      </c>
      <c r="F569" s="263" t="s">
        <v>899</v>
      </c>
    </row>
    <row r="570" spans="1:6">
      <c r="A570" s="263">
        <v>569</v>
      </c>
      <c r="B570" s="263" t="s">
        <v>1181</v>
      </c>
      <c r="C570" s="263" t="s">
        <v>632</v>
      </c>
      <c r="D570" s="263" t="s">
        <v>1179</v>
      </c>
      <c r="E570" s="263" t="s">
        <v>1180</v>
      </c>
      <c r="F570" s="263" t="s">
        <v>899</v>
      </c>
    </row>
    <row r="571" spans="1:6">
      <c r="A571" s="263">
        <v>570</v>
      </c>
      <c r="B571" s="263" t="s">
        <v>1182</v>
      </c>
      <c r="C571" s="263" t="s">
        <v>634</v>
      </c>
      <c r="D571" s="263" t="s">
        <v>1179</v>
      </c>
      <c r="E571" s="263" t="s">
        <v>1180</v>
      </c>
      <c r="F571" s="263" t="s">
        <v>899</v>
      </c>
    </row>
    <row r="572" spans="1:6">
      <c r="A572" s="263">
        <v>571</v>
      </c>
      <c r="B572" s="263" t="s">
        <v>1183</v>
      </c>
      <c r="C572" s="263" t="s">
        <v>1184</v>
      </c>
      <c r="D572" s="263" t="s">
        <v>1179</v>
      </c>
      <c r="E572" s="263" t="s">
        <v>1180</v>
      </c>
      <c r="F572" s="263" t="s">
        <v>899</v>
      </c>
    </row>
    <row r="573" spans="1:6">
      <c r="A573" s="263">
        <v>572</v>
      </c>
      <c r="B573" s="263" t="s">
        <v>1185</v>
      </c>
      <c r="C573" s="263" t="s">
        <v>636</v>
      </c>
      <c r="D573" s="263" t="s">
        <v>1179</v>
      </c>
      <c r="E573" s="263" t="s">
        <v>1180</v>
      </c>
      <c r="F573" s="263" t="s">
        <v>899</v>
      </c>
    </row>
    <row r="574" spans="1:6">
      <c r="A574" s="263">
        <v>573</v>
      </c>
      <c r="B574" s="263" t="s">
        <v>1186</v>
      </c>
      <c r="C574" s="263" t="s">
        <v>1187</v>
      </c>
      <c r="D574" s="263" t="s">
        <v>1179</v>
      </c>
      <c r="E574" s="263" t="s">
        <v>1180</v>
      </c>
      <c r="F574" s="263" t="s">
        <v>899</v>
      </c>
    </row>
    <row r="575" spans="1:6">
      <c r="A575" s="263">
        <v>574</v>
      </c>
      <c r="B575" s="263" t="s">
        <v>1188</v>
      </c>
      <c r="C575" s="263" t="s">
        <v>638</v>
      </c>
      <c r="D575" s="263" t="s">
        <v>1179</v>
      </c>
      <c r="E575" s="263" t="s">
        <v>1180</v>
      </c>
      <c r="F575" s="263" t="s">
        <v>899</v>
      </c>
    </row>
    <row r="576" spans="1:6">
      <c r="A576" s="263">
        <v>575</v>
      </c>
      <c r="B576" s="263" t="s">
        <v>1189</v>
      </c>
      <c r="C576" s="263" t="s">
        <v>640</v>
      </c>
      <c r="D576" s="263" t="s">
        <v>1179</v>
      </c>
      <c r="E576" s="263" t="s">
        <v>1180</v>
      </c>
      <c r="F576" s="263" t="s">
        <v>899</v>
      </c>
    </row>
    <row r="577" spans="1:6">
      <c r="A577" s="263">
        <v>576</v>
      </c>
      <c r="B577" s="263" t="s">
        <v>1190</v>
      </c>
      <c r="C577" s="263" t="s">
        <v>1191</v>
      </c>
      <c r="D577" s="263" t="s">
        <v>1179</v>
      </c>
      <c r="E577" s="263" t="s">
        <v>1180</v>
      </c>
      <c r="F577" s="263" t="s">
        <v>899</v>
      </c>
    </row>
    <row r="578" spans="1:6">
      <c r="A578" s="263">
        <v>577</v>
      </c>
      <c r="B578" s="263" t="s">
        <v>1192</v>
      </c>
      <c r="C578" s="263" t="s">
        <v>443</v>
      </c>
      <c r="D578" s="263" t="s">
        <v>1179</v>
      </c>
      <c r="E578" s="263" t="s">
        <v>1180</v>
      </c>
      <c r="F578" s="263" t="s">
        <v>899</v>
      </c>
    </row>
    <row r="579" spans="1:6">
      <c r="A579" s="263">
        <v>578</v>
      </c>
      <c r="B579" s="263" t="s">
        <v>1193</v>
      </c>
      <c r="C579" s="263" t="s">
        <v>48</v>
      </c>
      <c r="D579" s="263" t="s">
        <v>1179</v>
      </c>
      <c r="E579" s="263" t="s">
        <v>1180</v>
      </c>
      <c r="F579" s="263" t="s">
        <v>899</v>
      </c>
    </row>
    <row r="580" spans="1:6">
      <c r="A580" s="263">
        <v>579</v>
      </c>
      <c r="B580" s="263" t="s">
        <v>1194</v>
      </c>
      <c r="C580" s="263" t="s">
        <v>1195</v>
      </c>
      <c r="D580" s="263" t="s">
        <v>1179</v>
      </c>
      <c r="E580" s="263" t="s">
        <v>1180</v>
      </c>
      <c r="F580" s="263" t="s">
        <v>899</v>
      </c>
    </row>
    <row r="581" spans="1:6">
      <c r="A581" s="263">
        <v>580</v>
      </c>
      <c r="B581" s="263" t="s">
        <v>1196</v>
      </c>
      <c r="C581" s="263" t="s">
        <v>1197</v>
      </c>
      <c r="D581" s="263" t="s">
        <v>1179</v>
      </c>
      <c r="E581" s="263" t="s">
        <v>1180</v>
      </c>
      <c r="F581" s="263" t="s">
        <v>899</v>
      </c>
    </row>
    <row r="582" spans="1:6">
      <c r="A582" s="263">
        <v>581</v>
      </c>
      <c r="B582" s="263" t="s">
        <v>1198</v>
      </c>
      <c r="C582" s="263" t="s">
        <v>1199</v>
      </c>
      <c r="D582" s="263" t="s">
        <v>1179</v>
      </c>
      <c r="E582" s="263" t="s">
        <v>1180</v>
      </c>
      <c r="F582" s="263" t="s">
        <v>899</v>
      </c>
    </row>
    <row r="583" spans="1:6">
      <c r="A583" s="263">
        <v>582</v>
      </c>
      <c r="B583" s="263" t="s">
        <v>1200</v>
      </c>
      <c r="C583" s="263" t="s">
        <v>152</v>
      </c>
      <c r="D583" s="263" t="s">
        <v>1179</v>
      </c>
      <c r="E583" s="263" t="s">
        <v>1180</v>
      </c>
      <c r="F583" s="263" t="s">
        <v>899</v>
      </c>
    </row>
    <row r="584" spans="1:6">
      <c r="A584" s="263">
        <v>583</v>
      </c>
      <c r="B584" s="263" t="s">
        <v>1201</v>
      </c>
      <c r="C584" s="263" t="s">
        <v>1202</v>
      </c>
      <c r="D584" s="263" t="s">
        <v>1179</v>
      </c>
      <c r="E584" s="263" t="s">
        <v>1180</v>
      </c>
      <c r="F584" s="263" t="s">
        <v>899</v>
      </c>
    </row>
    <row r="585" spans="1:6">
      <c r="A585" s="263">
        <v>584</v>
      </c>
      <c r="B585" s="263" t="s">
        <v>1203</v>
      </c>
      <c r="C585" s="263" t="s">
        <v>1204</v>
      </c>
      <c r="D585" s="263" t="s">
        <v>1179</v>
      </c>
      <c r="E585" s="263" t="s">
        <v>1180</v>
      </c>
      <c r="F585" s="263" t="s">
        <v>899</v>
      </c>
    </row>
    <row r="586" spans="1:6">
      <c r="A586" s="263">
        <v>585</v>
      </c>
      <c r="B586" s="263" t="s">
        <v>1205</v>
      </c>
      <c r="C586" s="263" t="s">
        <v>1206</v>
      </c>
      <c r="D586" s="263" t="s">
        <v>1207</v>
      </c>
      <c r="E586" s="263" t="s">
        <v>1208</v>
      </c>
      <c r="F586" s="263" t="s">
        <v>1209</v>
      </c>
    </row>
    <row r="587" spans="1:6">
      <c r="A587" s="263">
        <v>586</v>
      </c>
      <c r="B587" s="263" t="s">
        <v>1210</v>
      </c>
      <c r="C587" s="263" t="s">
        <v>1211</v>
      </c>
      <c r="D587" s="263" t="s">
        <v>1207</v>
      </c>
      <c r="E587" s="263" t="s">
        <v>1208</v>
      </c>
      <c r="F587" s="263" t="s">
        <v>1209</v>
      </c>
    </row>
    <row r="588" spans="1:6">
      <c r="A588" s="263">
        <v>587</v>
      </c>
      <c r="B588" s="263" t="s">
        <v>1212</v>
      </c>
      <c r="C588" s="263" t="s">
        <v>1213</v>
      </c>
      <c r="D588" s="263" t="s">
        <v>1207</v>
      </c>
      <c r="E588" s="263" t="s">
        <v>1208</v>
      </c>
      <c r="F588" s="263" t="s">
        <v>1209</v>
      </c>
    </row>
    <row r="589" spans="1:6">
      <c r="A589" s="263">
        <v>588</v>
      </c>
      <c r="B589" s="263" t="s">
        <v>1214</v>
      </c>
      <c r="C589" s="263" t="s">
        <v>815</v>
      </c>
      <c r="D589" s="263" t="s">
        <v>1207</v>
      </c>
      <c r="E589" s="263" t="s">
        <v>1208</v>
      </c>
      <c r="F589" s="263" t="s">
        <v>1209</v>
      </c>
    </row>
    <row r="590" spans="1:6">
      <c r="A590" s="263">
        <v>589</v>
      </c>
      <c r="B590" s="263" t="s">
        <v>1215</v>
      </c>
      <c r="C590" s="263" t="s">
        <v>1216</v>
      </c>
      <c r="D590" s="263" t="s">
        <v>1207</v>
      </c>
      <c r="E590" s="263" t="s">
        <v>1208</v>
      </c>
      <c r="F590" s="263" t="s">
        <v>1209</v>
      </c>
    </row>
    <row r="591" spans="1:6">
      <c r="A591" s="263">
        <v>590</v>
      </c>
      <c r="B591" s="263" t="s">
        <v>1217</v>
      </c>
      <c r="C591" s="263" t="s">
        <v>1218</v>
      </c>
      <c r="D591" s="263" t="s">
        <v>1207</v>
      </c>
      <c r="E591" s="263" t="s">
        <v>1208</v>
      </c>
      <c r="F591" s="263" t="s">
        <v>1209</v>
      </c>
    </row>
    <row r="592" spans="1:6">
      <c r="A592" s="263">
        <v>591</v>
      </c>
      <c r="B592" s="263" t="s">
        <v>1219</v>
      </c>
      <c r="C592" s="263" t="s">
        <v>1220</v>
      </c>
      <c r="D592" s="263" t="s">
        <v>1207</v>
      </c>
      <c r="E592" s="263" t="s">
        <v>1208</v>
      </c>
      <c r="F592" s="263" t="s">
        <v>1209</v>
      </c>
    </row>
    <row r="593" spans="1:6">
      <c r="A593" s="263">
        <v>592</v>
      </c>
      <c r="B593" s="263" t="s">
        <v>1221</v>
      </c>
      <c r="C593" s="263" t="s">
        <v>1222</v>
      </c>
      <c r="D593" s="263" t="s">
        <v>1207</v>
      </c>
      <c r="E593" s="263" t="s">
        <v>1208</v>
      </c>
      <c r="F593" s="263" t="s">
        <v>1209</v>
      </c>
    </row>
    <row r="594" spans="1:6">
      <c r="A594" s="263">
        <v>593</v>
      </c>
      <c r="B594" s="263" t="s">
        <v>1223</v>
      </c>
      <c r="C594" s="263" t="s">
        <v>1224</v>
      </c>
      <c r="D594" s="263" t="s">
        <v>1207</v>
      </c>
      <c r="E594" s="263" t="s">
        <v>1208</v>
      </c>
      <c r="F594" s="263" t="s">
        <v>1209</v>
      </c>
    </row>
    <row r="595" spans="1:6">
      <c r="A595" s="263">
        <v>594</v>
      </c>
      <c r="B595" s="263" t="s">
        <v>1225</v>
      </c>
      <c r="C595" s="263" t="s">
        <v>1226</v>
      </c>
      <c r="D595" s="263" t="s">
        <v>1207</v>
      </c>
      <c r="E595" s="263" t="s">
        <v>1208</v>
      </c>
      <c r="F595" s="263" t="s">
        <v>1209</v>
      </c>
    </row>
    <row r="596" spans="1:6">
      <c r="A596" s="263">
        <v>595</v>
      </c>
      <c r="B596" s="263" t="s">
        <v>1227</v>
      </c>
      <c r="C596" s="263" t="s">
        <v>1228</v>
      </c>
      <c r="D596" s="263" t="s">
        <v>1207</v>
      </c>
      <c r="E596" s="263" t="s">
        <v>1208</v>
      </c>
      <c r="F596" s="263" t="s">
        <v>1209</v>
      </c>
    </row>
    <row r="597" spans="1:6">
      <c r="A597" s="263">
        <v>596</v>
      </c>
      <c r="B597" s="263" t="s">
        <v>1229</v>
      </c>
      <c r="C597" s="263" t="s">
        <v>1230</v>
      </c>
      <c r="D597" s="263" t="s">
        <v>1207</v>
      </c>
      <c r="E597" s="263" t="s">
        <v>1208</v>
      </c>
      <c r="F597" s="263" t="s">
        <v>1209</v>
      </c>
    </row>
    <row r="598" spans="1:6">
      <c r="A598" s="263">
        <v>597</v>
      </c>
      <c r="B598" s="263" t="s">
        <v>1231</v>
      </c>
      <c r="C598" s="263" t="s">
        <v>1232</v>
      </c>
      <c r="D598" s="263" t="s">
        <v>1207</v>
      </c>
      <c r="E598" s="263" t="s">
        <v>1208</v>
      </c>
      <c r="F598" s="263" t="s">
        <v>1209</v>
      </c>
    </row>
    <row r="599" spans="1:6">
      <c r="A599" s="263">
        <v>598</v>
      </c>
      <c r="B599" s="263" t="s">
        <v>1233</v>
      </c>
      <c r="C599" s="263" t="s">
        <v>1234</v>
      </c>
      <c r="D599" s="263" t="s">
        <v>1207</v>
      </c>
      <c r="E599" s="263" t="s">
        <v>1208</v>
      </c>
      <c r="F599" s="263" t="s">
        <v>1209</v>
      </c>
    </row>
    <row r="600" spans="1:6">
      <c r="A600" s="263">
        <v>599</v>
      </c>
      <c r="B600" s="263" t="s">
        <v>1235</v>
      </c>
      <c r="C600" s="263" t="s">
        <v>1236</v>
      </c>
      <c r="D600" s="263" t="s">
        <v>1207</v>
      </c>
      <c r="E600" s="263" t="s">
        <v>1208</v>
      </c>
      <c r="F600" s="263" t="s">
        <v>1209</v>
      </c>
    </row>
    <row r="601" spans="1:6">
      <c r="A601" s="263">
        <v>600</v>
      </c>
      <c r="B601" s="263" t="s">
        <v>1237</v>
      </c>
      <c r="C601" s="263" t="s">
        <v>1238</v>
      </c>
      <c r="D601" s="263" t="s">
        <v>1207</v>
      </c>
      <c r="E601" s="263" t="s">
        <v>1208</v>
      </c>
      <c r="F601" s="263" t="s">
        <v>1209</v>
      </c>
    </row>
    <row r="602" spans="1:6">
      <c r="A602" s="263">
        <v>601</v>
      </c>
      <c r="B602" s="263" t="s">
        <v>1239</v>
      </c>
      <c r="C602" s="263" t="s">
        <v>1240</v>
      </c>
      <c r="D602" s="263" t="s">
        <v>1207</v>
      </c>
      <c r="E602" s="263" t="s">
        <v>1208</v>
      </c>
      <c r="F602" s="263" t="s">
        <v>1209</v>
      </c>
    </row>
    <row r="603" spans="1:6">
      <c r="A603" s="263">
        <v>602</v>
      </c>
      <c r="B603" s="263" t="s">
        <v>1241</v>
      </c>
      <c r="C603" s="263" t="s">
        <v>1242</v>
      </c>
      <c r="D603" s="263" t="s">
        <v>1207</v>
      </c>
      <c r="E603" s="263" t="s">
        <v>1208</v>
      </c>
      <c r="F603" s="263" t="s">
        <v>1209</v>
      </c>
    </row>
    <row r="604" spans="1:6">
      <c r="A604" s="263">
        <v>603</v>
      </c>
      <c r="B604" s="263" t="s">
        <v>1243</v>
      </c>
      <c r="C604" s="263" t="s">
        <v>1244</v>
      </c>
      <c r="D604" s="263" t="s">
        <v>1245</v>
      </c>
      <c r="E604" s="263" t="s">
        <v>1246</v>
      </c>
      <c r="F604" s="263" t="s">
        <v>1209</v>
      </c>
    </row>
    <row r="605" spans="1:6">
      <c r="A605" s="263">
        <v>604</v>
      </c>
      <c r="B605" s="263" t="s">
        <v>1247</v>
      </c>
      <c r="C605" s="263" t="s">
        <v>1248</v>
      </c>
      <c r="D605" s="263" t="s">
        <v>1245</v>
      </c>
      <c r="E605" s="263" t="s">
        <v>1246</v>
      </c>
      <c r="F605" s="263" t="s">
        <v>1209</v>
      </c>
    </row>
    <row r="606" spans="1:6">
      <c r="A606" s="263">
        <v>605</v>
      </c>
      <c r="B606" s="263" t="s">
        <v>1249</v>
      </c>
      <c r="C606" s="263" t="s">
        <v>1250</v>
      </c>
      <c r="D606" s="263" t="s">
        <v>1245</v>
      </c>
      <c r="E606" s="263" t="s">
        <v>1246</v>
      </c>
      <c r="F606" s="263" t="s">
        <v>1209</v>
      </c>
    </row>
    <row r="607" spans="1:6">
      <c r="A607" s="263">
        <v>606</v>
      </c>
      <c r="B607" s="263" t="s">
        <v>1251</v>
      </c>
      <c r="C607" s="263" t="s">
        <v>1252</v>
      </c>
      <c r="D607" s="263" t="s">
        <v>1245</v>
      </c>
      <c r="E607" s="263" t="s">
        <v>1246</v>
      </c>
      <c r="F607" s="263" t="s">
        <v>1209</v>
      </c>
    </row>
    <row r="608" spans="1:6">
      <c r="A608" s="263">
        <v>607</v>
      </c>
      <c r="B608" s="263" t="s">
        <v>1253</v>
      </c>
      <c r="C608" s="263" t="s">
        <v>1254</v>
      </c>
      <c r="D608" s="263" t="s">
        <v>1245</v>
      </c>
      <c r="E608" s="263" t="s">
        <v>1246</v>
      </c>
      <c r="F608" s="263" t="s">
        <v>1209</v>
      </c>
    </row>
    <row r="609" spans="1:6">
      <c r="A609" s="263">
        <v>608</v>
      </c>
      <c r="B609" s="263" t="s">
        <v>1255</v>
      </c>
      <c r="C609" s="263" t="s">
        <v>1256</v>
      </c>
      <c r="D609" s="263" t="s">
        <v>1245</v>
      </c>
      <c r="E609" s="263" t="s">
        <v>1246</v>
      </c>
      <c r="F609" s="263" t="s">
        <v>1209</v>
      </c>
    </row>
    <row r="610" spans="1:6">
      <c r="A610" s="263">
        <v>609</v>
      </c>
      <c r="B610" s="263" t="s">
        <v>1257</v>
      </c>
      <c r="C610" s="263" t="s">
        <v>1258</v>
      </c>
      <c r="D610" s="263" t="s">
        <v>1245</v>
      </c>
      <c r="E610" s="263" t="s">
        <v>1246</v>
      </c>
      <c r="F610" s="263" t="s">
        <v>1209</v>
      </c>
    </row>
    <row r="611" spans="1:6">
      <c r="A611" s="263">
        <v>610</v>
      </c>
      <c r="B611" s="263" t="s">
        <v>1259</v>
      </c>
      <c r="C611" s="263" t="s">
        <v>939</v>
      </c>
      <c r="D611" s="263" t="s">
        <v>1245</v>
      </c>
      <c r="E611" s="263" t="s">
        <v>1246</v>
      </c>
      <c r="F611" s="263" t="s">
        <v>1209</v>
      </c>
    </row>
    <row r="612" spans="1:6">
      <c r="A612" s="263">
        <v>611</v>
      </c>
      <c r="B612" s="263" t="s">
        <v>1260</v>
      </c>
      <c r="C612" s="263" t="s">
        <v>1261</v>
      </c>
      <c r="D612" s="263" t="s">
        <v>1245</v>
      </c>
      <c r="E612" s="263" t="s">
        <v>1246</v>
      </c>
      <c r="F612" s="263" t="s">
        <v>1209</v>
      </c>
    </row>
    <row r="613" spans="1:6">
      <c r="A613" s="263">
        <v>612</v>
      </c>
      <c r="B613" s="263" t="s">
        <v>1262</v>
      </c>
      <c r="C613" s="263" t="s">
        <v>1263</v>
      </c>
      <c r="D613" s="263" t="s">
        <v>1245</v>
      </c>
      <c r="E613" s="263" t="s">
        <v>1246</v>
      </c>
      <c r="F613" s="263" t="s">
        <v>1209</v>
      </c>
    </row>
    <row r="614" spans="1:6">
      <c r="A614" s="263">
        <v>613</v>
      </c>
      <c r="B614" s="263" t="s">
        <v>1264</v>
      </c>
      <c r="C614" s="263" t="s">
        <v>1265</v>
      </c>
      <c r="D614" s="263" t="s">
        <v>1266</v>
      </c>
      <c r="E614" s="263" t="s">
        <v>1267</v>
      </c>
      <c r="F614" s="263" t="s">
        <v>1209</v>
      </c>
    </row>
    <row r="615" spans="1:6">
      <c r="A615" s="263">
        <v>614</v>
      </c>
      <c r="B615" s="263" t="s">
        <v>1268</v>
      </c>
      <c r="C615" s="263" t="s">
        <v>1269</v>
      </c>
      <c r="D615" s="263" t="s">
        <v>1266</v>
      </c>
      <c r="E615" s="263" t="s">
        <v>1267</v>
      </c>
      <c r="F615" s="263" t="s">
        <v>1209</v>
      </c>
    </row>
    <row r="616" spans="1:6">
      <c r="A616" s="263">
        <v>615</v>
      </c>
      <c r="B616" s="263" t="s">
        <v>1270</v>
      </c>
      <c r="C616" s="263" t="s">
        <v>1271</v>
      </c>
      <c r="D616" s="263" t="s">
        <v>1266</v>
      </c>
      <c r="E616" s="263" t="s">
        <v>1267</v>
      </c>
      <c r="F616" s="263" t="s">
        <v>1209</v>
      </c>
    </row>
    <row r="617" spans="1:6">
      <c r="A617" s="263">
        <v>616</v>
      </c>
      <c r="B617" s="263" t="s">
        <v>1272</v>
      </c>
      <c r="C617" s="263" t="s">
        <v>1273</v>
      </c>
      <c r="D617" s="263" t="s">
        <v>1266</v>
      </c>
      <c r="E617" s="263" t="s">
        <v>1267</v>
      </c>
      <c r="F617" s="263" t="s">
        <v>1209</v>
      </c>
    </row>
    <row r="618" spans="1:6">
      <c r="A618" s="263">
        <v>617</v>
      </c>
      <c r="B618" s="263" t="s">
        <v>1274</v>
      </c>
      <c r="C618" s="263" t="s">
        <v>1275</v>
      </c>
      <c r="D618" s="263" t="s">
        <v>1266</v>
      </c>
      <c r="E618" s="263" t="s">
        <v>1267</v>
      </c>
      <c r="F618" s="263" t="s">
        <v>1209</v>
      </c>
    </row>
    <row r="619" spans="1:6">
      <c r="A619" s="263">
        <v>618</v>
      </c>
      <c r="B619" s="263" t="s">
        <v>1276</v>
      </c>
      <c r="C619" s="263" t="s">
        <v>1277</v>
      </c>
      <c r="D619" s="263" t="s">
        <v>1266</v>
      </c>
      <c r="E619" s="263" t="s">
        <v>1267</v>
      </c>
      <c r="F619" s="263" t="s">
        <v>1209</v>
      </c>
    </row>
    <row r="620" spans="1:6">
      <c r="A620" s="263">
        <v>619</v>
      </c>
      <c r="B620" s="263" t="s">
        <v>1278</v>
      </c>
      <c r="C620" s="263" t="s">
        <v>1279</v>
      </c>
      <c r="D620" s="263" t="s">
        <v>1266</v>
      </c>
      <c r="E620" s="263" t="s">
        <v>1267</v>
      </c>
      <c r="F620" s="263" t="s">
        <v>1209</v>
      </c>
    </row>
    <row r="621" spans="1:6">
      <c r="A621" s="263">
        <v>620</v>
      </c>
      <c r="B621" s="263" t="s">
        <v>1280</v>
      </c>
      <c r="C621" s="263" t="s">
        <v>1281</v>
      </c>
      <c r="D621" s="263" t="s">
        <v>1266</v>
      </c>
      <c r="E621" s="263" t="s">
        <v>1267</v>
      </c>
      <c r="F621" s="263" t="s">
        <v>1209</v>
      </c>
    </row>
    <row r="622" spans="1:6">
      <c r="A622" s="263">
        <v>621</v>
      </c>
      <c r="B622" s="263" t="s">
        <v>1282</v>
      </c>
      <c r="C622" s="263" t="s">
        <v>1283</v>
      </c>
      <c r="D622" s="263" t="s">
        <v>1266</v>
      </c>
      <c r="E622" s="263" t="s">
        <v>1267</v>
      </c>
      <c r="F622" s="263" t="s">
        <v>1209</v>
      </c>
    </row>
    <row r="623" spans="1:6">
      <c r="A623" s="263">
        <v>622</v>
      </c>
      <c r="B623" s="263" t="s">
        <v>1284</v>
      </c>
      <c r="C623" s="263" t="s">
        <v>1285</v>
      </c>
      <c r="D623" s="263" t="s">
        <v>1266</v>
      </c>
      <c r="E623" s="263" t="s">
        <v>1267</v>
      </c>
      <c r="F623" s="263" t="s">
        <v>1209</v>
      </c>
    </row>
    <row r="624" spans="1:6">
      <c r="A624" s="263">
        <v>623</v>
      </c>
      <c r="B624" s="263" t="s">
        <v>1286</v>
      </c>
      <c r="C624" s="263" t="s">
        <v>1287</v>
      </c>
      <c r="D624" s="263" t="s">
        <v>1266</v>
      </c>
      <c r="E624" s="263" t="s">
        <v>1267</v>
      </c>
      <c r="F624" s="263" t="s">
        <v>1209</v>
      </c>
    </row>
    <row r="625" spans="1:6">
      <c r="A625" s="263">
        <v>624</v>
      </c>
      <c r="B625" s="263" t="s">
        <v>1288</v>
      </c>
      <c r="C625" s="263" t="s">
        <v>1289</v>
      </c>
      <c r="D625" s="263" t="s">
        <v>1266</v>
      </c>
      <c r="E625" s="263" t="s">
        <v>1267</v>
      </c>
      <c r="F625" s="263" t="s">
        <v>1209</v>
      </c>
    </row>
    <row r="626" spans="1:6">
      <c r="A626" s="263">
        <v>625</v>
      </c>
      <c r="B626" s="263" t="s">
        <v>1290</v>
      </c>
      <c r="C626" s="263" t="s">
        <v>1291</v>
      </c>
      <c r="D626" s="263" t="s">
        <v>1266</v>
      </c>
      <c r="E626" s="263" t="s">
        <v>1267</v>
      </c>
      <c r="F626" s="263" t="s">
        <v>1209</v>
      </c>
    </row>
    <row r="627" spans="1:6">
      <c r="A627" s="263">
        <v>626</v>
      </c>
      <c r="B627" s="263" t="s">
        <v>1292</v>
      </c>
      <c r="C627" s="263" t="s">
        <v>1293</v>
      </c>
      <c r="D627" s="263" t="s">
        <v>1266</v>
      </c>
      <c r="E627" s="263" t="s">
        <v>1267</v>
      </c>
      <c r="F627" s="263" t="s">
        <v>1209</v>
      </c>
    </row>
    <row r="628" spans="1:6">
      <c r="A628" s="263">
        <v>627</v>
      </c>
      <c r="B628" s="263" t="s">
        <v>1294</v>
      </c>
      <c r="C628" s="263" t="s">
        <v>1295</v>
      </c>
      <c r="D628" s="263" t="s">
        <v>1266</v>
      </c>
      <c r="E628" s="263" t="s">
        <v>1267</v>
      </c>
      <c r="F628" s="263" t="s">
        <v>1209</v>
      </c>
    </row>
    <row r="629" spans="1:6">
      <c r="A629" s="263">
        <v>628</v>
      </c>
      <c r="B629" s="263" t="s">
        <v>1296</v>
      </c>
      <c r="C629" s="263" t="s">
        <v>1297</v>
      </c>
      <c r="D629" s="263" t="s">
        <v>1266</v>
      </c>
      <c r="E629" s="263" t="s">
        <v>1267</v>
      </c>
      <c r="F629" s="263" t="s">
        <v>1209</v>
      </c>
    </row>
    <row r="630" spans="1:6">
      <c r="A630" s="263">
        <v>629</v>
      </c>
      <c r="B630" s="263" t="s">
        <v>1298</v>
      </c>
      <c r="C630" s="263" t="s">
        <v>1299</v>
      </c>
      <c r="D630" s="263" t="s">
        <v>1266</v>
      </c>
      <c r="E630" s="263" t="s">
        <v>1267</v>
      </c>
      <c r="F630" s="263" t="s">
        <v>1209</v>
      </c>
    </row>
    <row r="631" spans="1:6">
      <c r="A631" s="263">
        <v>630</v>
      </c>
      <c r="B631" s="263" t="s">
        <v>1300</v>
      </c>
      <c r="C631" s="263" t="s">
        <v>1301</v>
      </c>
      <c r="D631" s="263" t="s">
        <v>1302</v>
      </c>
      <c r="E631" s="263" t="s">
        <v>1303</v>
      </c>
      <c r="F631" s="263" t="s">
        <v>1209</v>
      </c>
    </row>
    <row r="632" spans="1:6">
      <c r="A632" s="263">
        <v>631</v>
      </c>
      <c r="B632" s="263" t="s">
        <v>1304</v>
      </c>
      <c r="C632" s="263" t="s">
        <v>1305</v>
      </c>
      <c r="D632" s="263" t="s">
        <v>1302</v>
      </c>
      <c r="E632" s="263" t="s">
        <v>1303</v>
      </c>
      <c r="F632" s="263" t="s">
        <v>1209</v>
      </c>
    </row>
    <row r="633" spans="1:6">
      <c r="A633" s="263">
        <v>632</v>
      </c>
      <c r="B633" s="263" t="s">
        <v>1306</v>
      </c>
      <c r="C633" s="263" t="s">
        <v>1307</v>
      </c>
      <c r="D633" s="263" t="s">
        <v>1302</v>
      </c>
      <c r="E633" s="263" t="s">
        <v>1303</v>
      </c>
      <c r="F633" s="263" t="s">
        <v>1209</v>
      </c>
    </row>
    <row r="634" spans="1:6">
      <c r="A634" s="263">
        <v>633</v>
      </c>
      <c r="B634" s="263" t="s">
        <v>1308</v>
      </c>
      <c r="C634" s="263" t="s">
        <v>1309</v>
      </c>
      <c r="D634" s="263" t="s">
        <v>1302</v>
      </c>
      <c r="E634" s="263" t="s">
        <v>1303</v>
      </c>
      <c r="F634" s="263" t="s">
        <v>1209</v>
      </c>
    </row>
    <row r="635" spans="1:6">
      <c r="A635" s="263">
        <v>634</v>
      </c>
      <c r="B635" s="263" t="s">
        <v>1310</v>
      </c>
      <c r="C635" s="263" t="s">
        <v>1311</v>
      </c>
      <c r="D635" s="263" t="s">
        <v>1302</v>
      </c>
      <c r="E635" s="263" t="s">
        <v>1303</v>
      </c>
      <c r="F635" s="263" t="s">
        <v>1209</v>
      </c>
    </row>
    <row r="636" spans="1:6">
      <c r="A636" s="263">
        <v>635</v>
      </c>
      <c r="B636" s="263" t="s">
        <v>1312</v>
      </c>
      <c r="C636" s="263" t="s">
        <v>1313</v>
      </c>
      <c r="D636" s="263" t="s">
        <v>1302</v>
      </c>
      <c r="E636" s="263" t="s">
        <v>1303</v>
      </c>
      <c r="F636" s="263" t="s">
        <v>1209</v>
      </c>
    </row>
    <row r="637" spans="1:6">
      <c r="A637" s="263">
        <v>636</v>
      </c>
      <c r="B637" s="263" t="s">
        <v>1314</v>
      </c>
      <c r="C637" s="263" t="s">
        <v>1315</v>
      </c>
      <c r="D637" s="263" t="s">
        <v>1302</v>
      </c>
      <c r="E637" s="263" t="s">
        <v>1303</v>
      </c>
      <c r="F637" s="263" t="s">
        <v>1209</v>
      </c>
    </row>
    <row r="638" spans="1:6">
      <c r="A638" s="263">
        <v>637</v>
      </c>
      <c r="B638" s="263" t="s">
        <v>1316</v>
      </c>
      <c r="C638" s="263" t="s">
        <v>1317</v>
      </c>
      <c r="D638" s="263" t="s">
        <v>1302</v>
      </c>
      <c r="E638" s="263" t="s">
        <v>1303</v>
      </c>
      <c r="F638" s="263" t="s">
        <v>1209</v>
      </c>
    </row>
    <row r="639" spans="1:6">
      <c r="A639" s="263">
        <v>638</v>
      </c>
      <c r="B639" s="263" t="s">
        <v>1318</v>
      </c>
      <c r="C639" s="263" t="s">
        <v>927</v>
      </c>
      <c r="D639" s="263" t="s">
        <v>1302</v>
      </c>
      <c r="E639" s="263" t="s">
        <v>1303</v>
      </c>
      <c r="F639" s="263" t="s">
        <v>1209</v>
      </c>
    </row>
    <row r="640" spans="1:6">
      <c r="A640" s="263">
        <v>639</v>
      </c>
      <c r="B640" s="263" t="s">
        <v>1319</v>
      </c>
      <c r="C640" s="263" t="s">
        <v>224</v>
      </c>
      <c r="D640" s="263" t="s">
        <v>1302</v>
      </c>
      <c r="E640" s="263" t="s">
        <v>1303</v>
      </c>
      <c r="F640" s="263" t="s">
        <v>1209</v>
      </c>
    </row>
    <row r="641" spans="1:6">
      <c r="A641" s="263">
        <v>640</v>
      </c>
      <c r="B641" s="263" t="s">
        <v>1320</v>
      </c>
      <c r="C641" s="263" t="s">
        <v>353</v>
      </c>
      <c r="D641" s="263" t="s">
        <v>1302</v>
      </c>
      <c r="E641" s="263" t="s">
        <v>1303</v>
      </c>
      <c r="F641" s="263" t="s">
        <v>1209</v>
      </c>
    </row>
    <row r="642" spans="1:6">
      <c r="A642" s="263">
        <v>641</v>
      </c>
      <c r="B642" s="263" t="s">
        <v>1321</v>
      </c>
      <c r="C642" s="263" t="s">
        <v>1322</v>
      </c>
      <c r="D642" s="263" t="s">
        <v>1302</v>
      </c>
      <c r="E642" s="263" t="s">
        <v>1303</v>
      </c>
      <c r="F642" s="263" t="s">
        <v>1209</v>
      </c>
    </row>
    <row r="643" spans="1:6">
      <c r="A643" s="263">
        <v>642</v>
      </c>
      <c r="B643" s="263" t="s">
        <v>1323</v>
      </c>
      <c r="C643" s="263" t="s">
        <v>1324</v>
      </c>
      <c r="D643" s="263" t="s">
        <v>1302</v>
      </c>
      <c r="E643" s="263" t="s">
        <v>1303</v>
      </c>
      <c r="F643" s="263" t="s">
        <v>1209</v>
      </c>
    </row>
    <row r="644" spans="1:6">
      <c r="A644" s="263">
        <v>643</v>
      </c>
      <c r="B644" s="263" t="s">
        <v>1325</v>
      </c>
      <c r="C644" s="263" t="s">
        <v>1326</v>
      </c>
      <c r="D644" s="263" t="s">
        <v>1327</v>
      </c>
      <c r="E644" s="263" t="s">
        <v>1328</v>
      </c>
      <c r="F644" s="263" t="s">
        <v>1209</v>
      </c>
    </row>
    <row r="645" spans="1:6">
      <c r="A645" s="263">
        <v>644</v>
      </c>
      <c r="B645" s="263" t="s">
        <v>1329</v>
      </c>
      <c r="C645" s="263" t="s">
        <v>1330</v>
      </c>
      <c r="D645" s="263" t="s">
        <v>1327</v>
      </c>
      <c r="E645" s="263" t="s">
        <v>1328</v>
      </c>
      <c r="F645" s="263" t="s">
        <v>1209</v>
      </c>
    </row>
    <row r="646" spans="1:6">
      <c r="A646" s="263">
        <v>645</v>
      </c>
      <c r="B646" s="263" t="s">
        <v>1331</v>
      </c>
      <c r="C646" s="263" t="s">
        <v>1332</v>
      </c>
      <c r="D646" s="263" t="s">
        <v>1327</v>
      </c>
      <c r="E646" s="263" t="s">
        <v>1328</v>
      </c>
      <c r="F646" s="263" t="s">
        <v>1209</v>
      </c>
    </row>
    <row r="647" spans="1:6">
      <c r="A647" s="263">
        <v>646</v>
      </c>
      <c r="B647" s="263" t="s">
        <v>1333</v>
      </c>
      <c r="C647" s="263" t="s">
        <v>1334</v>
      </c>
      <c r="D647" s="263" t="s">
        <v>1335</v>
      </c>
      <c r="E647" s="263" t="s">
        <v>1336</v>
      </c>
      <c r="F647" s="263" t="s">
        <v>1209</v>
      </c>
    </row>
    <row r="648" spans="1:6">
      <c r="A648" s="263">
        <v>647</v>
      </c>
      <c r="B648" s="263" t="s">
        <v>1337</v>
      </c>
      <c r="C648" s="263" t="s">
        <v>1338</v>
      </c>
      <c r="D648" s="263" t="s">
        <v>1335</v>
      </c>
      <c r="E648" s="263" t="s">
        <v>1336</v>
      </c>
      <c r="F648" s="263" t="s">
        <v>1209</v>
      </c>
    </row>
    <row r="649" spans="1:6">
      <c r="A649" s="263">
        <v>648</v>
      </c>
      <c r="B649" s="263" t="s">
        <v>1339</v>
      </c>
      <c r="C649" s="263" t="s">
        <v>1340</v>
      </c>
      <c r="D649" s="263" t="s">
        <v>1335</v>
      </c>
      <c r="E649" s="263" t="s">
        <v>1336</v>
      </c>
      <c r="F649" s="263" t="s">
        <v>1209</v>
      </c>
    </row>
    <row r="650" spans="1:6">
      <c r="A650" s="263">
        <v>649</v>
      </c>
      <c r="B650" s="263" t="s">
        <v>1341</v>
      </c>
      <c r="C650" s="263" t="s">
        <v>1342</v>
      </c>
      <c r="D650" s="263" t="s">
        <v>1335</v>
      </c>
      <c r="E650" s="263" t="s">
        <v>1336</v>
      </c>
      <c r="F650" s="263" t="s">
        <v>1209</v>
      </c>
    </row>
    <row r="651" spans="1:6">
      <c r="A651" s="263">
        <v>650</v>
      </c>
      <c r="B651" s="263" t="s">
        <v>1343</v>
      </c>
      <c r="C651" s="263" t="s">
        <v>1344</v>
      </c>
      <c r="D651" s="263" t="s">
        <v>1335</v>
      </c>
      <c r="E651" s="263" t="s">
        <v>1336</v>
      </c>
      <c r="F651" s="263" t="s">
        <v>1209</v>
      </c>
    </row>
    <row r="652" spans="1:6">
      <c r="A652" s="263">
        <v>651</v>
      </c>
      <c r="B652" s="263" t="s">
        <v>1345</v>
      </c>
      <c r="C652" s="263" t="s">
        <v>1346</v>
      </c>
      <c r="D652" s="263" t="s">
        <v>1335</v>
      </c>
      <c r="E652" s="263" t="s">
        <v>1336</v>
      </c>
      <c r="F652" s="263" t="s">
        <v>1209</v>
      </c>
    </row>
    <row r="653" spans="1:6">
      <c r="A653" s="263">
        <v>652</v>
      </c>
      <c r="B653" s="263" t="s">
        <v>1347</v>
      </c>
      <c r="C653" s="263" t="s">
        <v>1348</v>
      </c>
      <c r="D653" s="263" t="s">
        <v>1335</v>
      </c>
      <c r="E653" s="263" t="s">
        <v>1336</v>
      </c>
      <c r="F653" s="263" t="s">
        <v>1209</v>
      </c>
    </row>
    <row r="654" spans="1:6">
      <c r="A654" s="263">
        <v>653</v>
      </c>
      <c r="B654" s="263" t="s">
        <v>1349</v>
      </c>
      <c r="C654" s="263" t="s">
        <v>1350</v>
      </c>
      <c r="D654" s="263" t="s">
        <v>1335</v>
      </c>
      <c r="E654" s="263" t="s">
        <v>1336</v>
      </c>
      <c r="F654" s="263" t="s">
        <v>1209</v>
      </c>
    </row>
    <row r="655" spans="1:6">
      <c r="A655" s="263">
        <v>654</v>
      </c>
      <c r="B655" s="263" t="s">
        <v>1351</v>
      </c>
      <c r="C655" s="263" t="s">
        <v>1352</v>
      </c>
      <c r="D655" s="263" t="s">
        <v>1335</v>
      </c>
      <c r="E655" s="263" t="s">
        <v>1336</v>
      </c>
      <c r="F655" s="263" t="s">
        <v>1209</v>
      </c>
    </row>
    <row r="656" spans="1:6">
      <c r="A656" s="263">
        <v>655</v>
      </c>
      <c r="B656" s="263" t="s">
        <v>1353</v>
      </c>
      <c r="C656" s="263" t="s">
        <v>1354</v>
      </c>
      <c r="D656" s="263" t="s">
        <v>1335</v>
      </c>
      <c r="E656" s="263" t="s">
        <v>1336</v>
      </c>
      <c r="F656" s="263" t="s">
        <v>1209</v>
      </c>
    </row>
    <row r="657" spans="1:6">
      <c r="A657" s="263">
        <v>656</v>
      </c>
      <c r="B657" s="263" t="s">
        <v>1355</v>
      </c>
      <c r="C657" s="263" t="s">
        <v>1356</v>
      </c>
      <c r="D657" s="263" t="s">
        <v>1335</v>
      </c>
      <c r="E657" s="263" t="s">
        <v>1336</v>
      </c>
      <c r="F657" s="263" t="s">
        <v>1209</v>
      </c>
    </row>
    <row r="658" spans="1:6">
      <c r="A658" s="263">
        <v>657</v>
      </c>
      <c r="B658" s="263" t="s">
        <v>1357</v>
      </c>
      <c r="C658" s="263" t="s">
        <v>1358</v>
      </c>
      <c r="D658" s="263" t="s">
        <v>1335</v>
      </c>
      <c r="E658" s="263" t="s">
        <v>1336</v>
      </c>
      <c r="F658" s="263" t="s">
        <v>1209</v>
      </c>
    </row>
    <row r="659" spans="1:6">
      <c r="A659" s="263">
        <v>658</v>
      </c>
      <c r="B659" s="263" t="s">
        <v>1359</v>
      </c>
      <c r="C659" s="263" t="s">
        <v>1360</v>
      </c>
      <c r="D659" s="263" t="s">
        <v>1335</v>
      </c>
      <c r="E659" s="263" t="s">
        <v>1336</v>
      </c>
      <c r="F659" s="263" t="s">
        <v>1209</v>
      </c>
    </row>
    <row r="660" spans="1:6">
      <c r="A660" s="263">
        <v>659</v>
      </c>
      <c r="B660" s="263" t="s">
        <v>1361</v>
      </c>
      <c r="C660" s="263" t="s">
        <v>1362</v>
      </c>
      <c r="D660" s="263" t="s">
        <v>1335</v>
      </c>
      <c r="E660" s="263" t="s">
        <v>1336</v>
      </c>
      <c r="F660" s="263" t="s">
        <v>1209</v>
      </c>
    </row>
    <row r="661" spans="1:6">
      <c r="A661" s="263">
        <v>660</v>
      </c>
      <c r="B661" s="263" t="s">
        <v>1363</v>
      </c>
      <c r="C661" s="263" t="s">
        <v>1364</v>
      </c>
      <c r="D661" s="263" t="s">
        <v>1365</v>
      </c>
      <c r="E661" s="263" t="s">
        <v>1366</v>
      </c>
      <c r="F661" s="263" t="s">
        <v>1209</v>
      </c>
    </row>
    <row r="662" spans="1:6">
      <c r="A662" s="263">
        <v>661</v>
      </c>
      <c r="B662" s="263" t="s">
        <v>1367</v>
      </c>
      <c r="C662" s="263" t="s">
        <v>1368</v>
      </c>
      <c r="D662" s="263" t="s">
        <v>1365</v>
      </c>
      <c r="E662" s="263" t="s">
        <v>1366</v>
      </c>
      <c r="F662" s="263" t="s">
        <v>1209</v>
      </c>
    </row>
    <row r="663" spans="1:6">
      <c r="A663" s="263">
        <v>662</v>
      </c>
      <c r="B663" s="263" t="s">
        <v>1369</v>
      </c>
      <c r="C663" s="263" t="s">
        <v>74</v>
      </c>
      <c r="D663" s="263" t="s">
        <v>1365</v>
      </c>
      <c r="E663" s="263" t="s">
        <v>1366</v>
      </c>
      <c r="F663" s="263" t="s">
        <v>1209</v>
      </c>
    </row>
    <row r="664" spans="1:6">
      <c r="A664" s="263">
        <v>663</v>
      </c>
      <c r="B664" s="263" t="s">
        <v>1370</v>
      </c>
      <c r="C664" s="263" t="s">
        <v>1371</v>
      </c>
      <c r="D664" s="263" t="s">
        <v>1365</v>
      </c>
      <c r="E664" s="263" t="s">
        <v>1366</v>
      </c>
      <c r="F664" s="263" t="s">
        <v>1209</v>
      </c>
    </row>
    <row r="665" spans="1:6">
      <c r="A665" s="263">
        <v>664</v>
      </c>
      <c r="B665" s="263" t="s">
        <v>1372</v>
      </c>
      <c r="C665" s="263" t="s">
        <v>1373</v>
      </c>
      <c r="D665" s="263" t="s">
        <v>1365</v>
      </c>
      <c r="E665" s="263" t="s">
        <v>1366</v>
      </c>
      <c r="F665" s="263" t="s">
        <v>1209</v>
      </c>
    </row>
    <row r="666" spans="1:6">
      <c r="A666" s="263">
        <v>665</v>
      </c>
      <c r="B666" s="263" t="s">
        <v>1374</v>
      </c>
      <c r="C666" s="263" t="s">
        <v>1375</v>
      </c>
      <c r="D666" s="263" t="s">
        <v>1365</v>
      </c>
      <c r="E666" s="263" t="s">
        <v>1366</v>
      </c>
      <c r="F666" s="263" t="s">
        <v>1209</v>
      </c>
    </row>
    <row r="667" spans="1:6">
      <c r="A667" s="263">
        <v>666</v>
      </c>
      <c r="B667" s="263" t="s">
        <v>1376</v>
      </c>
      <c r="C667" s="263" t="s">
        <v>1377</v>
      </c>
      <c r="D667" s="263" t="s">
        <v>1365</v>
      </c>
      <c r="E667" s="263" t="s">
        <v>1366</v>
      </c>
      <c r="F667" s="263" t="s">
        <v>1209</v>
      </c>
    </row>
    <row r="668" spans="1:6">
      <c r="A668" s="263">
        <v>667</v>
      </c>
      <c r="B668" s="263" t="s">
        <v>1378</v>
      </c>
      <c r="C668" s="263" t="s">
        <v>1379</v>
      </c>
      <c r="D668" s="263" t="s">
        <v>1365</v>
      </c>
      <c r="E668" s="263" t="s">
        <v>1366</v>
      </c>
      <c r="F668" s="263" t="s">
        <v>1209</v>
      </c>
    </row>
    <row r="669" spans="1:6">
      <c r="A669" s="263">
        <v>668</v>
      </c>
      <c r="B669" s="263" t="s">
        <v>1380</v>
      </c>
      <c r="C669" s="263" t="s">
        <v>1381</v>
      </c>
      <c r="D669" s="263" t="s">
        <v>1365</v>
      </c>
      <c r="E669" s="263" t="s">
        <v>1366</v>
      </c>
      <c r="F669" s="263" t="s">
        <v>1209</v>
      </c>
    </row>
    <row r="670" spans="1:6">
      <c r="A670" s="263">
        <v>669</v>
      </c>
      <c r="B670" s="263" t="s">
        <v>1382</v>
      </c>
      <c r="C670" s="263" t="s">
        <v>1383</v>
      </c>
      <c r="D670" s="263" t="s">
        <v>1365</v>
      </c>
      <c r="E670" s="263" t="s">
        <v>1366</v>
      </c>
      <c r="F670" s="263" t="s">
        <v>1209</v>
      </c>
    </row>
    <row r="671" spans="1:6">
      <c r="A671" s="263">
        <v>670</v>
      </c>
      <c r="B671" s="263" t="s">
        <v>1384</v>
      </c>
      <c r="C671" s="263" t="s">
        <v>1385</v>
      </c>
      <c r="D671" s="263" t="s">
        <v>1365</v>
      </c>
      <c r="E671" s="263" t="s">
        <v>1366</v>
      </c>
      <c r="F671" s="263" t="s">
        <v>1209</v>
      </c>
    </row>
    <row r="672" spans="1:6">
      <c r="A672" s="263">
        <v>671</v>
      </c>
      <c r="B672" s="263" t="s">
        <v>1386</v>
      </c>
      <c r="C672" s="263" t="s">
        <v>509</v>
      </c>
      <c r="D672" s="263" t="s">
        <v>1365</v>
      </c>
      <c r="E672" s="263" t="s">
        <v>1366</v>
      </c>
      <c r="F672" s="263" t="s">
        <v>1209</v>
      </c>
    </row>
    <row r="673" spans="1:6">
      <c r="A673" s="263">
        <v>672</v>
      </c>
      <c r="B673" s="263" t="s">
        <v>1387</v>
      </c>
      <c r="C673" s="263" t="s">
        <v>1388</v>
      </c>
      <c r="D673" s="263" t="s">
        <v>1389</v>
      </c>
      <c r="E673" s="263" t="s">
        <v>1390</v>
      </c>
      <c r="F673" s="263" t="s">
        <v>1209</v>
      </c>
    </row>
    <row r="674" spans="1:6">
      <c r="A674" s="263">
        <v>673</v>
      </c>
      <c r="B674" s="263" t="s">
        <v>1391</v>
      </c>
      <c r="C674" s="263" t="s">
        <v>1392</v>
      </c>
      <c r="D674" s="263" t="s">
        <v>1389</v>
      </c>
      <c r="E674" s="263" t="s">
        <v>1390</v>
      </c>
      <c r="F674" s="263" t="s">
        <v>1209</v>
      </c>
    </row>
    <row r="675" spans="1:6">
      <c r="A675" s="263">
        <v>674</v>
      </c>
      <c r="B675" s="263" t="s">
        <v>1393</v>
      </c>
      <c r="C675" s="263" t="s">
        <v>1394</v>
      </c>
      <c r="D675" s="263" t="s">
        <v>1389</v>
      </c>
      <c r="E675" s="263" t="s">
        <v>1390</v>
      </c>
      <c r="F675" s="263" t="s">
        <v>1209</v>
      </c>
    </row>
    <row r="676" spans="1:6">
      <c r="A676" s="263">
        <v>675</v>
      </c>
      <c r="B676" s="263" t="s">
        <v>1395</v>
      </c>
      <c r="C676" s="263" t="s">
        <v>1396</v>
      </c>
      <c r="D676" s="263" t="s">
        <v>1389</v>
      </c>
      <c r="E676" s="263" t="s">
        <v>1390</v>
      </c>
      <c r="F676" s="263" t="s">
        <v>1209</v>
      </c>
    </row>
    <row r="677" spans="1:6">
      <c r="A677" s="263">
        <v>676</v>
      </c>
      <c r="B677" s="263" t="s">
        <v>1397</v>
      </c>
      <c r="C677" s="263" t="s">
        <v>1398</v>
      </c>
      <c r="D677" s="263" t="s">
        <v>1389</v>
      </c>
      <c r="E677" s="263" t="s">
        <v>1390</v>
      </c>
      <c r="F677" s="263" t="s">
        <v>1209</v>
      </c>
    </row>
    <row r="678" spans="1:6">
      <c r="A678" s="263">
        <v>677</v>
      </c>
      <c r="B678" s="263" t="s">
        <v>1399</v>
      </c>
      <c r="C678" s="263" t="s">
        <v>1254</v>
      </c>
      <c r="D678" s="263" t="s">
        <v>1389</v>
      </c>
      <c r="E678" s="263" t="s">
        <v>1390</v>
      </c>
      <c r="F678" s="263" t="s">
        <v>1209</v>
      </c>
    </row>
    <row r="679" spans="1:6">
      <c r="A679" s="263">
        <v>678</v>
      </c>
      <c r="B679" s="263" t="s">
        <v>1400</v>
      </c>
      <c r="C679" s="263" t="s">
        <v>1401</v>
      </c>
      <c r="D679" s="263" t="s">
        <v>1389</v>
      </c>
      <c r="E679" s="263" t="s">
        <v>1390</v>
      </c>
      <c r="F679" s="263" t="s">
        <v>1209</v>
      </c>
    </row>
    <row r="680" spans="1:6">
      <c r="A680" s="263">
        <v>679</v>
      </c>
      <c r="B680" s="263" t="s">
        <v>1402</v>
      </c>
      <c r="C680" s="263" t="s">
        <v>1403</v>
      </c>
      <c r="D680" s="263" t="s">
        <v>1389</v>
      </c>
      <c r="E680" s="263" t="s">
        <v>1390</v>
      </c>
      <c r="F680" s="263" t="s">
        <v>1209</v>
      </c>
    </row>
    <row r="681" spans="1:6">
      <c r="A681" s="263">
        <v>680</v>
      </c>
      <c r="B681" s="263" t="s">
        <v>1404</v>
      </c>
      <c r="C681" s="263" t="s">
        <v>1405</v>
      </c>
      <c r="D681" s="263" t="s">
        <v>1389</v>
      </c>
      <c r="E681" s="263" t="s">
        <v>1390</v>
      </c>
      <c r="F681" s="263" t="s">
        <v>1209</v>
      </c>
    </row>
    <row r="682" spans="1:6">
      <c r="A682" s="263">
        <v>681</v>
      </c>
      <c r="B682" s="263" t="s">
        <v>1406</v>
      </c>
      <c r="C682" s="263" t="s">
        <v>1407</v>
      </c>
      <c r="D682" s="263" t="s">
        <v>1389</v>
      </c>
      <c r="E682" s="263" t="s">
        <v>1390</v>
      </c>
      <c r="F682" s="263" t="s">
        <v>1209</v>
      </c>
    </row>
    <row r="683" spans="1:6">
      <c r="A683" s="263">
        <v>682</v>
      </c>
      <c r="B683" s="263" t="s">
        <v>1408</v>
      </c>
      <c r="C683" s="263" t="s">
        <v>1409</v>
      </c>
      <c r="D683" s="263" t="s">
        <v>1389</v>
      </c>
      <c r="E683" s="263" t="s">
        <v>1390</v>
      </c>
      <c r="F683" s="263" t="s">
        <v>1209</v>
      </c>
    </row>
    <row r="684" spans="1:6">
      <c r="A684" s="263">
        <v>683</v>
      </c>
      <c r="B684" s="263" t="s">
        <v>1410</v>
      </c>
      <c r="C684" s="263" t="s">
        <v>686</v>
      </c>
      <c r="D684" s="263" t="s">
        <v>1389</v>
      </c>
      <c r="E684" s="263" t="s">
        <v>1390</v>
      </c>
      <c r="F684" s="263" t="s">
        <v>1209</v>
      </c>
    </row>
    <row r="685" spans="1:6">
      <c r="A685" s="263">
        <v>684</v>
      </c>
      <c r="B685" s="263" t="s">
        <v>1411</v>
      </c>
      <c r="C685" s="263" t="s">
        <v>1412</v>
      </c>
      <c r="D685" s="263" t="s">
        <v>1389</v>
      </c>
      <c r="E685" s="263" t="s">
        <v>1390</v>
      </c>
      <c r="F685" s="263" t="s">
        <v>1209</v>
      </c>
    </row>
    <row r="686" spans="1:6">
      <c r="A686" s="263">
        <v>685</v>
      </c>
      <c r="B686" s="263" t="s">
        <v>1413</v>
      </c>
      <c r="C686" s="263" t="s">
        <v>1414</v>
      </c>
      <c r="D686" s="263" t="s">
        <v>1415</v>
      </c>
      <c r="E686" s="263" t="s">
        <v>1416</v>
      </c>
      <c r="F686" s="263" t="s">
        <v>1209</v>
      </c>
    </row>
    <row r="687" spans="1:6">
      <c r="A687" s="263">
        <v>686</v>
      </c>
      <c r="B687" s="263" t="s">
        <v>1417</v>
      </c>
      <c r="C687" s="263" t="s">
        <v>1418</v>
      </c>
      <c r="D687" s="263" t="s">
        <v>1415</v>
      </c>
      <c r="E687" s="263" t="s">
        <v>1416</v>
      </c>
      <c r="F687" s="263" t="s">
        <v>1209</v>
      </c>
    </row>
    <row r="688" spans="1:6">
      <c r="A688" s="263">
        <v>687</v>
      </c>
      <c r="B688" s="263" t="s">
        <v>1419</v>
      </c>
      <c r="C688" s="263" t="s">
        <v>1420</v>
      </c>
      <c r="D688" s="263" t="s">
        <v>1415</v>
      </c>
      <c r="E688" s="263" t="s">
        <v>1416</v>
      </c>
      <c r="F688" s="263" t="s">
        <v>1209</v>
      </c>
    </row>
    <row r="689" spans="1:6">
      <c r="A689" s="263">
        <v>688</v>
      </c>
      <c r="B689" s="263" t="s">
        <v>1421</v>
      </c>
      <c r="C689" s="263" t="s">
        <v>1422</v>
      </c>
      <c r="D689" s="263" t="s">
        <v>1415</v>
      </c>
      <c r="E689" s="263" t="s">
        <v>1416</v>
      </c>
      <c r="F689" s="263" t="s">
        <v>1209</v>
      </c>
    </row>
    <row r="690" spans="1:6">
      <c r="A690" s="263">
        <v>689</v>
      </c>
      <c r="B690" s="263" t="s">
        <v>1423</v>
      </c>
      <c r="C690" s="263" t="s">
        <v>1424</v>
      </c>
      <c r="D690" s="263" t="s">
        <v>1415</v>
      </c>
      <c r="E690" s="263" t="s">
        <v>1416</v>
      </c>
      <c r="F690" s="263" t="s">
        <v>1209</v>
      </c>
    </row>
    <row r="691" spans="1:6">
      <c r="A691" s="263">
        <v>690</v>
      </c>
      <c r="B691" s="263" t="s">
        <v>1425</v>
      </c>
      <c r="C691" s="263" t="s">
        <v>1426</v>
      </c>
      <c r="D691" s="263" t="s">
        <v>1415</v>
      </c>
      <c r="E691" s="263" t="s">
        <v>1416</v>
      </c>
      <c r="F691" s="263" t="s">
        <v>1209</v>
      </c>
    </row>
    <row r="692" spans="1:6">
      <c r="A692" s="263">
        <v>691</v>
      </c>
      <c r="B692" s="263" t="s">
        <v>1427</v>
      </c>
      <c r="C692" s="263" t="s">
        <v>1428</v>
      </c>
      <c r="D692" s="263" t="s">
        <v>1415</v>
      </c>
      <c r="E692" s="263" t="s">
        <v>1416</v>
      </c>
      <c r="F692" s="263" t="s">
        <v>1209</v>
      </c>
    </row>
    <row r="693" spans="1:6">
      <c r="A693" s="263">
        <v>692</v>
      </c>
      <c r="B693" s="263" t="s">
        <v>1429</v>
      </c>
      <c r="C693" s="263" t="s">
        <v>1430</v>
      </c>
      <c r="D693" s="263" t="s">
        <v>1415</v>
      </c>
      <c r="E693" s="263" t="s">
        <v>1416</v>
      </c>
      <c r="F693" s="263" t="s">
        <v>1209</v>
      </c>
    </row>
    <row r="694" spans="1:6">
      <c r="A694" s="263">
        <v>693</v>
      </c>
      <c r="B694" s="263" t="s">
        <v>1431</v>
      </c>
      <c r="C694" s="263" t="s">
        <v>1432</v>
      </c>
      <c r="D694" s="263" t="s">
        <v>1415</v>
      </c>
      <c r="E694" s="263" t="s">
        <v>1416</v>
      </c>
      <c r="F694" s="263" t="s">
        <v>1209</v>
      </c>
    </row>
    <row r="695" spans="1:6">
      <c r="A695" s="263">
        <v>694</v>
      </c>
      <c r="B695" s="263" t="s">
        <v>1433</v>
      </c>
      <c r="C695" s="263" t="s">
        <v>1434</v>
      </c>
      <c r="D695" s="263" t="s">
        <v>1415</v>
      </c>
      <c r="E695" s="263" t="s">
        <v>1416</v>
      </c>
      <c r="F695" s="263" t="s">
        <v>1209</v>
      </c>
    </row>
    <row r="696" spans="1:6">
      <c r="A696" s="263">
        <v>695</v>
      </c>
      <c r="B696" s="263" t="s">
        <v>1435</v>
      </c>
      <c r="C696" s="263" t="s">
        <v>1436</v>
      </c>
      <c r="D696" s="263" t="s">
        <v>1415</v>
      </c>
      <c r="E696" s="263" t="s">
        <v>1416</v>
      </c>
      <c r="F696" s="263" t="s">
        <v>1209</v>
      </c>
    </row>
    <row r="697" spans="1:6">
      <c r="A697" s="263">
        <v>696</v>
      </c>
      <c r="B697" s="263" t="s">
        <v>1437</v>
      </c>
      <c r="C697" s="263" t="s">
        <v>1438</v>
      </c>
      <c r="D697" s="263" t="s">
        <v>1415</v>
      </c>
      <c r="E697" s="263" t="s">
        <v>1416</v>
      </c>
      <c r="F697" s="263" t="s">
        <v>1209</v>
      </c>
    </row>
    <row r="698" spans="1:6">
      <c r="A698" s="263">
        <v>697</v>
      </c>
      <c r="B698" s="263" t="s">
        <v>1439</v>
      </c>
      <c r="C698" s="263" t="s">
        <v>1440</v>
      </c>
      <c r="D698" s="263" t="s">
        <v>1415</v>
      </c>
      <c r="E698" s="263" t="s">
        <v>1416</v>
      </c>
      <c r="F698" s="263" t="s">
        <v>1209</v>
      </c>
    </row>
    <row r="699" spans="1:6">
      <c r="A699" s="263">
        <v>698</v>
      </c>
      <c r="B699" s="263" t="s">
        <v>1441</v>
      </c>
      <c r="C699" s="263" t="s">
        <v>1442</v>
      </c>
      <c r="D699" s="263" t="s">
        <v>1415</v>
      </c>
      <c r="E699" s="263" t="s">
        <v>1416</v>
      </c>
      <c r="F699" s="263" t="s">
        <v>1209</v>
      </c>
    </row>
    <row r="700" spans="1:6">
      <c r="A700" s="263">
        <v>699</v>
      </c>
      <c r="B700" s="263" t="s">
        <v>1443</v>
      </c>
      <c r="C700" s="263" t="s">
        <v>1070</v>
      </c>
      <c r="D700" s="263" t="s">
        <v>1415</v>
      </c>
      <c r="E700" s="263" t="s">
        <v>1416</v>
      </c>
      <c r="F700" s="263" t="s">
        <v>1209</v>
      </c>
    </row>
    <row r="701" spans="1:6">
      <c r="A701" s="263">
        <v>700</v>
      </c>
      <c r="B701" s="263" t="s">
        <v>1444</v>
      </c>
      <c r="C701" s="263" t="s">
        <v>1445</v>
      </c>
      <c r="D701" s="263" t="s">
        <v>1415</v>
      </c>
      <c r="E701" s="263" t="s">
        <v>1416</v>
      </c>
      <c r="F701" s="263" t="s">
        <v>1209</v>
      </c>
    </row>
    <row r="702" spans="1:6">
      <c r="A702" s="263">
        <v>701</v>
      </c>
      <c r="B702" s="263" t="s">
        <v>1446</v>
      </c>
      <c r="C702" s="263" t="s">
        <v>1447</v>
      </c>
      <c r="D702" s="263" t="s">
        <v>1415</v>
      </c>
      <c r="E702" s="263" t="s">
        <v>1416</v>
      </c>
      <c r="F702" s="263" t="s">
        <v>1209</v>
      </c>
    </row>
    <row r="703" spans="1:6">
      <c r="A703" s="263">
        <v>702</v>
      </c>
      <c r="B703" s="263" t="s">
        <v>1448</v>
      </c>
      <c r="C703" s="263" t="s">
        <v>894</v>
      </c>
      <c r="D703" s="263" t="s">
        <v>1415</v>
      </c>
      <c r="E703" s="263" t="s">
        <v>1416</v>
      </c>
      <c r="F703" s="263" t="s">
        <v>1209</v>
      </c>
    </row>
    <row r="704" spans="1:6">
      <c r="A704" s="263">
        <v>703</v>
      </c>
      <c r="B704" s="263" t="s">
        <v>1449</v>
      </c>
      <c r="C704" s="263" t="s">
        <v>1450</v>
      </c>
      <c r="D704" s="263" t="s">
        <v>1451</v>
      </c>
      <c r="E704" s="263" t="s">
        <v>1452</v>
      </c>
      <c r="F704" s="263" t="s">
        <v>1209</v>
      </c>
    </row>
    <row r="705" spans="1:6">
      <c r="A705" s="263">
        <v>704</v>
      </c>
      <c r="B705" s="263" t="s">
        <v>1453</v>
      </c>
      <c r="C705" s="263" t="s">
        <v>1454</v>
      </c>
      <c r="D705" s="263" t="s">
        <v>1451</v>
      </c>
      <c r="E705" s="263" t="s">
        <v>1452</v>
      </c>
      <c r="F705" s="263" t="s">
        <v>1209</v>
      </c>
    </row>
    <row r="706" spans="1:6">
      <c r="A706" s="263">
        <v>705</v>
      </c>
      <c r="B706" s="263" t="s">
        <v>1455</v>
      </c>
      <c r="C706" s="263" t="s">
        <v>1456</v>
      </c>
      <c r="D706" s="263" t="s">
        <v>1451</v>
      </c>
      <c r="E706" s="263" t="s">
        <v>1452</v>
      </c>
      <c r="F706" s="263" t="s">
        <v>1209</v>
      </c>
    </row>
    <row r="707" spans="1:6">
      <c r="A707" s="263">
        <v>706</v>
      </c>
      <c r="B707" s="263" t="s">
        <v>1457</v>
      </c>
      <c r="C707" s="263" t="s">
        <v>447</v>
      </c>
      <c r="D707" s="263" t="s">
        <v>1451</v>
      </c>
      <c r="E707" s="263" t="s">
        <v>1452</v>
      </c>
      <c r="F707" s="263" t="s">
        <v>1209</v>
      </c>
    </row>
    <row r="708" spans="1:6">
      <c r="A708" s="263">
        <v>707</v>
      </c>
      <c r="B708" s="263" t="s">
        <v>1458</v>
      </c>
      <c r="C708" s="263" t="s">
        <v>885</v>
      </c>
      <c r="D708" s="263" t="s">
        <v>1451</v>
      </c>
      <c r="E708" s="263" t="s">
        <v>1452</v>
      </c>
      <c r="F708" s="263" t="s">
        <v>1209</v>
      </c>
    </row>
    <row r="709" spans="1:6">
      <c r="A709" s="263">
        <v>708</v>
      </c>
      <c r="B709" s="263" t="s">
        <v>1459</v>
      </c>
      <c r="C709" s="263" t="s">
        <v>348</v>
      </c>
      <c r="D709" s="263" t="s">
        <v>1451</v>
      </c>
      <c r="E709" s="263" t="s">
        <v>1452</v>
      </c>
      <c r="F709" s="263" t="s">
        <v>1209</v>
      </c>
    </row>
    <row r="710" spans="1:6">
      <c r="A710" s="263">
        <v>709</v>
      </c>
      <c r="B710" s="263" t="s">
        <v>1460</v>
      </c>
      <c r="C710" s="263" t="s">
        <v>1461</v>
      </c>
      <c r="D710" s="263" t="s">
        <v>1451</v>
      </c>
      <c r="E710" s="263" t="s">
        <v>1452</v>
      </c>
      <c r="F710" s="263" t="s">
        <v>1209</v>
      </c>
    </row>
    <row r="711" spans="1:6">
      <c r="A711" s="263">
        <v>710</v>
      </c>
      <c r="B711" s="263" t="s">
        <v>1462</v>
      </c>
      <c r="C711" s="263" t="s">
        <v>840</v>
      </c>
      <c r="D711" s="263" t="s">
        <v>1451</v>
      </c>
      <c r="E711" s="263" t="s">
        <v>1452</v>
      </c>
      <c r="F711" s="263" t="s">
        <v>1209</v>
      </c>
    </row>
    <row r="712" spans="1:6">
      <c r="A712" s="263">
        <v>711</v>
      </c>
      <c r="B712" s="263" t="s">
        <v>1463</v>
      </c>
      <c r="C712" s="263" t="s">
        <v>731</v>
      </c>
      <c r="D712" s="263" t="s">
        <v>1451</v>
      </c>
      <c r="E712" s="263" t="s">
        <v>1452</v>
      </c>
      <c r="F712" s="263" t="s">
        <v>1209</v>
      </c>
    </row>
    <row r="713" spans="1:6">
      <c r="A713" s="263">
        <v>712</v>
      </c>
      <c r="B713" s="263" t="s">
        <v>1464</v>
      </c>
      <c r="C713" s="263" t="s">
        <v>1465</v>
      </c>
      <c r="D713" s="263" t="s">
        <v>1466</v>
      </c>
      <c r="E713" s="263" t="s">
        <v>1467</v>
      </c>
      <c r="F713" s="263" t="s">
        <v>1468</v>
      </c>
    </row>
    <row r="714" spans="1:6">
      <c r="A714" s="263">
        <v>713</v>
      </c>
      <c r="B714" s="263" t="s">
        <v>1469</v>
      </c>
      <c r="C714" s="263" t="s">
        <v>1470</v>
      </c>
      <c r="D714" s="263" t="s">
        <v>1466</v>
      </c>
      <c r="E714" s="263" t="s">
        <v>1467</v>
      </c>
      <c r="F714" s="263" t="s">
        <v>1468</v>
      </c>
    </row>
    <row r="715" spans="1:6">
      <c r="A715" s="263">
        <v>714</v>
      </c>
      <c r="B715" s="263" t="s">
        <v>1471</v>
      </c>
      <c r="C715" s="263" t="s">
        <v>1472</v>
      </c>
      <c r="D715" s="263" t="s">
        <v>1466</v>
      </c>
      <c r="E715" s="263" t="s">
        <v>1467</v>
      </c>
      <c r="F715" s="263" t="s">
        <v>1468</v>
      </c>
    </row>
    <row r="716" spans="1:6">
      <c r="A716" s="263">
        <v>715</v>
      </c>
      <c r="B716" s="263" t="s">
        <v>1473</v>
      </c>
      <c r="C716" s="263" t="s">
        <v>1474</v>
      </c>
      <c r="D716" s="263" t="s">
        <v>1466</v>
      </c>
      <c r="E716" s="263" t="s">
        <v>1467</v>
      </c>
      <c r="F716" s="263" t="s">
        <v>1468</v>
      </c>
    </row>
    <row r="717" spans="1:6">
      <c r="A717" s="263">
        <v>716</v>
      </c>
      <c r="B717" s="263" t="s">
        <v>1475</v>
      </c>
      <c r="C717" s="263" t="s">
        <v>152</v>
      </c>
      <c r="D717" s="263" t="s">
        <v>1466</v>
      </c>
      <c r="E717" s="263" t="s">
        <v>1467</v>
      </c>
      <c r="F717" s="263" t="s">
        <v>1468</v>
      </c>
    </row>
    <row r="718" spans="1:6">
      <c r="A718" s="263">
        <v>717</v>
      </c>
      <c r="B718" s="263" t="s">
        <v>1476</v>
      </c>
      <c r="C718" s="263" t="s">
        <v>373</v>
      </c>
      <c r="D718" s="263" t="s">
        <v>1466</v>
      </c>
      <c r="E718" s="263" t="s">
        <v>1467</v>
      </c>
      <c r="F718" s="263" t="s">
        <v>1468</v>
      </c>
    </row>
    <row r="719" spans="1:6">
      <c r="A719" s="263">
        <v>718</v>
      </c>
      <c r="B719" s="263" t="s">
        <v>1477</v>
      </c>
      <c r="C719" s="263" t="s">
        <v>1478</v>
      </c>
      <c r="D719" s="263" t="s">
        <v>1466</v>
      </c>
      <c r="E719" s="263" t="s">
        <v>1467</v>
      </c>
      <c r="F719" s="263" t="s">
        <v>1468</v>
      </c>
    </row>
    <row r="720" spans="1:6">
      <c r="A720" s="263">
        <v>719</v>
      </c>
      <c r="B720" s="263" t="s">
        <v>1479</v>
      </c>
      <c r="C720" s="263" t="s">
        <v>1480</v>
      </c>
      <c r="D720" s="263" t="s">
        <v>1466</v>
      </c>
      <c r="E720" s="263" t="s">
        <v>1467</v>
      </c>
      <c r="F720" s="263" t="s">
        <v>1468</v>
      </c>
    </row>
    <row r="721" spans="1:6">
      <c r="A721" s="263">
        <v>720</v>
      </c>
      <c r="B721" s="263" t="s">
        <v>1481</v>
      </c>
      <c r="C721" s="263" t="s">
        <v>1482</v>
      </c>
      <c r="D721" s="263" t="s">
        <v>1466</v>
      </c>
      <c r="E721" s="263" t="s">
        <v>1467</v>
      </c>
      <c r="F721" s="263" t="s">
        <v>1468</v>
      </c>
    </row>
    <row r="722" spans="1:6">
      <c r="A722" s="263">
        <v>721</v>
      </c>
      <c r="B722" s="263" t="s">
        <v>1483</v>
      </c>
      <c r="C722" s="263" t="s">
        <v>1484</v>
      </c>
      <c r="D722" s="263" t="s">
        <v>1466</v>
      </c>
      <c r="E722" s="263" t="s">
        <v>1467</v>
      </c>
      <c r="F722" s="263" t="s">
        <v>1468</v>
      </c>
    </row>
    <row r="723" spans="1:6">
      <c r="A723" s="263">
        <v>722</v>
      </c>
      <c r="B723" s="263" t="s">
        <v>1485</v>
      </c>
      <c r="C723" s="263" t="s">
        <v>1486</v>
      </c>
      <c r="D723" s="263" t="s">
        <v>1466</v>
      </c>
      <c r="E723" s="263" t="s">
        <v>1467</v>
      </c>
      <c r="F723" s="263" t="s">
        <v>1468</v>
      </c>
    </row>
    <row r="724" spans="1:6">
      <c r="A724" s="263">
        <v>723</v>
      </c>
      <c r="B724" s="263" t="s">
        <v>1487</v>
      </c>
      <c r="C724" s="263" t="s">
        <v>1488</v>
      </c>
      <c r="D724" s="263" t="s">
        <v>1489</v>
      </c>
      <c r="E724" s="263" t="s">
        <v>1490</v>
      </c>
      <c r="F724" s="263" t="s">
        <v>1468</v>
      </c>
    </row>
    <row r="725" spans="1:6">
      <c r="A725" s="263">
        <v>724</v>
      </c>
      <c r="B725" s="263" t="s">
        <v>1491</v>
      </c>
      <c r="C725" s="263" t="s">
        <v>1492</v>
      </c>
      <c r="D725" s="263" t="s">
        <v>1489</v>
      </c>
      <c r="E725" s="263" t="s">
        <v>1490</v>
      </c>
      <c r="F725" s="263" t="s">
        <v>1468</v>
      </c>
    </row>
    <row r="726" spans="1:6">
      <c r="A726" s="263">
        <v>725</v>
      </c>
      <c r="B726" s="263" t="s">
        <v>1493</v>
      </c>
      <c r="C726" s="263" t="s">
        <v>1494</v>
      </c>
      <c r="D726" s="263" t="s">
        <v>1489</v>
      </c>
      <c r="E726" s="263" t="s">
        <v>1490</v>
      </c>
      <c r="F726" s="263" t="s">
        <v>1468</v>
      </c>
    </row>
    <row r="727" spans="1:6">
      <c r="A727" s="263">
        <v>726</v>
      </c>
      <c r="B727" s="263" t="s">
        <v>1495</v>
      </c>
      <c r="C727" s="263" t="s">
        <v>1496</v>
      </c>
      <c r="D727" s="263" t="s">
        <v>1489</v>
      </c>
      <c r="E727" s="263" t="s">
        <v>1490</v>
      </c>
      <c r="F727" s="263" t="s">
        <v>1468</v>
      </c>
    </row>
    <row r="728" spans="1:6">
      <c r="A728" s="263">
        <v>727</v>
      </c>
      <c r="B728" s="263" t="s">
        <v>1497</v>
      </c>
      <c r="C728" s="263" t="s">
        <v>1498</v>
      </c>
      <c r="D728" s="263" t="s">
        <v>1489</v>
      </c>
      <c r="E728" s="263" t="s">
        <v>1490</v>
      </c>
      <c r="F728" s="263" t="s">
        <v>1468</v>
      </c>
    </row>
    <row r="729" spans="1:6">
      <c r="A729" s="263">
        <v>728</v>
      </c>
      <c r="B729" s="263" t="s">
        <v>1499</v>
      </c>
      <c r="C729" s="263" t="s">
        <v>1500</v>
      </c>
      <c r="D729" s="263" t="s">
        <v>1489</v>
      </c>
      <c r="E729" s="263" t="s">
        <v>1490</v>
      </c>
      <c r="F729" s="263" t="s">
        <v>1468</v>
      </c>
    </row>
    <row r="730" spans="1:6">
      <c r="A730" s="263">
        <v>729</v>
      </c>
      <c r="B730" s="263" t="s">
        <v>1501</v>
      </c>
      <c r="C730" s="263" t="s">
        <v>1502</v>
      </c>
      <c r="D730" s="263" t="s">
        <v>1489</v>
      </c>
      <c r="E730" s="263" t="s">
        <v>1490</v>
      </c>
      <c r="F730" s="263" t="s">
        <v>1468</v>
      </c>
    </row>
    <row r="731" spans="1:6">
      <c r="A731" s="263">
        <v>730</v>
      </c>
      <c r="B731" s="263" t="s">
        <v>1503</v>
      </c>
      <c r="C731" s="263" t="s">
        <v>1504</v>
      </c>
      <c r="D731" s="263" t="s">
        <v>1489</v>
      </c>
      <c r="E731" s="263" t="s">
        <v>1490</v>
      </c>
      <c r="F731" s="263" t="s">
        <v>1468</v>
      </c>
    </row>
    <row r="732" spans="1:6">
      <c r="A732" s="263">
        <v>731</v>
      </c>
      <c r="B732" s="263" t="s">
        <v>1505</v>
      </c>
      <c r="C732" s="263" t="s">
        <v>1506</v>
      </c>
      <c r="D732" s="263" t="s">
        <v>1507</v>
      </c>
      <c r="E732" s="263" t="s">
        <v>1508</v>
      </c>
      <c r="F732" s="263" t="s">
        <v>1468</v>
      </c>
    </row>
    <row r="733" spans="1:6">
      <c r="A733" s="263">
        <v>732</v>
      </c>
      <c r="B733" s="263" t="s">
        <v>1509</v>
      </c>
      <c r="C733" s="263" t="s">
        <v>1510</v>
      </c>
      <c r="D733" s="263" t="s">
        <v>1507</v>
      </c>
      <c r="E733" s="263" t="s">
        <v>1508</v>
      </c>
      <c r="F733" s="263" t="s">
        <v>1468</v>
      </c>
    </row>
    <row r="734" spans="1:6">
      <c r="A734" s="263">
        <v>733</v>
      </c>
      <c r="B734" s="263" t="s">
        <v>1511</v>
      </c>
      <c r="C734" s="263" t="s">
        <v>1512</v>
      </c>
      <c r="D734" s="263" t="s">
        <v>1507</v>
      </c>
      <c r="E734" s="263" t="s">
        <v>1508</v>
      </c>
      <c r="F734" s="263" t="s">
        <v>1468</v>
      </c>
    </row>
    <row r="735" spans="1:6">
      <c r="A735" s="263">
        <v>734</v>
      </c>
      <c r="B735" s="263" t="s">
        <v>1513</v>
      </c>
      <c r="C735" s="263" t="s">
        <v>1514</v>
      </c>
      <c r="D735" s="263" t="s">
        <v>1507</v>
      </c>
      <c r="E735" s="263" t="s">
        <v>1508</v>
      </c>
      <c r="F735" s="263" t="s">
        <v>1468</v>
      </c>
    </row>
    <row r="736" spans="1:6">
      <c r="A736" s="263">
        <v>735</v>
      </c>
      <c r="B736" s="263" t="s">
        <v>1515</v>
      </c>
      <c r="C736" s="263" t="s">
        <v>1516</v>
      </c>
      <c r="D736" s="263" t="s">
        <v>1507</v>
      </c>
      <c r="E736" s="263" t="s">
        <v>1508</v>
      </c>
      <c r="F736" s="263" t="s">
        <v>1468</v>
      </c>
    </row>
    <row r="737" spans="1:6">
      <c r="A737" s="263">
        <v>736</v>
      </c>
      <c r="B737" s="263" t="s">
        <v>1517</v>
      </c>
      <c r="C737" s="263" t="s">
        <v>1518</v>
      </c>
      <c r="D737" s="263" t="s">
        <v>1507</v>
      </c>
      <c r="E737" s="263" t="s">
        <v>1508</v>
      </c>
      <c r="F737" s="263" t="s">
        <v>1468</v>
      </c>
    </row>
    <row r="738" spans="1:6">
      <c r="A738" s="263">
        <v>737</v>
      </c>
      <c r="B738" s="263" t="s">
        <v>1519</v>
      </c>
      <c r="C738" s="263" t="s">
        <v>1520</v>
      </c>
      <c r="D738" s="263" t="s">
        <v>1507</v>
      </c>
      <c r="E738" s="263" t="s">
        <v>1508</v>
      </c>
      <c r="F738" s="263" t="s">
        <v>1468</v>
      </c>
    </row>
    <row r="739" spans="1:6">
      <c r="A739" s="263">
        <v>738</v>
      </c>
      <c r="B739" s="263" t="s">
        <v>1521</v>
      </c>
      <c r="C739" s="263" t="s">
        <v>1522</v>
      </c>
      <c r="D739" s="263" t="s">
        <v>1523</v>
      </c>
      <c r="E739" s="263" t="s">
        <v>134</v>
      </c>
      <c r="F739" s="263" t="s">
        <v>1468</v>
      </c>
    </row>
    <row r="740" spans="1:6">
      <c r="A740" s="263">
        <v>739</v>
      </c>
      <c r="B740" s="263" t="s">
        <v>1524</v>
      </c>
      <c r="C740" s="263" t="s">
        <v>1525</v>
      </c>
      <c r="D740" s="263" t="s">
        <v>1523</v>
      </c>
      <c r="E740" s="263" t="s">
        <v>134</v>
      </c>
      <c r="F740" s="263" t="s">
        <v>1468</v>
      </c>
    </row>
    <row r="741" spans="1:6">
      <c r="A741" s="263">
        <v>740</v>
      </c>
      <c r="B741" s="263" t="s">
        <v>1526</v>
      </c>
      <c r="C741" s="263" t="s">
        <v>1095</v>
      </c>
      <c r="D741" s="263" t="s">
        <v>1523</v>
      </c>
      <c r="E741" s="263" t="s">
        <v>134</v>
      </c>
      <c r="F741" s="263" t="s">
        <v>1468</v>
      </c>
    </row>
    <row r="742" spans="1:6">
      <c r="A742" s="263">
        <v>741</v>
      </c>
      <c r="B742" s="263" t="s">
        <v>1527</v>
      </c>
      <c r="C742" s="263" t="s">
        <v>1528</v>
      </c>
      <c r="D742" s="263" t="s">
        <v>1523</v>
      </c>
      <c r="E742" s="263" t="s">
        <v>134</v>
      </c>
      <c r="F742" s="263" t="s">
        <v>1468</v>
      </c>
    </row>
    <row r="743" spans="1:6">
      <c r="A743" s="263">
        <v>742</v>
      </c>
      <c r="B743" s="263" t="s">
        <v>1529</v>
      </c>
      <c r="C743" s="263" t="s">
        <v>182</v>
      </c>
      <c r="D743" s="263" t="s">
        <v>1523</v>
      </c>
      <c r="E743" s="263" t="s">
        <v>134</v>
      </c>
      <c r="F743" s="263" t="s">
        <v>1468</v>
      </c>
    </row>
    <row r="744" spans="1:6">
      <c r="A744" s="263">
        <v>743</v>
      </c>
      <c r="B744" s="263" t="s">
        <v>1530</v>
      </c>
      <c r="C744" s="263" t="s">
        <v>1531</v>
      </c>
      <c r="D744" s="263" t="s">
        <v>1523</v>
      </c>
      <c r="E744" s="263" t="s">
        <v>134</v>
      </c>
      <c r="F744" s="263" t="s">
        <v>1468</v>
      </c>
    </row>
    <row r="745" spans="1:6">
      <c r="A745" s="263">
        <v>744</v>
      </c>
      <c r="B745" s="263" t="s">
        <v>1532</v>
      </c>
      <c r="C745" s="263" t="s">
        <v>1461</v>
      </c>
      <c r="D745" s="263" t="s">
        <v>1523</v>
      </c>
      <c r="E745" s="263" t="s">
        <v>134</v>
      </c>
      <c r="F745" s="263" t="s">
        <v>1468</v>
      </c>
    </row>
    <row r="746" spans="1:6">
      <c r="A746" s="263">
        <v>745</v>
      </c>
      <c r="B746" s="263" t="s">
        <v>1533</v>
      </c>
      <c r="C746" s="263" t="s">
        <v>1534</v>
      </c>
      <c r="D746" s="263" t="s">
        <v>1523</v>
      </c>
      <c r="E746" s="263" t="s">
        <v>134</v>
      </c>
      <c r="F746" s="263" t="s">
        <v>1468</v>
      </c>
    </row>
    <row r="747" spans="1:6">
      <c r="A747" s="263">
        <v>746</v>
      </c>
      <c r="B747" s="263" t="s">
        <v>1535</v>
      </c>
      <c r="C747" s="263" t="s">
        <v>1536</v>
      </c>
      <c r="D747" s="263" t="s">
        <v>1523</v>
      </c>
      <c r="E747" s="263" t="s">
        <v>134</v>
      </c>
      <c r="F747" s="263" t="s">
        <v>1468</v>
      </c>
    </row>
    <row r="748" spans="1:6">
      <c r="A748" s="263">
        <v>747</v>
      </c>
      <c r="B748" s="263" t="s">
        <v>1537</v>
      </c>
      <c r="C748" s="263" t="s">
        <v>1538</v>
      </c>
      <c r="D748" s="263" t="s">
        <v>1539</v>
      </c>
      <c r="E748" s="263" t="s">
        <v>1540</v>
      </c>
      <c r="F748" s="263" t="s">
        <v>1468</v>
      </c>
    </row>
    <row r="749" spans="1:6">
      <c r="A749" s="263">
        <v>748</v>
      </c>
      <c r="B749" s="263" t="s">
        <v>1541</v>
      </c>
      <c r="C749" s="263" t="s">
        <v>1542</v>
      </c>
      <c r="D749" s="263" t="s">
        <v>1539</v>
      </c>
      <c r="E749" s="263" t="s">
        <v>1540</v>
      </c>
      <c r="F749" s="263" t="s">
        <v>1468</v>
      </c>
    </row>
    <row r="750" spans="1:6">
      <c r="A750" s="263">
        <v>749</v>
      </c>
      <c r="B750" s="263" t="s">
        <v>1543</v>
      </c>
      <c r="C750" s="263" t="s">
        <v>1544</v>
      </c>
      <c r="D750" s="263" t="s">
        <v>1539</v>
      </c>
      <c r="E750" s="263" t="s">
        <v>1540</v>
      </c>
      <c r="F750" s="263" t="s">
        <v>1468</v>
      </c>
    </row>
    <row r="751" spans="1:6">
      <c r="A751" s="263">
        <v>750</v>
      </c>
      <c r="B751" s="263" t="s">
        <v>1545</v>
      </c>
      <c r="C751" s="263" t="s">
        <v>1546</v>
      </c>
      <c r="D751" s="263" t="s">
        <v>1539</v>
      </c>
      <c r="E751" s="263" t="s">
        <v>1540</v>
      </c>
      <c r="F751" s="263" t="s">
        <v>1468</v>
      </c>
    </row>
    <row r="752" spans="1:6">
      <c r="A752" s="263">
        <v>751</v>
      </c>
      <c r="B752" s="263" t="s">
        <v>1547</v>
      </c>
      <c r="C752" s="263" t="s">
        <v>1548</v>
      </c>
      <c r="D752" s="263" t="s">
        <v>1539</v>
      </c>
      <c r="E752" s="263" t="s">
        <v>1540</v>
      </c>
      <c r="F752" s="263" t="s">
        <v>1468</v>
      </c>
    </row>
    <row r="753" spans="1:6">
      <c r="A753" s="263">
        <v>752</v>
      </c>
      <c r="B753" s="263" t="s">
        <v>1549</v>
      </c>
      <c r="C753" s="263" t="s">
        <v>1550</v>
      </c>
      <c r="D753" s="263" t="s">
        <v>1539</v>
      </c>
      <c r="E753" s="263" t="s">
        <v>1540</v>
      </c>
      <c r="F753" s="263" t="s">
        <v>1468</v>
      </c>
    </row>
    <row r="754" spans="1:6">
      <c r="A754" s="263">
        <v>753</v>
      </c>
      <c r="B754" s="263" t="s">
        <v>1551</v>
      </c>
      <c r="C754" s="263" t="s">
        <v>1552</v>
      </c>
      <c r="D754" s="263" t="s">
        <v>1539</v>
      </c>
      <c r="E754" s="263" t="s">
        <v>1540</v>
      </c>
      <c r="F754" s="263" t="s">
        <v>1468</v>
      </c>
    </row>
    <row r="755" spans="1:6">
      <c r="A755" s="263">
        <v>754</v>
      </c>
      <c r="B755" s="263" t="s">
        <v>1553</v>
      </c>
      <c r="C755" s="263" t="s">
        <v>1554</v>
      </c>
      <c r="D755" s="263" t="s">
        <v>1539</v>
      </c>
      <c r="E755" s="263" t="s">
        <v>1540</v>
      </c>
      <c r="F755" s="263" t="s">
        <v>1468</v>
      </c>
    </row>
    <row r="756" spans="1:6">
      <c r="A756" s="263">
        <v>755</v>
      </c>
      <c r="B756" s="263" t="s">
        <v>1555</v>
      </c>
      <c r="C756" s="263" t="s">
        <v>80</v>
      </c>
      <c r="D756" s="263" t="s">
        <v>1539</v>
      </c>
      <c r="E756" s="263" t="s">
        <v>1540</v>
      </c>
      <c r="F756" s="263" t="s">
        <v>1468</v>
      </c>
    </row>
    <row r="757" spans="1:6">
      <c r="A757" s="263">
        <v>756</v>
      </c>
      <c r="B757" s="263" t="s">
        <v>1556</v>
      </c>
      <c r="C757" s="263" t="s">
        <v>1557</v>
      </c>
      <c r="D757" s="263" t="s">
        <v>1539</v>
      </c>
      <c r="E757" s="263" t="s">
        <v>1540</v>
      </c>
      <c r="F757" s="263" t="s">
        <v>1468</v>
      </c>
    </row>
    <row r="758" spans="1:6">
      <c r="A758" s="263">
        <v>757</v>
      </c>
      <c r="B758" s="263" t="s">
        <v>1558</v>
      </c>
      <c r="C758" s="263" t="s">
        <v>1559</v>
      </c>
      <c r="D758" s="263" t="s">
        <v>1539</v>
      </c>
      <c r="E758" s="263" t="s">
        <v>1540</v>
      </c>
      <c r="F758" s="263" t="s">
        <v>1468</v>
      </c>
    </row>
    <row r="759" spans="1:6">
      <c r="A759" s="263">
        <v>758</v>
      </c>
      <c r="B759" s="263" t="s">
        <v>1560</v>
      </c>
      <c r="C759" s="263" t="s">
        <v>1561</v>
      </c>
      <c r="D759" s="263" t="s">
        <v>1539</v>
      </c>
      <c r="E759" s="263" t="s">
        <v>1540</v>
      </c>
      <c r="F759" s="263" t="s">
        <v>1468</v>
      </c>
    </row>
    <row r="760" spans="1:6">
      <c r="A760" s="263">
        <v>759</v>
      </c>
      <c r="B760" s="263" t="s">
        <v>1562</v>
      </c>
      <c r="C760" s="263" t="s">
        <v>1563</v>
      </c>
      <c r="D760" s="263" t="s">
        <v>1564</v>
      </c>
      <c r="E760" s="263" t="s">
        <v>1565</v>
      </c>
      <c r="F760" s="263" t="s">
        <v>1468</v>
      </c>
    </row>
    <row r="761" spans="1:6">
      <c r="A761" s="263">
        <v>760</v>
      </c>
      <c r="B761" s="263" t="s">
        <v>1566</v>
      </c>
      <c r="C761" s="263" t="s">
        <v>1567</v>
      </c>
      <c r="D761" s="263" t="s">
        <v>1564</v>
      </c>
      <c r="E761" s="263" t="s">
        <v>1565</v>
      </c>
      <c r="F761" s="263" t="s">
        <v>1468</v>
      </c>
    </row>
    <row r="762" spans="1:6">
      <c r="A762" s="263">
        <v>761</v>
      </c>
      <c r="B762" s="263" t="s">
        <v>1568</v>
      </c>
      <c r="C762" s="263" t="s">
        <v>16</v>
      </c>
      <c r="D762" s="263" t="s">
        <v>1564</v>
      </c>
      <c r="E762" s="263" t="s">
        <v>1565</v>
      </c>
      <c r="F762" s="263" t="s">
        <v>1468</v>
      </c>
    </row>
    <row r="763" spans="1:6">
      <c r="A763" s="263">
        <v>762</v>
      </c>
      <c r="B763" s="263" t="s">
        <v>1569</v>
      </c>
      <c r="C763" s="263" t="s">
        <v>1570</v>
      </c>
      <c r="D763" s="263" t="s">
        <v>1564</v>
      </c>
      <c r="E763" s="263" t="s">
        <v>1565</v>
      </c>
      <c r="F763" s="263" t="s">
        <v>1468</v>
      </c>
    </row>
    <row r="764" spans="1:6">
      <c r="A764" s="263">
        <v>763</v>
      </c>
      <c r="B764" s="263" t="s">
        <v>1571</v>
      </c>
      <c r="C764" s="263" t="s">
        <v>1572</v>
      </c>
      <c r="D764" s="263" t="s">
        <v>1564</v>
      </c>
      <c r="E764" s="263" t="s">
        <v>1565</v>
      </c>
      <c r="F764" s="263" t="s">
        <v>1468</v>
      </c>
    </row>
    <row r="765" spans="1:6">
      <c r="A765" s="263">
        <v>764</v>
      </c>
      <c r="B765" s="263" t="s">
        <v>1573</v>
      </c>
      <c r="C765" s="263" t="s">
        <v>1574</v>
      </c>
      <c r="D765" s="263" t="s">
        <v>1564</v>
      </c>
      <c r="E765" s="263" t="s">
        <v>1565</v>
      </c>
      <c r="F765" s="263" t="s">
        <v>1468</v>
      </c>
    </row>
    <row r="766" spans="1:6">
      <c r="A766" s="263">
        <v>765</v>
      </c>
      <c r="B766" s="263" t="s">
        <v>1575</v>
      </c>
      <c r="C766" s="263" t="s">
        <v>1576</v>
      </c>
      <c r="D766" s="263" t="s">
        <v>1564</v>
      </c>
      <c r="E766" s="263" t="s">
        <v>1565</v>
      </c>
      <c r="F766" s="263" t="s">
        <v>1468</v>
      </c>
    </row>
    <row r="767" spans="1:6">
      <c r="A767" s="263">
        <v>766</v>
      </c>
      <c r="B767" s="263" t="s">
        <v>1577</v>
      </c>
      <c r="C767" s="263" t="s">
        <v>1578</v>
      </c>
      <c r="D767" s="263" t="s">
        <v>1564</v>
      </c>
      <c r="E767" s="263" t="s">
        <v>1565</v>
      </c>
      <c r="F767" s="263" t="s">
        <v>1468</v>
      </c>
    </row>
    <row r="768" spans="1:6">
      <c r="A768" s="263">
        <v>767</v>
      </c>
      <c r="B768" s="263" t="s">
        <v>1579</v>
      </c>
      <c r="C768" s="263" t="s">
        <v>1580</v>
      </c>
      <c r="D768" s="263" t="s">
        <v>1564</v>
      </c>
      <c r="E768" s="263" t="s">
        <v>1565</v>
      </c>
      <c r="F768" s="263" t="s">
        <v>1468</v>
      </c>
    </row>
    <row r="769" spans="1:6">
      <c r="A769" s="263">
        <v>768</v>
      </c>
      <c r="B769" s="263" t="s">
        <v>1581</v>
      </c>
      <c r="C769" s="263" t="s">
        <v>1582</v>
      </c>
      <c r="D769" s="263" t="s">
        <v>1564</v>
      </c>
      <c r="E769" s="263" t="s">
        <v>1565</v>
      </c>
      <c r="F769" s="263" t="s">
        <v>1468</v>
      </c>
    </row>
    <row r="770" spans="1:6">
      <c r="A770" s="263">
        <v>769</v>
      </c>
      <c r="B770" s="263" t="s">
        <v>1583</v>
      </c>
      <c r="C770" s="263" t="s">
        <v>1584</v>
      </c>
      <c r="D770" s="263" t="s">
        <v>1564</v>
      </c>
      <c r="E770" s="263" t="s">
        <v>1565</v>
      </c>
      <c r="F770" s="263" t="s">
        <v>1468</v>
      </c>
    </row>
    <row r="771" spans="1:6">
      <c r="A771" s="263">
        <v>770</v>
      </c>
      <c r="B771" s="263" t="s">
        <v>1585</v>
      </c>
      <c r="C771" s="263" t="s">
        <v>1586</v>
      </c>
      <c r="D771" s="263" t="s">
        <v>1564</v>
      </c>
      <c r="E771" s="263" t="s">
        <v>1565</v>
      </c>
      <c r="F771" s="263" t="s">
        <v>1468</v>
      </c>
    </row>
    <row r="772" spans="1:6">
      <c r="A772" s="263">
        <v>771</v>
      </c>
      <c r="B772" s="263" t="s">
        <v>1587</v>
      </c>
      <c r="C772" s="263" t="s">
        <v>1588</v>
      </c>
      <c r="D772" s="263" t="s">
        <v>1564</v>
      </c>
      <c r="E772" s="263" t="s">
        <v>1565</v>
      </c>
      <c r="F772" s="263" t="s">
        <v>1468</v>
      </c>
    </row>
    <row r="773" spans="1:6">
      <c r="A773" s="263">
        <v>772</v>
      </c>
      <c r="B773" s="263" t="s">
        <v>1589</v>
      </c>
      <c r="C773" s="263" t="s">
        <v>1590</v>
      </c>
      <c r="D773" s="263" t="s">
        <v>1591</v>
      </c>
      <c r="E773" s="263" t="s">
        <v>1592</v>
      </c>
      <c r="F773" s="263" t="s">
        <v>1468</v>
      </c>
    </row>
    <row r="774" spans="1:6">
      <c r="A774" s="263">
        <v>773</v>
      </c>
      <c r="B774" s="263" t="s">
        <v>1593</v>
      </c>
      <c r="C774" s="263" t="s">
        <v>14</v>
      </c>
      <c r="D774" s="263" t="s">
        <v>1591</v>
      </c>
      <c r="E774" s="263" t="s">
        <v>1592</v>
      </c>
      <c r="F774" s="263" t="s">
        <v>1468</v>
      </c>
    </row>
    <row r="775" spans="1:6">
      <c r="A775" s="263">
        <v>774</v>
      </c>
      <c r="B775" s="263" t="s">
        <v>1594</v>
      </c>
      <c r="C775" s="263" t="s">
        <v>52</v>
      </c>
      <c r="D775" s="263" t="s">
        <v>1591</v>
      </c>
      <c r="E775" s="263" t="s">
        <v>1592</v>
      </c>
      <c r="F775" s="263" t="s">
        <v>1468</v>
      </c>
    </row>
    <row r="776" spans="1:6">
      <c r="A776" s="263">
        <v>775</v>
      </c>
      <c r="B776" s="263" t="s">
        <v>1595</v>
      </c>
      <c r="C776" s="263" t="s">
        <v>1596</v>
      </c>
      <c r="D776" s="263" t="s">
        <v>1591</v>
      </c>
      <c r="E776" s="263" t="s">
        <v>1592</v>
      </c>
      <c r="F776" s="263" t="s">
        <v>1468</v>
      </c>
    </row>
    <row r="777" spans="1:6">
      <c r="A777" s="263">
        <v>776</v>
      </c>
      <c r="B777" s="263" t="s">
        <v>1597</v>
      </c>
      <c r="C777" s="263" t="s">
        <v>1598</v>
      </c>
      <c r="D777" s="263" t="s">
        <v>1591</v>
      </c>
      <c r="E777" s="263" t="s">
        <v>1592</v>
      </c>
      <c r="F777" s="263" t="s">
        <v>1468</v>
      </c>
    </row>
    <row r="778" spans="1:6">
      <c r="A778" s="263">
        <v>777</v>
      </c>
      <c r="B778" s="263" t="s">
        <v>1599</v>
      </c>
      <c r="C778" s="263" t="s">
        <v>1600</v>
      </c>
      <c r="D778" s="263" t="s">
        <v>1591</v>
      </c>
      <c r="E778" s="263" t="s">
        <v>1592</v>
      </c>
      <c r="F778" s="263" t="s">
        <v>1468</v>
      </c>
    </row>
    <row r="779" spans="1:6">
      <c r="A779" s="263">
        <v>778</v>
      </c>
      <c r="B779" s="263" t="s">
        <v>1601</v>
      </c>
      <c r="C779" s="263" t="s">
        <v>1602</v>
      </c>
      <c r="D779" s="263" t="s">
        <v>1591</v>
      </c>
      <c r="E779" s="263" t="s">
        <v>1592</v>
      </c>
      <c r="F779" s="263" t="s">
        <v>1468</v>
      </c>
    </row>
    <row r="780" spans="1:6">
      <c r="A780" s="263">
        <v>779</v>
      </c>
      <c r="B780" s="263" t="s">
        <v>1603</v>
      </c>
      <c r="C780" s="263" t="s">
        <v>1604</v>
      </c>
      <c r="D780" s="263" t="s">
        <v>1591</v>
      </c>
      <c r="E780" s="263" t="s">
        <v>1592</v>
      </c>
      <c r="F780" s="263" t="s">
        <v>1468</v>
      </c>
    </row>
    <row r="781" spans="1:6">
      <c r="A781" s="263">
        <v>780</v>
      </c>
      <c r="B781" s="263" t="s">
        <v>1605</v>
      </c>
      <c r="C781" s="263" t="s">
        <v>1606</v>
      </c>
      <c r="D781" s="263" t="s">
        <v>1607</v>
      </c>
      <c r="E781" s="263" t="s">
        <v>1608</v>
      </c>
      <c r="F781" s="263" t="s">
        <v>1468</v>
      </c>
    </row>
    <row r="782" spans="1:6">
      <c r="A782" s="263">
        <v>781</v>
      </c>
      <c r="B782" s="263" t="s">
        <v>1609</v>
      </c>
      <c r="C782" s="263" t="s">
        <v>1610</v>
      </c>
      <c r="D782" s="263" t="s">
        <v>1607</v>
      </c>
      <c r="E782" s="263" t="s">
        <v>1608</v>
      </c>
      <c r="F782" s="263" t="s">
        <v>1468</v>
      </c>
    </row>
    <row r="783" spans="1:6">
      <c r="A783" s="263">
        <v>782</v>
      </c>
      <c r="B783" s="263" t="s">
        <v>1611</v>
      </c>
      <c r="C783" s="263" t="s">
        <v>1612</v>
      </c>
      <c r="D783" s="263" t="s">
        <v>1607</v>
      </c>
      <c r="E783" s="263" t="s">
        <v>1608</v>
      </c>
      <c r="F783" s="263" t="s">
        <v>1468</v>
      </c>
    </row>
    <row r="784" spans="1:6">
      <c r="A784" s="263">
        <v>783</v>
      </c>
      <c r="B784" s="263" t="s">
        <v>1613</v>
      </c>
      <c r="C784" s="263" t="s">
        <v>1614</v>
      </c>
      <c r="D784" s="263" t="s">
        <v>1607</v>
      </c>
      <c r="E784" s="263" t="s">
        <v>1608</v>
      </c>
      <c r="F784" s="263" t="s">
        <v>1468</v>
      </c>
    </row>
    <row r="785" spans="1:6">
      <c r="A785" s="263">
        <v>784</v>
      </c>
      <c r="B785" s="263" t="s">
        <v>1615</v>
      </c>
      <c r="C785" s="263" t="s">
        <v>1616</v>
      </c>
      <c r="D785" s="263" t="s">
        <v>1607</v>
      </c>
      <c r="E785" s="263" t="s">
        <v>1608</v>
      </c>
      <c r="F785" s="263" t="s">
        <v>1468</v>
      </c>
    </row>
    <row r="786" spans="1:6">
      <c r="A786" s="263">
        <v>785</v>
      </c>
      <c r="B786" s="263" t="s">
        <v>1617</v>
      </c>
      <c r="C786" s="263" t="s">
        <v>1618</v>
      </c>
      <c r="D786" s="263" t="s">
        <v>1607</v>
      </c>
      <c r="E786" s="263" t="s">
        <v>1608</v>
      </c>
      <c r="F786" s="263" t="s">
        <v>1468</v>
      </c>
    </row>
    <row r="787" spans="1:6">
      <c r="A787" s="263">
        <v>786</v>
      </c>
      <c r="B787" s="263" t="s">
        <v>1619</v>
      </c>
      <c r="C787" s="263" t="s">
        <v>1620</v>
      </c>
      <c r="D787" s="263" t="s">
        <v>1607</v>
      </c>
      <c r="E787" s="263" t="s">
        <v>1608</v>
      </c>
      <c r="F787" s="263" t="s">
        <v>1468</v>
      </c>
    </row>
    <row r="788" spans="1:6">
      <c r="A788" s="263">
        <v>787</v>
      </c>
      <c r="B788" s="263" t="s">
        <v>1621</v>
      </c>
      <c r="C788" s="263" t="s">
        <v>1622</v>
      </c>
      <c r="D788" s="263" t="s">
        <v>1607</v>
      </c>
      <c r="E788" s="263" t="s">
        <v>1608</v>
      </c>
      <c r="F788" s="263" t="s">
        <v>1468</v>
      </c>
    </row>
    <row r="789" spans="1:6">
      <c r="A789" s="263">
        <v>788</v>
      </c>
      <c r="B789" s="263" t="s">
        <v>1623</v>
      </c>
      <c r="C789" s="263" t="s">
        <v>1624</v>
      </c>
      <c r="D789" s="263" t="s">
        <v>1607</v>
      </c>
      <c r="E789" s="263" t="s">
        <v>1608</v>
      </c>
      <c r="F789" s="263" t="s">
        <v>1468</v>
      </c>
    </row>
    <row r="790" spans="1:6">
      <c r="A790" s="263">
        <v>789</v>
      </c>
      <c r="B790" s="263" t="s">
        <v>1625</v>
      </c>
      <c r="C790" s="263" t="s">
        <v>1626</v>
      </c>
      <c r="D790" s="263" t="s">
        <v>1607</v>
      </c>
      <c r="E790" s="263" t="s">
        <v>1608</v>
      </c>
      <c r="F790" s="263" t="s">
        <v>1468</v>
      </c>
    </row>
    <row r="791" spans="1:6">
      <c r="A791" s="263">
        <v>790</v>
      </c>
      <c r="B791" s="263" t="s">
        <v>1627</v>
      </c>
      <c r="C791" s="263" t="s">
        <v>1322</v>
      </c>
      <c r="D791" s="263" t="s">
        <v>1607</v>
      </c>
      <c r="E791" s="263" t="s">
        <v>1608</v>
      </c>
      <c r="F791" s="263" t="s">
        <v>1468</v>
      </c>
    </row>
    <row r="792" spans="1:6">
      <c r="A792" s="263">
        <v>791</v>
      </c>
      <c r="B792" s="263" t="s">
        <v>1628</v>
      </c>
      <c r="C792" s="263" t="s">
        <v>731</v>
      </c>
      <c r="D792" s="263" t="s">
        <v>1607</v>
      </c>
      <c r="E792" s="263" t="s">
        <v>1608</v>
      </c>
      <c r="F792" s="263" t="s">
        <v>1468</v>
      </c>
    </row>
    <row r="793" spans="1:6">
      <c r="A793" s="263">
        <v>792</v>
      </c>
      <c r="B793" s="263" t="s">
        <v>1629</v>
      </c>
      <c r="C793" s="263" t="s">
        <v>166</v>
      </c>
      <c r="D793" s="263" t="s">
        <v>1607</v>
      </c>
      <c r="E793" s="263" t="s">
        <v>1608</v>
      </c>
      <c r="F793" s="263" t="s">
        <v>1468</v>
      </c>
    </row>
    <row r="794" spans="1:6">
      <c r="A794" s="263">
        <v>793</v>
      </c>
      <c r="B794" s="263" t="s">
        <v>1630</v>
      </c>
      <c r="C794" s="263" t="s">
        <v>1261</v>
      </c>
      <c r="D794" s="263" t="s">
        <v>1607</v>
      </c>
      <c r="E794" s="263" t="s">
        <v>1608</v>
      </c>
      <c r="F794" s="263" t="s">
        <v>1468</v>
      </c>
    </row>
    <row r="795" spans="1:6">
      <c r="A795" s="263">
        <v>794</v>
      </c>
      <c r="B795" s="263" t="s">
        <v>1631</v>
      </c>
      <c r="C795" s="263" t="s">
        <v>1632</v>
      </c>
      <c r="D795" s="263" t="s">
        <v>1607</v>
      </c>
      <c r="E795" s="263" t="s">
        <v>1608</v>
      </c>
      <c r="F795" s="263" t="s">
        <v>1468</v>
      </c>
    </row>
    <row r="796" spans="1:6">
      <c r="A796" s="263">
        <v>795</v>
      </c>
      <c r="B796" s="263" t="s">
        <v>1633</v>
      </c>
      <c r="C796" s="263" t="s">
        <v>1634</v>
      </c>
      <c r="D796" s="263" t="s">
        <v>1607</v>
      </c>
      <c r="E796" s="263" t="s">
        <v>1608</v>
      </c>
      <c r="F796" s="263" t="s">
        <v>1468</v>
      </c>
    </row>
    <row r="797" spans="1:6">
      <c r="A797" s="263">
        <v>796</v>
      </c>
      <c r="B797" s="263" t="s">
        <v>1635</v>
      </c>
      <c r="C797" s="263" t="s">
        <v>628</v>
      </c>
      <c r="D797" s="263" t="s">
        <v>1636</v>
      </c>
      <c r="E797" s="263" t="s">
        <v>1637</v>
      </c>
      <c r="F797" s="263" t="s">
        <v>1468</v>
      </c>
    </row>
    <row r="798" spans="1:6">
      <c r="A798" s="263">
        <v>797</v>
      </c>
      <c r="B798" s="263" t="s">
        <v>1638</v>
      </c>
      <c r="C798" s="263" t="s">
        <v>632</v>
      </c>
      <c r="D798" s="263" t="s">
        <v>1636</v>
      </c>
      <c r="E798" s="263" t="s">
        <v>1637</v>
      </c>
      <c r="F798" s="263" t="s">
        <v>1468</v>
      </c>
    </row>
    <row r="799" spans="1:6">
      <c r="A799" s="263">
        <v>798</v>
      </c>
      <c r="B799" s="263" t="s">
        <v>1639</v>
      </c>
      <c r="C799" s="263" t="s">
        <v>1184</v>
      </c>
      <c r="D799" s="263" t="s">
        <v>1636</v>
      </c>
      <c r="E799" s="263" t="s">
        <v>1637</v>
      </c>
      <c r="F799" s="263" t="s">
        <v>1468</v>
      </c>
    </row>
    <row r="800" spans="1:6">
      <c r="A800" s="263">
        <v>799</v>
      </c>
      <c r="B800" s="263" t="s">
        <v>1640</v>
      </c>
      <c r="C800" s="263" t="s">
        <v>636</v>
      </c>
      <c r="D800" s="263" t="s">
        <v>1636</v>
      </c>
      <c r="E800" s="263" t="s">
        <v>1637</v>
      </c>
      <c r="F800" s="263" t="s">
        <v>1468</v>
      </c>
    </row>
    <row r="801" spans="1:6">
      <c r="A801" s="263">
        <v>800</v>
      </c>
      <c r="B801" s="263" t="s">
        <v>1641</v>
      </c>
      <c r="C801" s="263" t="s">
        <v>1187</v>
      </c>
      <c r="D801" s="263" t="s">
        <v>1636</v>
      </c>
      <c r="E801" s="263" t="s">
        <v>1637</v>
      </c>
      <c r="F801" s="263" t="s">
        <v>1468</v>
      </c>
    </row>
    <row r="802" spans="1:6">
      <c r="A802" s="263">
        <v>801</v>
      </c>
      <c r="B802" s="263" t="s">
        <v>1642</v>
      </c>
      <c r="C802" s="263" t="s">
        <v>638</v>
      </c>
      <c r="D802" s="263" t="s">
        <v>1636</v>
      </c>
      <c r="E802" s="263" t="s">
        <v>1637</v>
      </c>
      <c r="F802" s="263" t="s">
        <v>1468</v>
      </c>
    </row>
    <row r="803" spans="1:6">
      <c r="A803" s="263">
        <v>802</v>
      </c>
      <c r="B803" s="263" t="s">
        <v>1643</v>
      </c>
      <c r="C803" s="263" t="s">
        <v>640</v>
      </c>
      <c r="D803" s="263" t="s">
        <v>1636</v>
      </c>
      <c r="E803" s="263" t="s">
        <v>1637</v>
      </c>
      <c r="F803" s="263" t="s">
        <v>1468</v>
      </c>
    </row>
    <row r="804" spans="1:6">
      <c r="A804" s="263">
        <v>803</v>
      </c>
      <c r="B804" s="263" t="s">
        <v>1644</v>
      </c>
      <c r="C804" s="263" t="s">
        <v>1645</v>
      </c>
      <c r="D804" s="263" t="s">
        <v>1636</v>
      </c>
      <c r="E804" s="263" t="s">
        <v>1637</v>
      </c>
      <c r="F804" s="263" t="s">
        <v>1468</v>
      </c>
    </row>
    <row r="805" spans="1:6">
      <c r="A805" s="263">
        <v>804</v>
      </c>
      <c r="B805" s="263" t="s">
        <v>1646</v>
      </c>
      <c r="C805" s="263" t="s">
        <v>1647</v>
      </c>
      <c r="D805" s="263" t="s">
        <v>1636</v>
      </c>
      <c r="E805" s="263" t="s">
        <v>1637</v>
      </c>
      <c r="F805" s="263" t="s">
        <v>1468</v>
      </c>
    </row>
    <row r="806" spans="1:6">
      <c r="A806" s="263">
        <v>805</v>
      </c>
      <c r="B806" s="263" t="s">
        <v>1648</v>
      </c>
      <c r="C806" s="263" t="s">
        <v>1649</v>
      </c>
      <c r="D806" s="263" t="s">
        <v>1636</v>
      </c>
      <c r="E806" s="263" t="s">
        <v>1637</v>
      </c>
      <c r="F806" s="263" t="s">
        <v>1468</v>
      </c>
    </row>
    <row r="807" spans="1:6">
      <c r="A807" s="263">
        <v>806</v>
      </c>
      <c r="B807" s="263" t="s">
        <v>1650</v>
      </c>
      <c r="C807" s="263" t="s">
        <v>1651</v>
      </c>
      <c r="D807" s="263" t="s">
        <v>1636</v>
      </c>
      <c r="E807" s="263" t="s">
        <v>1637</v>
      </c>
      <c r="F807" s="263" t="s">
        <v>1468</v>
      </c>
    </row>
    <row r="808" spans="1:6">
      <c r="A808" s="263">
        <v>807</v>
      </c>
      <c r="B808" s="263" t="s">
        <v>1652</v>
      </c>
      <c r="C808" s="263" t="s">
        <v>1653</v>
      </c>
      <c r="D808" s="263" t="s">
        <v>1636</v>
      </c>
      <c r="E808" s="263" t="s">
        <v>1637</v>
      </c>
      <c r="F808" s="263" t="s">
        <v>1468</v>
      </c>
    </row>
    <row r="809" spans="1:6">
      <c r="A809" s="263">
        <v>808</v>
      </c>
      <c r="B809" s="263" t="s">
        <v>1654</v>
      </c>
      <c r="C809" s="263" t="s">
        <v>1655</v>
      </c>
      <c r="D809" s="263" t="s">
        <v>1636</v>
      </c>
      <c r="E809" s="263" t="s">
        <v>1637</v>
      </c>
      <c r="F809" s="263" t="s">
        <v>1468</v>
      </c>
    </row>
    <row r="810" spans="1:6">
      <c r="A810" s="263">
        <v>809</v>
      </c>
      <c r="B810" s="263" t="s">
        <v>1656</v>
      </c>
      <c r="C810" s="263" t="s">
        <v>1657</v>
      </c>
      <c r="D810" s="263" t="s">
        <v>1636</v>
      </c>
      <c r="E810" s="263" t="s">
        <v>1637</v>
      </c>
      <c r="F810" s="263" t="s">
        <v>1468</v>
      </c>
    </row>
    <row r="811" spans="1:6">
      <c r="A811" s="263">
        <v>810</v>
      </c>
      <c r="B811" s="263" t="s">
        <v>1658</v>
      </c>
      <c r="C811" s="263" t="s">
        <v>1659</v>
      </c>
      <c r="D811" s="263" t="s">
        <v>1636</v>
      </c>
      <c r="E811" s="263" t="s">
        <v>1637</v>
      </c>
      <c r="F811" s="263" t="s">
        <v>1468</v>
      </c>
    </row>
    <row r="812" spans="1:6">
      <c r="A812" s="263">
        <v>811</v>
      </c>
      <c r="B812" s="263" t="s">
        <v>1660</v>
      </c>
      <c r="C812" s="263" t="s">
        <v>353</v>
      </c>
      <c r="D812" s="263" t="s">
        <v>1636</v>
      </c>
      <c r="E812" s="263" t="s">
        <v>1637</v>
      </c>
      <c r="F812" s="263" t="s">
        <v>1468</v>
      </c>
    </row>
    <row r="813" spans="1:6">
      <c r="A813" s="263">
        <v>812</v>
      </c>
      <c r="B813" s="263" t="s">
        <v>1661</v>
      </c>
      <c r="C813" s="263" t="s">
        <v>1662</v>
      </c>
      <c r="D813" s="263" t="s">
        <v>1636</v>
      </c>
      <c r="E813" s="263" t="s">
        <v>1637</v>
      </c>
      <c r="F813" s="263" t="s">
        <v>1468</v>
      </c>
    </row>
    <row r="814" spans="1:6">
      <c r="A814" s="263">
        <v>813</v>
      </c>
      <c r="B814" s="263" t="s">
        <v>1663</v>
      </c>
      <c r="C814" s="263" t="s">
        <v>1664</v>
      </c>
      <c r="D814" s="263" t="s">
        <v>1665</v>
      </c>
      <c r="E814" s="263" t="s">
        <v>1666</v>
      </c>
      <c r="F814" s="263" t="s">
        <v>1667</v>
      </c>
    </row>
    <row r="815" spans="1:6">
      <c r="A815" s="263">
        <v>814</v>
      </c>
      <c r="B815" s="263" t="s">
        <v>1668</v>
      </c>
      <c r="C815" s="263" t="s">
        <v>1480</v>
      </c>
      <c r="D815" s="263" t="s">
        <v>1665</v>
      </c>
      <c r="E815" s="263" t="s">
        <v>1666</v>
      </c>
      <c r="F815" s="263" t="s">
        <v>1667</v>
      </c>
    </row>
    <row r="816" spans="1:6">
      <c r="A816" s="263">
        <v>815</v>
      </c>
      <c r="B816" s="263" t="s">
        <v>1669</v>
      </c>
      <c r="C816" s="263" t="s">
        <v>1670</v>
      </c>
      <c r="D816" s="263" t="s">
        <v>1665</v>
      </c>
      <c r="E816" s="263" t="s">
        <v>1666</v>
      </c>
      <c r="F816" s="263" t="s">
        <v>1667</v>
      </c>
    </row>
    <row r="817" spans="1:6">
      <c r="A817" s="263">
        <v>816</v>
      </c>
      <c r="B817" s="263" t="s">
        <v>1671</v>
      </c>
      <c r="C817" s="263" t="s">
        <v>1672</v>
      </c>
      <c r="D817" s="263" t="s">
        <v>1665</v>
      </c>
      <c r="E817" s="263" t="s">
        <v>1666</v>
      </c>
      <c r="F817" s="263" t="s">
        <v>1667</v>
      </c>
    </row>
    <row r="818" spans="1:6">
      <c r="A818" s="263">
        <v>817</v>
      </c>
      <c r="B818" s="263" t="s">
        <v>1673</v>
      </c>
      <c r="C818" s="263" t="s">
        <v>1674</v>
      </c>
      <c r="D818" s="263" t="s">
        <v>1665</v>
      </c>
      <c r="E818" s="263" t="s">
        <v>1666</v>
      </c>
      <c r="F818" s="263" t="s">
        <v>1667</v>
      </c>
    </row>
    <row r="819" spans="1:6">
      <c r="A819" s="263">
        <v>818</v>
      </c>
      <c r="B819" s="263" t="s">
        <v>1675</v>
      </c>
      <c r="C819" s="263" t="s">
        <v>1676</v>
      </c>
      <c r="D819" s="263" t="s">
        <v>1665</v>
      </c>
      <c r="E819" s="263" t="s">
        <v>1666</v>
      </c>
      <c r="F819" s="263" t="s">
        <v>1667</v>
      </c>
    </row>
    <row r="820" spans="1:6">
      <c r="A820" s="263">
        <v>819</v>
      </c>
      <c r="B820" s="263" t="s">
        <v>1677</v>
      </c>
      <c r="C820" s="263" t="s">
        <v>1678</v>
      </c>
      <c r="D820" s="263" t="s">
        <v>1665</v>
      </c>
      <c r="E820" s="263" t="s">
        <v>1666</v>
      </c>
      <c r="F820" s="263" t="s">
        <v>1667</v>
      </c>
    </row>
    <row r="821" spans="1:6">
      <c r="A821" s="263">
        <v>820</v>
      </c>
      <c r="B821" s="263" t="s">
        <v>1679</v>
      </c>
      <c r="C821" s="263" t="s">
        <v>1680</v>
      </c>
      <c r="D821" s="263" t="s">
        <v>1665</v>
      </c>
      <c r="E821" s="263" t="s">
        <v>1666</v>
      </c>
      <c r="F821" s="263" t="s">
        <v>1667</v>
      </c>
    </row>
    <row r="822" spans="1:6">
      <c r="A822" s="263">
        <v>821</v>
      </c>
      <c r="B822" s="263" t="s">
        <v>1681</v>
      </c>
      <c r="C822" s="263" t="s">
        <v>1682</v>
      </c>
      <c r="D822" s="263" t="s">
        <v>1665</v>
      </c>
      <c r="E822" s="263" t="s">
        <v>1666</v>
      </c>
      <c r="F822" s="263" t="s">
        <v>1667</v>
      </c>
    </row>
    <row r="823" spans="1:6">
      <c r="A823" s="263">
        <v>822</v>
      </c>
      <c r="B823" s="263" t="s">
        <v>1683</v>
      </c>
      <c r="C823" s="263" t="s">
        <v>1684</v>
      </c>
      <c r="D823" s="263" t="s">
        <v>1665</v>
      </c>
      <c r="E823" s="263" t="s">
        <v>1666</v>
      </c>
      <c r="F823" s="263" t="s">
        <v>1667</v>
      </c>
    </row>
    <row r="824" spans="1:6">
      <c r="A824" s="263">
        <v>823</v>
      </c>
      <c r="B824" s="263" t="s">
        <v>1685</v>
      </c>
      <c r="C824" s="263" t="s">
        <v>1686</v>
      </c>
      <c r="D824" s="263" t="s">
        <v>1687</v>
      </c>
      <c r="E824" s="263" t="s">
        <v>1688</v>
      </c>
      <c r="F824" s="263" t="s">
        <v>1667</v>
      </c>
    </row>
    <row r="825" spans="1:6">
      <c r="A825" s="263">
        <v>824</v>
      </c>
      <c r="B825" s="263" t="s">
        <v>1689</v>
      </c>
      <c r="C825" s="263" t="s">
        <v>1690</v>
      </c>
      <c r="D825" s="263" t="s">
        <v>1687</v>
      </c>
      <c r="E825" s="263" t="s">
        <v>1688</v>
      </c>
      <c r="F825" s="263" t="s">
        <v>1667</v>
      </c>
    </row>
    <row r="826" spans="1:6">
      <c r="A826" s="263">
        <v>825</v>
      </c>
      <c r="B826" s="263" t="s">
        <v>1691</v>
      </c>
      <c r="C826" s="263" t="s">
        <v>308</v>
      </c>
      <c r="D826" s="263" t="s">
        <v>1687</v>
      </c>
      <c r="E826" s="263" t="s">
        <v>1688</v>
      </c>
      <c r="F826" s="263" t="s">
        <v>1667</v>
      </c>
    </row>
    <row r="827" spans="1:6">
      <c r="A827" s="263">
        <v>826</v>
      </c>
      <c r="B827" s="263" t="s">
        <v>1692</v>
      </c>
      <c r="C827" s="263" t="s">
        <v>1693</v>
      </c>
      <c r="D827" s="263" t="s">
        <v>1687</v>
      </c>
      <c r="E827" s="263" t="s">
        <v>1688</v>
      </c>
      <c r="F827" s="263" t="s">
        <v>1667</v>
      </c>
    </row>
    <row r="828" spans="1:6">
      <c r="A828" s="263">
        <v>827</v>
      </c>
      <c r="B828" s="263" t="s">
        <v>1694</v>
      </c>
      <c r="C828" s="263" t="s">
        <v>1695</v>
      </c>
      <c r="D828" s="263" t="s">
        <v>1687</v>
      </c>
      <c r="E828" s="263" t="s">
        <v>1688</v>
      </c>
      <c r="F828" s="263" t="s">
        <v>1667</v>
      </c>
    </row>
    <row r="829" spans="1:6">
      <c r="A829" s="263">
        <v>828</v>
      </c>
      <c r="B829" s="263" t="s">
        <v>1696</v>
      </c>
      <c r="C829" s="263" t="s">
        <v>1697</v>
      </c>
      <c r="D829" s="263" t="s">
        <v>1687</v>
      </c>
      <c r="E829" s="263" t="s">
        <v>1688</v>
      </c>
      <c r="F829" s="263" t="s">
        <v>1667</v>
      </c>
    </row>
    <row r="830" spans="1:6">
      <c r="A830" s="263">
        <v>829</v>
      </c>
      <c r="B830" s="263" t="s">
        <v>1698</v>
      </c>
      <c r="C830" s="263" t="s">
        <v>1699</v>
      </c>
      <c r="D830" s="263" t="s">
        <v>1687</v>
      </c>
      <c r="E830" s="263" t="s">
        <v>1688</v>
      </c>
      <c r="F830" s="263" t="s">
        <v>1667</v>
      </c>
    </row>
    <row r="831" spans="1:6">
      <c r="A831" s="263">
        <v>830</v>
      </c>
      <c r="B831" s="263" t="s">
        <v>1700</v>
      </c>
      <c r="C831" s="263" t="s">
        <v>1701</v>
      </c>
      <c r="D831" s="263" t="s">
        <v>1702</v>
      </c>
      <c r="E831" s="263" t="s">
        <v>1703</v>
      </c>
      <c r="F831" s="263" t="s">
        <v>1667</v>
      </c>
    </row>
    <row r="832" spans="1:6">
      <c r="A832" s="263">
        <v>831</v>
      </c>
      <c r="B832" s="263" t="s">
        <v>1704</v>
      </c>
      <c r="C832" s="263" t="s">
        <v>334</v>
      </c>
      <c r="D832" s="263" t="s">
        <v>1702</v>
      </c>
      <c r="E832" s="263" t="s">
        <v>1703</v>
      </c>
      <c r="F832" s="263" t="s">
        <v>1667</v>
      </c>
    </row>
    <row r="833" spans="1:6">
      <c r="A833" s="263">
        <v>832</v>
      </c>
      <c r="B833" s="263" t="s">
        <v>1705</v>
      </c>
      <c r="C833" s="263" t="s">
        <v>1706</v>
      </c>
      <c r="D833" s="263" t="s">
        <v>1702</v>
      </c>
      <c r="E833" s="263" t="s">
        <v>1703</v>
      </c>
      <c r="F833" s="263" t="s">
        <v>1667</v>
      </c>
    </row>
    <row r="834" spans="1:6">
      <c r="A834" s="263">
        <v>833</v>
      </c>
      <c r="B834" s="263" t="s">
        <v>1707</v>
      </c>
      <c r="C834" s="263" t="s">
        <v>1175</v>
      </c>
      <c r="D834" s="263" t="s">
        <v>1702</v>
      </c>
      <c r="E834" s="263" t="s">
        <v>1703</v>
      </c>
      <c r="F834" s="263" t="s">
        <v>1667</v>
      </c>
    </row>
    <row r="835" spans="1:6">
      <c r="A835" s="263">
        <v>834</v>
      </c>
      <c r="B835" s="263" t="s">
        <v>1708</v>
      </c>
      <c r="C835" s="263" t="s">
        <v>1709</v>
      </c>
      <c r="D835" s="263" t="s">
        <v>1702</v>
      </c>
      <c r="E835" s="263" t="s">
        <v>1703</v>
      </c>
      <c r="F835" s="263" t="s">
        <v>1667</v>
      </c>
    </row>
    <row r="836" spans="1:6">
      <c r="A836" s="263">
        <v>835</v>
      </c>
      <c r="B836" s="263" t="s">
        <v>1710</v>
      </c>
      <c r="C836" s="263" t="s">
        <v>1711</v>
      </c>
      <c r="D836" s="263" t="s">
        <v>1702</v>
      </c>
      <c r="E836" s="263" t="s">
        <v>1703</v>
      </c>
      <c r="F836" s="263" t="s">
        <v>1667</v>
      </c>
    </row>
    <row r="837" spans="1:6">
      <c r="A837" s="263">
        <v>836</v>
      </c>
      <c r="B837" s="263" t="s">
        <v>1712</v>
      </c>
      <c r="C837" s="263" t="s">
        <v>1713</v>
      </c>
      <c r="D837" s="263" t="s">
        <v>1702</v>
      </c>
      <c r="E837" s="263" t="s">
        <v>1703</v>
      </c>
      <c r="F837" s="263" t="s">
        <v>1667</v>
      </c>
    </row>
    <row r="838" spans="1:6">
      <c r="A838" s="263">
        <v>837</v>
      </c>
      <c r="B838" s="263" t="s">
        <v>1714</v>
      </c>
      <c r="C838" s="263" t="s">
        <v>1715</v>
      </c>
      <c r="D838" s="263" t="s">
        <v>1702</v>
      </c>
      <c r="E838" s="263" t="s">
        <v>1703</v>
      </c>
      <c r="F838" s="263" t="s">
        <v>1667</v>
      </c>
    </row>
    <row r="839" spans="1:6">
      <c r="A839" s="263">
        <v>838</v>
      </c>
      <c r="B839" s="263" t="s">
        <v>1716</v>
      </c>
      <c r="C839" s="263" t="s">
        <v>1717</v>
      </c>
      <c r="D839" s="263" t="s">
        <v>1702</v>
      </c>
      <c r="E839" s="263" t="s">
        <v>1703</v>
      </c>
      <c r="F839" s="263" t="s">
        <v>1667</v>
      </c>
    </row>
    <row r="840" spans="1:6">
      <c r="A840" s="263">
        <v>839</v>
      </c>
      <c r="B840" s="263" t="s">
        <v>1718</v>
      </c>
      <c r="C840" s="263" t="s">
        <v>1719</v>
      </c>
      <c r="D840" s="263" t="s">
        <v>1702</v>
      </c>
      <c r="E840" s="263" t="s">
        <v>1703</v>
      </c>
      <c r="F840" s="263" t="s">
        <v>1667</v>
      </c>
    </row>
    <row r="841" spans="1:6">
      <c r="A841" s="263">
        <v>840</v>
      </c>
      <c r="B841" s="263" t="s">
        <v>1720</v>
      </c>
      <c r="C841" s="263" t="s">
        <v>1721</v>
      </c>
      <c r="D841" s="263" t="s">
        <v>1702</v>
      </c>
      <c r="E841" s="263" t="s">
        <v>1703</v>
      </c>
      <c r="F841" s="263" t="s">
        <v>1667</v>
      </c>
    </row>
    <row r="842" spans="1:6">
      <c r="A842" s="263">
        <v>841</v>
      </c>
      <c r="B842" s="263" t="s">
        <v>1722</v>
      </c>
      <c r="C842" s="263" t="s">
        <v>1723</v>
      </c>
      <c r="D842" s="263" t="s">
        <v>1702</v>
      </c>
      <c r="E842" s="263" t="s">
        <v>1703</v>
      </c>
      <c r="F842" s="263" t="s">
        <v>1667</v>
      </c>
    </row>
    <row r="843" spans="1:6">
      <c r="A843" s="263">
        <v>842</v>
      </c>
      <c r="B843" s="263" t="s">
        <v>1724</v>
      </c>
      <c r="C843" s="263" t="s">
        <v>1725</v>
      </c>
      <c r="D843" s="263" t="s">
        <v>1702</v>
      </c>
      <c r="E843" s="263" t="s">
        <v>1703</v>
      </c>
      <c r="F843" s="263" t="s">
        <v>1667</v>
      </c>
    </row>
    <row r="844" spans="1:6">
      <c r="A844" s="263">
        <v>843</v>
      </c>
      <c r="B844" s="263" t="s">
        <v>1726</v>
      </c>
      <c r="C844" s="263" t="s">
        <v>1727</v>
      </c>
      <c r="D844" s="263" t="s">
        <v>1728</v>
      </c>
      <c r="E844" s="263" t="s">
        <v>1729</v>
      </c>
      <c r="F844" s="263" t="s">
        <v>1667</v>
      </c>
    </row>
    <row r="845" spans="1:6">
      <c r="A845" s="263">
        <v>844</v>
      </c>
      <c r="B845" s="263" t="s">
        <v>1730</v>
      </c>
      <c r="C845" s="263" t="s">
        <v>1731</v>
      </c>
      <c r="D845" s="263" t="s">
        <v>1728</v>
      </c>
      <c r="E845" s="263" t="s">
        <v>1729</v>
      </c>
      <c r="F845" s="263" t="s">
        <v>1667</v>
      </c>
    </row>
    <row r="846" spans="1:6">
      <c r="A846" s="263">
        <v>845</v>
      </c>
      <c r="B846" s="263" t="s">
        <v>1732</v>
      </c>
      <c r="C846" s="263" t="s">
        <v>1733</v>
      </c>
      <c r="D846" s="263" t="s">
        <v>1728</v>
      </c>
      <c r="E846" s="263" t="s">
        <v>1729</v>
      </c>
      <c r="F846" s="263" t="s">
        <v>1667</v>
      </c>
    </row>
    <row r="847" spans="1:6">
      <c r="A847" s="263">
        <v>846</v>
      </c>
      <c r="B847" s="263" t="s">
        <v>1734</v>
      </c>
      <c r="C847" s="263" t="s">
        <v>1735</v>
      </c>
      <c r="D847" s="263" t="s">
        <v>1728</v>
      </c>
      <c r="E847" s="263" t="s">
        <v>1729</v>
      </c>
      <c r="F847" s="263" t="s">
        <v>1667</v>
      </c>
    </row>
    <row r="848" spans="1:6">
      <c r="A848" s="263">
        <v>847</v>
      </c>
      <c r="B848" s="263" t="s">
        <v>1736</v>
      </c>
      <c r="C848" s="263" t="s">
        <v>1737</v>
      </c>
      <c r="D848" s="263" t="s">
        <v>1728</v>
      </c>
      <c r="E848" s="263" t="s">
        <v>1729</v>
      </c>
      <c r="F848" s="263" t="s">
        <v>1667</v>
      </c>
    </row>
    <row r="849" spans="1:6">
      <c r="A849" s="263">
        <v>848</v>
      </c>
      <c r="B849" s="263" t="s">
        <v>1738</v>
      </c>
      <c r="C849" s="263" t="s">
        <v>1739</v>
      </c>
      <c r="D849" s="263" t="s">
        <v>1728</v>
      </c>
      <c r="E849" s="263" t="s">
        <v>1729</v>
      </c>
      <c r="F849" s="263" t="s">
        <v>1667</v>
      </c>
    </row>
    <row r="850" spans="1:6">
      <c r="A850" s="263">
        <v>849</v>
      </c>
      <c r="B850" s="263" t="s">
        <v>1740</v>
      </c>
      <c r="C850" s="263" t="s">
        <v>1741</v>
      </c>
      <c r="D850" s="263" t="s">
        <v>1728</v>
      </c>
      <c r="E850" s="263" t="s">
        <v>1729</v>
      </c>
      <c r="F850" s="263" t="s">
        <v>1667</v>
      </c>
    </row>
    <row r="851" spans="1:6">
      <c r="A851" s="263">
        <v>850</v>
      </c>
      <c r="B851" s="263" t="s">
        <v>1742</v>
      </c>
      <c r="C851" s="263" t="s">
        <v>1743</v>
      </c>
      <c r="D851" s="263" t="s">
        <v>1728</v>
      </c>
      <c r="E851" s="263" t="s">
        <v>1729</v>
      </c>
      <c r="F851" s="263" t="s">
        <v>1667</v>
      </c>
    </row>
    <row r="852" spans="1:6">
      <c r="A852" s="263">
        <v>851</v>
      </c>
      <c r="B852" s="263" t="s">
        <v>1744</v>
      </c>
      <c r="C852" s="263" t="s">
        <v>1745</v>
      </c>
      <c r="D852" s="263" t="s">
        <v>1728</v>
      </c>
      <c r="E852" s="263" t="s">
        <v>1729</v>
      </c>
      <c r="F852" s="263" t="s">
        <v>1667</v>
      </c>
    </row>
    <row r="853" spans="1:6">
      <c r="A853" s="263">
        <v>852</v>
      </c>
      <c r="B853" s="263" t="s">
        <v>1746</v>
      </c>
      <c r="C853" s="263" t="s">
        <v>84</v>
      </c>
      <c r="D853" s="263" t="s">
        <v>1728</v>
      </c>
      <c r="E853" s="263" t="s">
        <v>1729</v>
      </c>
      <c r="F853" s="263" t="s">
        <v>1667</v>
      </c>
    </row>
    <row r="854" spans="1:6">
      <c r="A854" s="263">
        <v>853</v>
      </c>
      <c r="B854" s="263" t="s">
        <v>1747</v>
      </c>
      <c r="C854" s="263" t="s">
        <v>1748</v>
      </c>
      <c r="D854" s="263" t="s">
        <v>1728</v>
      </c>
      <c r="E854" s="263" t="s">
        <v>1729</v>
      </c>
      <c r="F854" s="263" t="s">
        <v>1667</v>
      </c>
    </row>
    <row r="855" spans="1:6">
      <c r="A855" s="263">
        <v>854</v>
      </c>
      <c r="B855" s="263" t="s">
        <v>1749</v>
      </c>
      <c r="C855" s="263" t="s">
        <v>1750</v>
      </c>
      <c r="D855" s="263" t="s">
        <v>1751</v>
      </c>
      <c r="E855" s="263" t="s">
        <v>1752</v>
      </c>
      <c r="F855" s="263" t="s">
        <v>1667</v>
      </c>
    </row>
    <row r="856" spans="1:6">
      <c r="A856" s="263">
        <v>855</v>
      </c>
      <c r="B856" s="263" t="s">
        <v>1753</v>
      </c>
      <c r="C856" s="263" t="s">
        <v>1754</v>
      </c>
      <c r="D856" s="263" t="s">
        <v>1751</v>
      </c>
      <c r="E856" s="263" t="s">
        <v>1752</v>
      </c>
      <c r="F856" s="263" t="s">
        <v>1667</v>
      </c>
    </row>
    <row r="857" spans="1:6">
      <c r="A857" s="263">
        <v>856</v>
      </c>
      <c r="B857" s="263" t="s">
        <v>1755</v>
      </c>
      <c r="C857" s="263" t="s">
        <v>1756</v>
      </c>
      <c r="D857" s="263" t="s">
        <v>1751</v>
      </c>
      <c r="E857" s="263" t="s">
        <v>1752</v>
      </c>
      <c r="F857" s="263" t="s">
        <v>1667</v>
      </c>
    </row>
    <row r="858" spans="1:6">
      <c r="A858" s="263">
        <v>857</v>
      </c>
      <c r="B858" s="263" t="s">
        <v>1757</v>
      </c>
      <c r="C858" s="263" t="s">
        <v>1758</v>
      </c>
      <c r="D858" s="263" t="s">
        <v>1751</v>
      </c>
      <c r="E858" s="263" t="s">
        <v>1752</v>
      </c>
      <c r="F858" s="263" t="s">
        <v>1667</v>
      </c>
    </row>
    <row r="859" spans="1:6">
      <c r="A859" s="263">
        <v>858</v>
      </c>
      <c r="B859" s="263" t="s">
        <v>1759</v>
      </c>
      <c r="C859" s="263" t="s">
        <v>1760</v>
      </c>
      <c r="D859" s="263" t="s">
        <v>1751</v>
      </c>
      <c r="E859" s="263" t="s">
        <v>1752</v>
      </c>
      <c r="F859" s="263" t="s">
        <v>1667</v>
      </c>
    </row>
    <row r="860" spans="1:6">
      <c r="A860" s="263">
        <v>859</v>
      </c>
      <c r="B860" s="263" t="s">
        <v>1761</v>
      </c>
      <c r="C860" s="263" t="s">
        <v>1762</v>
      </c>
      <c r="D860" s="263" t="s">
        <v>1751</v>
      </c>
      <c r="E860" s="263" t="s">
        <v>1752</v>
      </c>
      <c r="F860" s="263" t="s">
        <v>1667</v>
      </c>
    </row>
    <row r="861" spans="1:6">
      <c r="A861" s="263">
        <v>860</v>
      </c>
      <c r="B861" s="263" t="s">
        <v>1763</v>
      </c>
      <c r="C861" s="263" t="s">
        <v>1764</v>
      </c>
      <c r="D861" s="263" t="s">
        <v>1751</v>
      </c>
      <c r="E861" s="263" t="s">
        <v>1752</v>
      </c>
      <c r="F861" s="263" t="s">
        <v>1667</v>
      </c>
    </row>
    <row r="862" spans="1:6">
      <c r="A862" s="263">
        <v>861</v>
      </c>
      <c r="B862" s="263" t="s">
        <v>1765</v>
      </c>
      <c r="C862" s="263" t="s">
        <v>1766</v>
      </c>
      <c r="D862" s="263" t="s">
        <v>1751</v>
      </c>
      <c r="E862" s="263" t="s">
        <v>1752</v>
      </c>
      <c r="F862" s="263" t="s">
        <v>1667</v>
      </c>
    </row>
    <row r="863" spans="1:6">
      <c r="A863" s="263">
        <v>862</v>
      </c>
      <c r="B863" s="263" t="s">
        <v>1767</v>
      </c>
      <c r="C863" s="263" t="s">
        <v>1768</v>
      </c>
      <c r="D863" s="263" t="s">
        <v>1769</v>
      </c>
      <c r="E863" s="263" t="s">
        <v>1770</v>
      </c>
      <c r="F863" s="263" t="s">
        <v>1667</v>
      </c>
    </row>
    <row r="864" spans="1:6">
      <c r="A864" s="263">
        <v>863</v>
      </c>
      <c r="B864" s="263" t="s">
        <v>1771</v>
      </c>
      <c r="C864" s="263" t="s">
        <v>1772</v>
      </c>
      <c r="D864" s="263" t="s">
        <v>1769</v>
      </c>
      <c r="E864" s="263" t="s">
        <v>1770</v>
      </c>
      <c r="F864" s="263" t="s">
        <v>1667</v>
      </c>
    </row>
    <row r="865" spans="1:6">
      <c r="A865" s="263">
        <v>864</v>
      </c>
      <c r="B865" s="263" t="s">
        <v>1773</v>
      </c>
      <c r="C865" s="263" t="s">
        <v>1774</v>
      </c>
      <c r="D865" s="263" t="s">
        <v>1769</v>
      </c>
      <c r="E865" s="263" t="s">
        <v>1770</v>
      </c>
      <c r="F865" s="263" t="s">
        <v>1667</v>
      </c>
    </row>
    <row r="866" spans="1:6">
      <c r="A866" s="263">
        <v>865</v>
      </c>
      <c r="B866" s="263" t="s">
        <v>1775</v>
      </c>
      <c r="C866" s="263" t="s">
        <v>1776</v>
      </c>
      <c r="D866" s="263" t="s">
        <v>1769</v>
      </c>
      <c r="E866" s="263" t="s">
        <v>1770</v>
      </c>
      <c r="F866" s="263" t="s">
        <v>1667</v>
      </c>
    </row>
    <row r="867" spans="1:6">
      <c r="A867" s="263">
        <v>866</v>
      </c>
      <c r="B867" s="263" t="s">
        <v>1777</v>
      </c>
      <c r="C867" s="263" t="s">
        <v>1778</v>
      </c>
      <c r="D867" s="263" t="s">
        <v>1769</v>
      </c>
      <c r="E867" s="263" t="s">
        <v>1770</v>
      </c>
      <c r="F867" s="263" t="s">
        <v>1667</v>
      </c>
    </row>
    <row r="868" spans="1:6">
      <c r="A868" s="263">
        <v>867</v>
      </c>
      <c r="B868" s="263" t="s">
        <v>1779</v>
      </c>
      <c r="C868" s="263" t="s">
        <v>883</v>
      </c>
      <c r="D868" s="263" t="s">
        <v>1769</v>
      </c>
      <c r="E868" s="263" t="s">
        <v>1770</v>
      </c>
      <c r="F868" s="263" t="s">
        <v>1667</v>
      </c>
    </row>
    <row r="869" spans="1:6">
      <c r="A869" s="263">
        <v>868</v>
      </c>
      <c r="B869" s="263" t="s">
        <v>1780</v>
      </c>
      <c r="C869" s="263" t="s">
        <v>1781</v>
      </c>
      <c r="D869" s="263" t="s">
        <v>1769</v>
      </c>
      <c r="E869" s="263" t="s">
        <v>1770</v>
      </c>
      <c r="F869" s="263" t="s">
        <v>1667</v>
      </c>
    </row>
    <row r="870" spans="1:6">
      <c r="A870" s="263">
        <v>869</v>
      </c>
      <c r="B870" s="263" t="s">
        <v>1782</v>
      </c>
      <c r="C870" s="263" t="s">
        <v>469</v>
      </c>
      <c r="D870" s="263" t="s">
        <v>1783</v>
      </c>
      <c r="E870" s="263" t="s">
        <v>1784</v>
      </c>
      <c r="F870" s="263" t="s">
        <v>1667</v>
      </c>
    </row>
    <row r="871" spans="1:6">
      <c r="A871" s="263">
        <v>870</v>
      </c>
      <c r="B871" s="263" t="s">
        <v>1785</v>
      </c>
      <c r="C871" s="263" t="s">
        <v>1786</v>
      </c>
      <c r="D871" s="263" t="s">
        <v>1783</v>
      </c>
      <c r="E871" s="263" t="s">
        <v>1784</v>
      </c>
      <c r="F871" s="263" t="s">
        <v>1667</v>
      </c>
    </row>
    <row r="872" spans="1:6">
      <c r="A872" s="263">
        <v>871</v>
      </c>
      <c r="B872" s="263" t="s">
        <v>1787</v>
      </c>
      <c r="C872" s="263" t="s">
        <v>1788</v>
      </c>
      <c r="D872" s="263" t="s">
        <v>1783</v>
      </c>
      <c r="E872" s="263" t="s">
        <v>1784</v>
      </c>
      <c r="F872" s="263" t="s">
        <v>1667</v>
      </c>
    </row>
    <row r="873" spans="1:6">
      <c r="A873" s="263">
        <v>872</v>
      </c>
      <c r="B873" s="263" t="s">
        <v>1789</v>
      </c>
      <c r="C873" s="263" t="s">
        <v>1790</v>
      </c>
      <c r="D873" s="263" t="s">
        <v>1783</v>
      </c>
      <c r="E873" s="263" t="s">
        <v>1784</v>
      </c>
      <c r="F873" s="263" t="s">
        <v>1667</v>
      </c>
    </row>
    <row r="874" spans="1:6">
      <c r="A874" s="263">
        <v>873</v>
      </c>
      <c r="B874" s="263" t="s">
        <v>1791</v>
      </c>
      <c r="C874" s="263" t="s">
        <v>1792</v>
      </c>
      <c r="D874" s="263" t="s">
        <v>1783</v>
      </c>
      <c r="E874" s="263" t="s">
        <v>1784</v>
      </c>
      <c r="F874" s="263" t="s">
        <v>1667</v>
      </c>
    </row>
    <row r="875" spans="1:6">
      <c r="A875" s="263">
        <v>874</v>
      </c>
      <c r="B875" s="263" t="s">
        <v>1793</v>
      </c>
      <c r="C875" s="263" t="s">
        <v>1794</v>
      </c>
      <c r="D875" s="263" t="s">
        <v>1783</v>
      </c>
      <c r="E875" s="263" t="s">
        <v>1784</v>
      </c>
      <c r="F875" s="263" t="s">
        <v>1667</v>
      </c>
    </row>
    <row r="876" spans="1:6">
      <c r="A876" s="263">
        <v>875</v>
      </c>
      <c r="B876" s="263" t="s">
        <v>1795</v>
      </c>
      <c r="C876" s="263" t="s">
        <v>1796</v>
      </c>
      <c r="D876" s="263" t="s">
        <v>1783</v>
      </c>
      <c r="E876" s="263" t="s">
        <v>1784</v>
      </c>
      <c r="F876" s="263" t="s">
        <v>1667</v>
      </c>
    </row>
    <row r="877" spans="1:6">
      <c r="A877" s="263">
        <v>876</v>
      </c>
      <c r="B877" s="263" t="s">
        <v>1797</v>
      </c>
      <c r="C877" s="263" t="s">
        <v>511</v>
      </c>
      <c r="D877" s="263" t="s">
        <v>1783</v>
      </c>
      <c r="E877" s="263" t="s">
        <v>1784</v>
      </c>
      <c r="F877" s="263" t="s">
        <v>1667</v>
      </c>
    </row>
    <row r="878" spans="1:6">
      <c r="A878" s="263">
        <v>877</v>
      </c>
      <c r="B878" s="263" t="s">
        <v>1798</v>
      </c>
      <c r="C878" s="263" t="s">
        <v>1799</v>
      </c>
      <c r="D878" s="263" t="s">
        <v>1783</v>
      </c>
      <c r="E878" s="263" t="s">
        <v>1784</v>
      </c>
      <c r="F878" s="263" t="s">
        <v>1667</v>
      </c>
    </row>
    <row r="879" spans="1:6">
      <c r="A879" s="263">
        <v>878</v>
      </c>
      <c r="B879" s="263" t="s">
        <v>1800</v>
      </c>
      <c r="C879" s="263" t="s">
        <v>1801</v>
      </c>
      <c r="D879" s="263" t="s">
        <v>1783</v>
      </c>
      <c r="E879" s="263" t="s">
        <v>1784</v>
      </c>
      <c r="F879" s="263" t="s">
        <v>1667</v>
      </c>
    </row>
    <row r="880" spans="1:6">
      <c r="A880" s="263">
        <v>879</v>
      </c>
      <c r="B880" s="263" t="s">
        <v>1802</v>
      </c>
      <c r="C880" s="263" t="s">
        <v>447</v>
      </c>
      <c r="D880" s="263" t="s">
        <v>1783</v>
      </c>
      <c r="E880" s="263" t="s">
        <v>1784</v>
      </c>
      <c r="F880" s="263" t="s">
        <v>1667</v>
      </c>
    </row>
    <row r="881" spans="1:6">
      <c r="A881" s="263">
        <v>880</v>
      </c>
      <c r="B881" s="263" t="s">
        <v>1803</v>
      </c>
      <c r="C881" s="263" t="s">
        <v>1804</v>
      </c>
      <c r="D881" s="263" t="s">
        <v>1783</v>
      </c>
      <c r="E881" s="263" t="s">
        <v>1784</v>
      </c>
      <c r="F881" s="263" t="s">
        <v>1667</v>
      </c>
    </row>
    <row r="882" spans="1:6">
      <c r="A882" s="263">
        <v>881</v>
      </c>
      <c r="B882" s="263" t="s">
        <v>1805</v>
      </c>
      <c r="C882" s="263" t="s">
        <v>1806</v>
      </c>
      <c r="D882" s="263" t="s">
        <v>1783</v>
      </c>
      <c r="E882" s="263" t="s">
        <v>1784</v>
      </c>
      <c r="F882" s="263" t="s">
        <v>1667</v>
      </c>
    </row>
    <row r="883" spans="1:6">
      <c r="A883" s="263">
        <v>882</v>
      </c>
      <c r="B883" s="263" t="s">
        <v>1807</v>
      </c>
      <c r="C883" s="263" t="s">
        <v>1808</v>
      </c>
      <c r="D883" s="263" t="s">
        <v>1809</v>
      </c>
      <c r="E883" s="263" t="s">
        <v>1810</v>
      </c>
      <c r="F883" s="263" t="s">
        <v>1667</v>
      </c>
    </row>
    <row r="884" spans="1:6">
      <c r="A884" s="263">
        <v>883</v>
      </c>
      <c r="B884" s="263" t="s">
        <v>1811</v>
      </c>
      <c r="C884" s="263" t="s">
        <v>314</v>
      </c>
      <c r="D884" s="263" t="s">
        <v>1809</v>
      </c>
      <c r="E884" s="263" t="s">
        <v>1810</v>
      </c>
      <c r="F884" s="263" t="s">
        <v>1667</v>
      </c>
    </row>
    <row r="885" spans="1:6">
      <c r="A885" s="263">
        <v>884</v>
      </c>
      <c r="B885" s="263" t="s">
        <v>1812</v>
      </c>
      <c r="C885" s="263" t="s">
        <v>1813</v>
      </c>
      <c r="D885" s="263" t="s">
        <v>1809</v>
      </c>
      <c r="E885" s="263" t="s">
        <v>1810</v>
      </c>
      <c r="F885" s="263" t="s">
        <v>1667</v>
      </c>
    </row>
    <row r="886" spans="1:6">
      <c r="A886" s="263">
        <v>885</v>
      </c>
      <c r="B886" s="263" t="s">
        <v>1814</v>
      </c>
      <c r="C886" s="263" t="s">
        <v>1815</v>
      </c>
      <c r="D886" s="263" t="s">
        <v>1809</v>
      </c>
      <c r="E886" s="263" t="s">
        <v>1810</v>
      </c>
      <c r="F886" s="263" t="s">
        <v>1667</v>
      </c>
    </row>
    <row r="887" spans="1:6">
      <c r="A887" s="263">
        <v>886</v>
      </c>
      <c r="B887" s="263" t="s">
        <v>1816</v>
      </c>
      <c r="C887" s="263" t="s">
        <v>462</v>
      </c>
      <c r="D887" s="263" t="s">
        <v>1809</v>
      </c>
      <c r="E887" s="263" t="s">
        <v>1810</v>
      </c>
      <c r="F887" s="263" t="s">
        <v>1667</v>
      </c>
    </row>
    <row r="888" spans="1:6">
      <c r="A888" s="263">
        <v>887</v>
      </c>
      <c r="B888" s="263" t="s">
        <v>1817</v>
      </c>
      <c r="C888" s="263" t="s">
        <v>1818</v>
      </c>
      <c r="D888" s="263" t="s">
        <v>1809</v>
      </c>
      <c r="E888" s="263" t="s">
        <v>1810</v>
      </c>
      <c r="F888" s="263" t="s">
        <v>1667</v>
      </c>
    </row>
    <row r="889" spans="1:6">
      <c r="A889" s="263">
        <v>888</v>
      </c>
      <c r="B889" s="263" t="s">
        <v>1819</v>
      </c>
      <c r="C889" s="263" t="s">
        <v>1820</v>
      </c>
      <c r="D889" s="263" t="s">
        <v>1809</v>
      </c>
      <c r="E889" s="263" t="s">
        <v>1810</v>
      </c>
      <c r="F889" s="263" t="s">
        <v>1667</v>
      </c>
    </row>
    <row r="890" spans="1:6">
      <c r="A890" s="263">
        <v>889</v>
      </c>
      <c r="B890" s="263" t="s">
        <v>1821</v>
      </c>
      <c r="C890" s="263" t="s">
        <v>1822</v>
      </c>
      <c r="D890" s="263" t="s">
        <v>1823</v>
      </c>
      <c r="E890" s="263" t="s">
        <v>1824</v>
      </c>
      <c r="F890" s="263" t="s">
        <v>1667</v>
      </c>
    </row>
    <row r="891" spans="1:6">
      <c r="A891" s="263">
        <v>890</v>
      </c>
      <c r="B891" s="263" t="s">
        <v>1825</v>
      </c>
      <c r="C891" s="263" t="s">
        <v>1826</v>
      </c>
      <c r="D891" s="263" t="s">
        <v>1823</v>
      </c>
      <c r="E891" s="263" t="s">
        <v>1824</v>
      </c>
      <c r="F891" s="263" t="s">
        <v>1667</v>
      </c>
    </row>
    <row r="892" spans="1:6">
      <c r="A892" s="263">
        <v>891</v>
      </c>
      <c r="B892" s="263" t="s">
        <v>1827</v>
      </c>
      <c r="C892" s="263" t="s">
        <v>1828</v>
      </c>
      <c r="D892" s="263" t="s">
        <v>1823</v>
      </c>
      <c r="E892" s="263" t="s">
        <v>1824</v>
      </c>
      <c r="F892" s="263" t="s">
        <v>1667</v>
      </c>
    </row>
    <row r="893" spans="1:6">
      <c r="A893" s="263">
        <v>892</v>
      </c>
      <c r="B893" s="263" t="s">
        <v>1829</v>
      </c>
      <c r="C893" s="263" t="s">
        <v>1830</v>
      </c>
      <c r="D893" s="263" t="s">
        <v>1823</v>
      </c>
      <c r="E893" s="263" t="s">
        <v>1824</v>
      </c>
      <c r="F893" s="263" t="s">
        <v>1667</v>
      </c>
    </row>
    <row r="894" spans="1:6">
      <c r="A894" s="263">
        <v>893</v>
      </c>
      <c r="B894" s="263" t="s">
        <v>1831</v>
      </c>
      <c r="C894" s="263" t="s">
        <v>1832</v>
      </c>
      <c r="D894" s="263" t="s">
        <v>1823</v>
      </c>
      <c r="E894" s="263" t="s">
        <v>1824</v>
      </c>
      <c r="F894" s="263" t="s">
        <v>1667</v>
      </c>
    </row>
    <row r="895" spans="1:6">
      <c r="A895" s="263">
        <v>894</v>
      </c>
      <c r="B895" s="263" t="s">
        <v>1833</v>
      </c>
      <c r="C895" s="263" t="s">
        <v>1834</v>
      </c>
      <c r="D895" s="263" t="s">
        <v>1823</v>
      </c>
      <c r="E895" s="263" t="s">
        <v>1824</v>
      </c>
      <c r="F895" s="263" t="s">
        <v>1667</v>
      </c>
    </row>
    <row r="896" spans="1:6">
      <c r="A896" s="263">
        <v>895</v>
      </c>
      <c r="B896" s="263" t="s">
        <v>1835</v>
      </c>
      <c r="C896" s="263" t="s">
        <v>1836</v>
      </c>
      <c r="D896" s="263" t="s">
        <v>1823</v>
      </c>
      <c r="E896" s="263" t="s">
        <v>1824</v>
      </c>
      <c r="F896" s="263" t="s">
        <v>1667</v>
      </c>
    </row>
    <row r="897" spans="1:6">
      <c r="A897" s="263">
        <v>896</v>
      </c>
      <c r="B897" s="263" t="s">
        <v>1837</v>
      </c>
      <c r="C897" s="263" t="s">
        <v>1838</v>
      </c>
      <c r="D897" s="263" t="s">
        <v>1823</v>
      </c>
      <c r="E897" s="263" t="s">
        <v>1824</v>
      </c>
      <c r="F897" s="263" t="s">
        <v>1667</v>
      </c>
    </row>
    <row r="898" spans="1:6">
      <c r="A898" s="263">
        <v>897</v>
      </c>
      <c r="B898" s="263" t="s">
        <v>1839</v>
      </c>
      <c r="C898" s="263" t="s">
        <v>1840</v>
      </c>
      <c r="D898" s="263" t="s">
        <v>1823</v>
      </c>
      <c r="E898" s="263" t="s">
        <v>1824</v>
      </c>
      <c r="F898" s="263" t="s">
        <v>1667</v>
      </c>
    </row>
    <row r="899" spans="1:6">
      <c r="A899" s="263">
        <v>898</v>
      </c>
      <c r="B899" s="263" t="s">
        <v>1841</v>
      </c>
      <c r="C899" s="263" t="s">
        <v>1842</v>
      </c>
      <c r="D899" s="263" t="s">
        <v>1843</v>
      </c>
      <c r="E899" s="263" t="s">
        <v>1844</v>
      </c>
      <c r="F899" s="263" t="s">
        <v>1845</v>
      </c>
    </row>
    <row r="900" spans="1:6">
      <c r="A900" s="263">
        <v>899</v>
      </c>
      <c r="B900" s="263" t="s">
        <v>1846</v>
      </c>
      <c r="C900" s="263" t="s">
        <v>1847</v>
      </c>
      <c r="D900" s="263" t="s">
        <v>1843</v>
      </c>
      <c r="E900" s="263" t="s">
        <v>1844</v>
      </c>
      <c r="F900" s="263" t="s">
        <v>1845</v>
      </c>
    </row>
    <row r="901" spans="1:6">
      <c r="A901" s="263">
        <v>900</v>
      </c>
      <c r="B901" s="263" t="s">
        <v>1848</v>
      </c>
      <c r="C901" s="263" t="s">
        <v>1849</v>
      </c>
      <c r="D901" s="263" t="s">
        <v>1843</v>
      </c>
      <c r="E901" s="263" t="s">
        <v>1844</v>
      </c>
      <c r="F901" s="263" t="s">
        <v>1845</v>
      </c>
    </row>
    <row r="902" spans="1:6">
      <c r="A902" s="263">
        <v>901</v>
      </c>
      <c r="B902" s="263" t="s">
        <v>1850</v>
      </c>
      <c r="C902" s="263" t="s">
        <v>1851</v>
      </c>
      <c r="D902" s="263" t="s">
        <v>1843</v>
      </c>
      <c r="E902" s="263" t="s">
        <v>1844</v>
      </c>
      <c r="F902" s="263" t="s">
        <v>1845</v>
      </c>
    </row>
    <row r="903" spans="1:6">
      <c r="A903" s="263">
        <v>902</v>
      </c>
      <c r="B903" s="263" t="s">
        <v>1852</v>
      </c>
      <c r="C903" s="263" t="s">
        <v>1853</v>
      </c>
      <c r="D903" s="263" t="s">
        <v>1843</v>
      </c>
      <c r="E903" s="263" t="s">
        <v>1844</v>
      </c>
      <c r="F903" s="263" t="s">
        <v>1845</v>
      </c>
    </row>
    <row r="904" spans="1:6">
      <c r="A904" s="263">
        <v>903</v>
      </c>
      <c r="B904" s="263" t="s">
        <v>1854</v>
      </c>
      <c r="C904" s="263" t="s">
        <v>1855</v>
      </c>
      <c r="D904" s="263" t="s">
        <v>1843</v>
      </c>
      <c r="E904" s="263" t="s">
        <v>1844</v>
      </c>
      <c r="F904" s="263" t="s">
        <v>1845</v>
      </c>
    </row>
    <row r="905" spans="1:6">
      <c r="A905" s="263">
        <v>904</v>
      </c>
      <c r="B905" s="263" t="s">
        <v>1856</v>
      </c>
      <c r="C905" s="263" t="s">
        <v>970</v>
      </c>
      <c r="D905" s="263" t="s">
        <v>1843</v>
      </c>
      <c r="E905" s="263" t="s">
        <v>1844</v>
      </c>
      <c r="F905" s="263" t="s">
        <v>1845</v>
      </c>
    </row>
    <row r="906" spans="1:6">
      <c r="A906" s="263">
        <v>905</v>
      </c>
      <c r="B906" s="263" t="s">
        <v>1857</v>
      </c>
      <c r="C906" s="263" t="s">
        <v>1858</v>
      </c>
      <c r="D906" s="263" t="s">
        <v>1843</v>
      </c>
      <c r="E906" s="263" t="s">
        <v>1844</v>
      </c>
      <c r="F906" s="263" t="s">
        <v>1845</v>
      </c>
    </row>
    <row r="907" spans="1:6">
      <c r="A907" s="263">
        <v>906</v>
      </c>
      <c r="B907" s="263" t="s">
        <v>1859</v>
      </c>
      <c r="C907" s="263" t="s">
        <v>1860</v>
      </c>
      <c r="D907" s="263" t="s">
        <v>1843</v>
      </c>
      <c r="E907" s="263" t="s">
        <v>1844</v>
      </c>
      <c r="F907" s="263" t="s">
        <v>1845</v>
      </c>
    </row>
    <row r="908" spans="1:6">
      <c r="A908" s="263">
        <v>907</v>
      </c>
      <c r="B908" s="263" t="s">
        <v>1861</v>
      </c>
      <c r="C908" s="263" t="s">
        <v>1862</v>
      </c>
      <c r="D908" s="263" t="s">
        <v>1843</v>
      </c>
      <c r="E908" s="263" t="s">
        <v>1844</v>
      </c>
      <c r="F908" s="263" t="s">
        <v>1845</v>
      </c>
    </row>
    <row r="909" spans="1:6">
      <c r="A909" s="263">
        <v>908</v>
      </c>
      <c r="B909" s="263" t="s">
        <v>1863</v>
      </c>
      <c r="C909" s="263" t="s">
        <v>1864</v>
      </c>
      <c r="D909" s="263" t="s">
        <v>1843</v>
      </c>
      <c r="E909" s="263" t="s">
        <v>1844</v>
      </c>
      <c r="F909" s="263" t="s">
        <v>1845</v>
      </c>
    </row>
    <row r="910" spans="1:6">
      <c r="A910" s="263">
        <v>909</v>
      </c>
      <c r="B910" s="263" t="s">
        <v>1865</v>
      </c>
      <c r="C910" s="263" t="s">
        <v>1866</v>
      </c>
      <c r="D910" s="263" t="s">
        <v>1843</v>
      </c>
      <c r="E910" s="263" t="s">
        <v>1844</v>
      </c>
      <c r="F910" s="263" t="s">
        <v>1845</v>
      </c>
    </row>
    <row r="911" spans="1:6">
      <c r="A911" s="263">
        <v>910</v>
      </c>
      <c r="B911" s="263" t="s">
        <v>1867</v>
      </c>
      <c r="C911" s="263" t="s">
        <v>1868</v>
      </c>
      <c r="D911" s="263" t="s">
        <v>1843</v>
      </c>
      <c r="E911" s="263" t="s">
        <v>1844</v>
      </c>
      <c r="F911" s="263" t="s">
        <v>1845</v>
      </c>
    </row>
    <row r="912" spans="1:6">
      <c r="A912" s="263">
        <v>911</v>
      </c>
      <c r="B912" s="263" t="s">
        <v>1869</v>
      </c>
      <c r="C912" s="263" t="s">
        <v>1870</v>
      </c>
      <c r="D912" s="263" t="s">
        <v>1871</v>
      </c>
      <c r="E912" s="263" t="s">
        <v>1872</v>
      </c>
      <c r="F912" s="263" t="s">
        <v>1845</v>
      </c>
    </row>
    <row r="913" spans="1:6">
      <c r="A913" s="263">
        <v>912</v>
      </c>
      <c r="B913" s="263" t="s">
        <v>1873</v>
      </c>
      <c r="C913" s="263" t="s">
        <v>988</v>
      </c>
      <c r="D913" s="263" t="s">
        <v>1871</v>
      </c>
      <c r="E913" s="263" t="s">
        <v>1872</v>
      </c>
      <c r="F913" s="263" t="s">
        <v>1845</v>
      </c>
    </row>
    <row r="914" spans="1:6">
      <c r="A914" s="263">
        <v>913</v>
      </c>
      <c r="B914" s="263" t="s">
        <v>1874</v>
      </c>
      <c r="C914" s="263" t="s">
        <v>1875</v>
      </c>
      <c r="D914" s="263" t="s">
        <v>1871</v>
      </c>
      <c r="E914" s="263" t="s">
        <v>1872</v>
      </c>
      <c r="F914" s="263" t="s">
        <v>1845</v>
      </c>
    </row>
    <row r="915" spans="1:6">
      <c r="A915" s="263">
        <v>914</v>
      </c>
      <c r="B915" s="263" t="s">
        <v>1876</v>
      </c>
      <c r="C915" s="263" t="s">
        <v>1213</v>
      </c>
      <c r="D915" s="263" t="s">
        <v>1871</v>
      </c>
      <c r="E915" s="263" t="s">
        <v>1872</v>
      </c>
      <c r="F915" s="263" t="s">
        <v>1845</v>
      </c>
    </row>
    <row r="916" spans="1:6">
      <c r="A916" s="263">
        <v>915</v>
      </c>
      <c r="B916" s="263" t="s">
        <v>1877</v>
      </c>
      <c r="C916" s="263" t="s">
        <v>811</v>
      </c>
      <c r="D916" s="263" t="s">
        <v>1871</v>
      </c>
      <c r="E916" s="263" t="s">
        <v>1872</v>
      </c>
      <c r="F916" s="263" t="s">
        <v>1845</v>
      </c>
    </row>
    <row r="917" spans="1:6">
      <c r="A917" s="263">
        <v>916</v>
      </c>
      <c r="B917" s="263" t="s">
        <v>1878</v>
      </c>
      <c r="C917" s="263" t="s">
        <v>1879</v>
      </c>
      <c r="D917" s="263" t="s">
        <v>1871</v>
      </c>
      <c r="E917" s="263" t="s">
        <v>1872</v>
      </c>
      <c r="F917" s="263" t="s">
        <v>1845</v>
      </c>
    </row>
    <row r="918" spans="1:6">
      <c r="A918" s="263">
        <v>917</v>
      </c>
      <c r="B918" s="263" t="s">
        <v>1880</v>
      </c>
      <c r="C918" s="263" t="s">
        <v>783</v>
      </c>
      <c r="D918" s="263" t="s">
        <v>1871</v>
      </c>
      <c r="E918" s="263" t="s">
        <v>1872</v>
      </c>
      <c r="F918" s="263" t="s">
        <v>1845</v>
      </c>
    </row>
    <row r="919" spans="1:6">
      <c r="A919" s="263">
        <v>918</v>
      </c>
      <c r="B919" s="263" t="s">
        <v>1881</v>
      </c>
      <c r="C919" s="263" t="s">
        <v>326</v>
      </c>
      <c r="D919" s="263" t="s">
        <v>1871</v>
      </c>
      <c r="E919" s="263" t="s">
        <v>1872</v>
      </c>
      <c r="F919" s="263" t="s">
        <v>1845</v>
      </c>
    </row>
    <row r="920" spans="1:6">
      <c r="A920" s="263">
        <v>919</v>
      </c>
      <c r="B920" s="263" t="s">
        <v>1882</v>
      </c>
      <c r="C920" s="263" t="s">
        <v>1883</v>
      </c>
      <c r="D920" s="263" t="s">
        <v>1871</v>
      </c>
      <c r="E920" s="263" t="s">
        <v>1872</v>
      </c>
      <c r="F920" s="263" t="s">
        <v>1845</v>
      </c>
    </row>
    <row r="921" spans="1:6">
      <c r="A921" s="263">
        <v>920</v>
      </c>
      <c r="B921" s="263" t="s">
        <v>1884</v>
      </c>
      <c r="C921" s="263" t="s">
        <v>1885</v>
      </c>
      <c r="D921" s="263" t="s">
        <v>1871</v>
      </c>
      <c r="E921" s="263" t="s">
        <v>1872</v>
      </c>
      <c r="F921" s="263" t="s">
        <v>1845</v>
      </c>
    </row>
    <row r="922" spans="1:6">
      <c r="A922" s="263">
        <v>921</v>
      </c>
      <c r="B922" s="263" t="s">
        <v>1886</v>
      </c>
      <c r="C922" s="263" t="s">
        <v>1887</v>
      </c>
      <c r="D922" s="263" t="s">
        <v>1871</v>
      </c>
      <c r="E922" s="263" t="s">
        <v>1872</v>
      </c>
      <c r="F922" s="263" t="s">
        <v>1845</v>
      </c>
    </row>
    <row r="923" spans="1:6">
      <c r="A923" s="263">
        <v>922</v>
      </c>
      <c r="B923" s="263" t="s">
        <v>1888</v>
      </c>
      <c r="C923" s="263" t="s">
        <v>1889</v>
      </c>
      <c r="D923" s="263" t="s">
        <v>1871</v>
      </c>
      <c r="E923" s="263" t="s">
        <v>1872</v>
      </c>
      <c r="F923" s="263" t="s">
        <v>1845</v>
      </c>
    </row>
    <row r="924" spans="1:6">
      <c r="A924" s="263">
        <v>923</v>
      </c>
      <c r="B924" s="263" t="s">
        <v>1890</v>
      </c>
      <c r="C924" s="263" t="s">
        <v>1891</v>
      </c>
      <c r="D924" s="263" t="s">
        <v>1871</v>
      </c>
      <c r="E924" s="263" t="s">
        <v>1872</v>
      </c>
      <c r="F924" s="263" t="s">
        <v>1845</v>
      </c>
    </row>
    <row r="925" spans="1:6">
      <c r="A925" s="263">
        <v>924</v>
      </c>
      <c r="B925" s="263" t="s">
        <v>1892</v>
      </c>
      <c r="C925" s="263" t="s">
        <v>1893</v>
      </c>
      <c r="D925" s="263" t="s">
        <v>1871</v>
      </c>
      <c r="E925" s="263" t="s">
        <v>1872</v>
      </c>
      <c r="F925" s="263" t="s">
        <v>1845</v>
      </c>
    </row>
    <row r="926" spans="1:6">
      <c r="A926" s="263">
        <v>925</v>
      </c>
      <c r="B926" s="263" t="s">
        <v>1894</v>
      </c>
      <c r="C926" s="263" t="s">
        <v>418</v>
      </c>
      <c r="D926" s="263" t="s">
        <v>1871</v>
      </c>
      <c r="E926" s="263" t="s">
        <v>1872</v>
      </c>
      <c r="F926" s="263" t="s">
        <v>1845</v>
      </c>
    </row>
    <row r="927" spans="1:6">
      <c r="A927" s="263">
        <v>926</v>
      </c>
      <c r="B927" s="263" t="s">
        <v>1895</v>
      </c>
      <c r="C927" s="263" t="s">
        <v>1896</v>
      </c>
      <c r="D927" s="263" t="s">
        <v>1897</v>
      </c>
      <c r="E927" s="263" t="s">
        <v>1898</v>
      </c>
      <c r="F927" s="263" t="s">
        <v>1845</v>
      </c>
    </row>
    <row r="928" spans="1:6">
      <c r="A928" s="263">
        <v>927</v>
      </c>
      <c r="B928" s="263" t="s">
        <v>1899</v>
      </c>
      <c r="C928" s="263" t="s">
        <v>384</v>
      </c>
      <c r="D928" s="263" t="s">
        <v>1897</v>
      </c>
      <c r="E928" s="263" t="s">
        <v>1898</v>
      </c>
      <c r="F928" s="263" t="s">
        <v>1845</v>
      </c>
    </row>
    <row r="929" spans="1:6">
      <c r="A929" s="263">
        <v>928</v>
      </c>
      <c r="B929" s="263" t="s">
        <v>1900</v>
      </c>
      <c r="C929" s="263" t="s">
        <v>1901</v>
      </c>
      <c r="D929" s="263" t="s">
        <v>1897</v>
      </c>
      <c r="E929" s="263" t="s">
        <v>1898</v>
      </c>
      <c r="F929" s="263" t="s">
        <v>1845</v>
      </c>
    </row>
    <row r="930" spans="1:6">
      <c r="A930" s="263">
        <v>929</v>
      </c>
      <c r="B930" s="263" t="s">
        <v>1902</v>
      </c>
      <c r="C930" s="263" t="s">
        <v>20</v>
      </c>
      <c r="D930" s="263" t="s">
        <v>1897</v>
      </c>
      <c r="E930" s="263" t="s">
        <v>1898</v>
      </c>
      <c r="F930" s="263" t="s">
        <v>1845</v>
      </c>
    </row>
    <row r="931" spans="1:6">
      <c r="A931" s="263">
        <v>930</v>
      </c>
      <c r="B931" s="263" t="s">
        <v>1903</v>
      </c>
      <c r="C931" s="263" t="s">
        <v>22</v>
      </c>
      <c r="D931" s="263" t="s">
        <v>1897</v>
      </c>
      <c r="E931" s="263" t="s">
        <v>1898</v>
      </c>
      <c r="F931" s="263" t="s">
        <v>1845</v>
      </c>
    </row>
    <row r="932" spans="1:6">
      <c r="A932" s="263">
        <v>931</v>
      </c>
      <c r="B932" s="263" t="s">
        <v>1904</v>
      </c>
      <c r="C932" s="263" t="s">
        <v>158</v>
      </c>
      <c r="D932" s="263" t="s">
        <v>1897</v>
      </c>
      <c r="E932" s="263" t="s">
        <v>1898</v>
      </c>
      <c r="F932" s="263" t="s">
        <v>1845</v>
      </c>
    </row>
    <row r="933" spans="1:6">
      <c r="A933" s="263">
        <v>932</v>
      </c>
      <c r="B933" s="263" t="s">
        <v>1905</v>
      </c>
      <c r="C933" s="263" t="s">
        <v>1906</v>
      </c>
      <c r="D933" s="263" t="s">
        <v>1897</v>
      </c>
      <c r="E933" s="263" t="s">
        <v>1898</v>
      </c>
      <c r="F933" s="263" t="s">
        <v>1845</v>
      </c>
    </row>
    <row r="934" spans="1:6">
      <c r="A934" s="263">
        <v>933</v>
      </c>
      <c r="B934" s="263" t="s">
        <v>1907</v>
      </c>
      <c r="C934" s="263" t="s">
        <v>765</v>
      </c>
      <c r="D934" s="263" t="s">
        <v>1897</v>
      </c>
      <c r="E934" s="263" t="s">
        <v>1898</v>
      </c>
      <c r="F934" s="263" t="s">
        <v>1845</v>
      </c>
    </row>
    <row r="935" spans="1:6">
      <c r="A935" s="263">
        <v>934</v>
      </c>
      <c r="B935" s="263" t="s">
        <v>1908</v>
      </c>
      <c r="C935" s="263" t="s">
        <v>1909</v>
      </c>
      <c r="D935" s="263" t="s">
        <v>1897</v>
      </c>
      <c r="E935" s="263" t="s">
        <v>1898</v>
      </c>
      <c r="F935" s="263" t="s">
        <v>1845</v>
      </c>
    </row>
    <row r="936" spans="1:6">
      <c r="A936" s="263">
        <v>935</v>
      </c>
      <c r="B936" s="263" t="s">
        <v>1910</v>
      </c>
      <c r="C936" s="263" t="s">
        <v>1911</v>
      </c>
      <c r="D936" s="263" t="s">
        <v>1897</v>
      </c>
      <c r="E936" s="263" t="s">
        <v>1898</v>
      </c>
      <c r="F936" s="263" t="s">
        <v>1845</v>
      </c>
    </row>
    <row r="937" spans="1:6">
      <c r="A937" s="263">
        <v>936</v>
      </c>
      <c r="B937" s="263" t="s">
        <v>1912</v>
      </c>
      <c r="C937" s="263" t="s">
        <v>585</v>
      </c>
      <c r="D937" s="263" t="s">
        <v>1897</v>
      </c>
      <c r="E937" s="263" t="s">
        <v>1898</v>
      </c>
      <c r="F937" s="263" t="s">
        <v>1845</v>
      </c>
    </row>
    <row r="938" spans="1:6">
      <c r="A938" s="263">
        <v>937</v>
      </c>
      <c r="B938" s="263" t="s">
        <v>1913</v>
      </c>
      <c r="C938" s="263" t="s">
        <v>1914</v>
      </c>
      <c r="D938" s="263" t="s">
        <v>1897</v>
      </c>
      <c r="E938" s="263" t="s">
        <v>1898</v>
      </c>
      <c r="F938" s="263" t="s">
        <v>1845</v>
      </c>
    </row>
    <row r="939" spans="1:6">
      <c r="A939" s="263">
        <v>938</v>
      </c>
      <c r="B939" s="263" t="s">
        <v>1915</v>
      </c>
      <c r="C939" s="263" t="s">
        <v>832</v>
      </c>
      <c r="D939" s="263" t="s">
        <v>1916</v>
      </c>
      <c r="E939" s="263" t="s">
        <v>1917</v>
      </c>
      <c r="F939" s="263" t="s">
        <v>1845</v>
      </c>
    </row>
    <row r="940" spans="1:6">
      <c r="A940" s="263">
        <v>939</v>
      </c>
      <c r="B940" s="263" t="s">
        <v>1918</v>
      </c>
      <c r="C940" s="263" t="s">
        <v>1919</v>
      </c>
      <c r="D940" s="263" t="s">
        <v>1916</v>
      </c>
      <c r="E940" s="263" t="s">
        <v>1917</v>
      </c>
      <c r="F940" s="263" t="s">
        <v>1845</v>
      </c>
    </row>
    <row r="941" spans="1:6">
      <c r="A941" s="263">
        <v>940</v>
      </c>
      <c r="B941" s="263" t="s">
        <v>1920</v>
      </c>
      <c r="C941" s="263" t="s">
        <v>1921</v>
      </c>
      <c r="D941" s="263" t="s">
        <v>1916</v>
      </c>
      <c r="E941" s="263" t="s">
        <v>1917</v>
      </c>
      <c r="F941" s="263" t="s">
        <v>1845</v>
      </c>
    </row>
    <row r="942" spans="1:6">
      <c r="A942" s="263">
        <v>941</v>
      </c>
      <c r="B942" s="263" t="s">
        <v>1922</v>
      </c>
      <c r="C942" s="263" t="s">
        <v>146</v>
      </c>
      <c r="D942" s="263" t="s">
        <v>1916</v>
      </c>
      <c r="E942" s="263" t="s">
        <v>1917</v>
      </c>
      <c r="F942" s="263" t="s">
        <v>1845</v>
      </c>
    </row>
    <row r="943" spans="1:6">
      <c r="A943" s="263">
        <v>942</v>
      </c>
      <c r="B943" s="263" t="s">
        <v>1923</v>
      </c>
      <c r="C943" s="263" t="s">
        <v>148</v>
      </c>
      <c r="D943" s="263" t="s">
        <v>1916</v>
      </c>
      <c r="E943" s="263" t="s">
        <v>1917</v>
      </c>
      <c r="F943" s="263" t="s">
        <v>1845</v>
      </c>
    </row>
    <row r="944" spans="1:6">
      <c r="A944" s="263">
        <v>943</v>
      </c>
      <c r="B944" s="263" t="s">
        <v>1924</v>
      </c>
      <c r="C944" s="263" t="s">
        <v>154</v>
      </c>
      <c r="D944" s="263" t="s">
        <v>1916</v>
      </c>
      <c r="E944" s="263" t="s">
        <v>1917</v>
      </c>
      <c r="F944" s="263" t="s">
        <v>1845</v>
      </c>
    </row>
    <row r="945" spans="1:6">
      <c r="A945" s="263">
        <v>944</v>
      </c>
      <c r="B945" s="263" t="s">
        <v>1925</v>
      </c>
      <c r="C945" s="263" t="s">
        <v>1926</v>
      </c>
      <c r="D945" s="263" t="s">
        <v>1916</v>
      </c>
      <c r="E945" s="263" t="s">
        <v>1917</v>
      </c>
      <c r="F945" s="263" t="s">
        <v>1845</v>
      </c>
    </row>
    <row r="946" spans="1:6">
      <c r="A946" s="263">
        <v>945</v>
      </c>
      <c r="B946" s="263" t="s">
        <v>1927</v>
      </c>
      <c r="C946" s="263" t="s">
        <v>328</v>
      </c>
      <c r="D946" s="263" t="s">
        <v>1916</v>
      </c>
      <c r="E946" s="263" t="s">
        <v>1917</v>
      </c>
      <c r="F946" s="263" t="s">
        <v>1845</v>
      </c>
    </row>
    <row r="947" spans="1:6">
      <c r="A947" s="263">
        <v>946</v>
      </c>
      <c r="B947" s="263" t="s">
        <v>1928</v>
      </c>
      <c r="C947" s="263" t="s">
        <v>702</v>
      </c>
      <c r="D947" s="263" t="s">
        <v>1916</v>
      </c>
      <c r="E947" s="263" t="s">
        <v>1917</v>
      </c>
      <c r="F947" s="263" t="s">
        <v>1845</v>
      </c>
    </row>
    <row r="948" spans="1:6">
      <c r="A948" s="263">
        <v>947</v>
      </c>
      <c r="B948" s="263" t="s">
        <v>1929</v>
      </c>
      <c r="C948" s="263" t="s">
        <v>1930</v>
      </c>
      <c r="D948" s="263" t="s">
        <v>1916</v>
      </c>
      <c r="E948" s="263" t="s">
        <v>1917</v>
      </c>
      <c r="F948" s="263" t="s">
        <v>1845</v>
      </c>
    </row>
    <row r="949" spans="1:6">
      <c r="A949" s="263">
        <v>948</v>
      </c>
      <c r="B949" s="263" t="s">
        <v>1931</v>
      </c>
      <c r="C949" s="263" t="s">
        <v>1932</v>
      </c>
      <c r="D949" s="263" t="s">
        <v>1916</v>
      </c>
      <c r="E949" s="263" t="s">
        <v>1917</v>
      </c>
      <c r="F949" s="263" t="s">
        <v>1845</v>
      </c>
    </row>
    <row r="950" spans="1:6">
      <c r="A950" s="263">
        <v>949</v>
      </c>
      <c r="B950" s="263" t="s">
        <v>1933</v>
      </c>
      <c r="C950" s="263" t="s">
        <v>828</v>
      </c>
      <c r="D950" s="263" t="s">
        <v>1916</v>
      </c>
      <c r="E950" s="263" t="s">
        <v>1917</v>
      </c>
      <c r="F950" s="263" t="s">
        <v>1845</v>
      </c>
    </row>
    <row r="951" spans="1:6">
      <c r="A951" s="263">
        <v>950</v>
      </c>
      <c r="B951" s="263" t="s">
        <v>1934</v>
      </c>
      <c r="C951" s="263" t="s">
        <v>162</v>
      </c>
      <c r="D951" s="263" t="s">
        <v>1916</v>
      </c>
      <c r="E951" s="263" t="s">
        <v>1917</v>
      </c>
      <c r="F951" s="263" t="s">
        <v>1845</v>
      </c>
    </row>
    <row r="952" spans="1:6">
      <c r="A952" s="263">
        <v>951</v>
      </c>
      <c r="B952" s="263" t="s">
        <v>1935</v>
      </c>
      <c r="C952" s="263" t="s">
        <v>1936</v>
      </c>
      <c r="D952" s="263" t="s">
        <v>1916</v>
      </c>
      <c r="E952" s="263" t="s">
        <v>1917</v>
      </c>
      <c r="F952" s="263" t="s">
        <v>1845</v>
      </c>
    </row>
    <row r="953" spans="1:6">
      <c r="A953" s="263">
        <v>952</v>
      </c>
      <c r="B953" s="263" t="s">
        <v>1937</v>
      </c>
      <c r="C953" s="263" t="s">
        <v>1938</v>
      </c>
      <c r="D953" s="263" t="s">
        <v>1916</v>
      </c>
      <c r="E953" s="263" t="s">
        <v>1917</v>
      </c>
      <c r="F953" s="263" t="s">
        <v>1845</v>
      </c>
    </row>
    <row r="954" spans="1:6">
      <c r="A954" s="263">
        <v>953</v>
      </c>
      <c r="B954" s="263" t="s">
        <v>1939</v>
      </c>
      <c r="C954" s="263" t="s">
        <v>1940</v>
      </c>
      <c r="D954" s="263" t="s">
        <v>1916</v>
      </c>
      <c r="E954" s="263" t="s">
        <v>1917</v>
      </c>
      <c r="F954" s="263" t="s">
        <v>1845</v>
      </c>
    </row>
    <row r="955" spans="1:6">
      <c r="A955" s="263">
        <v>954</v>
      </c>
      <c r="B955" s="263" t="s">
        <v>1941</v>
      </c>
      <c r="C955" s="263" t="s">
        <v>1942</v>
      </c>
      <c r="D955" s="263" t="s">
        <v>1916</v>
      </c>
      <c r="E955" s="263" t="s">
        <v>1917</v>
      </c>
      <c r="F955" s="263" t="s">
        <v>1845</v>
      </c>
    </row>
    <row r="956" spans="1:6">
      <c r="A956" s="263">
        <v>955</v>
      </c>
      <c r="B956" s="263" t="s">
        <v>1943</v>
      </c>
      <c r="C956" s="263" t="s">
        <v>1944</v>
      </c>
      <c r="D956" s="263" t="s">
        <v>1916</v>
      </c>
      <c r="E956" s="263" t="s">
        <v>1917</v>
      </c>
      <c r="F956" s="263" t="s">
        <v>1845</v>
      </c>
    </row>
    <row r="957" spans="1:6">
      <c r="A957" s="263">
        <v>956</v>
      </c>
      <c r="B957" s="263" t="s">
        <v>1945</v>
      </c>
      <c r="C957" s="263" t="s">
        <v>1946</v>
      </c>
      <c r="D957" s="263" t="s">
        <v>1947</v>
      </c>
      <c r="E957" s="263" t="s">
        <v>1948</v>
      </c>
      <c r="F957" s="263" t="s">
        <v>1845</v>
      </c>
    </row>
    <row r="958" spans="1:6">
      <c r="A958" s="263">
        <v>957</v>
      </c>
      <c r="B958" s="263" t="s">
        <v>1949</v>
      </c>
      <c r="C958" s="263" t="s">
        <v>1950</v>
      </c>
      <c r="D958" s="263" t="s">
        <v>1947</v>
      </c>
      <c r="E958" s="263" t="s">
        <v>1948</v>
      </c>
      <c r="F958" s="263" t="s">
        <v>1845</v>
      </c>
    </row>
    <row r="959" spans="1:6">
      <c r="A959" s="263">
        <v>958</v>
      </c>
      <c r="B959" s="263" t="s">
        <v>1951</v>
      </c>
      <c r="C959" s="263" t="s">
        <v>1952</v>
      </c>
      <c r="D959" s="263" t="s">
        <v>1947</v>
      </c>
      <c r="E959" s="263" t="s">
        <v>1948</v>
      </c>
      <c r="F959" s="263" t="s">
        <v>1845</v>
      </c>
    </row>
    <row r="960" spans="1:6">
      <c r="A960" s="263">
        <v>959</v>
      </c>
      <c r="B960" s="263" t="s">
        <v>1953</v>
      </c>
      <c r="C960" s="263" t="s">
        <v>1954</v>
      </c>
      <c r="D960" s="263" t="s">
        <v>1947</v>
      </c>
      <c r="E960" s="263" t="s">
        <v>1948</v>
      </c>
      <c r="F960" s="263" t="s">
        <v>1845</v>
      </c>
    </row>
    <row r="961" spans="1:6">
      <c r="A961" s="263">
        <v>960</v>
      </c>
      <c r="B961" s="263" t="s">
        <v>1955</v>
      </c>
      <c r="C961" s="263" t="s">
        <v>1956</v>
      </c>
      <c r="D961" s="263" t="s">
        <v>1947</v>
      </c>
      <c r="E961" s="263" t="s">
        <v>1948</v>
      </c>
      <c r="F961" s="263" t="s">
        <v>1845</v>
      </c>
    </row>
    <row r="962" spans="1:6">
      <c r="A962" s="263">
        <v>961</v>
      </c>
      <c r="B962" s="263" t="s">
        <v>1957</v>
      </c>
      <c r="C962" s="263" t="s">
        <v>1958</v>
      </c>
      <c r="D962" s="263" t="s">
        <v>1947</v>
      </c>
      <c r="E962" s="263" t="s">
        <v>1948</v>
      </c>
      <c r="F962" s="263" t="s">
        <v>1845</v>
      </c>
    </row>
    <row r="963" spans="1:6">
      <c r="A963" s="263">
        <v>962</v>
      </c>
      <c r="B963" s="263" t="s">
        <v>1959</v>
      </c>
      <c r="C963" s="263" t="s">
        <v>1960</v>
      </c>
      <c r="D963" s="263" t="s">
        <v>1947</v>
      </c>
      <c r="E963" s="263" t="s">
        <v>1948</v>
      </c>
      <c r="F963" s="263" t="s">
        <v>1845</v>
      </c>
    </row>
    <row r="964" spans="1:6">
      <c r="A964" s="263">
        <v>963</v>
      </c>
      <c r="B964" s="263" t="s">
        <v>1961</v>
      </c>
      <c r="C964" s="263" t="s">
        <v>1962</v>
      </c>
      <c r="D964" s="263" t="s">
        <v>1947</v>
      </c>
      <c r="E964" s="263" t="s">
        <v>1948</v>
      </c>
      <c r="F964" s="263" t="s">
        <v>1845</v>
      </c>
    </row>
    <row r="965" spans="1:6">
      <c r="A965" s="263">
        <v>964</v>
      </c>
      <c r="B965" s="263" t="s">
        <v>1963</v>
      </c>
      <c r="C965" s="263" t="s">
        <v>1964</v>
      </c>
      <c r="D965" s="263" t="s">
        <v>1947</v>
      </c>
      <c r="E965" s="263" t="s">
        <v>1948</v>
      </c>
      <c r="F965" s="263" t="s">
        <v>1845</v>
      </c>
    </row>
    <row r="966" spans="1:6">
      <c r="A966" s="263">
        <v>965</v>
      </c>
      <c r="B966" s="263" t="s">
        <v>1965</v>
      </c>
      <c r="C966" s="263" t="s">
        <v>1966</v>
      </c>
      <c r="D966" s="263" t="s">
        <v>1947</v>
      </c>
      <c r="E966" s="263" t="s">
        <v>1948</v>
      </c>
      <c r="F966" s="263" t="s">
        <v>1845</v>
      </c>
    </row>
    <row r="967" spans="1:6">
      <c r="A967" s="263">
        <v>966</v>
      </c>
      <c r="B967" s="263" t="s">
        <v>1967</v>
      </c>
      <c r="C967" s="263" t="s">
        <v>1968</v>
      </c>
      <c r="D967" s="263" t="s">
        <v>1969</v>
      </c>
      <c r="E967" s="263" t="s">
        <v>1970</v>
      </c>
      <c r="F967" s="263" t="s">
        <v>1845</v>
      </c>
    </row>
    <row r="968" spans="1:6">
      <c r="A968" s="263">
        <v>967</v>
      </c>
      <c r="B968" s="263" t="s">
        <v>1971</v>
      </c>
      <c r="C968" s="263" t="s">
        <v>1972</v>
      </c>
      <c r="D968" s="263" t="s">
        <v>1969</v>
      </c>
      <c r="E968" s="263" t="s">
        <v>1970</v>
      </c>
      <c r="F968" s="263" t="s">
        <v>1845</v>
      </c>
    </row>
    <row r="969" spans="1:6">
      <c r="A969" s="263">
        <v>968</v>
      </c>
      <c r="B969" s="263" t="s">
        <v>1973</v>
      </c>
      <c r="C969" s="263" t="s">
        <v>1974</v>
      </c>
      <c r="D969" s="263" t="s">
        <v>1969</v>
      </c>
      <c r="E969" s="263" t="s">
        <v>1970</v>
      </c>
      <c r="F969" s="263" t="s">
        <v>1845</v>
      </c>
    </row>
    <row r="970" spans="1:6">
      <c r="A970" s="263">
        <v>969</v>
      </c>
      <c r="B970" s="263" t="s">
        <v>1975</v>
      </c>
      <c r="C970" s="263" t="s">
        <v>1976</v>
      </c>
      <c r="D970" s="263" t="s">
        <v>1969</v>
      </c>
      <c r="E970" s="263" t="s">
        <v>1970</v>
      </c>
      <c r="F970" s="263" t="s">
        <v>1845</v>
      </c>
    </row>
    <row r="971" spans="1:6">
      <c r="A971" s="263">
        <v>970</v>
      </c>
      <c r="B971" s="263" t="s">
        <v>1977</v>
      </c>
      <c r="C971" s="263" t="s">
        <v>692</v>
      </c>
      <c r="D971" s="263" t="s">
        <v>1969</v>
      </c>
      <c r="E971" s="263" t="s">
        <v>1970</v>
      </c>
      <c r="F971" s="263" t="s">
        <v>1845</v>
      </c>
    </row>
    <row r="972" spans="1:6">
      <c r="A972" s="263">
        <v>971</v>
      </c>
      <c r="B972" s="263" t="s">
        <v>1978</v>
      </c>
      <c r="C972" s="263" t="s">
        <v>1979</v>
      </c>
      <c r="D972" s="263" t="s">
        <v>1969</v>
      </c>
      <c r="E972" s="263" t="s">
        <v>1970</v>
      </c>
      <c r="F972" s="263" t="s">
        <v>1845</v>
      </c>
    </row>
    <row r="973" spans="1:6">
      <c r="A973" s="263">
        <v>972</v>
      </c>
      <c r="B973" s="263" t="s">
        <v>1980</v>
      </c>
      <c r="C973" s="263" t="s">
        <v>1981</v>
      </c>
      <c r="D973" s="263" t="s">
        <v>1969</v>
      </c>
      <c r="E973" s="263" t="s">
        <v>1970</v>
      </c>
      <c r="F973" s="263" t="s">
        <v>1845</v>
      </c>
    </row>
    <row r="974" spans="1:6">
      <c r="A974" s="263">
        <v>973</v>
      </c>
      <c r="B974" s="263" t="s">
        <v>1982</v>
      </c>
      <c r="C974" s="263" t="s">
        <v>1983</v>
      </c>
      <c r="D974" s="263" t="s">
        <v>1969</v>
      </c>
      <c r="E974" s="263" t="s">
        <v>1970</v>
      </c>
      <c r="F974" s="263" t="s">
        <v>1845</v>
      </c>
    </row>
    <row r="975" spans="1:6">
      <c r="A975" s="263">
        <v>974</v>
      </c>
      <c r="B975" s="263" t="s">
        <v>1984</v>
      </c>
      <c r="C975" s="263" t="s">
        <v>1985</v>
      </c>
      <c r="D975" s="263" t="s">
        <v>1969</v>
      </c>
      <c r="E975" s="263" t="s">
        <v>1970</v>
      </c>
      <c r="F975" s="263" t="s">
        <v>1845</v>
      </c>
    </row>
    <row r="976" spans="1:6">
      <c r="A976" s="263">
        <v>975</v>
      </c>
      <c r="B976" s="263" t="s">
        <v>1986</v>
      </c>
      <c r="C976" s="263" t="s">
        <v>1987</v>
      </c>
      <c r="D976" s="263" t="s">
        <v>1969</v>
      </c>
      <c r="E976" s="263" t="s">
        <v>1970</v>
      </c>
      <c r="F976" s="263" t="s">
        <v>1845</v>
      </c>
    </row>
    <row r="977" spans="1:6">
      <c r="A977" s="263">
        <v>976</v>
      </c>
      <c r="B977" s="263" t="s">
        <v>1988</v>
      </c>
      <c r="C977" s="263" t="s">
        <v>1989</v>
      </c>
      <c r="D977" s="263" t="s">
        <v>1969</v>
      </c>
      <c r="E977" s="263" t="s">
        <v>1970</v>
      </c>
      <c r="F977" s="263" t="s">
        <v>1845</v>
      </c>
    </row>
    <row r="978" spans="1:6">
      <c r="A978" s="263">
        <v>977</v>
      </c>
      <c r="B978" s="263" t="s">
        <v>1990</v>
      </c>
      <c r="C978" s="263" t="s">
        <v>1991</v>
      </c>
      <c r="D978" s="263" t="s">
        <v>1969</v>
      </c>
      <c r="E978" s="263" t="s">
        <v>1970</v>
      </c>
      <c r="F978" s="263" t="s">
        <v>1845</v>
      </c>
    </row>
    <row r="979" spans="1:6">
      <c r="A979" s="263">
        <v>978</v>
      </c>
      <c r="B979" s="263" t="s">
        <v>1992</v>
      </c>
      <c r="C979" s="263" t="s">
        <v>1993</v>
      </c>
      <c r="D979" s="263" t="s">
        <v>1969</v>
      </c>
      <c r="E979" s="263" t="s">
        <v>1970</v>
      </c>
      <c r="F979" s="263" t="s">
        <v>1845</v>
      </c>
    </row>
    <row r="980" spans="1:6">
      <c r="A980" s="263">
        <v>979</v>
      </c>
      <c r="B980" s="263" t="s">
        <v>1994</v>
      </c>
      <c r="C980" s="263" t="s">
        <v>775</v>
      </c>
      <c r="D980" s="263" t="s">
        <v>1969</v>
      </c>
      <c r="E980" s="263" t="s">
        <v>1970</v>
      </c>
      <c r="F980" s="263" t="s">
        <v>1845</v>
      </c>
    </row>
    <row r="981" spans="1:6">
      <c r="A981" s="263">
        <v>980</v>
      </c>
      <c r="B981" s="263" t="s">
        <v>1995</v>
      </c>
      <c r="C981" s="263" t="s">
        <v>1996</v>
      </c>
      <c r="D981" s="263" t="s">
        <v>1969</v>
      </c>
      <c r="E981" s="263" t="s">
        <v>1970</v>
      </c>
      <c r="F981" s="263" t="s">
        <v>1845</v>
      </c>
    </row>
    <row r="982" spans="1:6">
      <c r="A982" s="263">
        <v>981</v>
      </c>
      <c r="B982" s="263" t="s">
        <v>1997</v>
      </c>
      <c r="C982" s="263" t="s">
        <v>1998</v>
      </c>
      <c r="D982" s="263" t="s">
        <v>1969</v>
      </c>
      <c r="E982" s="263" t="s">
        <v>1970</v>
      </c>
      <c r="F982" s="263" t="s">
        <v>1845</v>
      </c>
    </row>
    <row r="983" spans="1:6">
      <c r="A983" s="263">
        <v>982</v>
      </c>
      <c r="B983" s="263" t="s">
        <v>1999</v>
      </c>
      <c r="C983" s="263" t="s">
        <v>2000</v>
      </c>
      <c r="D983" s="263" t="s">
        <v>1969</v>
      </c>
      <c r="E983" s="263" t="s">
        <v>1970</v>
      </c>
      <c r="F983" s="263" t="s">
        <v>1845</v>
      </c>
    </row>
    <row r="984" spans="1:6">
      <c r="A984" s="263">
        <v>983</v>
      </c>
      <c r="B984" s="263" t="s">
        <v>2001</v>
      </c>
      <c r="C984" s="263" t="s">
        <v>2002</v>
      </c>
      <c r="D984" s="263" t="s">
        <v>2003</v>
      </c>
      <c r="E984" s="263" t="s">
        <v>2004</v>
      </c>
      <c r="F984" s="263" t="s">
        <v>1845</v>
      </c>
    </row>
    <row r="985" spans="1:6">
      <c r="A985" s="263">
        <v>984</v>
      </c>
      <c r="B985" s="263" t="s">
        <v>2005</v>
      </c>
      <c r="C985" s="263" t="s">
        <v>72</v>
      </c>
      <c r="D985" s="263" t="s">
        <v>2003</v>
      </c>
      <c r="E985" s="263" t="s">
        <v>2004</v>
      </c>
      <c r="F985" s="263" t="s">
        <v>1845</v>
      </c>
    </row>
    <row r="986" spans="1:6">
      <c r="A986" s="263">
        <v>985</v>
      </c>
      <c r="B986" s="263" t="s">
        <v>2006</v>
      </c>
      <c r="C986" s="263" t="s">
        <v>2007</v>
      </c>
      <c r="D986" s="263" t="s">
        <v>2003</v>
      </c>
      <c r="E986" s="263" t="s">
        <v>2004</v>
      </c>
      <c r="F986" s="263" t="s">
        <v>1845</v>
      </c>
    </row>
    <row r="987" spans="1:6">
      <c r="A987" s="263">
        <v>986</v>
      </c>
      <c r="B987" s="263" t="s">
        <v>2008</v>
      </c>
      <c r="C987" s="263" t="s">
        <v>344</v>
      </c>
      <c r="D987" s="263" t="s">
        <v>2003</v>
      </c>
      <c r="E987" s="263" t="s">
        <v>2004</v>
      </c>
      <c r="F987" s="263" t="s">
        <v>1845</v>
      </c>
    </row>
    <row r="988" spans="1:6">
      <c r="A988" s="263">
        <v>987</v>
      </c>
      <c r="B988" s="263" t="s">
        <v>2009</v>
      </c>
      <c r="C988" s="263" t="s">
        <v>2010</v>
      </c>
      <c r="D988" s="263" t="s">
        <v>2003</v>
      </c>
      <c r="E988" s="263" t="s">
        <v>2004</v>
      </c>
      <c r="F988" s="263" t="s">
        <v>1845</v>
      </c>
    </row>
    <row r="989" spans="1:6">
      <c r="A989" s="263">
        <v>988</v>
      </c>
      <c r="B989" s="263" t="s">
        <v>2011</v>
      </c>
      <c r="C989" s="263" t="s">
        <v>2012</v>
      </c>
      <c r="D989" s="263" t="s">
        <v>2003</v>
      </c>
      <c r="E989" s="263" t="s">
        <v>2004</v>
      </c>
      <c r="F989" s="263" t="s">
        <v>1845</v>
      </c>
    </row>
    <row r="990" spans="1:6">
      <c r="A990" s="263">
        <v>989</v>
      </c>
      <c r="B990" s="263" t="s">
        <v>2013</v>
      </c>
      <c r="C990" s="263" t="s">
        <v>332</v>
      </c>
      <c r="D990" s="263" t="s">
        <v>2003</v>
      </c>
      <c r="E990" s="263" t="s">
        <v>2004</v>
      </c>
      <c r="F990" s="263" t="s">
        <v>1845</v>
      </c>
    </row>
    <row r="991" spans="1:6">
      <c r="A991" s="263">
        <v>990</v>
      </c>
      <c r="B991" s="263" t="s">
        <v>2014</v>
      </c>
      <c r="C991" s="263" t="s">
        <v>348</v>
      </c>
      <c r="D991" s="263" t="s">
        <v>2003</v>
      </c>
      <c r="E991" s="263" t="s">
        <v>2004</v>
      </c>
      <c r="F991" s="263" t="s">
        <v>1845</v>
      </c>
    </row>
    <row r="992" spans="1:6">
      <c r="A992" s="263">
        <v>991</v>
      </c>
      <c r="B992" s="263" t="s">
        <v>2015</v>
      </c>
      <c r="C992" s="263" t="s">
        <v>1480</v>
      </c>
      <c r="D992" s="263" t="s">
        <v>2003</v>
      </c>
      <c r="E992" s="263" t="s">
        <v>2004</v>
      </c>
      <c r="F992" s="263" t="s">
        <v>1845</v>
      </c>
    </row>
    <row r="993" spans="1:6">
      <c r="A993" s="263">
        <v>992</v>
      </c>
      <c r="B993" s="263" t="s">
        <v>2016</v>
      </c>
      <c r="C993" s="263" t="s">
        <v>2017</v>
      </c>
      <c r="D993" s="263" t="s">
        <v>2003</v>
      </c>
      <c r="E993" s="263" t="s">
        <v>2004</v>
      </c>
      <c r="F993" s="263" t="s">
        <v>1845</v>
      </c>
    </row>
    <row r="994" spans="1:6">
      <c r="A994" s="263">
        <v>993</v>
      </c>
      <c r="B994" s="263" t="s">
        <v>2018</v>
      </c>
      <c r="C994" s="263" t="s">
        <v>2019</v>
      </c>
      <c r="D994" s="263" t="s">
        <v>2003</v>
      </c>
      <c r="E994" s="263" t="s">
        <v>2004</v>
      </c>
      <c r="F994" s="263" t="s">
        <v>1845</v>
      </c>
    </row>
    <row r="995" spans="1:6">
      <c r="A995" s="263">
        <v>994</v>
      </c>
      <c r="B995" s="263" t="s">
        <v>2020</v>
      </c>
      <c r="C995" s="263" t="s">
        <v>509</v>
      </c>
      <c r="D995" s="263" t="s">
        <v>2003</v>
      </c>
      <c r="E995" s="263" t="s">
        <v>2004</v>
      </c>
      <c r="F995" s="263" t="s">
        <v>1845</v>
      </c>
    </row>
    <row r="996" spans="1:6">
      <c r="A996" s="263">
        <v>995</v>
      </c>
      <c r="B996" s="263" t="s">
        <v>2021</v>
      </c>
      <c r="C996" s="263" t="s">
        <v>2022</v>
      </c>
      <c r="D996" s="263" t="s">
        <v>2023</v>
      </c>
      <c r="E996" s="263" t="s">
        <v>2024</v>
      </c>
      <c r="F996" s="263" t="s">
        <v>1845</v>
      </c>
    </row>
    <row r="997" spans="1:6">
      <c r="A997" s="263">
        <v>996</v>
      </c>
      <c r="B997" s="263" t="s">
        <v>2025</v>
      </c>
      <c r="C997" s="263" t="s">
        <v>2026</v>
      </c>
      <c r="D997" s="263" t="s">
        <v>2023</v>
      </c>
      <c r="E997" s="263" t="s">
        <v>2024</v>
      </c>
      <c r="F997" s="263" t="s">
        <v>1845</v>
      </c>
    </row>
    <row r="998" spans="1:6">
      <c r="A998" s="263">
        <v>997</v>
      </c>
      <c r="B998" s="263" t="s">
        <v>2027</v>
      </c>
      <c r="C998" s="263" t="s">
        <v>2028</v>
      </c>
      <c r="D998" s="263" t="s">
        <v>2023</v>
      </c>
      <c r="E998" s="263" t="s">
        <v>2024</v>
      </c>
      <c r="F998" s="263" t="s">
        <v>1845</v>
      </c>
    </row>
    <row r="999" spans="1:6">
      <c r="A999" s="263">
        <v>998</v>
      </c>
      <c r="B999" s="263" t="s">
        <v>2029</v>
      </c>
      <c r="C999" s="263" t="s">
        <v>2030</v>
      </c>
      <c r="D999" s="263" t="s">
        <v>2023</v>
      </c>
      <c r="E999" s="263" t="s">
        <v>2024</v>
      </c>
      <c r="F999" s="263" t="s">
        <v>1845</v>
      </c>
    </row>
    <row r="1000" spans="1:6">
      <c r="A1000" s="263">
        <v>999</v>
      </c>
      <c r="B1000" s="263" t="s">
        <v>2031</v>
      </c>
      <c r="C1000" s="263" t="s">
        <v>2032</v>
      </c>
      <c r="D1000" s="263" t="s">
        <v>2023</v>
      </c>
      <c r="E1000" s="263" t="s">
        <v>2024</v>
      </c>
      <c r="F1000" s="263" t="s">
        <v>1845</v>
      </c>
    </row>
    <row r="1001" spans="1:6">
      <c r="A1001" s="263">
        <v>1000</v>
      </c>
      <c r="B1001" s="263" t="s">
        <v>2033</v>
      </c>
      <c r="C1001" s="263" t="s">
        <v>2034</v>
      </c>
      <c r="D1001" s="263" t="s">
        <v>2023</v>
      </c>
      <c r="E1001" s="263" t="s">
        <v>2024</v>
      </c>
      <c r="F1001" s="263" t="s">
        <v>1845</v>
      </c>
    </row>
    <row r="1002" spans="1:6">
      <c r="A1002" s="263">
        <v>1001</v>
      </c>
      <c r="B1002" s="263" t="s">
        <v>2035</v>
      </c>
      <c r="C1002" s="263" t="s">
        <v>2036</v>
      </c>
      <c r="D1002" s="263" t="s">
        <v>2023</v>
      </c>
      <c r="E1002" s="263" t="s">
        <v>2024</v>
      </c>
      <c r="F1002" s="263" t="s">
        <v>1845</v>
      </c>
    </row>
    <row r="1003" spans="1:6">
      <c r="A1003" s="263">
        <v>1002</v>
      </c>
      <c r="B1003" s="263" t="s">
        <v>2037</v>
      </c>
      <c r="C1003" s="263" t="s">
        <v>2038</v>
      </c>
      <c r="D1003" s="263" t="s">
        <v>2023</v>
      </c>
      <c r="E1003" s="263" t="s">
        <v>2024</v>
      </c>
      <c r="F1003" s="263" t="s">
        <v>1845</v>
      </c>
    </row>
    <row r="1004" spans="1:6">
      <c r="A1004" s="263">
        <v>1003</v>
      </c>
      <c r="B1004" s="263" t="s">
        <v>2039</v>
      </c>
      <c r="C1004" s="263" t="s">
        <v>2040</v>
      </c>
      <c r="D1004" s="263" t="s">
        <v>2023</v>
      </c>
      <c r="E1004" s="263" t="s">
        <v>2024</v>
      </c>
      <c r="F1004" s="263" t="s">
        <v>1845</v>
      </c>
    </row>
    <row r="1005" spans="1:6">
      <c r="A1005" s="263">
        <v>1004</v>
      </c>
      <c r="B1005" s="263" t="s">
        <v>2041</v>
      </c>
      <c r="C1005" s="263" t="s">
        <v>2042</v>
      </c>
      <c r="D1005" s="263" t="s">
        <v>2023</v>
      </c>
      <c r="E1005" s="263" t="s">
        <v>2024</v>
      </c>
      <c r="F1005" s="263" t="s">
        <v>1845</v>
      </c>
    </row>
    <row r="1006" spans="1:6">
      <c r="A1006" s="263">
        <v>1005</v>
      </c>
      <c r="B1006" s="263" t="s">
        <v>2043</v>
      </c>
      <c r="C1006" s="263" t="s">
        <v>2044</v>
      </c>
      <c r="D1006" s="263" t="s">
        <v>2023</v>
      </c>
      <c r="E1006" s="263" t="s">
        <v>2024</v>
      </c>
      <c r="F1006" s="263" t="s">
        <v>1845</v>
      </c>
    </row>
    <row r="1007" spans="1:6">
      <c r="A1007" s="263">
        <v>1006</v>
      </c>
      <c r="B1007" s="263" t="s">
        <v>2045</v>
      </c>
      <c r="C1007" s="263" t="s">
        <v>2046</v>
      </c>
      <c r="D1007" s="263" t="s">
        <v>2023</v>
      </c>
      <c r="E1007" s="263" t="s">
        <v>2024</v>
      </c>
      <c r="F1007" s="263" t="s">
        <v>1845</v>
      </c>
    </row>
    <row r="1008" spans="1:6">
      <c r="A1008" s="263">
        <v>1007</v>
      </c>
      <c r="B1008" s="263" t="s">
        <v>2047</v>
      </c>
      <c r="C1008" s="263" t="s">
        <v>2048</v>
      </c>
      <c r="D1008" s="263" t="s">
        <v>2023</v>
      </c>
      <c r="E1008" s="263" t="s">
        <v>2024</v>
      </c>
      <c r="F1008" s="263" t="s">
        <v>1845</v>
      </c>
    </row>
    <row r="1009" spans="1:6">
      <c r="A1009" s="263">
        <v>1008</v>
      </c>
      <c r="B1009" s="263" t="s">
        <v>2049</v>
      </c>
      <c r="C1009" s="263" t="s">
        <v>2050</v>
      </c>
      <c r="D1009" s="263" t="s">
        <v>2023</v>
      </c>
      <c r="E1009" s="263" t="s">
        <v>2024</v>
      </c>
      <c r="F1009" s="263" t="s">
        <v>1845</v>
      </c>
    </row>
    <row r="1010" spans="1:6">
      <c r="A1010" s="263">
        <v>1009</v>
      </c>
      <c r="B1010" s="263" t="s">
        <v>2051</v>
      </c>
      <c r="C1010" s="263" t="s">
        <v>2052</v>
      </c>
      <c r="D1010" s="263" t="s">
        <v>2023</v>
      </c>
      <c r="E1010" s="263" t="s">
        <v>2024</v>
      </c>
      <c r="F1010" s="263" t="s">
        <v>1845</v>
      </c>
    </row>
    <row r="1011" spans="1:6">
      <c r="A1011" s="263">
        <v>1010</v>
      </c>
      <c r="B1011" s="263" t="s">
        <v>2053</v>
      </c>
      <c r="C1011" s="263" t="s">
        <v>2054</v>
      </c>
      <c r="D1011" s="263" t="s">
        <v>2055</v>
      </c>
      <c r="E1011" s="263" t="s">
        <v>2056</v>
      </c>
      <c r="F1011" s="263" t="s">
        <v>1845</v>
      </c>
    </row>
    <row r="1012" spans="1:6">
      <c r="A1012" s="263">
        <v>1011</v>
      </c>
      <c r="B1012" s="263" t="s">
        <v>2057</v>
      </c>
      <c r="C1012" s="263" t="s">
        <v>2058</v>
      </c>
      <c r="D1012" s="263" t="s">
        <v>2055</v>
      </c>
      <c r="E1012" s="263" t="s">
        <v>2056</v>
      </c>
      <c r="F1012" s="263" t="s">
        <v>1845</v>
      </c>
    </row>
    <row r="1013" spans="1:6">
      <c r="A1013" s="263">
        <v>1012</v>
      </c>
      <c r="B1013" s="263" t="s">
        <v>2059</v>
      </c>
      <c r="C1013" s="263" t="s">
        <v>2060</v>
      </c>
      <c r="D1013" s="263" t="s">
        <v>2055</v>
      </c>
      <c r="E1013" s="263" t="s">
        <v>2056</v>
      </c>
      <c r="F1013" s="263" t="s">
        <v>1845</v>
      </c>
    </row>
    <row r="1014" spans="1:6">
      <c r="A1014" s="263">
        <v>1013</v>
      </c>
      <c r="B1014" s="263" t="s">
        <v>2061</v>
      </c>
      <c r="C1014" s="263" t="s">
        <v>2062</v>
      </c>
      <c r="D1014" s="263" t="s">
        <v>2055</v>
      </c>
      <c r="E1014" s="263" t="s">
        <v>2056</v>
      </c>
      <c r="F1014" s="263" t="s">
        <v>1845</v>
      </c>
    </row>
    <row r="1015" spans="1:6">
      <c r="A1015" s="263">
        <v>1014</v>
      </c>
      <c r="B1015" s="263" t="s">
        <v>2063</v>
      </c>
      <c r="C1015" s="263" t="s">
        <v>2064</v>
      </c>
      <c r="D1015" s="263" t="s">
        <v>2055</v>
      </c>
      <c r="E1015" s="263" t="s">
        <v>2056</v>
      </c>
      <c r="F1015" s="263" t="s">
        <v>1845</v>
      </c>
    </row>
    <row r="1016" spans="1:6">
      <c r="A1016" s="263">
        <v>1015</v>
      </c>
      <c r="B1016" s="263" t="s">
        <v>2065</v>
      </c>
      <c r="C1016" s="263" t="s">
        <v>2066</v>
      </c>
      <c r="D1016" s="263" t="s">
        <v>2055</v>
      </c>
      <c r="E1016" s="263" t="s">
        <v>2056</v>
      </c>
      <c r="F1016" s="263" t="s">
        <v>1845</v>
      </c>
    </row>
    <row r="1017" spans="1:6">
      <c r="A1017" s="263">
        <v>1016</v>
      </c>
      <c r="B1017" s="263" t="s">
        <v>2067</v>
      </c>
      <c r="C1017" s="263" t="s">
        <v>2068</v>
      </c>
      <c r="D1017" s="263" t="s">
        <v>2055</v>
      </c>
      <c r="E1017" s="263" t="s">
        <v>2056</v>
      </c>
      <c r="F1017" s="263" t="s">
        <v>1845</v>
      </c>
    </row>
    <row r="1018" spans="1:6">
      <c r="A1018" s="263">
        <v>1017</v>
      </c>
      <c r="B1018" s="263" t="s">
        <v>2069</v>
      </c>
      <c r="C1018" s="263" t="s">
        <v>2070</v>
      </c>
      <c r="D1018" s="263" t="s">
        <v>2055</v>
      </c>
      <c r="E1018" s="263" t="s">
        <v>2056</v>
      </c>
      <c r="F1018" s="263" t="s">
        <v>1845</v>
      </c>
    </row>
    <row r="1019" spans="1:6">
      <c r="A1019" s="263">
        <v>1018</v>
      </c>
      <c r="B1019" s="263" t="s">
        <v>2071</v>
      </c>
      <c r="C1019" s="263" t="s">
        <v>1528</v>
      </c>
      <c r="D1019" s="263" t="s">
        <v>2055</v>
      </c>
      <c r="E1019" s="263" t="s">
        <v>2056</v>
      </c>
      <c r="F1019" s="263" t="s">
        <v>1845</v>
      </c>
    </row>
    <row r="1020" spans="1:6">
      <c r="A1020" s="263">
        <v>1019</v>
      </c>
      <c r="B1020" s="263" t="s">
        <v>2072</v>
      </c>
      <c r="C1020" s="263" t="s">
        <v>998</v>
      </c>
      <c r="D1020" s="263" t="s">
        <v>2055</v>
      </c>
      <c r="E1020" s="263" t="s">
        <v>2056</v>
      </c>
      <c r="F1020" s="263" t="s">
        <v>1845</v>
      </c>
    </row>
    <row r="1021" spans="1:6">
      <c r="A1021" s="263">
        <v>1020</v>
      </c>
      <c r="B1021" s="263" t="s">
        <v>2073</v>
      </c>
      <c r="C1021" s="263" t="s">
        <v>2074</v>
      </c>
      <c r="D1021" s="263" t="s">
        <v>2055</v>
      </c>
      <c r="E1021" s="263" t="s">
        <v>2056</v>
      </c>
      <c r="F1021" s="263" t="s">
        <v>1845</v>
      </c>
    </row>
    <row r="1022" spans="1:6">
      <c r="A1022" s="263">
        <v>1021</v>
      </c>
      <c r="B1022" s="263" t="s">
        <v>2075</v>
      </c>
      <c r="C1022" s="263" t="s">
        <v>2076</v>
      </c>
      <c r="D1022" s="263" t="s">
        <v>2055</v>
      </c>
      <c r="E1022" s="263" t="s">
        <v>2056</v>
      </c>
      <c r="F1022" s="263" t="s">
        <v>1845</v>
      </c>
    </row>
    <row r="1023" spans="1:6">
      <c r="A1023" s="263">
        <v>1022</v>
      </c>
      <c r="B1023" s="263" t="s">
        <v>2077</v>
      </c>
      <c r="C1023" s="263" t="s">
        <v>1940</v>
      </c>
      <c r="D1023" s="263" t="s">
        <v>2055</v>
      </c>
      <c r="E1023" s="263" t="s">
        <v>2056</v>
      </c>
      <c r="F1023" s="263" t="s">
        <v>1845</v>
      </c>
    </row>
    <row r="1024" spans="1:6">
      <c r="A1024" s="263">
        <v>1023</v>
      </c>
      <c r="B1024" s="263" t="s">
        <v>2078</v>
      </c>
      <c r="C1024" s="263" t="s">
        <v>2079</v>
      </c>
      <c r="D1024" s="263" t="s">
        <v>2055</v>
      </c>
      <c r="E1024" s="263" t="s">
        <v>2056</v>
      </c>
      <c r="F1024" s="263" t="s">
        <v>1845</v>
      </c>
    </row>
    <row r="1025" spans="1:6">
      <c r="A1025" s="263">
        <v>1024</v>
      </c>
      <c r="B1025" s="263" t="s">
        <v>2080</v>
      </c>
      <c r="C1025" s="263" t="s">
        <v>469</v>
      </c>
      <c r="D1025" s="263" t="s">
        <v>2081</v>
      </c>
      <c r="E1025" s="263" t="s">
        <v>2082</v>
      </c>
      <c r="F1025" s="263" t="s">
        <v>1845</v>
      </c>
    </row>
    <row r="1026" spans="1:6">
      <c r="A1026" s="263">
        <v>1025</v>
      </c>
      <c r="B1026" s="263" t="s">
        <v>2083</v>
      </c>
      <c r="C1026" s="263" t="s">
        <v>2084</v>
      </c>
      <c r="D1026" s="263" t="s">
        <v>2081</v>
      </c>
      <c r="E1026" s="263" t="s">
        <v>2082</v>
      </c>
      <c r="F1026" s="263" t="s">
        <v>1845</v>
      </c>
    </row>
    <row r="1027" spans="1:6">
      <c r="A1027" s="263">
        <v>1026</v>
      </c>
      <c r="B1027" s="263" t="s">
        <v>2085</v>
      </c>
      <c r="C1027" s="263" t="s">
        <v>2086</v>
      </c>
      <c r="D1027" s="263" t="s">
        <v>2081</v>
      </c>
      <c r="E1027" s="263" t="s">
        <v>2082</v>
      </c>
      <c r="F1027" s="263" t="s">
        <v>1845</v>
      </c>
    </row>
    <row r="1028" spans="1:6">
      <c r="A1028" s="263">
        <v>1027</v>
      </c>
      <c r="B1028" s="263" t="s">
        <v>2087</v>
      </c>
      <c r="C1028" s="263" t="s">
        <v>2088</v>
      </c>
      <c r="D1028" s="263" t="s">
        <v>2081</v>
      </c>
      <c r="E1028" s="263" t="s">
        <v>2082</v>
      </c>
      <c r="F1028" s="263" t="s">
        <v>1845</v>
      </c>
    </row>
    <row r="1029" spans="1:6">
      <c r="A1029" s="263">
        <v>1028</v>
      </c>
      <c r="B1029" s="263" t="s">
        <v>2089</v>
      </c>
      <c r="C1029" s="263" t="s">
        <v>2090</v>
      </c>
      <c r="D1029" s="263" t="s">
        <v>2081</v>
      </c>
      <c r="E1029" s="263" t="s">
        <v>2082</v>
      </c>
      <c r="F1029" s="263" t="s">
        <v>1845</v>
      </c>
    </row>
    <row r="1030" spans="1:6">
      <c r="A1030" s="263">
        <v>1029</v>
      </c>
      <c r="B1030" s="263" t="s">
        <v>2091</v>
      </c>
      <c r="C1030" s="263" t="s">
        <v>2092</v>
      </c>
      <c r="D1030" s="263" t="s">
        <v>2081</v>
      </c>
      <c r="E1030" s="263" t="s">
        <v>2082</v>
      </c>
      <c r="F1030" s="263" t="s">
        <v>1845</v>
      </c>
    </row>
    <row r="1031" spans="1:6">
      <c r="A1031" s="263">
        <v>1030</v>
      </c>
      <c r="B1031" s="263" t="s">
        <v>2093</v>
      </c>
      <c r="C1031" s="263" t="s">
        <v>2094</v>
      </c>
      <c r="D1031" s="263" t="s">
        <v>2081</v>
      </c>
      <c r="E1031" s="263" t="s">
        <v>2082</v>
      </c>
      <c r="F1031" s="263" t="s">
        <v>1845</v>
      </c>
    </row>
    <row r="1032" spans="1:6">
      <c r="A1032" s="263">
        <v>1031</v>
      </c>
      <c r="B1032" s="263" t="s">
        <v>2095</v>
      </c>
      <c r="C1032" s="263" t="s">
        <v>2096</v>
      </c>
      <c r="D1032" s="263" t="s">
        <v>2081</v>
      </c>
      <c r="E1032" s="263" t="s">
        <v>2082</v>
      </c>
      <c r="F1032" s="263" t="s">
        <v>1845</v>
      </c>
    </row>
    <row r="1033" spans="1:6">
      <c r="A1033" s="263">
        <v>1032</v>
      </c>
      <c r="B1033" s="263" t="s">
        <v>2097</v>
      </c>
      <c r="C1033" s="263" t="s">
        <v>2098</v>
      </c>
      <c r="D1033" s="263" t="s">
        <v>2081</v>
      </c>
      <c r="E1033" s="263" t="s">
        <v>2082</v>
      </c>
      <c r="F1033" s="263" t="s">
        <v>1845</v>
      </c>
    </row>
    <row r="1034" spans="1:6">
      <c r="A1034" s="263">
        <v>1033</v>
      </c>
      <c r="B1034" s="263" t="s">
        <v>2099</v>
      </c>
      <c r="C1034" s="263" t="s">
        <v>2100</v>
      </c>
      <c r="D1034" s="263" t="s">
        <v>2081</v>
      </c>
      <c r="E1034" s="263" t="s">
        <v>2082</v>
      </c>
      <c r="F1034" s="263" t="s">
        <v>1845</v>
      </c>
    </row>
    <row r="1035" spans="1:6">
      <c r="A1035" s="263">
        <v>1034</v>
      </c>
      <c r="B1035" s="263" t="s">
        <v>2101</v>
      </c>
      <c r="C1035" s="263" t="s">
        <v>2102</v>
      </c>
      <c r="D1035" s="263" t="s">
        <v>2081</v>
      </c>
      <c r="E1035" s="263" t="s">
        <v>2082</v>
      </c>
      <c r="F1035" s="263" t="s">
        <v>1845</v>
      </c>
    </row>
    <row r="1036" spans="1:6">
      <c r="A1036" s="263">
        <v>1035</v>
      </c>
      <c r="B1036" s="263" t="s">
        <v>2103</v>
      </c>
      <c r="C1036" s="263" t="s">
        <v>2104</v>
      </c>
      <c r="D1036" s="263" t="s">
        <v>2081</v>
      </c>
      <c r="E1036" s="263" t="s">
        <v>2082</v>
      </c>
      <c r="F1036" s="263" t="s">
        <v>1845</v>
      </c>
    </row>
    <row r="1037" spans="1:6">
      <c r="A1037" s="263">
        <v>1036</v>
      </c>
      <c r="B1037" s="263" t="s">
        <v>2105</v>
      </c>
      <c r="C1037" s="263" t="s">
        <v>2106</v>
      </c>
      <c r="D1037" s="263" t="s">
        <v>2081</v>
      </c>
      <c r="E1037" s="263" t="s">
        <v>2082</v>
      </c>
      <c r="F1037" s="263" t="s">
        <v>1845</v>
      </c>
    </row>
    <row r="1038" spans="1:6">
      <c r="A1038" s="263">
        <v>1037</v>
      </c>
      <c r="B1038" s="263" t="s">
        <v>2107</v>
      </c>
      <c r="C1038" s="263" t="s">
        <v>489</v>
      </c>
      <c r="D1038" s="263" t="s">
        <v>2081</v>
      </c>
      <c r="E1038" s="263" t="s">
        <v>2082</v>
      </c>
      <c r="F1038" s="263" t="s">
        <v>1845</v>
      </c>
    </row>
    <row r="1039" spans="1:6">
      <c r="A1039" s="263">
        <v>1038</v>
      </c>
      <c r="B1039" s="263" t="s">
        <v>2108</v>
      </c>
      <c r="C1039" s="263" t="s">
        <v>2109</v>
      </c>
      <c r="D1039" s="263" t="s">
        <v>2081</v>
      </c>
      <c r="E1039" s="263" t="s">
        <v>2082</v>
      </c>
      <c r="F1039" s="263" t="s">
        <v>1845</v>
      </c>
    </row>
    <row r="1040" spans="1:6">
      <c r="A1040" s="263">
        <v>1039</v>
      </c>
      <c r="B1040" s="263" t="s">
        <v>2110</v>
      </c>
      <c r="C1040" s="263" t="s">
        <v>2111</v>
      </c>
      <c r="D1040" s="263" t="s">
        <v>2081</v>
      </c>
      <c r="E1040" s="263" t="s">
        <v>2082</v>
      </c>
      <c r="F1040" s="263" t="s">
        <v>1845</v>
      </c>
    </row>
    <row r="1041" spans="1:6">
      <c r="A1041" s="263">
        <v>1040</v>
      </c>
      <c r="B1041" s="263" t="s">
        <v>2112</v>
      </c>
      <c r="C1041" s="263" t="s">
        <v>2113</v>
      </c>
      <c r="D1041" s="263" t="s">
        <v>2081</v>
      </c>
      <c r="E1041" s="263" t="s">
        <v>2082</v>
      </c>
      <c r="F1041" s="263" t="s">
        <v>1845</v>
      </c>
    </row>
    <row r="1042" spans="1:6">
      <c r="A1042" s="263">
        <v>1041</v>
      </c>
      <c r="B1042" s="263" t="s">
        <v>2114</v>
      </c>
      <c r="C1042" s="263" t="s">
        <v>2115</v>
      </c>
      <c r="D1042" s="263" t="s">
        <v>2081</v>
      </c>
      <c r="E1042" s="263" t="s">
        <v>2082</v>
      </c>
      <c r="F1042" s="263" t="s">
        <v>1845</v>
      </c>
    </row>
    <row r="1043" spans="1:6">
      <c r="A1043" s="263">
        <v>1042</v>
      </c>
      <c r="B1043" s="263" t="s">
        <v>2116</v>
      </c>
      <c r="C1043" s="263" t="s">
        <v>2117</v>
      </c>
      <c r="D1043" s="263" t="s">
        <v>2081</v>
      </c>
      <c r="E1043" s="263" t="s">
        <v>2082</v>
      </c>
      <c r="F1043" s="263" t="s">
        <v>1845</v>
      </c>
    </row>
    <row r="1044" spans="1:6">
      <c r="A1044" s="263">
        <v>1043</v>
      </c>
      <c r="B1044" s="263" t="s">
        <v>2118</v>
      </c>
      <c r="C1044" s="263" t="s">
        <v>2119</v>
      </c>
      <c r="D1044" s="263" t="s">
        <v>2081</v>
      </c>
      <c r="E1044" s="263" t="s">
        <v>2082</v>
      </c>
      <c r="F1044" s="263" t="s">
        <v>1845</v>
      </c>
    </row>
    <row r="1045" spans="1:6">
      <c r="A1045" s="263">
        <v>1044</v>
      </c>
      <c r="B1045" s="263" t="s">
        <v>2120</v>
      </c>
      <c r="C1045" s="263" t="s">
        <v>2121</v>
      </c>
      <c r="D1045" s="263" t="s">
        <v>2081</v>
      </c>
      <c r="E1045" s="263" t="s">
        <v>2082</v>
      </c>
      <c r="F1045" s="263" t="s">
        <v>1845</v>
      </c>
    </row>
    <row r="1046" spans="1:6">
      <c r="A1046" s="263">
        <v>1045</v>
      </c>
      <c r="B1046" s="263" t="s">
        <v>2122</v>
      </c>
      <c r="C1046" s="263" t="s">
        <v>2123</v>
      </c>
      <c r="D1046" s="263" t="s">
        <v>2081</v>
      </c>
      <c r="E1046" s="263" t="s">
        <v>2082</v>
      </c>
      <c r="F1046" s="263" t="s">
        <v>1845</v>
      </c>
    </row>
    <row r="1047" spans="1:6">
      <c r="A1047" s="263">
        <v>1046</v>
      </c>
      <c r="B1047" s="263" t="s">
        <v>2124</v>
      </c>
      <c r="C1047" s="263" t="s">
        <v>2125</v>
      </c>
      <c r="D1047" s="263" t="s">
        <v>2081</v>
      </c>
      <c r="E1047" s="263" t="s">
        <v>2082</v>
      </c>
      <c r="F1047" s="263" t="s">
        <v>1845</v>
      </c>
    </row>
    <row r="1048" spans="1:6">
      <c r="A1048" s="263">
        <v>1047</v>
      </c>
      <c r="B1048" s="263" t="s">
        <v>2126</v>
      </c>
      <c r="C1048" s="263" t="s">
        <v>70</v>
      </c>
      <c r="D1048" s="263" t="s">
        <v>2081</v>
      </c>
      <c r="E1048" s="263" t="s">
        <v>2082</v>
      </c>
      <c r="F1048" s="263" t="s">
        <v>1845</v>
      </c>
    </row>
    <row r="1049" spans="1:6">
      <c r="A1049" s="263">
        <v>1048</v>
      </c>
      <c r="B1049" s="263" t="s">
        <v>2127</v>
      </c>
      <c r="C1049" s="263" t="s">
        <v>2128</v>
      </c>
      <c r="D1049" s="263" t="s">
        <v>2081</v>
      </c>
      <c r="E1049" s="263" t="s">
        <v>2082</v>
      </c>
      <c r="F1049" s="263" t="s">
        <v>1845</v>
      </c>
    </row>
    <row r="1050" spans="1:6">
      <c r="A1050" s="263">
        <v>1049</v>
      </c>
      <c r="B1050" s="263" t="s">
        <v>2129</v>
      </c>
      <c r="C1050" s="263" t="s">
        <v>2130</v>
      </c>
      <c r="D1050" s="263" t="s">
        <v>2081</v>
      </c>
      <c r="E1050" s="263" t="s">
        <v>2082</v>
      </c>
      <c r="F1050" s="263" t="s">
        <v>1845</v>
      </c>
    </row>
    <row r="1051" spans="1:6">
      <c r="A1051" s="263">
        <v>1050</v>
      </c>
      <c r="B1051" s="263" t="s">
        <v>2131</v>
      </c>
      <c r="C1051" s="263" t="s">
        <v>823</v>
      </c>
      <c r="D1051" s="263" t="s">
        <v>2081</v>
      </c>
      <c r="E1051" s="263" t="s">
        <v>2082</v>
      </c>
      <c r="F1051" s="263" t="s">
        <v>1845</v>
      </c>
    </row>
    <row r="1052" spans="1:6">
      <c r="A1052" s="263">
        <v>1051</v>
      </c>
      <c r="B1052" s="263" t="s">
        <v>2132</v>
      </c>
      <c r="C1052" s="263" t="s">
        <v>830</v>
      </c>
      <c r="D1052" s="263" t="s">
        <v>2081</v>
      </c>
      <c r="E1052" s="263" t="s">
        <v>2082</v>
      </c>
      <c r="F1052" s="263" t="s">
        <v>1845</v>
      </c>
    </row>
    <row r="1053" spans="1:6">
      <c r="A1053" s="263">
        <v>1052</v>
      </c>
      <c r="B1053" s="263" t="s">
        <v>2133</v>
      </c>
      <c r="C1053" s="263" t="s">
        <v>1010</v>
      </c>
      <c r="D1053" s="263" t="s">
        <v>2081</v>
      </c>
      <c r="E1053" s="263" t="s">
        <v>2082</v>
      </c>
      <c r="F1053" s="263" t="s">
        <v>1845</v>
      </c>
    </row>
    <row r="1054" spans="1:6">
      <c r="A1054" s="263">
        <v>1053</v>
      </c>
      <c r="B1054" s="263" t="s">
        <v>2134</v>
      </c>
      <c r="C1054" s="263" t="s">
        <v>2135</v>
      </c>
      <c r="D1054" s="263" t="s">
        <v>2081</v>
      </c>
      <c r="E1054" s="263" t="s">
        <v>2082</v>
      </c>
      <c r="F1054" s="263" t="s">
        <v>1845</v>
      </c>
    </row>
    <row r="1055" spans="1:6">
      <c r="A1055" s="263">
        <v>1054</v>
      </c>
      <c r="B1055" s="263" t="s">
        <v>2136</v>
      </c>
      <c r="C1055" s="263" t="s">
        <v>2137</v>
      </c>
      <c r="D1055" s="263" t="s">
        <v>2138</v>
      </c>
      <c r="E1055" s="263" t="s">
        <v>2139</v>
      </c>
      <c r="F1055" s="263" t="s">
        <v>1845</v>
      </c>
    </row>
    <row r="1056" spans="1:6">
      <c r="A1056" s="263">
        <v>1055</v>
      </c>
      <c r="B1056" s="263" t="s">
        <v>2140</v>
      </c>
      <c r="C1056" s="263" t="s">
        <v>1436</v>
      </c>
      <c r="D1056" s="263" t="s">
        <v>2138</v>
      </c>
      <c r="E1056" s="263" t="s">
        <v>2139</v>
      </c>
      <c r="F1056" s="263" t="s">
        <v>1845</v>
      </c>
    </row>
    <row r="1057" spans="1:6">
      <c r="A1057" s="263">
        <v>1056</v>
      </c>
      <c r="B1057" s="263" t="s">
        <v>2141</v>
      </c>
      <c r="C1057" s="263" t="s">
        <v>2142</v>
      </c>
      <c r="D1057" s="263" t="s">
        <v>2138</v>
      </c>
      <c r="E1057" s="263" t="s">
        <v>2139</v>
      </c>
      <c r="F1057" s="263" t="s">
        <v>1845</v>
      </c>
    </row>
    <row r="1058" spans="1:6">
      <c r="A1058" s="263">
        <v>1057</v>
      </c>
      <c r="B1058" s="263" t="s">
        <v>2143</v>
      </c>
      <c r="C1058" s="263" t="s">
        <v>2144</v>
      </c>
      <c r="D1058" s="263" t="s">
        <v>2138</v>
      </c>
      <c r="E1058" s="263" t="s">
        <v>2139</v>
      </c>
      <c r="F1058" s="263" t="s">
        <v>1845</v>
      </c>
    </row>
    <row r="1059" spans="1:6">
      <c r="A1059" s="263">
        <v>1058</v>
      </c>
      <c r="B1059" s="263" t="s">
        <v>2145</v>
      </c>
      <c r="C1059" s="263" t="s">
        <v>2146</v>
      </c>
      <c r="D1059" s="263" t="s">
        <v>2138</v>
      </c>
      <c r="E1059" s="263" t="s">
        <v>2139</v>
      </c>
      <c r="F1059" s="263" t="s">
        <v>1845</v>
      </c>
    </row>
    <row r="1060" spans="1:6">
      <c r="A1060" s="263">
        <v>1059</v>
      </c>
      <c r="B1060" s="263" t="s">
        <v>2147</v>
      </c>
      <c r="C1060" s="263" t="s">
        <v>2148</v>
      </c>
      <c r="D1060" s="263" t="s">
        <v>2138</v>
      </c>
      <c r="E1060" s="263" t="s">
        <v>2139</v>
      </c>
      <c r="F1060" s="263" t="s">
        <v>1845</v>
      </c>
    </row>
    <row r="1061" spans="1:6">
      <c r="A1061" s="263">
        <v>1060</v>
      </c>
      <c r="B1061" s="263" t="s">
        <v>2149</v>
      </c>
      <c r="C1061" s="263" t="s">
        <v>2150</v>
      </c>
      <c r="D1061" s="263" t="s">
        <v>2138</v>
      </c>
      <c r="E1061" s="263" t="s">
        <v>2139</v>
      </c>
      <c r="F1061" s="263" t="s">
        <v>1845</v>
      </c>
    </row>
    <row r="1062" spans="1:6">
      <c r="A1062" s="263">
        <v>1061</v>
      </c>
      <c r="B1062" s="263" t="s">
        <v>2151</v>
      </c>
      <c r="C1062" s="263" t="s">
        <v>2152</v>
      </c>
      <c r="D1062" s="263" t="s">
        <v>2138</v>
      </c>
      <c r="E1062" s="263" t="s">
        <v>2139</v>
      </c>
      <c r="F1062" s="263" t="s">
        <v>1845</v>
      </c>
    </row>
    <row r="1063" spans="1:6">
      <c r="A1063" s="263">
        <v>1062</v>
      </c>
      <c r="B1063" s="263" t="s">
        <v>2153</v>
      </c>
      <c r="C1063" s="263" t="s">
        <v>2154</v>
      </c>
      <c r="D1063" s="263" t="s">
        <v>2138</v>
      </c>
      <c r="E1063" s="263" t="s">
        <v>2139</v>
      </c>
      <c r="F1063" s="263" t="s">
        <v>1845</v>
      </c>
    </row>
    <row r="1064" spans="1:6">
      <c r="A1064" s="263">
        <v>1063</v>
      </c>
      <c r="B1064" s="263" t="s">
        <v>2155</v>
      </c>
      <c r="C1064" s="263" t="s">
        <v>2156</v>
      </c>
      <c r="D1064" s="263" t="s">
        <v>2138</v>
      </c>
      <c r="E1064" s="263" t="s">
        <v>2139</v>
      </c>
      <c r="F1064" s="263" t="s">
        <v>1845</v>
      </c>
    </row>
    <row r="1065" spans="1:6">
      <c r="A1065" s="263">
        <v>1064</v>
      </c>
      <c r="B1065" s="263" t="s">
        <v>2157</v>
      </c>
      <c r="C1065" s="263" t="s">
        <v>2158</v>
      </c>
      <c r="D1065" s="263" t="s">
        <v>2138</v>
      </c>
      <c r="E1065" s="263" t="s">
        <v>2139</v>
      </c>
      <c r="F1065" s="263" t="s">
        <v>1845</v>
      </c>
    </row>
    <row r="1066" spans="1:6">
      <c r="A1066" s="263">
        <v>1065</v>
      </c>
      <c r="B1066" s="263" t="s">
        <v>2159</v>
      </c>
      <c r="C1066" s="263" t="s">
        <v>2160</v>
      </c>
      <c r="D1066" s="263" t="s">
        <v>2138</v>
      </c>
      <c r="E1066" s="263" t="s">
        <v>2139</v>
      </c>
      <c r="F1066" s="263" t="s">
        <v>1845</v>
      </c>
    </row>
    <row r="1067" spans="1:6">
      <c r="A1067" s="263">
        <v>1066</v>
      </c>
      <c r="B1067" s="263" t="s">
        <v>2161</v>
      </c>
      <c r="C1067" s="263" t="s">
        <v>2162</v>
      </c>
      <c r="D1067" s="263" t="s">
        <v>2138</v>
      </c>
      <c r="E1067" s="263" t="s">
        <v>2139</v>
      </c>
      <c r="F1067" s="263" t="s">
        <v>1845</v>
      </c>
    </row>
    <row r="1068" spans="1:6">
      <c r="A1068" s="263">
        <v>1067</v>
      </c>
      <c r="B1068" s="263" t="s">
        <v>2163</v>
      </c>
      <c r="C1068" s="263" t="s">
        <v>2164</v>
      </c>
      <c r="D1068" s="263" t="s">
        <v>2138</v>
      </c>
      <c r="E1068" s="263" t="s">
        <v>2139</v>
      </c>
      <c r="F1068" s="263" t="s">
        <v>1845</v>
      </c>
    </row>
    <row r="1069" spans="1:6">
      <c r="A1069" s="263">
        <v>1068</v>
      </c>
      <c r="B1069" s="263" t="s">
        <v>2165</v>
      </c>
      <c r="C1069" s="263" t="s">
        <v>2166</v>
      </c>
      <c r="D1069" s="263" t="s">
        <v>2138</v>
      </c>
      <c r="E1069" s="263" t="s">
        <v>2139</v>
      </c>
      <c r="F1069" s="263" t="s">
        <v>1845</v>
      </c>
    </row>
    <row r="1070" spans="1:6">
      <c r="A1070" s="263">
        <v>1069</v>
      </c>
      <c r="B1070" s="263" t="s">
        <v>2167</v>
      </c>
      <c r="C1070" s="263" t="s">
        <v>2168</v>
      </c>
      <c r="D1070" s="263" t="s">
        <v>2169</v>
      </c>
      <c r="E1070" s="263" t="s">
        <v>2170</v>
      </c>
      <c r="F1070" s="263" t="s">
        <v>2171</v>
      </c>
    </row>
    <row r="1071" spans="1:6">
      <c r="A1071" s="263">
        <v>1070</v>
      </c>
      <c r="B1071" s="263" t="s">
        <v>2172</v>
      </c>
      <c r="C1071" s="263" t="s">
        <v>176</v>
      </c>
      <c r="D1071" s="263" t="s">
        <v>2169</v>
      </c>
      <c r="E1071" s="263" t="s">
        <v>2170</v>
      </c>
      <c r="F1071" s="263" t="s">
        <v>2171</v>
      </c>
    </row>
    <row r="1072" spans="1:6">
      <c r="A1072" s="263">
        <v>1071</v>
      </c>
      <c r="B1072" s="263" t="s">
        <v>2173</v>
      </c>
      <c r="C1072" s="263" t="s">
        <v>2174</v>
      </c>
      <c r="D1072" s="263" t="s">
        <v>2169</v>
      </c>
      <c r="E1072" s="263" t="s">
        <v>2170</v>
      </c>
      <c r="F1072" s="263" t="s">
        <v>2171</v>
      </c>
    </row>
    <row r="1073" spans="1:6">
      <c r="A1073" s="263">
        <v>1072</v>
      </c>
      <c r="B1073" s="263" t="s">
        <v>2175</v>
      </c>
      <c r="C1073" s="263" t="s">
        <v>2176</v>
      </c>
      <c r="D1073" s="263" t="s">
        <v>2169</v>
      </c>
      <c r="E1073" s="263" t="s">
        <v>2170</v>
      </c>
      <c r="F1073" s="263" t="s">
        <v>2171</v>
      </c>
    </row>
    <row r="1074" spans="1:6">
      <c r="A1074" s="263">
        <v>1073</v>
      </c>
      <c r="B1074" s="263" t="s">
        <v>2177</v>
      </c>
      <c r="C1074" s="263" t="s">
        <v>2178</v>
      </c>
      <c r="D1074" s="263" t="s">
        <v>2169</v>
      </c>
      <c r="E1074" s="263" t="s">
        <v>2170</v>
      </c>
      <c r="F1074" s="263" t="s">
        <v>2171</v>
      </c>
    </row>
    <row r="1075" spans="1:6">
      <c r="A1075" s="263">
        <v>1074</v>
      </c>
      <c r="B1075" s="263" t="s">
        <v>2179</v>
      </c>
      <c r="C1075" s="263" t="s">
        <v>74</v>
      </c>
      <c r="D1075" s="263" t="s">
        <v>2169</v>
      </c>
      <c r="E1075" s="263" t="s">
        <v>2170</v>
      </c>
      <c r="F1075" s="263" t="s">
        <v>2171</v>
      </c>
    </row>
    <row r="1076" spans="1:6">
      <c r="A1076" s="263">
        <v>1075</v>
      </c>
      <c r="B1076" s="263" t="s">
        <v>2180</v>
      </c>
      <c r="C1076" s="263" t="s">
        <v>2181</v>
      </c>
      <c r="D1076" s="263" t="s">
        <v>2169</v>
      </c>
      <c r="E1076" s="263" t="s">
        <v>2170</v>
      </c>
      <c r="F1076" s="263" t="s">
        <v>2171</v>
      </c>
    </row>
    <row r="1077" spans="1:6">
      <c r="A1077" s="263">
        <v>1076</v>
      </c>
      <c r="B1077" s="263" t="s">
        <v>2182</v>
      </c>
      <c r="C1077" s="263" t="s">
        <v>124</v>
      </c>
      <c r="D1077" s="263" t="s">
        <v>2169</v>
      </c>
      <c r="E1077" s="263" t="s">
        <v>2170</v>
      </c>
      <c r="F1077" s="263" t="s">
        <v>2171</v>
      </c>
    </row>
    <row r="1078" spans="1:6">
      <c r="A1078" s="263">
        <v>1077</v>
      </c>
      <c r="B1078" s="263" t="s">
        <v>2183</v>
      </c>
      <c r="C1078" s="263" t="s">
        <v>2184</v>
      </c>
      <c r="D1078" s="263" t="s">
        <v>2169</v>
      </c>
      <c r="E1078" s="263" t="s">
        <v>2170</v>
      </c>
      <c r="F1078" s="263" t="s">
        <v>2171</v>
      </c>
    </row>
    <row r="1079" spans="1:6">
      <c r="A1079" s="263">
        <v>1078</v>
      </c>
      <c r="B1079" s="263" t="s">
        <v>2185</v>
      </c>
      <c r="C1079" s="263" t="s">
        <v>2186</v>
      </c>
      <c r="D1079" s="263" t="s">
        <v>2169</v>
      </c>
      <c r="E1079" s="263" t="s">
        <v>2170</v>
      </c>
      <c r="F1079" s="263" t="s">
        <v>2171</v>
      </c>
    </row>
    <row r="1080" spans="1:6">
      <c r="A1080" s="263">
        <v>1079</v>
      </c>
      <c r="B1080" s="263" t="s">
        <v>2187</v>
      </c>
      <c r="C1080" s="263" t="s">
        <v>2188</v>
      </c>
      <c r="D1080" s="263" t="s">
        <v>2169</v>
      </c>
      <c r="E1080" s="263" t="s">
        <v>2170</v>
      </c>
      <c r="F1080" s="263" t="s">
        <v>2171</v>
      </c>
    </row>
    <row r="1081" spans="1:6">
      <c r="A1081" s="263">
        <v>1080</v>
      </c>
      <c r="B1081" s="263" t="s">
        <v>2189</v>
      </c>
      <c r="C1081" s="263" t="s">
        <v>2190</v>
      </c>
      <c r="D1081" s="263" t="s">
        <v>2169</v>
      </c>
      <c r="E1081" s="263" t="s">
        <v>2170</v>
      </c>
      <c r="F1081" s="263" t="s">
        <v>2171</v>
      </c>
    </row>
    <row r="1082" spans="1:6">
      <c r="A1082" s="263">
        <v>1081</v>
      </c>
      <c r="B1082" s="263" t="s">
        <v>2191</v>
      </c>
      <c r="C1082" s="263" t="s">
        <v>2192</v>
      </c>
      <c r="D1082" s="263" t="s">
        <v>2169</v>
      </c>
      <c r="E1082" s="263" t="s">
        <v>2170</v>
      </c>
      <c r="F1082" s="263" t="s">
        <v>2171</v>
      </c>
    </row>
    <row r="1083" spans="1:6">
      <c r="A1083" s="263">
        <v>1082</v>
      </c>
      <c r="B1083" s="263" t="s">
        <v>2193</v>
      </c>
      <c r="C1083" s="263" t="s">
        <v>1068</v>
      </c>
      <c r="D1083" s="263" t="s">
        <v>2169</v>
      </c>
      <c r="E1083" s="263" t="s">
        <v>2170</v>
      </c>
      <c r="F1083" s="263" t="s">
        <v>2171</v>
      </c>
    </row>
    <row r="1084" spans="1:6">
      <c r="A1084" s="263">
        <v>1083</v>
      </c>
      <c r="B1084" s="263" t="s">
        <v>2194</v>
      </c>
      <c r="C1084" s="263" t="s">
        <v>2195</v>
      </c>
      <c r="D1084" s="263" t="s">
        <v>2169</v>
      </c>
      <c r="E1084" s="263" t="s">
        <v>2170</v>
      </c>
      <c r="F1084" s="263" t="s">
        <v>2171</v>
      </c>
    </row>
    <row r="1085" spans="1:6">
      <c r="A1085" s="263">
        <v>1084</v>
      </c>
      <c r="B1085" s="263" t="s">
        <v>2196</v>
      </c>
      <c r="C1085" s="263" t="s">
        <v>2197</v>
      </c>
      <c r="D1085" s="263" t="s">
        <v>2169</v>
      </c>
      <c r="E1085" s="263" t="s">
        <v>2170</v>
      </c>
      <c r="F1085" s="263" t="s">
        <v>2171</v>
      </c>
    </row>
    <row r="1086" spans="1:6">
      <c r="A1086" s="263">
        <v>1085</v>
      </c>
      <c r="B1086" s="263" t="s">
        <v>2198</v>
      </c>
      <c r="C1086" s="263" t="s">
        <v>2199</v>
      </c>
      <c r="D1086" s="263" t="s">
        <v>2169</v>
      </c>
      <c r="E1086" s="263" t="s">
        <v>2170</v>
      </c>
      <c r="F1086" s="263" t="s">
        <v>2171</v>
      </c>
    </row>
    <row r="1087" spans="1:6">
      <c r="A1087" s="263">
        <v>1086</v>
      </c>
      <c r="B1087" s="263" t="s">
        <v>2200</v>
      </c>
      <c r="C1087" s="263" t="s">
        <v>2201</v>
      </c>
      <c r="D1087" s="263" t="s">
        <v>2169</v>
      </c>
      <c r="E1087" s="263" t="s">
        <v>2170</v>
      </c>
      <c r="F1087" s="263" t="s">
        <v>2171</v>
      </c>
    </row>
    <row r="1088" spans="1:6">
      <c r="A1088" s="263">
        <v>1087</v>
      </c>
      <c r="B1088" s="263" t="s">
        <v>2202</v>
      </c>
      <c r="C1088" s="263" t="s">
        <v>2203</v>
      </c>
      <c r="D1088" s="263" t="s">
        <v>2204</v>
      </c>
      <c r="E1088" s="263" t="s">
        <v>68</v>
      </c>
      <c r="F1088" s="263" t="s">
        <v>2171</v>
      </c>
    </row>
    <row r="1089" spans="1:6">
      <c r="A1089" s="263">
        <v>1088</v>
      </c>
      <c r="B1089" s="263" t="s">
        <v>2205</v>
      </c>
      <c r="C1089" s="263" t="s">
        <v>903</v>
      </c>
      <c r="D1089" s="263" t="s">
        <v>2204</v>
      </c>
      <c r="E1089" s="263" t="s">
        <v>68</v>
      </c>
      <c r="F1089" s="263" t="s">
        <v>2171</v>
      </c>
    </row>
    <row r="1090" spans="1:6">
      <c r="A1090" s="263">
        <v>1089</v>
      </c>
      <c r="B1090" s="263" t="s">
        <v>2206</v>
      </c>
      <c r="C1090" s="263" t="s">
        <v>986</v>
      </c>
      <c r="D1090" s="263" t="s">
        <v>2204</v>
      </c>
      <c r="E1090" s="263" t="s">
        <v>68</v>
      </c>
      <c r="F1090" s="263" t="s">
        <v>2171</v>
      </c>
    </row>
    <row r="1091" spans="1:6">
      <c r="A1091" s="263">
        <v>1090</v>
      </c>
      <c r="B1091" s="263" t="s">
        <v>2207</v>
      </c>
      <c r="C1091" s="263" t="s">
        <v>1150</v>
      </c>
      <c r="D1091" s="263" t="s">
        <v>2204</v>
      </c>
      <c r="E1091" s="263" t="s">
        <v>68</v>
      </c>
      <c r="F1091" s="263" t="s">
        <v>2171</v>
      </c>
    </row>
    <row r="1092" spans="1:6">
      <c r="A1092" s="263">
        <v>1091</v>
      </c>
      <c r="B1092" s="263" t="s">
        <v>2208</v>
      </c>
      <c r="C1092" s="263" t="s">
        <v>2209</v>
      </c>
      <c r="D1092" s="263" t="s">
        <v>2204</v>
      </c>
      <c r="E1092" s="263" t="s">
        <v>68</v>
      </c>
      <c r="F1092" s="263" t="s">
        <v>2171</v>
      </c>
    </row>
    <row r="1093" spans="1:6">
      <c r="A1093" s="263">
        <v>1092</v>
      </c>
      <c r="B1093" s="263" t="s">
        <v>2210</v>
      </c>
      <c r="C1093" s="263" t="s">
        <v>1653</v>
      </c>
      <c r="D1093" s="263" t="s">
        <v>2204</v>
      </c>
      <c r="E1093" s="263" t="s">
        <v>68</v>
      </c>
      <c r="F1093" s="263" t="s">
        <v>2171</v>
      </c>
    </row>
    <row r="1094" spans="1:6">
      <c r="A1094" s="263">
        <v>1093</v>
      </c>
      <c r="B1094" s="263" t="s">
        <v>2211</v>
      </c>
      <c r="C1094" s="263" t="s">
        <v>2212</v>
      </c>
      <c r="D1094" s="263" t="s">
        <v>2204</v>
      </c>
      <c r="E1094" s="263" t="s">
        <v>68</v>
      </c>
      <c r="F1094" s="263" t="s">
        <v>2171</v>
      </c>
    </row>
    <row r="1095" spans="1:6">
      <c r="A1095" s="263">
        <v>1094</v>
      </c>
      <c r="B1095" s="263" t="s">
        <v>2213</v>
      </c>
      <c r="C1095" s="263" t="s">
        <v>156</v>
      </c>
      <c r="D1095" s="263" t="s">
        <v>2204</v>
      </c>
      <c r="E1095" s="263" t="s">
        <v>68</v>
      </c>
      <c r="F1095" s="263" t="s">
        <v>2171</v>
      </c>
    </row>
    <row r="1096" spans="1:6">
      <c r="A1096" s="263">
        <v>1095</v>
      </c>
      <c r="B1096" s="263" t="s">
        <v>2214</v>
      </c>
      <c r="C1096" s="263" t="s">
        <v>348</v>
      </c>
      <c r="D1096" s="263" t="s">
        <v>2204</v>
      </c>
      <c r="E1096" s="263" t="s">
        <v>68</v>
      </c>
      <c r="F1096" s="263" t="s">
        <v>2171</v>
      </c>
    </row>
    <row r="1097" spans="1:6">
      <c r="A1097" s="263">
        <v>1096</v>
      </c>
      <c r="B1097" s="263" t="s">
        <v>2215</v>
      </c>
      <c r="C1097" s="263" t="s">
        <v>2216</v>
      </c>
      <c r="D1097" s="263" t="s">
        <v>2204</v>
      </c>
      <c r="E1097" s="263" t="s">
        <v>68</v>
      </c>
      <c r="F1097" s="263" t="s">
        <v>2171</v>
      </c>
    </row>
    <row r="1098" spans="1:6">
      <c r="A1098" s="263">
        <v>1097</v>
      </c>
      <c r="B1098" s="263" t="s">
        <v>2217</v>
      </c>
      <c r="C1098" s="263" t="s">
        <v>80</v>
      </c>
      <c r="D1098" s="263" t="s">
        <v>2204</v>
      </c>
      <c r="E1098" s="263" t="s">
        <v>68</v>
      </c>
      <c r="F1098" s="263" t="s">
        <v>2171</v>
      </c>
    </row>
    <row r="1099" spans="1:6">
      <c r="A1099" s="263">
        <v>1098</v>
      </c>
      <c r="B1099" s="263" t="s">
        <v>2218</v>
      </c>
      <c r="C1099" s="263" t="s">
        <v>2219</v>
      </c>
      <c r="D1099" s="263" t="s">
        <v>2204</v>
      </c>
      <c r="E1099" s="263" t="s">
        <v>68</v>
      </c>
      <c r="F1099" s="263" t="s">
        <v>2171</v>
      </c>
    </row>
    <row r="1100" spans="1:6">
      <c r="A1100" s="263">
        <v>1099</v>
      </c>
      <c r="B1100" s="263" t="s">
        <v>2220</v>
      </c>
      <c r="C1100" s="263" t="s">
        <v>2221</v>
      </c>
      <c r="D1100" s="263" t="s">
        <v>2222</v>
      </c>
      <c r="E1100" s="263" t="s">
        <v>2223</v>
      </c>
      <c r="F1100" s="263" t="s">
        <v>2171</v>
      </c>
    </row>
    <row r="1101" spans="1:6">
      <c r="A1101" s="263">
        <v>1100</v>
      </c>
      <c r="B1101" s="263" t="s">
        <v>2224</v>
      </c>
      <c r="C1101" s="263" t="s">
        <v>2225</v>
      </c>
      <c r="D1101" s="263" t="s">
        <v>2222</v>
      </c>
      <c r="E1101" s="263" t="s">
        <v>2223</v>
      </c>
      <c r="F1101" s="263" t="s">
        <v>2171</v>
      </c>
    </row>
    <row r="1102" spans="1:6">
      <c r="A1102" s="263">
        <v>1101</v>
      </c>
      <c r="B1102" s="263" t="s">
        <v>2226</v>
      </c>
      <c r="C1102" s="263" t="s">
        <v>2227</v>
      </c>
      <c r="D1102" s="263" t="s">
        <v>2222</v>
      </c>
      <c r="E1102" s="263" t="s">
        <v>2223</v>
      </c>
      <c r="F1102" s="263" t="s">
        <v>2171</v>
      </c>
    </row>
    <row r="1103" spans="1:6">
      <c r="A1103" s="263">
        <v>1102</v>
      </c>
      <c r="B1103" s="263" t="s">
        <v>2228</v>
      </c>
      <c r="C1103" s="263" t="s">
        <v>2229</v>
      </c>
      <c r="D1103" s="263" t="s">
        <v>2222</v>
      </c>
      <c r="E1103" s="263" t="s">
        <v>2223</v>
      </c>
      <c r="F1103" s="263" t="s">
        <v>2171</v>
      </c>
    </row>
    <row r="1104" spans="1:6">
      <c r="A1104" s="263">
        <v>1103</v>
      </c>
      <c r="B1104" s="263" t="s">
        <v>2230</v>
      </c>
      <c r="C1104" s="263" t="s">
        <v>2231</v>
      </c>
      <c r="D1104" s="263" t="s">
        <v>2222</v>
      </c>
      <c r="E1104" s="263" t="s">
        <v>2223</v>
      </c>
      <c r="F1104" s="263" t="s">
        <v>2171</v>
      </c>
    </row>
    <row r="1105" spans="1:6">
      <c r="A1105" s="263">
        <v>1104</v>
      </c>
      <c r="B1105" s="263" t="s">
        <v>2232</v>
      </c>
      <c r="C1105" s="263" t="s">
        <v>2233</v>
      </c>
      <c r="D1105" s="263" t="s">
        <v>2222</v>
      </c>
      <c r="E1105" s="263" t="s">
        <v>2223</v>
      </c>
      <c r="F1105" s="263" t="s">
        <v>2171</v>
      </c>
    </row>
    <row r="1106" spans="1:6">
      <c r="A1106" s="263">
        <v>1105</v>
      </c>
      <c r="B1106" s="263" t="s">
        <v>2234</v>
      </c>
      <c r="C1106" s="263" t="s">
        <v>2235</v>
      </c>
      <c r="D1106" s="263" t="s">
        <v>2222</v>
      </c>
      <c r="E1106" s="263" t="s">
        <v>2223</v>
      </c>
      <c r="F1106" s="263" t="s">
        <v>2171</v>
      </c>
    </row>
    <row r="1107" spans="1:6">
      <c r="A1107" s="263">
        <v>1106</v>
      </c>
      <c r="B1107" s="263" t="s">
        <v>2236</v>
      </c>
      <c r="C1107" s="263" t="s">
        <v>2237</v>
      </c>
      <c r="D1107" s="263" t="s">
        <v>2222</v>
      </c>
      <c r="E1107" s="263" t="s">
        <v>2223</v>
      </c>
      <c r="F1107" s="263" t="s">
        <v>2171</v>
      </c>
    </row>
    <row r="1108" spans="1:6">
      <c r="A1108" s="263">
        <v>1107</v>
      </c>
      <c r="B1108" s="263" t="s">
        <v>2238</v>
      </c>
      <c r="C1108" s="263" t="s">
        <v>2239</v>
      </c>
      <c r="D1108" s="263" t="s">
        <v>2222</v>
      </c>
      <c r="E1108" s="263" t="s">
        <v>2223</v>
      </c>
      <c r="F1108" s="263" t="s">
        <v>2171</v>
      </c>
    </row>
    <row r="1109" spans="1:6">
      <c r="A1109" s="263">
        <v>1108</v>
      </c>
      <c r="B1109" s="263" t="s">
        <v>2240</v>
      </c>
      <c r="C1109" s="263" t="s">
        <v>2241</v>
      </c>
      <c r="D1109" s="263" t="s">
        <v>2222</v>
      </c>
      <c r="E1109" s="263" t="s">
        <v>2223</v>
      </c>
      <c r="F1109" s="263" t="s">
        <v>2171</v>
      </c>
    </row>
    <row r="1110" spans="1:6">
      <c r="A1110" s="263">
        <v>1109</v>
      </c>
      <c r="B1110" s="263" t="s">
        <v>2242</v>
      </c>
      <c r="C1110" s="263" t="s">
        <v>2243</v>
      </c>
      <c r="D1110" s="263" t="s">
        <v>2222</v>
      </c>
      <c r="E1110" s="263" t="s">
        <v>2223</v>
      </c>
      <c r="F1110" s="263" t="s">
        <v>2171</v>
      </c>
    </row>
    <row r="1111" spans="1:6">
      <c r="A1111" s="263">
        <v>1110</v>
      </c>
      <c r="B1111" s="263" t="s">
        <v>2244</v>
      </c>
      <c r="C1111" s="263" t="s">
        <v>2245</v>
      </c>
      <c r="D1111" s="263" t="s">
        <v>2246</v>
      </c>
      <c r="E1111" s="263" t="s">
        <v>2247</v>
      </c>
      <c r="F1111" s="263" t="s">
        <v>2171</v>
      </c>
    </row>
    <row r="1112" spans="1:6">
      <c r="A1112" s="263">
        <v>1111</v>
      </c>
      <c r="B1112" s="263" t="s">
        <v>2248</v>
      </c>
      <c r="C1112" s="263" t="s">
        <v>2249</v>
      </c>
      <c r="D1112" s="263" t="s">
        <v>2246</v>
      </c>
      <c r="E1112" s="263" t="s">
        <v>2247</v>
      </c>
      <c r="F1112" s="263" t="s">
        <v>2171</v>
      </c>
    </row>
    <row r="1113" spans="1:6">
      <c r="A1113" s="263">
        <v>1112</v>
      </c>
      <c r="B1113" s="263" t="s">
        <v>2250</v>
      </c>
      <c r="C1113" s="263" t="s">
        <v>1655</v>
      </c>
      <c r="D1113" s="263" t="s">
        <v>2246</v>
      </c>
      <c r="E1113" s="263" t="s">
        <v>2247</v>
      </c>
      <c r="F1113" s="263" t="s">
        <v>2171</v>
      </c>
    </row>
    <row r="1114" spans="1:6">
      <c r="A1114" s="263">
        <v>1113</v>
      </c>
      <c r="B1114" s="263" t="s">
        <v>2251</v>
      </c>
      <c r="C1114" s="263" t="s">
        <v>2252</v>
      </c>
      <c r="D1114" s="263" t="s">
        <v>2246</v>
      </c>
      <c r="E1114" s="263" t="s">
        <v>2247</v>
      </c>
      <c r="F1114" s="263" t="s">
        <v>2171</v>
      </c>
    </row>
    <row r="1115" spans="1:6">
      <c r="A1115" s="263">
        <v>1114</v>
      </c>
      <c r="B1115" s="263" t="s">
        <v>2253</v>
      </c>
      <c r="C1115" s="263" t="s">
        <v>2254</v>
      </c>
      <c r="D1115" s="263" t="s">
        <v>2246</v>
      </c>
      <c r="E1115" s="263" t="s">
        <v>2247</v>
      </c>
      <c r="F1115" s="263" t="s">
        <v>2171</v>
      </c>
    </row>
    <row r="1116" spans="1:6">
      <c r="A1116" s="263">
        <v>1115</v>
      </c>
      <c r="B1116" s="263" t="s">
        <v>2255</v>
      </c>
      <c r="C1116" s="263" t="s">
        <v>2256</v>
      </c>
      <c r="D1116" s="263" t="s">
        <v>2246</v>
      </c>
      <c r="E1116" s="263" t="s">
        <v>2247</v>
      </c>
      <c r="F1116" s="263" t="s">
        <v>2171</v>
      </c>
    </row>
    <row r="1117" spans="1:6">
      <c r="A1117" s="263">
        <v>1116</v>
      </c>
      <c r="B1117" s="263" t="s">
        <v>2257</v>
      </c>
      <c r="C1117" s="263" t="s">
        <v>2258</v>
      </c>
      <c r="D1117" s="263" t="s">
        <v>2246</v>
      </c>
      <c r="E1117" s="263" t="s">
        <v>2247</v>
      </c>
      <c r="F1117" s="263" t="s">
        <v>2171</v>
      </c>
    </row>
    <row r="1118" spans="1:6">
      <c r="A1118" s="263">
        <v>1117</v>
      </c>
      <c r="B1118" s="263" t="s">
        <v>2259</v>
      </c>
      <c r="C1118" s="263" t="s">
        <v>164</v>
      </c>
      <c r="D1118" s="263" t="s">
        <v>2246</v>
      </c>
      <c r="E1118" s="263" t="s">
        <v>2247</v>
      </c>
      <c r="F1118" s="263" t="s">
        <v>2171</v>
      </c>
    </row>
    <row r="1119" spans="1:6">
      <c r="A1119" s="263">
        <v>1118</v>
      </c>
      <c r="B1119" s="263" t="s">
        <v>2260</v>
      </c>
      <c r="C1119" s="263" t="s">
        <v>840</v>
      </c>
      <c r="D1119" s="263" t="s">
        <v>2246</v>
      </c>
      <c r="E1119" s="263" t="s">
        <v>2247</v>
      </c>
      <c r="F1119" s="263" t="s">
        <v>2171</v>
      </c>
    </row>
    <row r="1120" spans="1:6">
      <c r="A1120" s="263">
        <v>1119</v>
      </c>
      <c r="B1120" s="263" t="s">
        <v>2261</v>
      </c>
      <c r="C1120" s="263" t="s">
        <v>353</v>
      </c>
      <c r="D1120" s="263" t="s">
        <v>2246</v>
      </c>
      <c r="E1120" s="263" t="s">
        <v>2247</v>
      </c>
      <c r="F1120" s="263" t="s">
        <v>2171</v>
      </c>
    </row>
    <row r="1121" spans="1:6">
      <c r="A1121" s="263">
        <v>1120</v>
      </c>
      <c r="B1121" s="263" t="s">
        <v>2262</v>
      </c>
      <c r="C1121" s="263" t="s">
        <v>2263</v>
      </c>
      <c r="D1121" s="263" t="s">
        <v>2246</v>
      </c>
      <c r="E1121" s="263" t="s">
        <v>2247</v>
      </c>
      <c r="F1121" s="263" t="s">
        <v>2171</v>
      </c>
    </row>
    <row r="1122" spans="1:6">
      <c r="A1122" s="263">
        <v>1121</v>
      </c>
      <c r="B1122" s="263" t="s">
        <v>2264</v>
      </c>
      <c r="C1122" s="263" t="s">
        <v>2265</v>
      </c>
      <c r="D1122" s="263" t="s">
        <v>2246</v>
      </c>
      <c r="E1122" s="263" t="s">
        <v>2247</v>
      </c>
      <c r="F1122" s="263" t="s">
        <v>2171</v>
      </c>
    </row>
    <row r="1123" spans="1:6">
      <c r="A1123" s="263">
        <v>1122</v>
      </c>
      <c r="B1123" s="263" t="s">
        <v>2266</v>
      </c>
      <c r="C1123" s="263" t="s">
        <v>2267</v>
      </c>
      <c r="D1123" s="263" t="s">
        <v>2268</v>
      </c>
      <c r="E1123" s="263" t="s">
        <v>2269</v>
      </c>
      <c r="F1123" s="263" t="s">
        <v>2171</v>
      </c>
    </row>
    <row r="1124" spans="1:6">
      <c r="A1124" s="263">
        <v>1123</v>
      </c>
      <c r="B1124" s="263" t="s">
        <v>2270</v>
      </c>
      <c r="C1124" s="263" t="s">
        <v>178</v>
      </c>
      <c r="D1124" s="263" t="s">
        <v>2268</v>
      </c>
      <c r="E1124" s="263" t="s">
        <v>2269</v>
      </c>
      <c r="F1124" s="263" t="s">
        <v>2171</v>
      </c>
    </row>
    <row r="1125" spans="1:6">
      <c r="A1125" s="263">
        <v>1124</v>
      </c>
      <c r="B1125" s="263" t="s">
        <v>2271</v>
      </c>
      <c r="C1125" s="263" t="s">
        <v>2272</v>
      </c>
      <c r="D1125" s="263" t="s">
        <v>2268</v>
      </c>
      <c r="E1125" s="263" t="s">
        <v>2269</v>
      </c>
      <c r="F1125" s="263" t="s">
        <v>2171</v>
      </c>
    </row>
    <row r="1126" spans="1:6">
      <c r="A1126" s="263">
        <v>1125</v>
      </c>
      <c r="B1126" s="263" t="s">
        <v>2273</v>
      </c>
      <c r="C1126" s="263" t="s">
        <v>2274</v>
      </c>
      <c r="D1126" s="263" t="s">
        <v>2268</v>
      </c>
      <c r="E1126" s="263" t="s">
        <v>2269</v>
      </c>
      <c r="F1126" s="263" t="s">
        <v>2171</v>
      </c>
    </row>
    <row r="1127" spans="1:6">
      <c r="A1127" s="263">
        <v>1126</v>
      </c>
      <c r="B1127" s="263" t="s">
        <v>2275</v>
      </c>
      <c r="C1127" s="263" t="s">
        <v>2276</v>
      </c>
      <c r="D1127" s="263" t="s">
        <v>2268</v>
      </c>
      <c r="E1127" s="263" t="s">
        <v>2269</v>
      </c>
      <c r="F1127" s="263" t="s">
        <v>2171</v>
      </c>
    </row>
    <row r="1128" spans="1:6">
      <c r="A1128" s="263">
        <v>1127</v>
      </c>
      <c r="B1128" s="263" t="s">
        <v>2277</v>
      </c>
      <c r="C1128" s="263" t="s">
        <v>2278</v>
      </c>
      <c r="D1128" s="263" t="s">
        <v>2268</v>
      </c>
      <c r="E1128" s="263" t="s">
        <v>2269</v>
      </c>
      <c r="F1128" s="263" t="s">
        <v>2171</v>
      </c>
    </row>
    <row r="1129" spans="1:6">
      <c r="A1129" s="263">
        <v>1128</v>
      </c>
      <c r="B1129" s="263" t="s">
        <v>2279</v>
      </c>
      <c r="C1129" s="263" t="s">
        <v>2280</v>
      </c>
      <c r="D1129" s="263" t="s">
        <v>2268</v>
      </c>
      <c r="E1129" s="263" t="s">
        <v>2269</v>
      </c>
      <c r="F1129" s="263" t="s">
        <v>2171</v>
      </c>
    </row>
    <row r="1130" spans="1:6">
      <c r="A1130" s="263">
        <v>1129</v>
      </c>
      <c r="B1130" s="263" t="s">
        <v>2281</v>
      </c>
      <c r="C1130" s="263" t="s">
        <v>2282</v>
      </c>
      <c r="D1130" s="263" t="s">
        <v>2268</v>
      </c>
      <c r="E1130" s="263" t="s">
        <v>2269</v>
      </c>
      <c r="F1130" s="263" t="s">
        <v>2171</v>
      </c>
    </row>
    <row r="1131" spans="1:6">
      <c r="A1131" s="263">
        <v>1130</v>
      </c>
      <c r="B1131" s="263" t="s">
        <v>2283</v>
      </c>
      <c r="C1131" s="263" t="s">
        <v>2284</v>
      </c>
      <c r="D1131" s="263" t="s">
        <v>2268</v>
      </c>
      <c r="E1131" s="263" t="s">
        <v>2269</v>
      </c>
      <c r="F1131" s="263" t="s">
        <v>2171</v>
      </c>
    </row>
    <row r="1132" spans="1:6">
      <c r="A1132" s="263">
        <v>1131</v>
      </c>
      <c r="B1132" s="263" t="s">
        <v>2285</v>
      </c>
      <c r="C1132" s="263" t="s">
        <v>351</v>
      </c>
      <c r="D1132" s="263" t="s">
        <v>2268</v>
      </c>
      <c r="E1132" s="263" t="s">
        <v>2269</v>
      </c>
      <c r="F1132" s="263" t="s">
        <v>2171</v>
      </c>
    </row>
    <row r="1133" spans="1:6">
      <c r="A1133" s="263">
        <v>1132</v>
      </c>
      <c r="B1133" s="263" t="s">
        <v>2286</v>
      </c>
      <c r="C1133" s="263" t="s">
        <v>2287</v>
      </c>
      <c r="D1133" s="263" t="s">
        <v>2268</v>
      </c>
      <c r="E1133" s="263" t="s">
        <v>2269</v>
      </c>
      <c r="F1133" s="263" t="s">
        <v>2171</v>
      </c>
    </row>
    <row r="1134" spans="1:6">
      <c r="A1134" s="263">
        <v>1133</v>
      </c>
      <c r="B1134" s="263" t="s">
        <v>2288</v>
      </c>
      <c r="C1134" s="263" t="s">
        <v>396</v>
      </c>
      <c r="D1134" s="263" t="s">
        <v>2268</v>
      </c>
      <c r="E1134" s="263" t="s">
        <v>2269</v>
      </c>
      <c r="F1134" s="263" t="s">
        <v>2171</v>
      </c>
    </row>
    <row r="1135" spans="1:6">
      <c r="A1135" s="263">
        <v>1134</v>
      </c>
      <c r="B1135" s="263" t="s">
        <v>2289</v>
      </c>
      <c r="C1135" s="263" t="s">
        <v>2290</v>
      </c>
      <c r="D1135" s="263" t="s">
        <v>2268</v>
      </c>
      <c r="E1135" s="263" t="s">
        <v>2269</v>
      </c>
      <c r="F1135" s="263" t="s">
        <v>2171</v>
      </c>
    </row>
    <row r="1136" spans="1:6">
      <c r="A1136" s="263">
        <v>1135</v>
      </c>
      <c r="B1136" s="263" t="s">
        <v>2291</v>
      </c>
      <c r="C1136" s="263" t="s">
        <v>2292</v>
      </c>
      <c r="D1136" s="263" t="s">
        <v>2293</v>
      </c>
      <c r="E1136" s="263" t="s">
        <v>2294</v>
      </c>
      <c r="F1136" s="263" t="s">
        <v>2171</v>
      </c>
    </row>
    <row r="1137" spans="1:6">
      <c r="A1137" s="263">
        <v>1136</v>
      </c>
      <c r="B1137" s="263" t="s">
        <v>2295</v>
      </c>
      <c r="C1137" s="263" t="s">
        <v>70</v>
      </c>
      <c r="D1137" s="263" t="s">
        <v>2293</v>
      </c>
      <c r="E1137" s="263" t="s">
        <v>2294</v>
      </c>
      <c r="F1137" s="263" t="s">
        <v>2171</v>
      </c>
    </row>
    <row r="1138" spans="1:6">
      <c r="A1138" s="263">
        <v>1137</v>
      </c>
      <c r="B1138" s="263" t="s">
        <v>2296</v>
      </c>
      <c r="C1138" s="263" t="s">
        <v>408</v>
      </c>
      <c r="D1138" s="263" t="s">
        <v>2293</v>
      </c>
      <c r="E1138" s="263" t="s">
        <v>2294</v>
      </c>
      <c r="F1138" s="263" t="s">
        <v>2171</v>
      </c>
    </row>
    <row r="1139" spans="1:6">
      <c r="A1139" s="263">
        <v>1138</v>
      </c>
      <c r="B1139" s="263" t="s">
        <v>2297</v>
      </c>
      <c r="C1139" s="263" t="s">
        <v>106</v>
      </c>
      <c r="D1139" s="263" t="s">
        <v>2293</v>
      </c>
      <c r="E1139" s="263" t="s">
        <v>2294</v>
      </c>
      <c r="F1139" s="263" t="s">
        <v>2171</v>
      </c>
    </row>
    <row r="1140" spans="1:6">
      <c r="A1140" s="263">
        <v>1139</v>
      </c>
      <c r="B1140" s="263" t="s">
        <v>2298</v>
      </c>
      <c r="C1140" s="263" t="s">
        <v>2064</v>
      </c>
      <c r="D1140" s="263" t="s">
        <v>2293</v>
      </c>
      <c r="E1140" s="263" t="s">
        <v>2294</v>
      </c>
      <c r="F1140" s="263" t="s">
        <v>2171</v>
      </c>
    </row>
    <row r="1141" spans="1:6">
      <c r="A1141" s="263">
        <v>1140</v>
      </c>
      <c r="B1141" s="263" t="s">
        <v>2299</v>
      </c>
      <c r="C1141" s="263" t="s">
        <v>150</v>
      </c>
      <c r="D1141" s="263" t="s">
        <v>2293</v>
      </c>
      <c r="E1141" s="263" t="s">
        <v>2294</v>
      </c>
      <c r="F1141" s="263" t="s">
        <v>2171</v>
      </c>
    </row>
    <row r="1142" spans="1:6">
      <c r="A1142" s="263">
        <v>1141</v>
      </c>
      <c r="B1142" s="263" t="s">
        <v>2300</v>
      </c>
      <c r="C1142" s="263" t="s">
        <v>2301</v>
      </c>
      <c r="D1142" s="263" t="s">
        <v>2293</v>
      </c>
      <c r="E1142" s="263" t="s">
        <v>2294</v>
      </c>
      <c r="F1142" s="263" t="s">
        <v>2171</v>
      </c>
    </row>
    <row r="1143" spans="1:6">
      <c r="A1143" s="263">
        <v>1142</v>
      </c>
      <c r="B1143" s="263" t="s">
        <v>2302</v>
      </c>
      <c r="C1143" s="263" t="s">
        <v>2303</v>
      </c>
      <c r="D1143" s="263" t="s">
        <v>2293</v>
      </c>
      <c r="E1143" s="263" t="s">
        <v>2294</v>
      </c>
      <c r="F1143" s="263" t="s">
        <v>2171</v>
      </c>
    </row>
    <row r="1144" spans="1:6">
      <c r="A1144" s="263">
        <v>1143</v>
      </c>
      <c r="B1144" s="263" t="s">
        <v>2304</v>
      </c>
      <c r="C1144" s="263" t="s">
        <v>2305</v>
      </c>
      <c r="D1144" s="263" t="s">
        <v>2293</v>
      </c>
      <c r="E1144" s="263" t="s">
        <v>2294</v>
      </c>
      <c r="F1144" s="263" t="s">
        <v>2171</v>
      </c>
    </row>
    <row r="1145" spans="1:6">
      <c r="A1145" s="263">
        <v>1144</v>
      </c>
      <c r="B1145" s="263" t="s">
        <v>2306</v>
      </c>
      <c r="C1145" s="263" t="s">
        <v>160</v>
      </c>
      <c r="D1145" s="263" t="s">
        <v>2293</v>
      </c>
      <c r="E1145" s="263" t="s">
        <v>2294</v>
      </c>
      <c r="F1145" s="263" t="s">
        <v>2171</v>
      </c>
    </row>
    <row r="1146" spans="1:6">
      <c r="A1146" s="263">
        <v>1145</v>
      </c>
      <c r="B1146" s="263" t="s">
        <v>2307</v>
      </c>
      <c r="C1146" s="263" t="s">
        <v>1000</v>
      </c>
      <c r="D1146" s="263" t="s">
        <v>2293</v>
      </c>
      <c r="E1146" s="263" t="s">
        <v>2294</v>
      </c>
      <c r="F1146" s="263" t="s">
        <v>2171</v>
      </c>
    </row>
    <row r="1147" spans="1:6">
      <c r="A1147" s="263">
        <v>1146</v>
      </c>
      <c r="B1147" s="263" t="s">
        <v>2308</v>
      </c>
      <c r="C1147" s="263" t="s">
        <v>2309</v>
      </c>
      <c r="D1147" s="263" t="s">
        <v>2293</v>
      </c>
      <c r="E1147" s="263" t="s">
        <v>2294</v>
      </c>
      <c r="F1147" s="263" t="s">
        <v>2171</v>
      </c>
    </row>
    <row r="1148" spans="1:6">
      <c r="A1148" s="263">
        <v>1147</v>
      </c>
      <c r="B1148" s="263" t="s">
        <v>2310</v>
      </c>
      <c r="C1148" s="263" t="s">
        <v>2311</v>
      </c>
      <c r="D1148" s="263" t="s">
        <v>2312</v>
      </c>
      <c r="E1148" s="263" t="s">
        <v>2313</v>
      </c>
      <c r="F1148" s="263" t="s">
        <v>2171</v>
      </c>
    </row>
    <row r="1149" spans="1:6">
      <c r="A1149" s="263">
        <v>1148</v>
      </c>
      <c r="B1149" s="263" t="s">
        <v>2314</v>
      </c>
      <c r="C1149" s="263" t="s">
        <v>988</v>
      </c>
      <c r="D1149" s="263" t="s">
        <v>2312</v>
      </c>
      <c r="E1149" s="263" t="s">
        <v>2313</v>
      </c>
      <c r="F1149" s="263" t="s">
        <v>2171</v>
      </c>
    </row>
    <row r="1150" spans="1:6">
      <c r="A1150" s="263">
        <v>1149</v>
      </c>
      <c r="B1150" s="263" t="s">
        <v>2315</v>
      </c>
      <c r="C1150" s="263" t="s">
        <v>48</v>
      </c>
      <c r="D1150" s="263" t="s">
        <v>2312</v>
      </c>
      <c r="E1150" s="263" t="s">
        <v>2313</v>
      </c>
      <c r="F1150" s="263" t="s">
        <v>2171</v>
      </c>
    </row>
    <row r="1151" spans="1:6">
      <c r="A1151" s="263">
        <v>1150</v>
      </c>
      <c r="B1151" s="263" t="s">
        <v>2316</v>
      </c>
      <c r="C1151" s="263" t="s">
        <v>2317</v>
      </c>
      <c r="D1151" s="263" t="s">
        <v>2312</v>
      </c>
      <c r="E1151" s="263" t="s">
        <v>2313</v>
      </c>
      <c r="F1151" s="263" t="s">
        <v>2171</v>
      </c>
    </row>
    <row r="1152" spans="1:6">
      <c r="A1152" s="263">
        <v>1151</v>
      </c>
      <c r="B1152" s="263" t="s">
        <v>2318</v>
      </c>
      <c r="C1152" s="263" t="s">
        <v>2319</v>
      </c>
      <c r="D1152" s="263" t="s">
        <v>2312</v>
      </c>
      <c r="E1152" s="263" t="s">
        <v>2313</v>
      </c>
      <c r="F1152" s="263" t="s">
        <v>2171</v>
      </c>
    </row>
    <row r="1153" spans="1:6">
      <c r="A1153" s="263">
        <v>1152</v>
      </c>
      <c r="B1153" s="263" t="s">
        <v>2320</v>
      </c>
      <c r="C1153" s="263" t="s">
        <v>840</v>
      </c>
      <c r="D1153" s="263" t="s">
        <v>2312</v>
      </c>
      <c r="E1153" s="263" t="s">
        <v>2313</v>
      </c>
      <c r="F1153" s="263" t="s">
        <v>2171</v>
      </c>
    </row>
    <row r="1154" spans="1:6">
      <c r="A1154" s="263">
        <v>1153</v>
      </c>
      <c r="B1154" s="263" t="s">
        <v>2321</v>
      </c>
      <c r="C1154" s="263" t="s">
        <v>2322</v>
      </c>
      <c r="D1154" s="263" t="s">
        <v>2312</v>
      </c>
      <c r="E1154" s="263" t="s">
        <v>2313</v>
      </c>
      <c r="F1154" s="263" t="s">
        <v>2171</v>
      </c>
    </row>
    <row r="1155" spans="1:6">
      <c r="A1155" s="263">
        <v>1154</v>
      </c>
      <c r="B1155" s="263" t="s">
        <v>2323</v>
      </c>
      <c r="C1155" s="263" t="s">
        <v>2324</v>
      </c>
      <c r="D1155" s="263" t="s">
        <v>2312</v>
      </c>
      <c r="E1155" s="263" t="s">
        <v>2313</v>
      </c>
      <c r="F1155" s="263" t="s">
        <v>2171</v>
      </c>
    </row>
    <row r="1156" spans="1:6">
      <c r="A1156" s="263">
        <v>1155</v>
      </c>
      <c r="B1156" s="263" t="s">
        <v>2325</v>
      </c>
      <c r="C1156" s="263" t="s">
        <v>2326</v>
      </c>
      <c r="D1156" s="263" t="s">
        <v>2312</v>
      </c>
      <c r="E1156" s="263" t="s">
        <v>2313</v>
      </c>
      <c r="F1156" s="263" t="s">
        <v>2171</v>
      </c>
    </row>
    <row r="1157" spans="1:6">
      <c r="A1157" s="263">
        <v>1156</v>
      </c>
      <c r="B1157" s="263" t="s">
        <v>2327</v>
      </c>
      <c r="C1157" s="263" t="s">
        <v>722</v>
      </c>
      <c r="D1157" s="263" t="s">
        <v>2328</v>
      </c>
      <c r="E1157" s="263" t="s">
        <v>2329</v>
      </c>
      <c r="F1157" s="263" t="s">
        <v>2171</v>
      </c>
    </row>
    <row r="1158" spans="1:6">
      <c r="A1158" s="263">
        <v>1157</v>
      </c>
      <c r="B1158" s="263" t="s">
        <v>2330</v>
      </c>
      <c r="C1158" s="263" t="s">
        <v>2331</v>
      </c>
      <c r="D1158" s="263" t="s">
        <v>2328</v>
      </c>
      <c r="E1158" s="263" t="s">
        <v>2329</v>
      </c>
      <c r="F1158" s="263" t="s">
        <v>2171</v>
      </c>
    </row>
    <row r="1159" spans="1:6">
      <c r="A1159" s="263">
        <v>1158</v>
      </c>
      <c r="B1159" s="263" t="s">
        <v>2332</v>
      </c>
      <c r="C1159" s="263" t="s">
        <v>2333</v>
      </c>
      <c r="D1159" s="263" t="s">
        <v>2328</v>
      </c>
      <c r="E1159" s="263" t="s">
        <v>2329</v>
      </c>
      <c r="F1159" s="263" t="s">
        <v>2171</v>
      </c>
    </row>
    <row r="1160" spans="1:6">
      <c r="A1160" s="263">
        <v>1159</v>
      </c>
      <c r="B1160" s="263" t="s">
        <v>2334</v>
      </c>
      <c r="C1160" s="263" t="s">
        <v>178</v>
      </c>
      <c r="D1160" s="263" t="s">
        <v>2328</v>
      </c>
      <c r="E1160" s="263" t="s">
        <v>2329</v>
      </c>
      <c r="F1160" s="263" t="s">
        <v>2171</v>
      </c>
    </row>
    <row r="1161" spans="1:6">
      <c r="A1161" s="263">
        <v>1160</v>
      </c>
      <c r="B1161" s="263" t="s">
        <v>2335</v>
      </c>
      <c r="C1161" s="263" t="s">
        <v>2068</v>
      </c>
      <c r="D1161" s="263" t="s">
        <v>2328</v>
      </c>
      <c r="E1161" s="263" t="s">
        <v>2329</v>
      </c>
      <c r="F1161" s="263" t="s">
        <v>2171</v>
      </c>
    </row>
    <row r="1162" spans="1:6">
      <c r="A1162" s="263">
        <v>1161</v>
      </c>
      <c r="B1162" s="263" t="s">
        <v>2336</v>
      </c>
      <c r="C1162" s="263" t="s">
        <v>348</v>
      </c>
      <c r="D1162" s="263" t="s">
        <v>2328</v>
      </c>
      <c r="E1162" s="263" t="s">
        <v>2329</v>
      </c>
      <c r="F1162" s="263" t="s">
        <v>2171</v>
      </c>
    </row>
    <row r="1163" spans="1:6">
      <c r="A1163" s="263">
        <v>1162</v>
      </c>
      <c r="B1163" s="263" t="s">
        <v>2337</v>
      </c>
      <c r="C1163" s="263" t="s">
        <v>164</v>
      </c>
      <c r="D1163" s="263" t="s">
        <v>2328</v>
      </c>
      <c r="E1163" s="263" t="s">
        <v>2329</v>
      </c>
      <c r="F1163" s="263" t="s">
        <v>2171</v>
      </c>
    </row>
    <row r="1164" spans="1:6">
      <c r="A1164" s="263">
        <v>1163</v>
      </c>
      <c r="B1164" s="263" t="s">
        <v>2338</v>
      </c>
      <c r="C1164" s="263" t="s">
        <v>2339</v>
      </c>
      <c r="D1164" s="263" t="s">
        <v>2328</v>
      </c>
      <c r="E1164" s="263" t="s">
        <v>2329</v>
      </c>
      <c r="F1164" s="263" t="s">
        <v>2171</v>
      </c>
    </row>
    <row r="1165" spans="1:6">
      <c r="A1165" s="263">
        <v>1164</v>
      </c>
      <c r="B1165" s="263" t="s">
        <v>2340</v>
      </c>
      <c r="C1165" s="263" t="s">
        <v>420</v>
      </c>
      <c r="D1165" s="263" t="s">
        <v>2328</v>
      </c>
      <c r="E1165" s="263" t="s">
        <v>2329</v>
      </c>
      <c r="F1165" s="263" t="s">
        <v>2171</v>
      </c>
    </row>
    <row r="1166" spans="1:6">
      <c r="A1166" s="263">
        <v>1165</v>
      </c>
      <c r="B1166" s="263" t="s">
        <v>2341</v>
      </c>
      <c r="C1166" s="263" t="s">
        <v>351</v>
      </c>
      <c r="D1166" s="263" t="s">
        <v>2328</v>
      </c>
      <c r="E1166" s="263" t="s">
        <v>2329</v>
      </c>
      <c r="F1166" s="263" t="s">
        <v>2171</v>
      </c>
    </row>
    <row r="1167" spans="1:6">
      <c r="A1167" s="263">
        <v>1166</v>
      </c>
      <c r="B1167" s="263" t="s">
        <v>2342</v>
      </c>
      <c r="C1167" s="263" t="s">
        <v>80</v>
      </c>
      <c r="D1167" s="263" t="s">
        <v>2328</v>
      </c>
      <c r="E1167" s="263" t="s">
        <v>2329</v>
      </c>
      <c r="F1167" s="263" t="s">
        <v>2171</v>
      </c>
    </row>
    <row r="1168" spans="1:6">
      <c r="A1168" s="263">
        <v>1167</v>
      </c>
      <c r="B1168" s="263" t="s">
        <v>2343</v>
      </c>
      <c r="C1168" s="263" t="s">
        <v>2344</v>
      </c>
      <c r="D1168" s="263" t="s">
        <v>2328</v>
      </c>
      <c r="E1168" s="263" t="s">
        <v>2329</v>
      </c>
      <c r="F1168" s="263" t="s">
        <v>2171</v>
      </c>
    </row>
    <row r="1169" spans="1:6">
      <c r="A1169" s="263">
        <v>1168</v>
      </c>
      <c r="B1169" s="263" t="s">
        <v>2345</v>
      </c>
      <c r="C1169" s="263" t="s">
        <v>334</v>
      </c>
      <c r="D1169" s="263" t="s">
        <v>2328</v>
      </c>
      <c r="E1169" s="263" t="s">
        <v>2329</v>
      </c>
      <c r="F1169" s="263" t="s">
        <v>2171</v>
      </c>
    </row>
    <row r="1170" spans="1:6">
      <c r="A1170" s="263">
        <v>1169</v>
      </c>
      <c r="B1170" s="263" t="s">
        <v>2346</v>
      </c>
      <c r="C1170" s="263" t="s">
        <v>2347</v>
      </c>
      <c r="D1170" s="263" t="s">
        <v>2348</v>
      </c>
      <c r="E1170" s="263" t="s">
        <v>2349</v>
      </c>
      <c r="F1170" s="263" t="s">
        <v>2171</v>
      </c>
    </row>
    <row r="1171" spans="1:6">
      <c r="A1171" s="263">
        <v>1170</v>
      </c>
      <c r="B1171" s="263" t="s">
        <v>2350</v>
      </c>
      <c r="C1171" s="263" t="s">
        <v>2351</v>
      </c>
      <c r="D1171" s="263" t="s">
        <v>2348</v>
      </c>
      <c r="E1171" s="263" t="s">
        <v>2349</v>
      </c>
      <c r="F1171" s="263" t="s">
        <v>2171</v>
      </c>
    </row>
    <row r="1172" spans="1:6">
      <c r="A1172" s="263">
        <v>1171</v>
      </c>
      <c r="B1172" s="263" t="s">
        <v>2352</v>
      </c>
      <c r="C1172" s="263" t="s">
        <v>2353</v>
      </c>
      <c r="D1172" s="263" t="s">
        <v>2348</v>
      </c>
      <c r="E1172" s="263" t="s">
        <v>2349</v>
      </c>
      <c r="F1172" s="263" t="s">
        <v>2171</v>
      </c>
    </row>
    <row r="1173" spans="1:6">
      <c r="A1173" s="263">
        <v>1172</v>
      </c>
      <c r="B1173" s="263" t="s">
        <v>2354</v>
      </c>
      <c r="C1173" s="263" t="s">
        <v>122</v>
      </c>
      <c r="D1173" s="263" t="s">
        <v>2348</v>
      </c>
      <c r="E1173" s="263" t="s">
        <v>2349</v>
      </c>
      <c r="F1173" s="263" t="s">
        <v>2171</v>
      </c>
    </row>
    <row r="1174" spans="1:6">
      <c r="A1174" s="263">
        <v>1173</v>
      </c>
      <c r="B1174" s="263" t="s">
        <v>2355</v>
      </c>
      <c r="C1174" s="263" t="s">
        <v>923</v>
      </c>
      <c r="D1174" s="263" t="s">
        <v>2348</v>
      </c>
      <c r="E1174" s="263" t="s">
        <v>2349</v>
      </c>
      <c r="F1174" s="263" t="s">
        <v>2171</v>
      </c>
    </row>
    <row r="1175" spans="1:6">
      <c r="A1175" s="263">
        <v>1174</v>
      </c>
      <c r="B1175" s="263" t="s">
        <v>2356</v>
      </c>
      <c r="C1175" s="263" t="s">
        <v>2357</v>
      </c>
      <c r="D1175" s="263" t="s">
        <v>2348</v>
      </c>
      <c r="E1175" s="263" t="s">
        <v>2349</v>
      </c>
      <c r="F1175" s="263" t="s">
        <v>2171</v>
      </c>
    </row>
    <row r="1176" spans="1:6">
      <c r="A1176" s="263">
        <v>1175</v>
      </c>
      <c r="B1176" s="263" t="s">
        <v>2358</v>
      </c>
      <c r="C1176" s="263" t="s">
        <v>2359</v>
      </c>
      <c r="D1176" s="263" t="s">
        <v>2348</v>
      </c>
      <c r="E1176" s="263" t="s">
        <v>2349</v>
      </c>
      <c r="F1176" s="263" t="s">
        <v>2171</v>
      </c>
    </row>
    <row r="1177" spans="1:6">
      <c r="A1177" s="263">
        <v>1176</v>
      </c>
      <c r="B1177" s="263" t="s">
        <v>2360</v>
      </c>
      <c r="C1177" s="263" t="s">
        <v>1936</v>
      </c>
      <c r="D1177" s="263" t="s">
        <v>2348</v>
      </c>
      <c r="E1177" s="263" t="s">
        <v>2349</v>
      </c>
      <c r="F1177" s="263" t="s">
        <v>2171</v>
      </c>
    </row>
    <row r="1178" spans="1:6">
      <c r="A1178" s="263">
        <v>1177</v>
      </c>
      <c r="B1178" s="263" t="s">
        <v>2361</v>
      </c>
      <c r="C1178" s="263" t="s">
        <v>2362</v>
      </c>
      <c r="D1178" s="263" t="s">
        <v>2348</v>
      </c>
      <c r="E1178" s="263" t="s">
        <v>2349</v>
      </c>
      <c r="F1178" s="263" t="s">
        <v>2171</v>
      </c>
    </row>
    <row r="1179" spans="1:6">
      <c r="A1179" s="263">
        <v>1178</v>
      </c>
      <c r="B1179" s="263" t="s">
        <v>2363</v>
      </c>
      <c r="C1179" s="263" t="s">
        <v>1737</v>
      </c>
      <c r="D1179" s="263" t="s">
        <v>2348</v>
      </c>
      <c r="E1179" s="263" t="s">
        <v>2349</v>
      </c>
      <c r="F1179" s="263" t="s">
        <v>2171</v>
      </c>
    </row>
    <row r="1180" spans="1:6">
      <c r="A1180" s="263">
        <v>1179</v>
      </c>
      <c r="B1180" s="263" t="s">
        <v>2364</v>
      </c>
      <c r="C1180" s="263" t="s">
        <v>2365</v>
      </c>
      <c r="D1180" s="263" t="s">
        <v>2348</v>
      </c>
      <c r="E1180" s="263" t="s">
        <v>2349</v>
      </c>
      <c r="F1180" s="263" t="s">
        <v>2171</v>
      </c>
    </row>
    <row r="1181" spans="1:6">
      <c r="A1181" s="263">
        <v>1180</v>
      </c>
      <c r="B1181" s="263" t="s">
        <v>2366</v>
      </c>
      <c r="C1181" s="263" t="s">
        <v>1713</v>
      </c>
      <c r="D1181" s="263" t="s">
        <v>2348</v>
      </c>
      <c r="E1181" s="263" t="s">
        <v>2349</v>
      </c>
      <c r="F1181" s="263" t="s">
        <v>2171</v>
      </c>
    </row>
    <row r="1182" spans="1:6">
      <c r="A1182" s="263">
        <v>1181</v>
      </c>
      <c r="B1182" s="263" t="s">
        <v>2367</v>
      </c>
      <c r="C1182" s="263" t="s">
        <v>2368</v>
      </c>
      <c r="D1182" s="263" t="s">
        <v>2348</v>
      </c>
      <c r="E1182" s="263" t="s">
        <v>2349</v>
      </c>
      <c r="F1182" s="263" t="s">
        <v>2171</v>
      </c>
    </row>
    <row r="1183" spans="1:6">
      <c r="A1183" s="263">
        <v>1182</v>
      </c>
      <c r="B1183" s="263" t="s">
        <v>2369</v>
      </c>
      <c r="C1183" s="263" t="s">
        <v>628</v>
      </c>
      <c r="D1183" s="263" t="s">
        <v>2370</v>
      </c>
      <c r="E1183" s="263" t="s">
        <v>2371</v>
      </c>
      <c r="F1183" s="263" t="s">
        <v>2171</v>
      </c>
    </row>
    <row r="1184" spans="1:6">
      <c r="A1184" s="263">
        <v>1183</v>
      </c>
      <c r="B1184" s="263" t="s">
        <v>2372</v>
      </c>
      <c r="C1184" s="263" t="s">
        <v>2373</v>
      </c>
      <c r="D1184" s="263" t="s">
        <v>2370</v>
      </c>
      <c r="E1184" s="263" t="s">
        <v>2371</v>
      </c>
      <c r="F1184" s="263" t="s">
        <v>2171</v>
      </c>
    </row>
    <row r="1185" spans="1:6">
      <c r="A1185" s="263">
        <v>1184</v>
      </c>
      <c r="B1185" s="263" t="s">
        <v>2374</v>
      </c>
      <c r="C1185" s="263" t="s">
        <v>632</v>
      </c>
      <c r="D1185" s="263" t="s">
        <v>2370</v>
      </c>
      <c r="E1185" s="263" t="s">
        <v>2371</v>
      </c>
      <c r="F1185" s="263" t="s">
        <v>2171</v>
      </c>
    </row>
    <row r="1186" spans="1:6">
      <c r="A1186" s="263">
        <v>1185</v>
      </c>
      <c r="B1186" s="263" t="s">
        <v>2375</v>
      </c>
      <c r="C1186" s="263" t="s">
        <v>634</v>
      </c>
      <c r="D1186" s="263" t="s">
        <v>2370</v>
      </c>
      <c r="E1186" s="263" t="s">
        <v>2371</v>
      </c>
      <c r="F1186" s="263" t="s">
        <v>2171</v>
      </c>
    </row>
    <row r="1187" spans="1:6">
      <c r="A1187" s="263">
        <v>1186</v>
      </c>
      <c r="B1187" s="263" t="s">
        <v>2376</v>
      </c>
      <c r="C1187" s="263" t="s">
        <v>1184</v>
      </c>
      <c r="D1187" s="263" t="s">
        <v>2370</v>
      </c>
      <c r="E1187" s="263" t="s">
        <v>2371</v>
      </c>
      <c r="F1187" s="263" t="s">
        <v>2171</v>
      </c>
    </row>
    <row r="1188" spans="1:6">
      <c r="A1188" s="263">
        <v>1187</v>
      </c>
      <c r="B1188" s="263" t="s">
        <v>2377</v>
      </c>
      <c r="C1188" s="263" t="s">
        <v>1187</v>
      </c>
      <c r="D1188" s="263" t="s">
        <v>2370</v>
      </c>
      <c r="E1188" s="263" t="s">
        <v>2371</v>
      </c>
      <c r="F1188" s="263" t="s">
        <v>2171</v>
      </c>
    </row>
    <row r="1189" spans="1:6">
      <c r="A1189" s="263">
        <v>1188</v>
      </c>
      <c r="B1189" s="263" t="s">
        <v>2378</v>
      </c>
      <c r="C1189" s="263" t="s">
        <v>2379</v>
      </c>
      <c r="D1189" s="263" t="s">
        <v>2370</v>
      </c>
      <c r="E1189" s="263" t="s">
        <v>2371</v>
      </c>
      <c r="F1189" s="263" t="s">
        <v>2171</v>
      </c>
    </row>
    <row r="1190" spans="1:6">
      <c r="A1190" s="263">
        <v>1189</v>
      </c>
      <c r="B1190" s="263" t="s">
        <v>2380</v>
      </c>
      <c r="C1190" s="263" t="s">
        <v>2381</v>
      </c>
      <c r="D1190" s="263" t="s">
        <v>2370</v>
      </c>
      <c r="E1190" s="263" t="s">
        <v>2371</v>
      </c>
      <c r="F1190" s="263" t="s">
        <v>2171</v>
      </c>
    </row>
    <row r="1191" spans="1:6">
      <c r="A1191" s="263">
        <v>1190</v>
      </c>
      <c r="B1191" s="263" t="s">
        <v>2382</v>
      </c>
      <c r="C1191" s="263" t="s">
        <v>104</v>
      </c>
      <c r="D1191" s="263" t="s">
        <v>2370</v>
      </c>
      <c r="E1191" s="263" t="s">
        <v>2371</v>
      </c>
      <c r="F1191" s="263" t="s">
        <v>2171</v>
      </c>
    </row>
    <row r="1192" spans="1:6">
      <c r="A1192" s="263">
        <v>1191</v>
      </c>
      <c r="B1192" s="263" t="s">
        <v>2383</v>
      </c>
      <c r="C1192" s="263" t="s">
        <v>2384</v>
      </c>
      <c r="D1192" s="263" t="s">
        <v>2370</v>
      </c>
      <c r="E1192" s="263" t="s">
        <v>2371</v>
      </c>
      <c r="F1192" s="263" t="s">
        <v>2171</v>
      </c>
    </row>
    <row r="1193" spans="1:6">
      <c r="A1193" s="263">
        <v>1192</v>
      </c>
      <c r="B1193" s="263" t="s">
        <v>2385</v>
      </c>
      <c r="C1193" s="263" t="s">
        <v>2386</v>
      </c>
      <c r="D1193" s="263" t="s">
        <v>2370</v>
      </c>
      <c r="E1193" s="263" t="s">
        <v>2371</v>
      </c>
      <c r="F1193" s="263" t="s">
        <v>2171</v>
      </c>
    </row>
    <row r="1194" spans="1:6">
      <c r="A1194" s="263">
        <v>1193</v>
      </c>
      <c r="B1194" s="263" t="s">
        <v>2387</v>
      </c>
      <c r="C1194" s="263" t="s">
        <v>2388</v>
      </c>
      <c r="D1194" s="263" t="s">
        <v>2370</v>
      </c>
      <c r="E1194" s="263" t="s">
        <v>2371</v>
      </c>
      <c r="F1194" s="263" t="s">
        <v>2171</v>
      </c>
    </row>
    <row r="1195" spans="1:6">
      <c r="A1195" s="263">
        <v>1194</v>
      </c>
      <c r="B1195" s="263" t="s">
        <v>2389</v>
      </c>
      <c r="C1195" s="263" t="s">
        <v>2390</v>
      </c>
      <c r="D1195" s="263" t="s">
        <v>2370</v>
      </c>
      <c r="E1195" s="263" t="s">
        <v>2371</v>
      </c>
      <c r="F1195" s="263" t="s">
        <v>2171</v>
      </c>
    </row>
    <row r="1196" spans="1:6">
      <c r="A1196" s="263">
        <v>1195</v>
      </c>
      <c r="B1196" s="263" t="s">
        <v>2391</v>
      </c>
      <c r="C1196" s="263" t="s">
        <v>2392</v>
      </c>
      <c r="D1196" s="263" t="s">
        <v>2370</v>
      </c>
      <c r="E1196" s="263" t="s">
        <v>2371</v>
      </c>
      <c r="F1196" s="263" t="s">
        <v>2171</v>
      </c>
    </row>
    <row r="1197" spans="1:6">
      <c r="A1197" s="263">
        <v>1196</v>
      </c>
      <c r="B1197" s="263" t="s">
        <v>2393</v>
      </c>
      <c r="C1197" s="263" t="s">
        <v>2394</v>
      </c>
      <c r="D1197" s="263" t="s">
        <v>2370</v>
      </c>
      <c r="E1197" s="263" t="s">
        <v>2371</v>
      </c>
      <c r="F1197" s="263" t="s">
        <v>2171</v>
      </c>
    </row>
    <row r="1198" spans="1:6">
      <c r="A1198" s="263">
        <v>1197</v>
      </c>
      <c r="B1198" s="263" t="s">
        <v>2395</v>
      </c>
      <c r="C1198" s="263" t="s">
        <v>628</v>
      </c>
      <c r="D1198" s="263" t="s">
        <v>2396</v>
      </c>
      <c r="E1198" s="263" t="s">
        <v>2397</v>
      </c>
      <c r="F1198" s="263" t="s">
        <v>2171</v>
      </c>
    </row>
    <row r="1199" spans="1:6">
      <c r="A1199" s="263">
        <v>1198</v>
      </c>
      <c r="B1199" s="263" t="s">
        <v>2398</v>
      </c>
      <c r="C1199" s="263" t="s">
        <v>632</v>
      </c>
      <c r="D1199" s="263" t="s">
        <v>2396</v>
      </c>
      <c r="E1199" s="263" t="s">
        <v>2397</v>
      </c>
      <c r="F1199" s="263" t="s">
        <v>2171</v>
      </c>
    </row>
    <row r="1200" spans="1:6">
      <c r="A1200" s="263">
        <v>1199</v>
      </c>
      <c r="B1200" s="263" t="s">
        <v>2399</v>
      </c>
      <c r="C1200" s="263" t="s">
        <v>634</v>
      </c>
      <c r="D1200" s="263" t="s">
        <v>2396</v>
      </c>
      <c r="E1200" s="263" t="s">
        <v>2397</v>
      </c>
      <c r="F1200" s="263" t="s">
        <v>2171</v>
      </c>
    </row>
    <row r="1201" spans="1:6">
      <c r="A1201" s="263">
        <v>1200</v>
      </c>
      <c r="B1201" s="263" t="s">
        <v>2400</v>
      </c>
      <c r="C1201" s="263" t="s">
        <v>1184</v>
      </c>
      <c r="D1201" s="263" t="s">
        <v>2396</v>
      </c>
      <c r="E1201" s="263" t="s">
        <v>2397</v>
      </c>
      <c r="F1201" s="263" t="s">
        <v>2171</v>
      </c>
    </row>
    <row r="1202" spans="1:6">
      <c r="A1202" s="263">
        <v>1201</v>
      </c>
      <c r="B1202" s="263" t="s">
        <v>2401</v>
      </c>
      <c r="C1202" s="263" t="s">
        <v>1788</v>
      </c>
      <c r="D1202" s="263" t="s">
        <v>2396</v>
      </c>
      <c r="E1202" s="263" t="s">
        <v>2397</v>
      </c>
      <c r="F1202" s="263" t="s">
        <v>2171</v>
      </c>
    </row>
    <row r="1203" spans="1:6">
      <c r="A1203" s="263">
        <v>1202</v>
      </c>
      <c r="B1203" s="263" t="s">
        <v>2402</v>
      </c>
      <c r="C1203" s="263" t="s">
        <v>2403</v>
      </c>
      <c r="D1203" s="263" t="s">
        <v>2396</v>
      </c>
      <c r="E1203" s="263" t="s">
        <v>2397</v>
      </c>
      <c r="F1203" s="263" t="s">
        <v>2171</v>
      </c>
    </row>
    <row r="1204" spans="1:6">
      <c r="A1204" s="263">
        <v>1203</v>
      </c>
      <c r="B1204" s="263" t="s">
        <v>2404</v>
      </c>
      <c r="C1204" s="263" t="s">
        <v>2405</v>
      </c>
      <c r="D1204" s="263" t="s">
        <v>2396</v>
      </c>
      <c r="E1204" s="263" t="s">
        <v>2397</v>
      </c>
      <c r="F1204" s="263" t="s">
        <v>2171</v>
      </c>
    </row>
    <row r="1205" spans="1:6">
      <c r="A1205" s="263">
        <v>1204</v>
      </c>
      <c r="B1205" s="263" t="s">
        <v>2406</v>
      </c>
      <c r="C1205" s="263" t="s">
        <v>2407</v>
      </c>
      <c r="D1205" s="263" t="s">
        <v>2396</v>
      </c>
      <c r="E1205" s="263" t="s">
        <v>2397</v>
      </c>
      <c r="F1205" s="263" t="s">
        <v>2171</v>
      </c>
    </row>
    <row r="1206" spans="1:6">
      <c r="A1206" s="263">
        <v>1205</v>
      </c>
      <c r="B1206" s="263" t="s">
        <v>2408</v>
      </c>
      <c r="C1206" s="263" t="s">
        <v>2409</v>
      </c>
      <c r="D1206" s="263" t="s">
        <v>2396</v>
      </c>
      <c r="E1206" s="263" t="s">
        <v>2397</v>
      </c>
      <c r="F1206" s="263" t="s">
        <v>2171</v>
      </c>
    </row>
    <row r="1207" spans="1:6">
      <c r="A1207" s="263">
        <v>1206</v>
      </c>
      <c r="B1207" s="263" t="s">
        <v>2410</v>
      </c>
      <c r="C1207" s="263" t="s">
        <v>1794</v>
      </c>
      <c r="D1207" s="263" t="s">
        <v>2411</v>
      </c>
      <c r="E1207" s="263" t="s">
        <v>2412</v>
      </c>
      <c r="F1207" s="263" t="s">
        <v>2171</v>
      </c>
    </row>
    <row r="1208" spans="1:6">
      <c r="A1208" s="263">
        <v>1207</v>
      </c>
      <c r="B1208" s="263" t="s">
        <v>2413</v>
      </c>
      <c r="C1208" s="263" t="s">
        <v>851</v>
      </c>
      <c r="D1208" s="263" t="s">
        <v>2411</v>
      </c>
      <c r="E1208" s="263" t="s">
        <v>2412</v>
      </c>
      <c r="F1208" s="263" t="s">
        <v>2171</v>
      </c>
    </row>
    <row r="1209" spans="1:6">
      <c r="A1209" s="263">
        <v>1208</v>
      </c>
      <c r="B1209" s="263" t="s">
        <v>2414</v>
      </c>
      <c r="C1209" s="263" t="s">
        <v>515</v>
      </c>
      <c r="D1209" s="263" t="s">
        <v>2411</v>
      </c>
      <c r="E1209" s="263" t="s">
        <v>2412</v>
      </c>
      <c r="F1209" s="263" t="s">
        <v>2171</v>
      </c>
    </row>
    <row r="1210" spans="1:6">
      <c r="A1210" s="263">
        <v>1209</v>
      </c>
      <c r="B1210" s="263" t="s">
        <v>2415</v>
      </c>
      <c r="C1210" s="263" t="s">
        <v>2416</v>
      </c>
      <c r="D1210" s="263" t="s">
        <v>2411</v>
      </c>
      <c r="E1210" s="263" t="s">
        <v>2412</v>
      </c>
      <c r="F1210" s="263" t="s">
        <v>2171</v>
      </c>
    </row>
    <row r="1211" spans="1:6">
      <c r="A1211" s="263">
        <v>1210</v>
      </c>
      <c r="B1211" s="263" t="s">
        <v>2417</v>
      </c>
      <c r="C1211" s="263" t="s">
        <v>2418</v>
      </c>
      <c r="D1211" s="263" t="s">
        <v>2411</v>
      </c>
      <c r="E1211" s="263" t="s">
        <v>2412</v>
      </c>
      <c r="F1211" s="263" t="s">
        <v>2171</v>
      </c>
    </row>
    <row r="1212" spans="1:6">
      <c r="A1212" s="263">
        <v>1211</v>
      </c>
      <c r="B1212" s="263" t="s">
        <v>2419</v>
      </c>
      <c r="C1212" s="263" t="s">
        <v>74</v>
      </c>
      <c r="D1212" s="263" t="s">
        <v>2411</v>
      </c>
      <c r="E1212" s="263" t="s">
        <v>2412</v>
      </c>
      <c r="F1212" s="263" t="s">
        <v>2171</v>
      </c>
    </row>
    <row r="1213" spans="1:6">
      <c r="A1213" s="263">
        <v>1212</v>
      </c>
      <c r="B1213" s="263" t="s">
        <v>2420</v>
      </c>
      <c r="C1213" s="263" t="s">
        <v>1135</v>
      </c>
      <c r="D1213" s="263" t="s">
        <v>2411</v>
      </c>
      <c r="E1213" s="263" t="s">
        <v>2412</v>
      </c>
      <c r="F1213" s="263" t="s">
        <v>2171</v>
      </c>
    </row>
    <row r="1214" spans="1:6">
      <c r="A1214" s="263">
        <v>1213</v>
      </c>
      <c r="B1214" s="263" t="s">
        <v>2421</v>
      </c>
      <c r="C1214" s="263" t="s">
        <v>2422</v>
      </c>
      <c r="D1214" s="263" t="s">
        <v>2423</v>
      </c>
      <c r="E1214" s="263" t="s">
        <v>2424</v>
      </c>
      <c r="F1214" s="263" t="s">
        <v>2425</v>
      </c>
    </row>
    <row r="1215" spans="1:6">
      <c r="A1215" s="263">
        <v>1214</v>
      </c>
      <c r="B1215" s="263" t="s">
        <v>2426</v>
      </c>
      <c r="C1215" s="263" t="s">
        <v>2427</v>
      </c>
      <c r="D1215" s="263" t="s">
        <v>2423</v>
      </c>
      <c r="E1215" s="263" t="s">
        <v>2424</v>
      </c>
      <c r="F1215" s="263" t="s">
        <v>2425</v>
      </c>
    </row>
    <row r="1216" spans="1:6">
      <c r="A1216" s="263">
        <v>1215</v>
      </c>
      <c r="B1216" s="263" t="s">
        <v>2428</v>
      </c>
      <c r="C1216" s="263" t="s">
        <v>42</v>
      </c>
      <c r="D1216" s="263" t="s">
        <v>2423</v>
      </c>
      <c r="E1216" s="263" t="s">
        <v>2424</v>
      </c>
      <c r="F1216" s="263" t="s">
        <v>2425</v>
      </c>
    </row>
    <row r="1217" spans="1:6">
      <c r="A1217" s="263">
        <v>1216</v>
      </c>
      <c r="B1217" s="263" t="s">
        <v>2429</v>
      </c>
      <c r="C1217" s="263" t="s">
        <v>2430</v>
      </c>
      <c r="D1217" s="263" t="s">
        <v>2423</v>
      </c>
      <c r="E1217" s="263" t="s">
        <v>2424</v>
      </c>
      <c r="F1217" s="263" t="s">
        <v>2425</v>
      </c>
    </row>
    <row r="1218" spans="1:6">
      <c r="A1218" s="263">
        <v>1217</v>
      </c>
      <c r="B1218" s="263" t="s">
        <v>2431</v>
      </c>
      <c r="C1218" s="263" t="s">
        <v>2007</v>
      </c>
      <c r="D1218" s="263" t="s">
        <v>2423</v>
      </c>
      <c r="E1218" s="263" t="s">
        <v>2424</v>
      </c>
      <c r="F1218" s="263" t="s">
        <v>2425</v>
      </c>
    </row>
    <row r="1219" spans="1:6">
      <c r="A1219" s="263">
        <v>1218</v>
      </c>
      <c r="B1219" s="263" t="s">
        <v>2432</v>
      </c>
      <c r="C1219" s="263" t="s">
        <v>2433</v>
      </c>
      <c r="D1219" s="263" t="s">
        <v>2423</v>
      </c>
      <c r="E1219" s="263" t="s">
        <v>2424</v>
      </c>
      <c r="F1219" s="263" t="s">
        <v>2425</v>
      </c>
    </row>
    <row r="1220" spans="1:6">
      <c r="A1220" s="263">
        <v>1219</v>
      </c>
      <c r="B1220" s="263" t="s">
        <v>2434</v>
      </c>
      <c r="C1220" s="263" t="s">
        <v>2435</v>
      </c>
      <c r="D1220" s="263" t="s">
        <v>2423</v>
      </c>
      <c r="E1220" s="263" t="s">
        <v>2424</v>
      </c>
      <c r="F1220" s="263" t="s">
        <v>2425</v>
      </c>
    </row>
    <row r="1221" spans="1:6">
      <c r="A1221" s="263">
        <v>1220</v>
      </c>
      <c r="B1221" s="263" t="s">
        <v>2436</v>
      </c>
      <c r="C1221" s="263" t="s">
        <v>2437</v>
      </c>
      <c r="D1221" s="263" t="s">
        <v>2423</v>
      </c>
      <c r="E1221" s="263" t="s">
        <v>2424</v>
      </c>
      <c r="F1221" s="263" t="s">
        <v>2425</v>
      </c>
    </row>
    <row r="1222" spans="1:6">
      <c r="A1222" s="263">
        <v>1221</v>
      </c>
      <c r="B1222" s="263" t="s">
        <v>2438</v>
      </c>
      <c r="C1222" s="263" t="s">
        <v>1379</v>
      </c>
      <c r="D1222" s="263" t="s">
        <v>2423</v>
      </c>
      <c r="E1222" s="263" t="s">
        <v>2424</v>
      </c>
      <c r="F1222" s="263" t="s">
        <v>2425</v>
      </c>
    </row>
    <row r="1223" spans="1:6">
      <c r="A1223" s="263">
        <v>1222</v>
      </c>
      <c r="B1223" s="263" t="s">
        <v>2439</v>
      </c>
      <c r="C1223" s="263" t="s">
        <v>2440</v>
      </c>
      <c r="D1223" s="263" t="s">
        <v>2423</v>
      </c>
      <c r="E1223" s="263" t="s">
        <v>2424</v>
      </c>
      <c r="F1223" s="263" t="s">
        <v>2425</v>
      </c>
    </row>
    <row r="1224" spans="1:6">
      <c r="A1224" s="263">
        <v>1223</v>
      </c>
      <c r="B1224" s="263" t="s">
        <v>2441</v>
      </c>
      <c r="C1224" s="263" t="s">
        <v>2442</v>
      </c>
      <c r="D1224" s="263" t="s">
        <v>2423</v>
      </c>
      <c r="E1224" s="263" t="s">
        <v>2424</v>
      </c>
      <c r="F1224" s="263" t="s">
        <v>2425</v>
      </c>
    </row>
    <row r="1225" spans="1:6">
      <c r="A1225" s="263">
        <v>1224</v>
      </c>
      <c r="B1225" s="263" t="s">
        <v>2443</v>
      </c>
      <c r="C1225" s="263" t="s">
        <v>2444</v>
      </c>
      <c r="D1225" s="263" t="s">
        <v>2423</v>
      </c>
      <c r="E1225" s="263" t="s">
        <v>2424</v>
      </c>
      <c r="F1225" s="263" t="s">
        <v>2425</v>
      </c>
    </row>
    <row r="1226" spans="1:6">
      <c r="A1226" s="263">
        <v>1225</v>
      </c>
      <c r="B1226" s="263" t="s">
        <v>2445</v>
      </c>
      <c r="C1226" s="263" t="s">
        <v>2446</v>
      </c>
      <c r="D1226" s="263" t="s">
        <v>2423</v>
      </c>
      <c r="E1226" s="263" t="s">
        <v>2424</v>
      </c>
      <c r="F1226" s="263" t="s">
        <v>2425</v>
      </c>
    </row>
    <row r="1227" spans="1:6">
      <c r="A1227" s="263">
        <v>1226</v>
      </c>
      <c r="B1227" s="263" t="s">
        <v>2447</v>
      </c>
      <c r="C1227" s="263" t="s">
        <v>567</v>
      </c>
      <c r="D1227" s="263" t="s">
        <v>2423</v>
      </c>
      <c r="E1227" s="263" t="s">
        <v>2424</v>
      </c>
      <c r="F1227" s="263" t="s">
        <v>2425</v>
      </c>
    </row>
    <row r="1228" spans="1:6">
      <c r="A1228" s="263">
        <v>1227</v>
      </c>
      <c r="B1228" s="263" t="s">
        <v>2448</v>
      </c>
      <c r="C1228" s="263" t="s">
        <v>2449</v>
      </c>
      <c r="D1228" s="263" t="s">
        <v>2423</v>
      </c>
      <c r="E1228" s="263" t="s">
        <v>2424</v>
      </c>
      <c r="F1228" s="263" t="s">
        <v>2425</v>
      </c>
    </row>
    <row r="1229" spans="1:6">
      <c r="A1229" s="263">
        <v>1228</v>
      </c>
      <c r="B1229" s="263" t="s">
        <v>2450</v>
      </c>
      <c r="C1229" s="263" t="s">
        <v>36</v>
      </c>
      <c r="D1229" s="263" t="s">
        <v>2423</v>
      </c>
      <c r="E1229" s="263" t="s">
        <v>2424</v>
      </c>
      <c r="F1229" s="263" t="s">
        <v>2425</v>
      </c>
    </row>
    <row r="1230" spans="1:6">
      <c r="A1230" s="263">
        <v>1229</v>
      </c>
      <c r="B1230" s="263" t="s">
        <v>2451</v>
      </c>
      <c r="C1230" s="263" t="s">
        <v>2452</v>
      </c>
      <c r="D1230" s="263" t="s">
        <v>2453</v>
      </c>
      <c r="E1230" s="263" t="s">
        <v>2454</v>
      </c>
      <c r="F1230" s="263" t="s">
        <v>2425</v>
      </c>
    </row>
    <row r="1231" spans="1:6">
      <c r="A1231" s="263">
        <v>1230</v>
      </c>
      <c r="B1231" s="263" t="s">
        <v>2455</v>
      </c>
      <c r="C1231" s="263" t="s">
        <v>2456</v>
      </c>
      <c r="D1231" s="263" t="s">
        <v>2453</v>
      </c>
      <c r="E1231" s="263" t="s">
        <v>2454</v>
      </c>
      <c r="F1231" s="263" t="s">
        <v>2425</v>
      </c>
    </row>
    <row r="1232" spans="1:6">
      <c r="A1232" s="263">
        <v>1231</v>
      </c>
      <c r="B1232" s="263" t="s">
        <v>2457</v>
      </c>
      <c r="C1232" s="263" t="s">
        <v>2458</v>
      </c>
      <c r="D1232" s="263" t="s">
        <v>2453</v>
      </c>
      <c r="E1232" s="263" t="s">
        <v>2454</v>
      </c>
      <c r="F1232" s="263" t="s">
        <v>2425</v>
      </c>
    </row>
    <row r="1233" spans="1:6">
      <c r="A1233" s="263">
        <v>1232</v>
      </c>
      <c r="B1233" s="263" t="s">
        <v>2459</v>
      </c>
      <c r="C1233" s="263" t="s">
        <v>144</v>
      </c>
      <c r="D1233" s="263" t="s">
        <v>2453</v>
      </c>
      <c r="E1233" s="263" t="s">
        <v>2454</v>
      </c>
      <c r="F1233" s="263" t="s">
        <v>2425</v>
      </c>
    </row>
    <row r="1234" spans="1:6">
      <c r="A1234" s="263">
        <v>1233</v>
      </c>
      <c r="B1234" s="263" t="s">
        <v>2460</v>
      </c>
      <c r="C1234" s="263" t="s">
        <v>2461</v>
      </c>
      <c r="D1234" s="263" t="s">
        <v>2453</v>
      </c>
      <c r="E1234" s="263" t="s">
        <v>2454</v>
      </c>
      <c r="F1234" s="263" t="s">
        <v>2425</v>
      </c>
    </row>
    <row r="1235" spans="1:6">
      <c r="A1235" s="263">
        <v>1234</v>
      </c>
      <c r="B1235" s="263" t="s">
        <v>2462</v>
      </c>
      <c r="C1235" s="263" t="s">
        <v>2463</v>
      </c>
      <c r="D1235" s="263" t="s">
        <v>2453</v>
      </c>
      <c r="E1235" s="263" t="s">
        <v>2454</v>
      </c>
      <c r="F1235" s="263" t="s">
        <v>2425</v>
      </c>
    </row>
    <row r="1236" spans="1:6">
      <c r="A1236" s="263">
        <v>1235</v>
      </c>
      <c r="B1236" s="263" t="s">
        <v>2464</v>
      </c>
      <c r="C1236" s="263" t="s">
        <v>1733</v>
      </c>
      <c r="D1236" s="263" t="s">
        <v>2453</v>
      </c>
      <c r="E1236" s="263" t="s">
        <v>2454</v>
      </c>
      <c r="F1236" s="263" t="s">
        <v>2425</v>
      </c>
    </row>
    <row r="1237" spans="1:6">
      <c r="A1237" s="263">
        <v>1236</v>
      </c>
      <c r="B1237" s="263" t="s">
        <v>2465</v>
      </c>
      <c r="C1237" s="263" t="s">
        <v>2466</v>
      </c>
      <c r="D1237" s="263" t="s">
        <v>2467</v>
      </c>
      <c r="E1237" s="263" t="s">
        <v>2468</v>
      </c>
      <c r="F1237" s="263" t="s">
        <v>2425</v>
      </c>
    </row>
    <row r="1238" spans="1:6">
      <c r="A1238" s="263">
        <v>1237</v>
      </c>
      <c r="B1238" s="263" t="s">
        <v>2469</v>
      </c>
      <c r="C1238" s="263" t="s">
        <v>2470</v>
      </c>
      <c r="D1238" s="263" t="s">
        <v>2467</v>
      </c>
      <c r="E1238" s="263" t="s">
        <v>2468</v>
      </c>
      <c r="F1238" s="263" t="s">
        <v>2425</v>
      </c>
    </row>
    <row r="1239" spans="1:6">
      <c r="A1239" s="263">
        <v>1238</v>
      </c>
      <c r="B1239" s="263" t="s">
        <v>2471</v>
      </c>
      <c r="C1239" s="263" t="s">
        <v>218</v>
      </c>
      <c r="D1239" s="263" t="s">
        <v>2467</v>
      </c>
      <c r="E1239" s="263" t="s">
        <v>2468</v>
      </c>
      <c r="F1239" s="263" t="s">
        <v>2425</v>
      </c>
    </row>
    <row r="1240" spans="1:6">
      <c r="A1240" s="263">
        <v>1239</v>
      </c>
      <c r="B1240" s="263" t="s">
        <v>2472</v>
      </c>
      <c r="C1240" s="263" t="s">
        <v>46</v>
      </c>
      <c r="D1240" s="263" t="s">
        <v>2467</v>
      </c>
      <c r="E1240" s="263" t="s">
        <v>2468</v>
      </c>
      <c r="F1240" s="263" t="s">
        <v>2425</v>
      </c>
    </row>
    <row r="1241" spans="1:6">
      <c r="A1241" s="263">
        <v>1240</v>
      </c>
      <c r="B1241" s="263" t="s">
        <v>2473</v>
      </c>
      <c r="C1241" s="263" t="s">
        <v>1375</v>
      </c>
      <c r="D1241" s="263" t="s">
        <v>2467</v>
      </c>
      <c r="E1241" s="263" t="s">
        <v>2468</v>
      </c>
      <c r="F1241" s="263" t="s">
        <v>2425</v>
      </c>
    </row>
    <row r="1242" spans="1:6">
      <c r="A1242" s="263">
        <v>1241</v>
      </c>
      <c r="B1242" s="263" t="s">
        <v>2474</v>
      </c>
      <c r="C1242" s="263" t="s">
        <v>2475</v>
      </c>
      <c r="D1242" s="263" t="s">
        <v>2467</v>
      </c>
      <c r="E1242" s="263" t="s">
        <v>2468</v>
      </c>
      <c r="F1242" s="263" t="s">
        <v>2425</v>
      </c>
    </row>
    <row r="1243" spans="1:6">
      <c r="A1243" s="263">
        <v>1242</v>
      </c>
      <c r="B1243" s="263" t="s">
        <v>2476</v>
      </c>
      <c r="C1243" s="263" t="s">
        <v>2477</v>
      </c>
      <c r="D1243" s="263" t="s">
        <v>2467</v>
      </c>
      <c r="E1243" s="263" t="s">
        <v>2468</v>
      </c>
      <c r="F1243" s="263" t="s">
        <v>2425</v>
      </c>
    </row>
    <row r="1244" spans="1:6">
      <c r="A1244" s="263">
        <v>1243</v>
      </c>
      <c r="B1244" s="263" t="s">
        <v>2478</v>
      </c>
      <c r="C1244" s="263" t="s">
        <v>2479</v>
      </c>
      <c r="D1244" s="263" t="s">
        <v>2467</v>
      </c>
      <c r="E1244" s="263" t="s">
        <v>2468</v>
      </c>
      <c r="F1244" s="263" t="s">
        <v>2425</v>
      </c>
    </row>
    <row r="1245" spans="1:6">
      <c r="A1245" s="263">
        <v>1244</v>
      </c>
      <c r="B1245" s="263" t="s">
        <v>2480</v>
      </c>
      <c r="C1245" s="263" t="s">
        <v>2481</v>
      </c>
      <c r="D1245" s="263" t="s">
        <v>2467</v>
      </c>
      <c r="E1245" s="263" t="s">
        <v>2468</v>
      </c>
      <c r="F1245" s="263" t="s">
        <v>2425</v>
      </c>
    </row>
    <row r="1246" spans="1:6">
      <c r="A1246" s="263">
        <v>1245</v>
      </c>
      <c r="B1246" s="263" t="s">
        <v>2482</v>
      </c>
      <c r="C1246" s="263" t="s">
        <v>1133</v>
      </c>
      <c r="D1246" s="263" t="s">
        <v>2467</v>
      </c>
      <c r="E1246" s="263" t="s">
        <v>2468</v>
      </c>
      <c r="F1246" s="263" t="s">
        <v>2425</v>
      </c>
    </row>
    <row r="1247" spans="1:6">
      <c r="A1247" s="263">
        <v>1246</v>
      </c>
      <c r="B1247" s="263" t="s">
        <v>2483</v>
      </c>
      <c r="C1247" s="263" t="s">
        <v>1002</v>
      </c>
      <c r="D1247" s="263" t="s">
        <v>2467</v>
      </c>
      <c r="E1247" s="263" t="s">
        <v>2468</v>
      </c>
      <c r="F1247" s="263" t="s">
        <v>2425</v>
      </c>
    </row>
    <row r="1248" spans="1:6">
      <c r="A1248" s="263">
        <v>1247</v>
      </c>
      <c r="B1248" s="263" t="s">
        <v>2484</v>
      </c>
      <c r="C1248" s="263" t="s">
        <v>2485</v>
      </c>
      <c r="D1248" s="263" t="s">
        <v>2467</v>
      </c>
      <c r="E1248" s="263" t="s">
        <v>2468</v>
      </c>
      <c r="F1248" s="263" t="s">
        <v>2425</v>
      </c>
    </row>
    <row r="1249" spans="1:6">
      <c r="A1249" s="263">
        <v>1248</v>
      </c>
      <c r="B1249" s="263" t="s">
        <v>2486</v>
      </c>
      <c r="C1249" s="263" t="s">
        <v>2487</v>
      </c>
      <c r="D1249" s="263" t="s">
        <v>2467</v>
      </c>
      <c r="E1249" s="263" t="s">
        <v>2468</v>
      </c>
      <c r="F1249" s="263" t="s">
        <v>2425</v>
      </c>
    </row>
    <row r="1250" spans="1:6">
      <c r="A1250" s="263">
        <v>1249</v>
      </c>
      <c r="B1250" s="263" t="s">
        <v>2488</v>
      </c>
      <c r="C1250" s="263" t="s">
        <v>2219</v>
      </c>
      <c r="D1250" s="263" t="s">
        <v>2467</v>
      </c>
      <c r="E1250" s="263" t="s">
        <v>2468</v>
      </c>
      <c r="F1250" s="263" t="s">
        <v>2425</v>
      </c>
    </row>
    <row r="1251" spans="1:6">
      <c r="A1251" s="263">
        <v>1250</v>
      </c>
      <c r="B1251" s="263" t="s">
        <v>2489</v>
      </c>
      <c r="C1251" s="263" t="s">
        <v>2490</v>
      </c>
      <c r="D1251" s="263" t="s">
        <v>2467</v>
      </c>
      <c r="E1251" s="263" t="s">
        <v>2468</v>
      </c>
      <c r="F1251" s="263" t="s">
        <v>2425</v>
      </c>
    </row>
    <row r="1252" spans="1:6">
      <c r="A1252" s="263">
        <v>1251</v>
      </c>
      <c r="B1252" s="263" t="s">
        <v>2491</v>
      </c>
      <c r="C1252" s="263" t="s">
        <v>2492</v>
      </c>
      <c r="D1252" s="263" t="s">
        <v>2467</v>
      </c>
      <c r="E1252" s="263" t="s">
        <v>2468</v>
      </c>
      <c r="F1252" s="263" t="s">
        <v>2425</v>
      </c>
    </row>
    <row r="1253" spans="1:6">
      <c r="A1253" s="263">
        <v>1252</v>
      </c>
      <c r="B1253" s="263" t="s">
        <v>2493</v>
      </c>
      <c r="C1253" s="263" t="s">
        <v>2494</v>
      </c>
      <c r="D1253" s="263" t="s">
        <v>2467</v>
      </c>
      <c r="E1253" s="263" t="s">
        <v>2468</v>
      </c>
      <c r="F1253" s="263" t="s">
        <v>2425</v>
      </c>
    </row>
    <row r="1254" spans="1:6">
      <c r="A1254" s="263">
        <v>1253</v>
      </c>
      <c r="B1254" s="263" t="s">
        <v>2495</v>
      </c>
      <c r="C1254" s="263" t="s">
        <v>2496</v>
      </c>
      <c r="D1254" s="263" t="s">
        <v>2467</v>
      </c>
      <c r="E1254" s="263" t="s">
        <v>2468</v>
      </c>
      <c r="F1254" s="263" t="s">
        <v>2425</v>
      </c>
    </row>
    <row r="1255" spans="1:6">
      <c r="A1255" s="263">
        <v>1254</v>
      </c>
      <c r="B1255" s="263" t="s">
        <v>2497</v>
      </c>
      <c r="C1255" s="263" t="s">
        <v>1676</v>
      </c>
      <c r="D1255" s="263" t="s">
        <v>2467</v>
      </c>
      <c r="E1255" s="263" t="s">
        <v>2468</v>
      </c>
      <c r="F1255" s="263" t="s">
        <v>2425</v>
      </c>
    </row>
    <row r="1256" spans="1:6">
      <c r="A1256" s="263">
        <v>1255</v>
      </c>
      <c r="B1256" s="263" t="s">
        <v>2498</v>
      </c>
      <c r="C1256" s="263" t="s">
        <v>2499</v>
      </c>
      <c r="D1256" s="263" t="s">
        <v>2467</v>
      </c>
      <c r="E1256" s="263" t="s">
        <v>2468</v>
      </c>
      <c r="F1256" s="263" t="s">
        <v>2425</v>
      </c>
    </row>
    <row r="1257" spans="1:6">
      <c r="A1257" s="263">
        <v>1256</v>
      </c>
      <c r="B1257" s="263" t="s">
        <v>2500</v>
      </c>
      <c r="C1257" s="263" t="s">
        <v>2501</v>
      </c>
      <c r="D1257" s="263" t="s">
        <v>2467</v>
      </c>
      <c r="E1257" s="263" t="s">
        <v>2468</v>
      </c>
      <c r="F1257" s="263" t="s">
        <v>2425</v>
      </c>
    </row>
    <row r="1258" spans="1:6">
      <c r="A1258" s="263">
        <v>1257</v>
      </c>
      <c r="B1258" s="263" t="s">
        <v>2502</v>
      </c>
      <c r="C1258" s="263" t="s">
        <v>2503</v>
      </c>
      <c r="D1258" s="263" t="s">
        <v>2504</v>
      </c>
      <c r="E1258" s="263" t="s">
        <v>2505</v>
      </c>
      <c r="F1258" s="263" t="s">
        <v>2425</v>
      </c>
    </row>
    <row r="1259" spans="1:6">
      <c r="A1259" s="263">
        <v>1258</v>
      </c>
      <c r="B1259" s="263" t="s">
        <v>2506</v>
      </c>
      <c r="C1259" s="263" t="s">
        <v>2507</v>
      </c>
      <c r="D1259" s="263" t="s">
        <v>2504</v>
      </c>
      <c r="E1259" s="263" t="s">
        <v>2505</v>
      </c>
      <c r="F1259" s="263" t="s">
        <v>2425</v>
      </c>
    </row>
    <row r="1260" spans="1:6">
      <c r="A1260" s="263">
        <v>1259</v>
      </c>
      <c r="B1260" s="263" t="s">
        <v>2508</v>
      </c>
      <c r="C1260" s="263" t="s">
        <v>2509</v>
      </c>
      <c r="D1260" s="263" t="s">
        <v>2504</v>
      </c>
      <c r="E1260" s="263" t="s">
        <v>2505</v>
      </c>
      <c r="F1260" s="263" t="s">
        <v>2425</v>
      </c>
    </row>
    <row r="1261" spans="1:6">
      <c r="A1261" s="263">
        <v>1260</v>
      </c>
      <c r="B1261" s="263" t="s">
        <v>2510</v>
      </c>
      <c r="C1261" s="263" t="s">
        <v>418</v>
      </c>
      <c r="D1261" s="263" t="s">
        <v>2504</v>
      </c>
      <c r="E1261" s="263" t="s">
        <v>2505</v>
      </c>
      <c r="F1261" s="263" t="s">
        <v>2425</v>
      </c>
    </row>
    <row r="1262" spans="1:6">
      <c r="A1262" s="263">
        <v>1261</v>
      </c>
      <c r="B1262" s="263" t="s">
        <v>2511</v>
      </c>
      <c r="C1262" s="263" t="s">
        <v>2512</v>
      </c>
      <c r="D1262" s="263" t="s">
        <v>2504</v>
      </c>
      <c r="E1262" s="263" t="s">
        <v>2505</v>
      </c>
      <c r="F1262" s="263" t="s">
        <v>2425</v>
      </c>
    </row>
    <row r="1263" spans="1:6">
      <c r="A1263" s="263">
        <v>1262</v>
      </c>
      <c r="B1263" s="263" t="s">
        <v>2513</v>
      </c>
      <c r="C1263" s="263" t="s">
        <v>939</v>
      </c>
      <c r="D1263" s="263" t="s">
        <v>2504</v>
      </c>
      <c r="E1263" s="263" t="s">
        <v>2505</v>
      </c>
      <c r="F1263" s="263" t="s">
        <v>2425</v>
      </c>
    </row>
    <row r="1264" spans="1:6">
      <c r="A1264" s="263">
        <v>1263</v>
      </c>
      <c r="B1264" s="263" t="s">
        <v>2514</v>
      </c>
      <c r="C1264" s="263" t="s">
        <v>2515</v>
      </c>
      <c r="D1264" s="263" t="s">
        <v>2504</v>
      </c>
      <c r="E1264" s="263" t="s">
        <v>2505</v>
      </c>
      <c r="F1264" s="263" t="s">
        <v>2425</v>
      </c>
    </row>
    <row r="1265" spans="1:6">
      <c r="A1265" s="263">
        <v>1264</v>
      </c>
      <c r="B1265" s="263" t="s">
        <v>2516</v>
      </c>
      <c r="C1265" s="263" t="s">
        <v>2517</v>
      </c>
      <c r="D1265" s="263" t="s">
        <v>2504</v>
      </c>
      <c r="E1265" s="263" t="s">
        <v>2505</v>
      </c>
      <c r="F1265" s="263" t="s">
        <v>2425</v>
      </c>
    </row>
    <row r="1266" spans="1:6">
      <c r="A1266" s="263">
        <v>1265</v>
      </c>
      <c r="B1266" s="263" t="s">
        <v>2518</v>
      </c>
      <c r="C1266" s="263" t="s">
        <v>2519</v>
      </c>
      <c r="D1266" s="263" t="s">
        <v>2504</v>
      </c>
      <c r="E1266" s="263" t="s">
        <v>2505</v>
      </c>
      <c r="F1266" s="263" t="s">
        <v>2425</v>
      </c>
    </row>
    <row r="1267" spans="1:6">
      <c r="A1267" s="263">
        <v>1266</v>
      </c>
      <c r="B1267" s="263" t="s">
        <v>2520</v>
      </c>
      <c r="C1267" s="263" t="s">
        <v>2521</v>
      </c>
      <c r="D1267" s="263" t="s">
        <v>2504</v>
      </c>
      <c r="E1267" s="263" t="s">
        <v>2505</v>
      </c>
      <c r="F1267" s="263" t="s">
        <v>2425</v>
      </c>
    </row>
    <row r="1268" spans="1:6">
      <c r="A1268" s="263">
        <v>1267</v>
      </c>
      <c r="B1268" s="263" t="s">
        <v>2522</v>
      </c>
      <c r="C1268" s="263" t="s">
        <v>2523</v>
      </c>
      <c r="D1268" s="263" t="s">
        <v>2504</v>
      </c>
      <c r="E1268" s="263" t="s">
        <v>2505</v>
      </c>
      <c r="F1268" s="263" t="s">
        <v>2425</v>
      </c>
    </row>
    <row r="1269" spans="1:6">
      <c r="A1269" s="263">
        <v>1268</v>
      </c>
      <c r="B1269" s="263" t="s">
        <v>2524</v>
      </c>
      <c r="C1269" s="263" t="s">
        <v>2525</v>
      </c>
      <c r="D1269" s="263" t="s">
        <v>2504</v>
      </c>
      <c r="E1269" s="263" t="s">
        <v>2505</v>
      </c>
      <c r="F1269" s="263" t="s">
        <v>2425</v>
      </c>
    </row>
    <row r="1270" spans="1:6">
      <c r="A1270" s="263">
        <v>1269</v>
      </c>
      <c r="B1270" s="263" t="s">
        <v>2526</v>
      </c>
      <c r="C1270" s="263" t="s">
        <v>2527</v>
      </c>
      <c r="D1270" s="263" t="s">
        <v>2528</v>
      </c>
      <c r="E1270" s="263" t="s">
        <v>2529</v>
      </c>
      <c r="F1270" s="263" t="s">
        <v>2425</v>
      </c>
    </row>
    <row r="1271" spans="1:6">
      <c r="A1271" s="263">
        <v>1270</v>
      </c>
      <c r="B1271" s="263" t="s">
        <v>2530</v>
      </c>
      <c r="C1271" s="263" t="s">
        <v>1896</v>
      </c>
      <c r="D1271" s="263" t="s">
        <v>2528</v>
      </c>
      <c r="E1271" s="263" t="s">
        <v>2529</v>
      </c>
      <c r="F1271" s="263" t="s">
        <v>2425</v>
      </c>
    </row>
    <row r="1272" spans="1:6">
      <c r="A1272" s="263">
        <v>1271</v>
      </c>
      <c r="B1272" s="263" t="s">
        <v>2531</v>
      </c>
      <c r="C1272" s="263" t="s">
        <v>1031</v>
      </c>
      <c r="D1272" s="263" t="s">
        <v>2528</v>
      </c>
      <c r="E1272" s="263" t="s">
        <v>2529</v>
      </c>
      <c r="F1272" s="263" t="s">
        <v>2425</v>
      </c>
    </row>
    <row r="1273" spans="1:6">
      <c r="A1273" s="263">
        <v>1272</v>
      </c>
      <c r="B1273" s="263" t="s">
        <v>2532</v>
      </c>
      <c r="C1273" s="263" t="s">
        <v>2533</v>
      </c>
      <c r="D1273" s="263" t="s">
        <v>2528</v>
      </c>
      <c r="E1273" s="263" t="s">
        <v>2529</v>
      </c>
      <c r="F1273" s="263" t="s">
        <v>2425</v>
      </c>
    </row>
    <row r="1274" spans="1:6">
      <c r="A1274" s="263">
        <v>1273</v>
      </c>
      <c r="B1274" s="263" t="s">
        <v>2534</v>
      </c>
      <c r="C1274" s="263" t="s">
        <v>162</v>
      </c>
      <c r="D1274" s="263" t="s">
        <v>2528</v>
      </c>
      <c r="E1274" s="263" t="s">
        <v>2529</v>
      </c>
      <c r="F1274" s="263" t="s">
        <v>2425</v>
      </c>
    </row>
    <row r="1275" spans="1:6">
      <c r="A1275" s="263">
        <v>1274</v>
      </c>
      <c r="B1275" s="263" t="s">
        <v>2535</v>
      </c>
      <c r="C1275" s="263" t="s">
        <v>2536</v>
      </c>
      <c r="D1275" s="263" t="s">
        <v>2528</v>
      </c>
      <c r="E1275" s="263" t="s">
        <v>2529</v>
      </c>
      <c r="F1275" s="263" t="s">
        <v>2425</v>
      </c>
    </row>
    <row r="1276" spans="1:6">
      <c r="A1276" s="263">
        <v>1275</v>
      </c>
      <c r="B1276" s="263" t="s">
        <v>2537</v>
      </c>
      <c r="C1276" s="263" t="s">
        <v>2538</v>
      </c>
      <c r="D1276" s="263" t="s">
        <v>2528</v>
      </c>
      <c r="E1276" s="263" t="s">
        <v>2529</v>
      </c>
      <c r="F1276" s="263" t="s">
        <v>2425</v>
      </c>
    </row>
    <row r="1277" spans="1:6">
      <c r="A1277" s="263">
        <v>1276</v>
      </c>
      <c r="B1277" s="263" t="s">
        <v>2539</v>
      </c>
      <c r="C1277" s="263" t="s">
        <v>2540</v>
      </c>
      <c r="D1277" s="263" t="s">
        <v>2541</v>
      </c>
      <c r="E1277" s="263" t="s">
        <v>2542</v>
      </c>
      <c r="F1277" s="263" t="s">
        <v>2425</v>
      </c>
    </row>
    <row r="1278" spans="1:6">
      <c r="A1278" s="263">
        <v>1277</v>
      </c>
      <c r="B1278" s="263" t="s">
        <v>2543</v>
      </c>
      <c r="C1278" s="263" t="s">
        <v>2544</v>
      </c>
      <c r="D1278" s="263" t="s">
        <v>2541</v>
      </c>
      <c r="E1278" s="263" t="s">
        <v>2542</v>
      </c>
      <c r="F1278" s="263" t="s">
        <v>2425</v>
      </c>
    </row>
    <row r="1279" spans="1:6">
      <c r="A1279" s="263">
        <v>1278</v>
      </c>
      <c r="B1279" s="263" t="s">
        <v>2545</v>
      </c>
      <c r="C1279" s="263" t="s">
        <v>2546</v>
      </c>
      <c r="D1279" s="263" t="s">
        <v>2541</v>
      </c>
      <c r="E1279" s="263" t="s">
        <v>2542</v>
      </c>
      <c r="F1279" s="263" t="s">
        <v>2425</v>
      </c>
    </row>
    <row r="1280" spans="1:6">
      <c r="A1280" s="263">
        <v>1279</v>
      </c>
      <c r="B1280" s="263" t="s">
        <v>2547</v>
      </c>
      <c r="C1280" s="263" t="s">
        <v>2548</v>
      </c>
      <c r="D1280" s="263" t="s">
        <v>2541</v>
      </c>
      <c r="E1280" s="263" t="s">
        <v>2542</v>
      </c>
      <c r="F1280" s="263" t="s">
        <v>2425</v>
      </c>
    </row>
    <row r="1281" spans="1:6">
      <c r="A1281" s="263">
        <v>1280</v>
      </c>
      <c r="B1281" s="263" t="s">
        <v>2549</v>
      </c>
      <c r="C1281" s="263" t="s">
        <v>2550</v>
      </c>
      <c r="D1281" s="263" t="s">
        <v>2541</v>
      </c>
      <c r="E1281" s="263" t="s">
        <v>2542</v>
      </c>
      <c r="F1281" s="263" t="s">
        <v>2425</v>
      </c>
    </row>
    <row r="1282" spans="1:6">
      <c r="A1282" s="263">
        <v>1281</v>
      </c>
      <c r="B1282" s="263" t="s">
        <v>2551</v>
      </c>
      <c r="C1282" s="263" t="s">
        <v>2552</v>
      </c>
      <c r="D1282" s="263" t="s">
        <v>2541</v>
      </c>
      <c r="E1282" s="263" t="s">
        <v>2542</v>
      </c>
      <c r="F1282" s="263" t="s">
        <v>2425</v>
      </c>
    </row>
    <row r="1283" spans="1:6">
      <c r="A1283" s="263">
        <v>1282</v>
      </c>
      <c r="B1283" s="263" t="s">
        <v>2553</v>
      </c>
      <c r="C1283" s="263" t="s">
        <v>2554</v>
      </c>
      <c r="D1283" s="263" t="s">
        <v>2541</v>
      </c>
      <c r="E1283" s="263" t="s">
        <v>2542</v>
      </c>
      <c r="F1283" s="263" t="s">
        <v>2425</v>
      </c>
    </row>
    <row r="1284" spans="1:6">
      <c r="A1284" s="263">
        <v>1283</v>
      </c>
      <c r="B1284" s="263" t="s">
        <v>2555</v>
      </c>
      <c r="C1284" s="263" t="s">
        <v>2556</v>
      </c>
      <c r="D1284" s="263" t="s">
        <v>2541</v>
      </c>
      <c r="E1284" s="263" t="s">
        <v>2542</v>
      </c>
      <c r="F1284" s="263" t="s">
        <v>2425</v>
      </c>
    </row>
    <row r="1285" spans="1:6">
      <c r="A1285" s="263">
        <v>1284</v>
      </c>
      <c r="B1285" s="263" t="s">
        <v>2557</v>
      </c>
      <c r="C1285" s="263" t="s">
        <v>460</v>
      </c>
      <c r="D1285" s="263" t="s">
        <v>2541</v>
      </c>
      <c r="E1285" s="263" t="s">
        <v>2542</v>
      </c>
      <c r="F1285" s="263" t="s">
        <v>2425</v>
      </c>
    </row>
    <row r="1286" spans="1:6">
      <c r="A1286" s="263">
        <v>1285</v>
      </c>
      <c r="B1286" s="263" t="s">
        <v>2558</v>
      </c>
      <c r="C1286" s="263" t="s">
        <v>2559</v>
      </c>
      <c r="D1286" s="263" t="s">
        <v>2541</v>
      </c>
      <c r="E1286" s="263" t="s">
        <v>2542</v>
      </c>
      <c r="F1286" s="263" t="s">
        <v>2425</v>
      </c>
    </row>
    <row r="1287" spans="1:6">
      <c r="A1287" s="263">
        <v>1286</v>
      </c>
      <c r="B1287" s="263" t="s">
        <v>2560</v>
      </c>
      <c r="C1287" s="263" t="s">
        <v>2561</v>
      </c>
      <c r="D1287" s="263" t="s">
        <v>2562</v>
      </c>
      <c r="E1287" s="263" t="s">
        <v>2563</v>
      </c>
      <c r="F1287" s="263" t="s">
        <v>2425</v>
      </c>
    </row>
    <row r="1288" spans="1:6">
      <c r="A1288" s="263">
        <v>1287</v>
      </c>
      <c r="B1288" s="263" t="s">
        <v>2564</v>
      </c>
      <c r="C1288" s="263" t="s">
        <v>2565</v>
      </c>
      <c r="D1288" s="263" t="s">
        <v>2562</v>
      </c>
      <c r="E1288" s="263" t="s">
        <v>2563</v>
      </c>
      <c r="F1288" s="263" t="s">
        <v>2425</v>
      </c>
    </row>
    <row r="1289" spans="1:6">
      <c r="A1289" s="263">
        <v>1288</v>
      </c>
      <c r="B1289" s="263" t="s">
        <v>2566</v>
      </c>
      <c r="C1289" s="263" t="s">
        <v>2567</v>
      </c>
      <c r="D1289" s="263" t="s">
        <v>2562</v>
      </c>
      <c r="E1289" s="263" t="s">
        <v>2563</v>
      </c>
      <c r="F1289" s="263" t="s">
        <v>2425</v>
      </c>
    </row>
    <row r="1290" spans="1:6">
      <c r="A1290" s="263">
        <v>1289</v>
      </c>
      <c r="B1290" s="263" t="s">
        <v>2568</v>
      </c>
      <c r="C1290" s="263" t="s">
        <v>2569</v>
      </c>
      <c r="D1290" s="263" t="s">
        <v>2562</v>
      </c>
      <c r="E1290" s="263" t="s">
        <v>2563</v>
      </c>
      <c r="F1290" s="263" t="s">
        <v>2425</v>
      </c>
    </row>
    <row r="1291" spans="1:6">
      <c r="A1291" s="263">
        <v>1290</v>
      </c>
      <c r="B1291" s="263" t="s">
        <v>2570</v>
      </c>
      <c r="C1291" s="263" t="s">
        <v>2571</v>
      </c>
      <c r="D1291" s="263" t="s">
        <v>2562</v>
      </c>
      <c r="E1291" s="263" t="s">
        <v>2563</v>
      </c>
      <c r="F1291" s="263" t="s">
        <v>2425</v>
      </c>
    </row>
    <row r="1292" spans="1:6">
      <c r="A1292" s="263">
        <v>1291</v>
      </c>
      <c r="B1292" s="263" t="s">
        <v>2572</v>
      </c>
      <c r="C1292" s="263" t="s">
        <v>2573</v>
      </c>
      <c r="D1292" s="263" t="s">
        <v>2562</v>
      </c>
      <c r="E1292" s="263" t="s">
        <v>2563</v>
      </c>
      <c r="F1292" s="263" t="s">
        <v>2425</v>
      </c>
    </row>
    <row r="1293" spans="1:6">
      <c r="A1293" s="263">
        <v>1292</v>
      </c>
      <c r="B1293" s="263" t="s">
        <v>2574</v>
      </c>
      <c r="C1293" s="263" t="s">
        <v>2575</v>
      </c>
      <c r="D1293" s="263" t="s">
        <v>2562</v>
      </c>
      <c r="E1293" s="263" t="s">
        <v>2563</v>
      </c>
      <c r="F1293" s="263" t="s">
        <v>2425</v>
      </c>
    </row>
    <row r="1294" spans="1:6">
      <c r="A1294" s="263">
        <v>1293</v>
      </c>
      <c r="B1294" s="263" t="s">
        <v>2576</v>
      </c>
      <c r="C1294" s="263" t="s">
        <v>2577</v>
      </c>
      <c r="D1294" s="263" t="s">
        <v>2562</v>
      </c>
      <c r="E1294" s="263" t="s">
        <v>2563</v>
      </c>
      <c r="F1294" s="263" t="s">
        <v>2425</v>
      </c>
    </row>
    <row r="1295" spans="1:6">
      <c r="A1295" s="263">
        <v>1294</v>
      </c>
      <c r="B1295" s="263" t="s">
        <v>2578</v>
      </c>
      <c r="C1295" s="263" t="s">
        <v>2579</v>
      </c>
      <c r="D1295" s="263" t="s">
        <v>2562</v>
      </c>
      <c r="E1295" s="263" t="s">
        <v>2563</v>
      </c>
      <c r="F1295" s="263" t="s">
        <v>2425</v>
      </c>
    </row>
    <row r="1296" spans="1:6">
      <c r="A1296" s="263">
        <v>1295</v>
      </c>
      <c r="B1296" s="263" t="s">
        <v>2580</v>
      </c>
      <c r="C1296" s="263" t="s">
        <v>2581</v>
      </c>
      <c r="D1296" s="263" t="s">
        <v>2562</v>
      </c>
      <c r="E1296" s="263" t="s">
        <v>2563</v>
      </c>
      <c r="F1296" s="263" t="s">
        <v>2425</v>
      </c>
    </row>
    <row r="1297" spans="1:6">
      <c r="A1297" s="263">
        <v>1296</v>
      </c>
      <c r="B1297" s="263" t="s">
        <v>2582</v>
      </c>
      <c r="C1297" s="263" t="s">
        <v>2373</v>
      </c>
      <c r="D1297" s="263" t="s">
        <v>2562</v>
      </c>
      <c r="E1297" s="263" t="s">
        <v>2563</v>
      </c>
      <c r="F1297" s="263" t="s">
        <v>2425</v>
      </c>
    </row>
    <row r="1298" spans="1:6">
      <c r="A1298" s="263">
        <v>1297</v>
      </c>
      <c r="B1298" s="263" t="s">
        <v>2583</v>
      </c>
      <c r="C1298" s="263" t="s">
        <v>2584</v>
      </c>
      <c r="D1298" s="263" t="s">
        <v>2562</v>
      </c>
      <c r="E1298" s="263" t="s">
        <v>2563</v>
      </c>
      <c r="F1298" s="263" t="s">
        <v>2425</v>
      </c>
    </row>
    <row r="1299" spans="1:6">
      <c r="A1299" s="263">
        <v>1298</v>
      </c>
      <c r="B1299" s="263" t="s">
        <v>2585</v>
      </c>
      <c r="C1299" s="263" t="s">
        <v>2586</v>
      </c>
      <c r="D1299" s="263" t="s">
        <v>2562</v>
      </c>
      <c r="E1299" s="263" t="s">
        <v>2563</v>
      </c>
      <c r="F1299" s="263" t="s">
        <v>2425</v>
      </c>
    </row>
    <row r="1300" spans="1:6">
      <c r="A1300" s="263">
        <v>1299</v>
      </c>
      <c r="B1300" s="263" t="s">
        <v>2587</v>
      </c>
      <c r="C1300" s="263" t="s">
        <v>2588</v>
      </c>
      <c r="D1300" s="263" t="s">
        <v>2562</v>
      </c>
      <c r="E1300" s="263" t="s">
        <v>2563</v>
      </c>
      <c r="F1300" s="263" t="s">
        <v>2425</v>
      </c>
    </row>
    <row r="1301" spans="1:6">
      <c r="A1301" s="263">
        <v>1300</v>
      </c>
      <c r="B1301" s="263" t="s">
        <v>2589</v>
      </c>
      <c r="C1301" s="263" t="s">
        <v>2590</v>
      </c>
      <c r="D1301" s="263" t="s">
        <v>2562</v>
      </c>
      <c r="E1301" s="263" t="s">
        <v>2563</v>
      </c>
      <c r="F1301" s="263" t="s">
        <v>2425</v>
      </c>
    </row>
    <row r="1302" spans="1:6">
      <c r="A1302" s="263">
        <v>1301</v>
      </c>
      <c r="B1302" s="263" t="s">
        <v>2591</v>
      </c>
      <c r="C1302" s="263" t="s">
        <v>2561</v>
      </c>
      <c r="D1302" s="263" t="s">
        <v>2592</v>
      </c>
      <c r="E1302" s="263" t="s">
        <v>2593</v>
      </c>
      <c r="F1302" s="263" t="s">
        <v>2425</v>
      </c>
    </row>
    <row r="1303" spans="1:6">
      <c r="A1303" s="263">
        <v>1302</v>
      </c>
      <c r="B1303" s="263" t="s">
        <v>2594</v>
      </c>
      <c r="C1303" s="263" t="s">
        <v>2565</v>
      </c>
      <c r="D1303" s="263" t="s">
        <v>2592</v>
      </c>
      <c r="E1303" s="263" t="s">
        <v>2593</v>
      </c>
      <c r="F1303" s="263" t="s">
        <v>2425</v>
      </c>
    </row>
    <row r="1304" spans="1:6">
      <c r="A1304" s="263">
        <v>1303</v>
      </c>
      <c r="B1304" s="263" t="s">
        <v>2595</v>
      </c>
      <c r="C1304" s="263" t="s">
        <v>2567</v>
      </c>
      <c r="D1304" s="263" t="s">
        <v>2592</v>
      </c>
      <c r="E1304" s="263" t="s">
        <v>2593</v>
      </c>
      <c r="F1304" s="263" t="s">
        <v>2425</v>
      </c>
    </row>
    <row r="1305" spans="1:6">
      <c r="A1305" s="263">
        <v>1304</v>
      </c>
      <c r="B1305" s="263" t="s">
        <v>2596</v>
      </c>
      <c r="C1305" s="263" t="s">
        <v>2569</v>
      </c>
      <c r="D1305" s="263" t="s">
        <v>2592</v>
      </c>
      <c r="E1305" s="263" t="s">
        <v>2593</v>
      </c>
      <c r="F1305" s="263" t="s">
        <v>2425</v>
      </c>
    </row>
    <row r="1306" spans="1:6">
      <c r="A1306" s="263">
        <v>1305</v>
      </c>
      <c r="B1306" s="263" t="s">
        <v>2597</v>
      </c>
      <c r="C1306" s="263" t="s">
        <v>2571</v>
      </c>
      <c r="D1306" s="263" t="s">
        <v>2592</v>
      </c>
      <c r="E1306" s="263" t="s">
        <v>2593</v>
      </c>
      <c r="F1306" s="263" t="s">
        <v>2425</v>
      </c>
    </row>
    <row r="1307" spans="1:6">
      <c r="A1307" s="263">
        <v>1306</v>
      </c>
      <c r="B1307" s="263" t="s">
        <v>2598</v>
      </c>
      <c r="C1307" s="263" t="s">
        <v>2573</v>
      </c>
      <c r="D1307" s="263" t="s">
        <v>2592</v>
      </c>
      <c r="E1307" s="263" t="s">
        <v>2593</v>
      </c>
      <c r="F1307" s="263" t="s">
        <v>2425</v>
      </c>
    </row>
    <row r="1308" spans="1:6">
      <c r="A1308" s="263">
        <v>1307</v>
      </c>
      <c r="B1308" s="263" t="s">
        <v>2599</v>
      </c>
      <c r="C1308" s="263" t="s">
        <v>2575</v>
      </c>
      <c r="D1308" s="263" t="s">
        <v>2592</v>
      </c>
      <c r="E1308" s="263" t="s">
        <v>2593</v>
      </c>
      <c r="F1308" s="263" t="s">
        <v>2425</v>
      </c>
    </row>
    <row r="1309" spans="1:6">
      <c r="A1309" s="263">
        <v>1308</v>
      </c>
      <c r="B1309" s="263" t="s">
        <v>2600</v>
      </c>
      <c r="C1309" s="263" t="s">
        <v>2577</v>
      </c>
      <c r="D1309" s="263" t="s">
        <v>2592</v>
      </c>
      <c r="E1309" s="263" t="s">
        <v>2593</v>
      </c>
      <c r="F1309" s="263" t="s">
        <v>2425</v>
      </c>
    </row>
    <row r="1310" spans="1:6">
      <c r="A1310" s="263">
        <v>1309</v>
      </c>
      <c r="B1310" s="263" t="s">
        <v>2601</v>
      </c>
      <c r="C1310" s="263" t="s">
        <v>2579</v>
      </c>
      <c r="D1310" s="263" t="s">
        <v>2592</v>
      </c>
      <c r="E1310" s="263" t="s">
        <v>2593</v>
      </c>
      <c r="F1310" s="263" t="s">
        <v>2425</v>
      </c>
    </row>
    <row r="1311" spans="1:6">
      <c r="A1311" s="263">
        <v>1310</v>
      </c>
      <c r="B1311" s="263" t="s">
        <v>2602</v>
      </c>
      <c r="C1311" s="263" t="s">
        <v>2581</v>
      </c>
      <c r="D1311" s="263" t="s">
        <v>2592</v>
      </c>
      <c r="E1311" s="263" t="s">
        <v>2593</v>
      </c>
      <c r="F1311" s="263" t="s">
        <v>2425</v>
      </c>
    </row>
    <row r="1312" spans="1:6">
      <c r="A1312" s="263">
        <v>1311</v>
      </c>
      <c r="B1312" s="263" t="s">
        <v>2603</v>
      </c>
      <c r="C1312" s="263" t="s">
        <v>2373</v>
      </c>
      <c r="D1312" s="263" t="s">
        <v>2592</v>
      </c>
      <c r="E1312" s="263" t="s">
        <v>2593</v>
      </c>
      <c r="F1312" s="263" t="s">
        <v>2425</v>
      </c>
    </row>
    <row r="1313" spans="1:6">
      <c r="A1313" s="263">
        <v>1312</v>
      </c>
      <c r="B1313" s="263" t="s">
        <v>2604</v>
      </c>
      <c r="C1313" s="263" t="s">
        <v>2584</v>
      </c>
      <c r="D1313" s="263" t="s">
        <v>2592</v>
      </c>
      <c r="E1313" s="263" t="s">
        <v>2593</v>
      </c>
      <c r="F1313" s="263" t="s">
        <v>2425</v>
      </c>
    </row>
    <row r="1314" spans="1:6">
      <c r="A1314" s="263">
        <v>1313</v>
      </c>
      <c r="B1314" s="263" t="s">
        <v>2605</v>
      </c>
      <c r="C1314" s="263" t="s">
        <v>2586</v>
      </c>
      <c r="D1314" s="263" t="s">
        <v>2592</v>
      </c>
      <c r="E1314" s="263" t="s">
        <v>2593</v>
      </c>
      <c r="F1314" s="263" t="s">
        <v>2425</v>
      </c>
    </row>
    <row r="1315" spans="1:6">
      <c r="A1315" s="263">
        <v>1314</v>
      </c>
      <c r="B1315" s="263" t="s">
        <v>2606</v>
      </c>
      <c r="C1315" s="263" t="s">
        <v>2588</v>
      </c>
      <c r="D1315" s="263" t="s">
        <v>2592</v>
      </c>
      <c r="E1315" s="263" t="s">
        <v>2593</v>
      </c>
      <c r="F1315" s="263" t="s">
        <v>2425</v>
      </c>
    </row>
    <row r="1316" spans="1:6">
      <c r="A1316" s="263">
        <v>1315</v>
      </c>
      <c r="B1316" s="263" t="s">
        <v>2607</v>
      </c>
      <c r="C1316" s="263" t="s">
        <v>2590</v>
      </c>
      <c r="D1316" s="263" t="s">
        <v>2592</v>
      </c>
      <c r="E1316" s="263" t="s">
        <v>2593</v>
      </c>
      <c r="F1316" s="263" t="s">
        <v>2425</v>
      </c>
    </row>
    <row r="1317" spans="1:6">
      <c r="A1317" s="263">
        <v>1316</v>
      </c>
      <c r="B1317" s="263" t="s">
        <v>2608</v>
      </c>
      <c r="C1317" s="263" t="s">
        <v>2609</v>
      </c>
      <c r="D1317" s="263" t="s">
        <v>2592</v>
      </c>
      <c r="E1317" s="263" t="s">
        <v>2593</v>
      </c>
      <c r="F1317" s="263" t="s">
        <v>2425</v>
      </c>
    </row>
    <row r="1318" spans="1:6">
      <c r="A1318" s="263">
        <v>1317</v>
      </c>
      <c r="B1318" s="263" t="s">
        <v>2610</v>
      </c>
      <c r="C1318" s="263" t="s">
        <v>2611</v>
      </c>
      <c r="D1318" s="263" t="s">
        <v>2612</v>
      </c>
      <c r="E1318" s="263" t="s">
        <v>2613</v>
      </c>
      <c r="F1318" s="263" t="s">
        <v>2425</v>
      </c>
    </row>
    <row r="1319" spans="1:6">
      <c r="A1319" s="263">
        <v>1318</v>
      </c>
      <c r="B1319" s="263" t="s">
        <v>2614</v>
      </c>
      <c r="C1319" s="263" t="s">
        <v>431</v>
      </c>
      <c r="D1319" s="263" t="s">
        <v>2612</v>
      </c>
      <c r="E1319" s="263" t="s">
        <v>2613</v>
      </c>
      <c r="F1319" s="263" t="s">
        <v>2425</v>
      </c>
    </row>
    <row r="1320" spans="1:6">
      <c r="A1320" s="263">
        <v>1319</v>
      </c>
      <c r="B1320" s="263" t="s">
        <v>2615</v>
      </c>
      <c r="C1320" s="263" t="s">
        <v>2616</v>
      </c>
      <c r="D1320" s="263" t="s">
        <v>2612</v>
      </c>
      <c r="E1320" s="263" t="s">
        <v>2613</v>
      </c>
      <c r="F1320" s="263" t="s">
        <v>2425</v>
      </c>
    </row>
    <row r="1321" spans="1:6">
      <c r="A1321" s="263">
        <v>1320</v>
      </c>
      <c r="B1321" s="263" t="s">
        <v>2617</v>
      </c>
      <c r="C1321" s="263" t="s">
        <v>2618</v>
      </c>
      <c r="D1321" s="263" t="s">
        <v>2612</v>
      </c>
      <c r="E1321" s="263" t="s">
        <v>2613</v>
      </c>
      <c r="F1321" s="263" t="s">
        <v>2425</v>
      </c>
    </row>
    <row r="1322" spans="1:6">
      <c r="A1322" s="263">
        <v>1321</v>
      </c>
      <c r="B1322" s="263" t="s">
        <v>2619</v>
      </c>
      <c r="C1322" s="263" t="s">
        <v>2620</v>
      </c>
      <c r="D1322" s="263" t="s">
        <v>2612</v>
      </c>
      <c r="E1322" s="263" t="s">
        <v>2613</v>
      </c>
      <c r="F1322" s="263" t="s">
        <v>2425</v>
      </c>
    </row>
    <row r="1323" spans="1:6">
      <c r="A1323" s="263">
        <v>1322</v>
      </c>
      <c r="B1323" s="263" t="s">
        <v>2621</v>
      </c>
      <c r="C1323" s="263" t="s">
        <v>2622</v>
      </c>
      <c r="D1323" s="263" t="s">
        <v>2612</v>
      </c>
      <c r="E1323" s="263" t="s">
        <v>2613</v>
      </c>
      <c r="F1323" s="263" t="s">
        <v>2425</v>
      </c>
    </row>
    <row r="1324" spans="1:6">
      <c r="A1324" s="263">
        <v>1323</v>
      </c>
      <c r="B1324" s="263" t="s">
        <v>2623</v>
      </c>
      <c r="C1324" s="263" t="s">
        <v>2624</v>
      </c>
      <c r="D1324" s="263" t="s">
        <v>2612</v>
      </c>
      <c r="E1324" s="263" t="s">
        <v>2613</v>
      </c>
      <c r="F1324" s="263" t="s">
        <v>2425</v>
      </c>
    </row>
    <row r="1325" spans="1:6">
      <c r="A1325" s="263">
        <v>1324</v>
      </c>
      <c r="B1325" s="263" t="s">
        <v>2625</v>
      </c>
      <c r="C1325" s="263" t="s">
        <v>2626</v>
      </c>
      <c r="D1325" s="263" t="s">
        <v>2612</v>
      </c>
      <c r="E1325" s="263" t="s">
        <v>2613</v>
      </c>
      <c r="F1325" s="263" t="s">
        <v>2425</v>
      </c>
    </row>
    <row r="1326" spans="1:6">
      <c r="A1326" s="263">
        <v>1325</v>
      </c>
      <c r="B1326" s="263" t="s">
        <v>2627</v>
      </c>
      <c r="C1326" s="263" t="s">
        <v>1815</v>
      </c>
      <c r="D1326" s="263" t="s">
        <v>2612</v>
      </c>
      <c r="E1326" s="263" t="s">
        <v>2613</v>
      </c>
      <c r="F1326" s="263" t="s">
        <v>2425</v>
      </c>
    </row>
    <row r="1327" spans="1:6">
      <c r="A1327" s="263">
        <v>1326</v>
      </c>
      <c r="B1327" s="263" t="s">
        <v>2628</v>
      </c>
      <c r="C1327" s="263" t="s">
        <v>2629</v>
      </c>
      <c r="D1327" s="263" t="s">
        <v>2612</v>
      </c>
      <c r="E1327" s="263" t="s">
        <v>2613</v>
      </c>
      <c r="F1327" s="263" t="s">
        <v>2425</v>
      </c>
    </row>
    <row r="1328" spans="1:6">
      <c r="A1328" s="263">
        <v>1327</v>
      </c>
      <c r="B1328" s="263" t="s">
        <v>2630</v>
      </c>
      <c r="C1328" s="263" t="s">
        <v>2631</v>
      </c>
      <c r="D1328" s="263" t="s">
        <v>2612</v>
      </c>
      <c r="E1328" s="263" t="s">
        <v>2613</v>
      </c>
      <c r="F1328" s="263" t="s">
        <v>2425</v>
      </c>
    </row>
    <row r="1329" spans="1:6">
      <c r="A1329" s="263">
        <v>1328</v>
      </c>
      <c r="B1329" s="263" t="s">
        <v>2632</v>
      </c>
      <c r="C1329" s="263" t="s">
        <v>1792</v>
      </c>
      <c r="D1329" s="263" t="s">
        <v>2633</v>
      </c>
      <c r="E1329" s="263" t="s">
        <v>2634</v>
      </c>
      <c r="F1329" s="263" t="s">
        <v>2425</v>
      </c>
    </row>
    <row r="1330" spans="1:6">
      <c r="A1330" s="263">
        <v>1329</v>
      </c>
      <c r="B1330" s="263" t="s">
        <v>2635</v>
      </c>
      <c r="C1330" s="263" t="s">
        <v>2636</v>
      </c>
      <c r="D1330" s="263" t="s">
        <v>2633</v>
      </c>
      <c r="E1330" s="263" t="s">
        <v>2634</v>
      </c>
      <c r="F1330" s="263" t="s">
        <v>2425</v>
      </c>
    </row>
    <row r="1331" spans="1:6">
      <c r="A1331" s="263">
        <v>1330</v>
      </c>
      <c r="B1331" s="263" t="s">
        <v>2637</v>
      </c>
      <c r="C1331" s="263" t="s">
        <v>511</v>
      </c>
      <c r="D1331" s="263" t="s">
        <v>2633</v>
      </c>
      <c r="E1331" s="263" t="s">
        <v>2634</v>
      </c>
      <c r="F1331" s="263" t="s">
        <v>2425</v>
      </c>
    </row>
    <row r="1332" spans="1:6">
      <c r="A1332" s="263">
        <v>1331</v>
      </c>
      <c r="B1332" s="263" t="s">
        <v>2638</v>
      </c>
      <c r="C1332" s="263" t="s">
        <v>473</v>
      </c>
      <c r="D1332" s="263" t="s">
        <v>2633</v>
      </c>
      <c r="E1332" s="263" t="s">
        <v>2634</v>
      </c>
      <c r="F1332" s="263" t="s">
        <v>2425</v>
      </c>
    </row>
    <row r="1333" spans="1:6">
      <c r="A1333" s="263">
        <v>1332</v>
      </c>
      <c r="B1333" s="263" t="s">
        <v>2639</v>
      </c>
      <c r="C1333" s="263" t="s">
        <v>282</v>
      </c>
      <c r="D1333" s="263" t="s">
        <v>2633</v>
      </c>
      <c r="E1333" s="263" t="s">
        <v>2634</v>
      </c>
      <c r="F1333" s="263" t="s">
        <v>2425</v>
      </c>
    </row>
    <row r="1334" spans="1:6">
      <c r="A1334" s="263">
        <v>1333</v>
      </c>
      <c r="B1334" s="263" t="s">
        <v>2640</v>
      </c>
      <c r="C1334" s="263" t="s">
        <v>2641</v>
      </c>
      <c r="D1334" s="263" t="s">
        <v>2633</v>
      </c>
      <c r="E1334" s="263" t="s">
        <v>2634</v>
      </c>
      <c r="F1334" s="263" t="s">
        <v>2425</v>
      </c>
    </row>
    <row r="1335" spans="1:6">
      <c r="A1335" s="263">
        <v>1334</v>
      </c>
      <c r="B1335" s="263" t="s">
        <v>2642</v>
      </c>
      <c r="C1335" s="263" t="s">
        <v>2643</v>
      </c>
      <c r="D1335" s="263" t="s">
        <v>2633</v>
      </c>
      <c r="E1335" s="263" t="s">
        <v>2634</v>
      </c>
      <c r="F1335" s="263" t="s">
        <v>2425</v>
      </c>
    </row>
    <row r="1336" spans="1:6">
      <c r="A1336" s="263">
        <v>1335</v>
      </c>
      <c r="B1336" s="263" t="s">
        <v>2644</v>
      </c>
      <c r="C1336" s="263" t="s">
        <v>2645</v>
      </c>
      <c r="D1336" s="263" t="s">
        <v>2633</v>
      </c>
      <c r="E1336" s="263" t="s">
        <v>2634</v>
      </c>
      <c r="F1336" s="263" t="s">
        <v>2425</v>
      </c>
    </row>
    <row r="1337" spans="1:6">
      <c r="A1337" s="263">
        <v>1336</v>
      </c>
      <c r="B1337" s="263" t="s">
        <v>2646</v>
      </c>
      <c r="C1337" s="263" t="s">
        <v>2647</v>
      </c>
      <c r="D1337" s="263" t="s">
        <v>2633</v>
      </c>
      <c r="E1337" s="263" t="s">
        <v>2634</v>
      </c>
      <c r="F1337" s="263" t="s">
        <v>2425</v>
      </c>
    </row>
    <row r="1338" spans="1:6">
      <c r="A1338" s="263">
        <v>1337</v>
      </c>
      <c r="B1338" s="263" t="s">
        <v>2648</v>
      </c>
      <c r="C1338" s="263" t="s">
        <v>2649</v>
      </c>
      <c r="D1338" s="263" t="s">
        <v>2633</v>
      </c>
      <c r="E1338" s="263" t="s">
        <v>2634</v>
      </c>
      <c r="F1338" s="263" t="s">
        <v>2425</v>
      </c>
    </row>
    <row r="1339" spans="1:6">
      <c r="A1339" s="263">
        <v>1338</v>
      </c>
      <c r="B1339" s="263" t="s">
        <v>2650</v>
      </c>
      <c r="C1339" s="263" t="s">
        <v>2651</v>
      </c>
      <c r="D1339" s="263" t="s">
        <v>2633</v>
      </c>
      <c r="E1339" s="263" t="s">
        <v>2634</v>
      </c>
      <c r="F1339" s="263" t="s">
        <v>2425</v>
      </c>
    </row>
    <row r="1340" spans="1:6">
      <c r="A1340" s="263">
        <v>1339</v>
      </c>
      <c r="B1340" s="263" t="s">
        <v>2652</v>
      </c>
      <c r="C1340" s="263" t="s">
        <v>2561</v>
      </c>
      <c r="D1340" s="263" t="s">
        <v>2653</v>
      </c>
      <c r="E1340" s="263" t="s">
        <v>2654</v>
      </c>
      <c r="F1340" s="263" t="s">
        <v>2425</v>
      </c>
    </row>
    <row r="1341" spans="1:6">
      <c r="A1341" s="263">
        <v>1340</v>
      </c>
      <c r="B1341" s="263" t="s">
        <v>2655</v>
      </c>
      <c r="C1341" s="263" t="s">
        <v>2565</v>
      </c>
      <c r="D1341" s="263" t="s">
        <v>2653</v>
      </c>
      <c r="E1341" s="263" t="s">
        <v>2654</v>
      </c>
      <c r="F1341" s="263" t="s">
        <v>2425</v>
      </c>
    </row>
    <row r="1342" spans="1:6">
      <c r="A1342" s="263">
        <v>1341</v>
      </c>
      <c r="B1342" s="263" t="s">
        <v>2656</v>
      </c>
      <c r="C1342" s="263" t="s">
        <v>2567</v>
      </c>
      <c r="D1342" s="263" t="s">
        <v>2653</v>
      </c>
      <c r="E1342" s="263" t="s">
        <v>2654</v>
      </c>
      <c r="F1342" s="263" t="s">
        <v>2425</v>
      </c>
    </row>
    <row r="1343" spans="1:6">
      <c r="A1343" s="263">
        <v>1342</v>
      </c>
      <c r="B1343" s="263" t="s">
        <v>2657</v>
      </c>
      <c r="C1343" s="263" t="s">
        <v>2569</v>
      </c>
      <c r="D1343" s="263" t="s">
        <v>2653</v>
      </c>
      <c r="E1343" s="263" t="s">
        <v>2654</v>
      </c>
      <c r="F1343" s="263" t="s">
        <v>2425</v>
      </c>
    </row>
    <row r="1344" spans="1:6">
      <c r="A1344" s="263">
        <v>1343</v>
      </c>
      <c r="B1344" s="263" t="s">
        <v>2658</v>
      </c>
      <c r="C1344" s="263" t="s">
        <v>2571</v>
      </c>
      <c r="D1344" s="263" t="s">
        <v>2653</v>
      </c>
      <c r="E1344" s="263" t="s">
        <v>2654</v>
      </c>
      <c r="F1344" s="263" t="s">
        <v>2425</v>
      </c>
    </row>
    <row r="1345" spans="1:6">
      <c r="A1345" s="263">
        <v>1344</v>
      </c>
      <c r="B1345" s="263" t="s">
        <v>2659</v>
      </c>
      <c r="C1345" s="263" t="s">
        <v>2573</v>
      </c>
      <c r="D1345" s="263" t="s">
        <v>2653</v>
      </c>
      <c r="E1345" s="263" t="s">
        <v>2654</v>
      </c>
      <c r="F1345" s="263" t="s">
        <v>2425</v>
      </c>
    </row>
    <row r="1346" spans="1:6">
      <c r="A1346" s="263">
        <v>1345</v>
      </c>
      <c r="B1346" s="263" t="s">
        <v>2660</v>
      </c>
      <c r="C1346" s="263" t="s">
        <v>2575</v>
      </c>
      <c r="D1346" s="263" t="s">
        <v>2653</v>
      </c>
      <c r="E1346" s="263" t="s">
        <v>2654</v>
      </c>
      <c r="F1346" s="263" t="s">
        <v>2425</v>
      </c>
    </row>
    <row r="1347" spans="1:6">
      <c r="A1347" s="263">
        <v>1346</v>
      </c>
      <c r="B1347" s="263" t="s">
        <v>2661</v>
      </c>
      <c r="C1347" s="263" t="s">
        <v>2577</v>
      </c>
      <c r="D1347" s="263" t="s">
        <v>2653</v>
      </c>
      <c r="E1347" s="263" t="s">
        <v>2654</v>
      </c>
      <c r="F1347" s="263" t="s">
        <v>2425</v>
      </c>
    </row>
    <row r="1348" spans="1:6">
      <c r="A1348" s="263">
        <v>1347</v>
      </c>
      <c r="B1348" s="263" t="s">
        <v>2662</v>
      </c>
      <c r="C1348" s="263" t="s">
        <v>2579</v>
      </c>
      <c r="D1348" s="263" t="s">
        <v>2653</v>
      </c>
      <c r="E1348" s="263" t="s">
        <v>2654</v>
      </c>
      <c r="F1348" s="263" t="s">
        <v>2425</v>
      </c>
    </row>
    <row r="1349" spans="1:6">
      <c r="A1349" s="263">
        <v>1348</v>
      </c>
      <c r="B1349" s="263" t="s">
        <v>2663</v>
      </c>
      <c r="C1349" s="263" t="s">
        <v>2581</v>
      </c>
      <c r="D1349" s="263" t="s">
        <v>2653</v>
      </c>
      <c r="E1349" s="263" t="s">
        <v>2654</v>
      </c>
      <c r="F1349" s="263" t="s">
        <v>2425</v>
      </c>
    </row>
    <row r="1350" spans="1:6">
      <c r="A1350" s="263">
        <v>1349</v>
      </c>
      <c r="B1350" s="263" t="s">
        <v>2664</v>
      </c>
      <c r="C1350" s="263" t="s">
        <v>2373</v>
      </c>
      <c r="D1350" s="263" t="s">
        <v>2653</v>
      </c>
      <c r="E1350" s="263" t="s">
        <v>2654</v>
      </c>
      <c r="F1350" s="263" t="s">
        <v>2425</v>
      </c>
    </row>
    <row r="1351" spans="1:6">
      <c r="A1351" s="263">
        <v>1350</v>
      </c>
      <c r="B1351" s="263" t="s">
        <v>2665</v>
      </c>
      <c r="C1351" s="263" t="s">
        <v>2584</v>
      </c>
      <c r="D1351" s="263" t="s">
        <v>2653</v>
      </c>
      <c r="E1351" s="263" t="s">
        <v>2654</v>
      </c>
      <c r="F1351" s="263" t="s">
        <v>2425</v>
      </c>
    </row>
    <row r="1352" spans="1:6">
      <c r="A1352" s="263">
        <v>1351</v>
      </c>
      <c r="B1352" s="263" t="s">
        <v>2666</v>
      </c>
      <c r="C1352" s="263" t="s">
        <v>2586</v>
      </c>
      <c r="D1352" s="263" t="s">
        <v>2653</v>
      </c>
      <c r="E1352" s="263" t="s">
        <v>2654</v>
      </c>
      <c r="F1352" s="263" t="s">
        <v>2425</v>
      </c>
    </row>
    <row r="1353" spans="1:6">
      <c r="A1353" s="263">
        <v>1352</v>
      </c>
      <c r="B1353" s="263" t="s">
        <v>2667</v>
      </c>
      <c r="C1353" s="263" t="s">
        <v>2588</v>
      </c>
      <c r="D1353" s="263" t="s">
        <v>2653</v>
      </c>
      <c r="E1353" s="263" t="s">
        <v>2654</v>
      </c>
      <c r="F1353" s="263" t="s">
        <v>2425</v>
      </c>
    </row>
    <row r="1354" spans="1:6">
      <c r="A1354" s="263">
        <v>1353</v>
      </c>
      <c r="B1354" s="263" t="s">
        <v>2668</v>
      </c>
      <c r="C1354" s="263" t="s">
        <v>2561</v>
      </c>
      <c r="D1354" s="263" t="s">
        <v>2669</v>
      </c>
      <c r="E1354" s="263" t="s">
        <v>2670</v>
      </c>
      <c r="F1354" s="263" t="s">
        <v>2425</v>
      </c>
    </row>
    <row r="1355" spans="1:6">
      <c r="A1355" s="263">
        <v>1354</v>
      </c>
      <c r="B1355" s="263" t="s">
        <v>2671</v>
      </c>
      <c r="C1355" s="263" t="s">
        <v>2565</v>
      </c>
      <c r="D1355" s="263" t="s">
        <v>2669</v>
      </c>
      <c r="E1355" s="263" t="s">
        <v>2670</v>
      </c>
      <c r="F1355" s="263" t="s">
        <v>2425</v>
      </c>
    </row>
    <row r="1356" spans="1:6">
      <c r="A1356" s="263">
        <v>1355</v>
      </c>
      <c r="B1356" s="263" t="s">
        <v>2672</v>
      </c>
      <c r="C1356" s="263" t="s">
        <v>2567</v>
      </c>
      <c r="D1356" s="263" t="s">
        <v>2669</v>
      </c>
      <c r="E1356" s="263" t="s">
        <v>2670</v>
      </c>
      <c r="F1356" s="263" t="s">
        <v>2425</v>
      </c>
    </row>
    <row r="1357" spans="1:6">
      <c r="A1357" s="263">
        <v>1356</v>
      </c>
      <c r="B1357" s="263" t="s">
        <v>2673</v>
      </c>
      <c r="C1357" s="263" t="s">
        <v>2569</v>
      </c>
      <c r="D1357" s="263" t="s">
        <v>2669</v>
      </c>
      <c r="E1357" s="263" t="s">
        <v>2670</v>
      </c>
      <c r="F1357" s="263" t="s">
        <v>2425</v>
      </c>
    </row>
    <row r="1358" spans="1:6">
      <c r="A1358" s="263">
        <v>1357</v>
      </c>
      <c r="B1358" s="263" t="s">
        <v>2674</v>
      </c>
      <c r="C1358" s="263" t="s">
        <v>2571</v>
      </c>
      <c r="D1358" s="263" t="s">
        <v>2669</v>
      </c>
      <c r="E1358" s="263" t="s">
        <v>2670</v>
      </c>
      <c r="F1358" s="263" t="s">
        <v>2425</v>
      </c>
    </row>
    <row r="1359" spans="1:6">
      <c r="A1359" s="263">
        <v>1358</v>
      </c>
      <c r="B1359" s="263" t="s">
        <v>2675</v>
      </c>
      <c r="C1359" s="263" t="s">
        <v>2573</v>
      </c>
      <c r="D1359" s="263" t="s">
        <v>2669</v>
      </c>
      <c r="E1359" s="263" t="s">
        <v>2670</v>
      </c>
      <c r="F1359" s="263" t="s">
        <v>2425</v>
      </c>
    </row>
    <row r="1360" spans="1:6">
      <c r="A1360" s="263">
        <v>1359</v>
      </c>
      <c r="B1360" s="263" t="s">
        <v>2676</v>
      </c>
      <c r="C1360" s="263" t="s">
        <v>2577</v>
      </c>
      <c r="D1360" s="263" t="s">
        <v>2669</v>
      </c>
      <c r="E1360" s="263" t="s">
        <v>2670</v>
      </c>
      <c r="F1360" s="263" t="s">
        <v>2425</v>
      </c>
    </row>
    <row r="1361" spans="1:6">
      <c r="A1361" s="263">
        <v>1360</v>
      </c>
      <c r="B1361" s="263" t="s">
        <v>2677</v>
      </c>
      <c r="C1361" s="263" t="s">
        <v>2579</v>
      </c>
      <c r="D1361" s="263" t="s">
        <v>2669</v>
      </c>
      <c r="E1361" s="263" t="s">
        <v>2670</v>
      </c>
      <c r="F1361" s="263" t="s">
        <v>2425</v>
      </c>
    </row>
    <row r="1362" spans="1:6">
      <c r="A1362" s="263">
        <v>1361</v>
      </c>
      <c r="B1362" s="263" t="s">
        <v>2678</v>
      </c>
      <c r="C1362" s="263" t="s">
        <v>2581</v>
      </c>
      <c r="D1362" s="263" t="s">
        <v>2669</v>
      </c>
      <c r="E1362" s="263" t="s">
        <v>2670</v>
      </c>
      <c r="F1362" s="263" t="s">
        <v>2425</v>
      </c>
    </row>
    <row r="1363" spans="1:6">
      <c r="A1363" s="263">
        <v>1362</v>
      </c>
      <c r="B1363" s="263" t="s">
        <v>2679</v>
      </c>
      <c r="C1363" s="263" t="s">
        <v>2584</v>
      </c>
      <c r="D1363" s="263" t="s">
        <v>2669</v>
      </c>
      <c r="E1363" s="263" t="s">
        <v>2670</v>
      </c>
      <c r="F1363" s="263" t="s">
        <v>2425</v>
      </c>
    </row>
    <row r="1364" spans="1:6">
      <c r="A1364" s="263">
        <v>1363</v>
      </c>
      <c r="B1364" s="263" t="s">
        <v>2680</v>
      </c>
      <c r="C1364" s="263" t="s">
        <v>2586</v>
      </c>
      <c r="D1364" s="263" t="s">
        <v>2669</v>
      </c>
      <c r="E1364" s="263" t="s">
        <v>2670</v>
      </c>
      <c r="F1364" s="263" t="s">
        <v>2425</v>
      </c>
    </row>
    <row r="1365" spans="1:6">
      <c r="A1365" s="263">
        <v>1364</v>
      </c>
      <c r="B1365" s="263" t="s">
        <v>2681</v>
      </c>
      <c r="C1365" s="263" t="s">
        <v>2588</v>
      </c>
      <c r="D1365" s="263" t="s">
        <v>2669</v>
      </c>
      <c r="E1365" s="263" t="s">
        <v>2670</v>
      </c>
      <c r="F1365" s="263" t="s">
        <v>2425</v>
      </c>
    </row>
    <row r="1366" spans="1:6">
      <c r="A1366" s="263">
        <v>1365</v>
      </c>
      <c r="B1366" s="263" t="s">
        <v>2682</v>
      </c>
      <c r="C1366" s="263" t="s">
        <v>2590</v>
      </c>
      <c r="D1366" s="263" t="s">
        <v>2669</v>
      </c>
      <c r="E1366" s="263" t="s">
        <v>2670</v>
      </c>
      <c r="F1366" s="263" t="s">
        <v>2425</v>
      </c>
    </row>
    <row r="1367" spans="1:6">
      <c r="A1367" s="263">
        <v>1366</v>
      </c>
      <c r="B1367" s="263" t="s">
        <v>2683</v>
      </c>
      <c r="C1367" s="263" t="s">
        <v>2609</v>
      </c>
      <c r="D1367" s="263" t="s">
        <v>2669</v>
      </c>
      <c r="E1367" s="263" t="s">
        <v>2670</v>
      </c>
      <c r="F1367" s="263" t="s">
        <v>2425</v>
      </c>
    </row>
    <row r="1368" spans="1:6">
      <c r="A1368" s="263">
        <v>1367</v>
      </c>
      <c r="B1368" s="263" t="s">
        <v>2684</v>
      </c>
      <c r="C1368" s="263" t="s">
        <v>2685</v>
      </c>
      <c r="D1368" s="263" t="s">
        <v>2669</v>
      </c>
      <c r="E1368" s="263" t="s">
        <v>2670</v>
      </c>
      <c r="F1368" s="263" t="s">
        <v>2425</v>
      </c>
    </row>
    <row r="1369" spans="1:6">
      <c r="A1369" s="263">
        <v>1368</v>
      </c>
      <c r="B1369" s="263" t="s">
        <v>2686</v>
      </c>
      <c r="C1369" s="263" t="s">
        <v>2561</v>
      </c>
      <c r="D1369" s="263" t="s">
        <v>2687</v>
      </c>
      <c r="E1369" s="263" t="s">
        <v>2688</v>
      </c>
      <c r="F1369" s="263" t="s">
        <v>2425</v>
      </c>
    </row>
    <row r="1370" spans="1:6">
      <c r="A1370" s="263">
        <v>1369</v>
      </c>
      <c r="B1370" s="263" t="s">
        <v>2689</v>
      </c>
      <c r="C1370" s="263" t="s">
        <v>2565</v>
      </c>
      <c r="D1370" s="263" t="s">
        <v>2687</v>
      </c>
      <c r="E1370" s="263" t="s">
        <v>2688</v>
      </c>
      <c r="F1370" s="263" t="s">
        <v>2425</v>
      </c>
    </row>
    <row r="1371" spans="1:6">
      <c r="A1371" s="263">
        <v>1370</v>
      </c>
      <c r="B1371" s="263" t="s">
        <v>2690</v>
      </c>
      <c r="C1371" s="263" t="s">
        <v>2567</v>
      </c>
      <c r="D1371" s="263" t="s">
        <v>2687</v>
      </c>
      <c r="E1371" s="263" t="s">
        <v>2688</v>
      </c>
      <c r="F1371" s="263" t="s">
        <v>2425</v>
      </c>
    </row>
    <row r="1372" spans="1:6">
      <c r="A1372" s="263">
        <v>1371</v>
      </c>
      <c r="B1372" s="263" t="s">
        <v>2691</v>
      </c>
      <c r="C1372" s="263" t="s">
        <v>2569</v>
      </c>
      <c r="D1372" s="263" t="s">
        <v>2687</v>
      </c>
      <c r="E1372" s="263" t="s">
        <v>2688</v>
      </c>
      <c r="F1372" s="263" t="s">
        <v>2425</v>
      </c>
    </row>
    <row r="1373" spans="1:6">
      <c r="A1373" s="263">
        <v>1372</v>
      </c>
      <c r="B1373" s="263" t="s">
        <v>2692</v>
      </c>
      <c r="C1373" s="263" t="s">
        <v>2571</v>
      </c>
      <c r="D1373" s="263" t="s">
        <v>2687</v>
      </c>
      <c r="E1373" s="263" t="s">
        <v>2688</v>
      </c>
      <c r="F1373" s="263" t="s">
        <v>2425</v>
      </c>
    </row>
    <row r="1374" spans="1:6">
      <c r="A1374" s="263">
        <v>1373</v>
      </c>
      <c r="B1374" s="263" t="s">
        <v>2693</v>
      </c>
      <c r="C1374" s="263" t="s">
        <v>2573</v>
      </c>
      <c r="D1374" s="263" t="s">
        <v>2687</v>
      </c>
      <c r="E1374" s="263" t="s">
        <v>2688</v>
      </c>
      <c r="F1374" s="263" t="s">
        <v>2425</v>
      </c>
    </row>
    <row r="1375" spans="1:6">
      <c r="A1375" s="263">
        <v>1374</v>
      </c>
      <c r="B1375" s="263" t="s">
        <v>2694</v>
      </c>
      <c r="C1375" s="263" t="s">
        <v>2575</v>
      </c>
      <c r="D1375" s="263" t="s">
        <v>2687</v>
      </c>
      <c r="E1375" s="263" t="s">
        <v>2688</v>
      </c>
      <c r="F1375" s="263" t="s">
        <v>2425</v>
      </c>
    </row>
    <row r="1376" spans="1:6">
      <c r="A1376" s="263">
        <v>1375</v>
      </c>
      <c r="B1376" s="263" t="s">
        <v>2695</v>
      </c>
      <c r="C1376" s="263" t="s">
        <v>2577</v>
      </c>
      <c r="D1376" s="263" t="s">
        <v>2687</v>
      </c>
      <c r="E1376" s="263" t="s">
        <v>2688</v>
      </c>
      <c r="F1376" s="263" t="s">
        <v>2425</v>
      </c>
    </row>
    <row r="1377" spans="1:6">
      <c r="A1377" s="263">
        <v>1376</v>
      </c>
      <c r="B1377" s="263" t="s">
        <v>2696</v>
      </c>
      <c r="C1377" s="263" t="s">
        <v>2579</v>
      </c>
      <c r="D1377" s="263" t="s">
        <v>2687</v>
      </c>
      <c r="E1377" s="263" t="s">
        <v>2688</v>
      </c>
      <c r="F1377" s="263" t="s">
        <v>2425</v>
      </c>
    </row>
    <row r="1378" spans="1:6">
      <c r="A1378" s="263">
        <v>1377</v>
      </c>
      <c r="B1378" s="263" t="s">
        <v>2697</v>
      </c>
      <c r="C1378" s="263" t="s">
        <v>2581</v>
      </c>
      <c r="D1378" s="263" t="s">
        <v>2687</v>
      </c>
      <c r="E1378" s="263" t="s">
        <v>2688</v>
      </c>
      <c r="F1378" s="263" t="s">
        <v>2425</v>
      </c>
    </row>
    <row r="1379" spans="1:6">
      <c r="A1379" s="263">
        <v>1378</v>
      </c>
      <c r="B1379" s="263" t="s">
        <v>2698</v>
      </c>
      <c r="C1379" s="263" t="s">
        <v>2373</v>
      </c>
      <c r="D1379" s="263" t="s">
        <v>2687</v>
      </c>
      <c r="E1379" s="263" t="s">
        <v>2688</v>
      </c>
      <c r="F1379" s="263" t="s">
        <v>2425</v>
      </c>
    </row>
    <row r="1380" spans="1:6">
      <c r="A1380" s="263">
        <v>1379</v>
      </c>
      <c r="B1380" s="263" t="s">
        <v>2699</v>
      </c>
      <c r="C1380" s="263" t="s">
        <v>2584</v>
      </c>
      <c r="D1380" s="263" t="s">
        <v>2687</v>
      </c>
      <c r="E1380" s="263" t="s">
        <v>2688</v>
      </c>
      <c r="F1380" s="263" t="s">
        <v>2425</v>
      </c>
    </row>
    <row r="1381" spans="1:6">
      <c r="A1381" s="263">
        <v>1380</v>
      </c>
      <c r="B1381" s="263" t="s">
        <v>2700</v>
      </c>
      <c r="C1381" s="263" t="s">
        <v>2586</v>
      </c>
      <c r="D1381" s="263" t="s">
        <v>2687</v>
      </c>
      <c r="E1381" s="263" t="s">
        <v>2688</v>
      </c>
      <c r="F1381" s="263" t="s">
        <v>2425</v>
      </c>
    </row>
    <row r="1382" spans="1:6">
      <c r="A1382" s="263">
        <v>1381</v>
      </c>
      <c r="B1382" s="263" t="s">
        <v>2701</v>
      </c>
      <c r="C1382" s="263" t="s">
        <v>2588</v>
      </c>
      <c r="D1382" s="263" t="s">
        <v>2687</v>
      </c>
      <c r="E1382" s="263" t="s">
        <v>2688</v>
      </c>
      <c r="F1382" s="263" t="s">
        <v>2425</v>
      </c>
    </row>
    <row r="1383" spans="1:6">
      <c r="A1383" s="263">
        <v>1382</v>
      </c>
      <c r="B1383" s="263" t="s">
        <v>2702</v>
      </c>
      <c r="C1383" s="263" t="s">
        <v>2590</v>
      </c>
      <c r="D1383" s="263" t="s">
        <v>2687</v>
      </c>
      <c r="E1383" s="263" t="s">
        <v>2688</v>
      </c>
      <c r="F1383" s="263" t="s">
        <v>2425</v>
      </c>
    </row>
    <row r="1384" spans="1:6">
      <c r="A1384" s="263">
        <v>1383</v>
      </c>
      <c r="B1384" s="263" t="s">
        <v>2703</v>
      </c>
      <c r="C1384" s="263" t="s">
        <v>2561</v>
      </c>
      <c r="D1384" s="263" t="s">
        <v>2704</v>
      </c>
      <c r="E1384" s="263" t="s">
        <v>2705</v>
      </c>
      <c r="F1384" s="263" t="s">
        <v>2425</v>
      </c>
    </row>
    <row r="1385" spans="1:6">
      <c r="A1385" s="263">
        <v>1384</v>
      </c>
      <c r="B1385" s="263" t="s">
        <v>2706</v>
      </c>
      <c r="C1385" s="263" t="s">
        <v>2565</v>
      </c>
      <c r="D1385" s="263" t="s">
        <v>2704</v>
      </c>
      <c r="E1385" s="263" t="s">
        <v>2705</v>
      </c>
      <c r="F1385" s="263" t="s">
        <v>2425</v>
      </c>
    </row>
    <row r="1386" spans="1:6">
      <c r="A1386" s="263">
        <v>1385</v>
      </c>
      <c r="B1386" s="263" t="s">
        <v>2707</v>
      </c>
      <c r="C1386" s="263" t="s">
        <v>2567</v>
      </c>
      <c r="D1386" s="263" t="s">
        <v>2704</v>
      </c>
      <c r="E1386" s="263" t="s">
        <v>2705</v>
      </c>
      <c r="F1386" s="263" t="s">
        <v>2425</v>
      </c>
    </row>
    <row r="1387" spans="1:6">
      <c r="A1387" s="263">
        <v>1386</v>
      </c>
      <c r="B1387" s="263" t="s">
        <v>2708</v>
      </c>
      <c r="C1387" s="263" t="s">
        <v>2569</v>
      </c>
      <c r="D1387" s="263" t="s">
        <v>2704</v>
      </c>
      <c r="E1387" s="263" t="s">
        <v>2705</v>
      </c>
      <c r="F1387" s="263" t="s">
        <v>2425</v>
      </c>
    </row>
    <row r="1388" spans="1:6">
      <c r="A1388" s="263">
        <v>1387</v>
      </c>
      <c r="B1388" s="263" t="s">
        <v>2709</v>
      </c>
      <c r="C1388" s="263" t="s">
        <v>2571</v>
      </c>
      <c r="D1388" s="263" t="s">
        <v>2704</v>
      </c>
      <c r="E1388" s="263" t="s">
        <v>2705</v>
      </c>
      <c r="F1388" s="263" t="s">
        <v>2425</v>
      </c>
    </row>
    <row r="1389" spans="1:6">
      <c r="A1389" s="263">
        <v>1388</v>
      </c>
      <c r="B1389" s="263" t="s">
        <v>2710</v>
      </c>
      <c r="C1389" s="263" t="s">
        <v>2573</v>
      </c>
      <c r="D1389" s="263" t="s">
        <v>2704</v>
      </c>
      <c r="E1389" s="263" t="s">
        <v>2705</v>
      </c>
      <c r="F1389" s="263" t="s">
        <v>2425</v>
      </c>
    </row>
    <row r="1390" spans="1:6">
      <c r="A1390" s="263">
        <v>1389</v>
      </c>
      <c r="B1390" s="263" t="s">
        <v>2711</v>
      </c>
      <c r="C1390" s="263" t="s">
        <v>2575</v>
      </c>
      <c r="D1390" s="263" t="s">
        <v>2704</v>
      </c>
      <c r="E1390" s="263" t="s">
        <v>2705</v>
      </c>
      <c r="F1390" s="263" t="s">
        <v>2425</v>
      </c>
    </row>
    <row r="1391" spans="1:6">
      <c r="A1391" s="263">
        <v>1390</v>
      </c>
      <c r="B1391" s="263" t="s">
        <v>2712</v>
      </c>
      <c r="C1391" s="263" t="s">
        <v>2577</v>
      </c>
      <c r="D1391" s="263" t="s">
        <v>2704</v>
      </c>
      <c r="E1391" s="263" t="s">
        <v>2705</v>
      </c>
      <c r="F1391" s="263" t="s">
        <v>2425</v>
      </c>
    </row>
    <row r="1392" spans="1:6">
      <c r="A1392" s="263">
        <v>1391</v>
      </c>
      <c r="B1392" s="263" t="s">
        <v>2713</v>
      </c>
      <c r="C1392" s="263" t="s">
        <v>2579</v>
      </c>
      <c r="D1392" s="263" t="s">
        <v>2704</v>
      </c>
      <c r="E1392" s="263" t="s">
        <v>2705</v>
      </c>
      <c r="F1392" s="263" t="s">
        <v>2425</v>
      </c>
    </row>
    <row r="1393" spans="1:6">
      <c r="A1393" s="263">
        <v>1392</v>
      </c>
      <c r="B1393" s="263" t="s">
        <v>2714</v>
      </c>
      <c r="C1393" s="263" t="s">
        <v>2581</v>
      </c>
      <c r="D1393" s="263" t="s">
        <v>2704</v>
      </c>
      <c r="E1393" s="263" t="s">
        <v>2705</v>
      </c>
      <c r="F1393" s="263" t="s">
        <v>2425</v>
      </c>
    </row>
    <row r="1394" spans="1:6">
      <c r="A1394" s="263">
        <v>1393</v>
      </c>
      <c r="B1394" s="263" t="s">
        <v>2715</v>
      </c>
      <c r="C1394" s="263" t="s">
        <v>2373</v>
      </c>
      <c r="D1394" s="263" t="s">
        <v>2704</v>
      </c>
      <c r="E1394" s="263" t="s">
        <v>2705</v>
      </c>
      <c r="F1394" s="263" t="s">
        <v>2425</v>
      </c>
    </row>
    <row r="1395" spans="1:6">
      <c r="A1395" s="263">
        <v>1394</v>
      </c>
      <c r="B1395" s="263" t="s">
        <v>2716</v>
      </c>
      <c r="C1395" s="263" t="s">
        <v>2584</v>
      </c>
      <c r="D1395" s="263" t="s">
        <v>2704</v>
      </c>
      <c r="E1395" s="263" t="s">
        <v>2705</v>
      </c>
      <c r="F1395" s="263" t="s">
        <v>2425</v>
      </c>
    </row>
    <row r="1396" spans="1:6">
      <c r="A1396" s="263">
        <v>1395</v>
      </c>
      <c r="B1396" s="263" t="s">
        <v>2717</v>
      </c>
      <c r="C1396" s="263" t="s">
        <v>2586</v>
      </c>
      <c r="D1396" s="263" t="s">
        <v>2704</v>
      </c>
      <c r="E1396" s="263" t="s">
        <v>2705</v>
      </c>
      <c r="F1396" s="263" t="s">
        <v>2425</v>
      </c>
    </row>
    <row r="1397" spans="1:6">
      <c r="A1397" s="263">
        <v>1396</v>
      </c>
      <c r="B1397" s="263" t="s">
        <v>2718</v>
      </c>
      <c r="C1397" s="263" t="s">
        <v>2588</v>
      </c>
      <c r="D1397" s="263" t="s">
        <v>2704</v>
      </c>
      <c r="E1397" s="263" t="s">
        <v>2705</v>
      </c>
      <c r="F1397" s="263" t="s">
        <v>2425</v>
      </c>
    </row>
    <row r="1398" spans="1:6">
      <c r="A1398" s="263">
        <v>1397</v>
      </c>
      <c r="B1398" s="263" t="s">
        <v>2719</v>
      </c>
      <c r="C1398" s="263" t="s">
        <v>2720</v>
      </c>
      <c r="D1398" s="263" t="s">
        <v>2721</v>
      </c>
      <c r="E1398" s="263" t="s">
        <v>2722</v>
      </c>
      <c r="F1398" s="263" t="s">
        <v>2425</v>
      </c>
    </row>
    <row r="1399" spans="1:6">
      <c r="A1399" s="263">
        <v>1398</v>
      </c>
      <c r="B1399" s="263" t="s">
        <v>2723</v>
      </c>
      <c r="C1399" s="263" t="s">
        <v>441</v>
      </c>
      <c r="D1399" s="263" t="s">
        <v>2721</v>
      </c>
      <c r="E1399" s="263" t="s">
        <v>2722</v>
      </c>
      <c r="F1399" s="263" t="s">
        <v>2425</v>
      </c>
    </row>
    <row r="1400" spans="1:6">
      <c r="A1400" s="263">
        <v>1399</v>
      </c>
      <c r="B1400" s="263" t="s">
        <v>2724</v>
      </c>
      <c r="C1400" s="263" t="s">
        <v>2725</v>
      </c>
      <c r="D1400" s="263" t="s">
        <v>2721</v>
      </c>
      <c r="E1400" s="263" t="s">
        <v>2722</v>
      </c>
      <c r="F1400" s="263" t="s">
        <v>2425</v>
      </c>
    </row>
    <row r="1401" spans="1:6">
      <c r="A1401" s="263">
        <v>1400</v>
      </c>
      <c r="B1401" s="263" t="s">
        <v>2726</v>
      </c>
      <c r="C1401" s="263" t="s">
        <v>1822</v>
      </c>
      <c r="D1401" s="263" t="s">
        <v>2721</v>
      </c>
      <c r="E1401" s="263" t="s">
        <v>2722</v>
      </c>
      <c r="F1401" s="263" t="s">
        <v>2425</v>
      </c>
    </row>
    <row r="1402" spans="1:6">
      <c r="A1402" s="263">
        <v>1401</v>
      </c>
      <c r="B1402" s="263" t="s">
        <v>2727</v>
      </c>
      <c r="C1402" s="263" t="s">
        <v>2728</v>
      </c>
      <c r="D1402" s="263" t="s">
        <v>2721</v>
      </c>
      <c r="E1402" s="263" t="s">
        <v>2722</v>
      </c>
      <c r="F1402" s="263" t="s">
        <v>2425</v>
      </c>
    </row>
    <row r="1403" spans="1:6">
      <c r="A1403" s="263">
        <v>1402</v>
      </c>
      <c r="B1403" s="263" t="s">
        <v>2729</v>
      </c>
      <c r="C1403" s="263" t="s">
        <v>2113</v>
      </c>
      <c r="D1403" s="263" t="s">
        <v>2721</v>
      </c>
      <c r="E1403" s="263" t="s">
        <v>2722</v>
      </c>
      <c r="F1403" s="263" t="s">
        <v>2425</v>
      </c>
    </row>
    <row r="1404" spans="1:6">
      <c r="A1404" s="263">
        <v>1403</v>
      </c>
      <c r="B1404" s="263" t="s">
        <v>2730</v>
      </c>
      <c r="C1404" s="263" t="s">
        <v>883</v>
      </c>
      <c r="D1404" s="263" t="s">
        <v>2721</v>
      </c>
      <c r="E1404" s="263" t="s">
        <v>2722</v>
      </c>
      <c r="F1404" s="263" t="s">
        <v>2425</v>
      </c>
    </row>
    <row r="1405" spans="1:6">
      <c r="A1405" s="263">
        <v>1404</v>
      </c>
      <c r="B1405" s="263" t="s">
        <v>2731</v>
      </c>
      <c r="C1405" s="263" t="s">
        <v>2732</v>
      </c>
      <c r="D1405" s="263" t="s">
        <v>2721</v>
      </c>
      <c r="E1405" s="263" t="s">
        <v>2722</v>
      </c>
      <c r="F1405" s="263" t="s">
        <v>2425</v>
      </c>
    </row>
    <row r="1406" spans="1:6">
      <c r="A1406" s="263">
        <v>1405</v>
      </c>
      <c r="B1406" s="263" t="s">
        <v>2733</v>
      </c>
      <c r="C1406" s="263" t="s">
        <v>2734</v>
      </c>
      <c r="D1406" s="263" t="s">
        <v>2721</v>
      </c>
      <c r="E1406" s="263" t="s">
        <v>2722</v>
      </c>
      <c r="F1406" s="263" t="s">
        <v>2425</v>
      </c>
    </row>
    <row r="1407" spans="1:6">
      <c r="A1407" s="263">
        <v>1406</v>
      </c>
      <c r="B1407" s="263" t="s">
        <v>2735</v>
      </c>
      <c r="C1407" s="263" t="s">
        <v>2736</v>
      </c>
      <c r="D1407" s="263" t="s">
        <v>2721</v>
      </c>
      <c r="E1407" s="263" t="s">
        <v>2722</v>
      </c>
      <c r="F1407" s="263" t="s">
        <v>2425</v>
      </c>
    </row>
    <row r="1408" spans="1:6">
      <c r="A1408" s="263">
        <v>1407</v>
      </c>
      <c r="B1408" s="263" t="s">
        <v>2737</v>
      </c>
      <c r="C1408" s="263" t="s">
        <v>2561</v>
      </c>
      <c r="D1408" s="263" t="s">
        <v>2738</v>
      </c>
      <c r="E1408" s="263" t="s">
        <v>2739</v>
      </c>
      <c r="F1408" s="263" t="s">
        <v>2425</v>
      </c>
    </row>
    <row r="1409" spans="1:6">
      <c r="A1409" s="263">
        <v>1408</v>
      </c>
      <c r="B1409" s="263" t="s">
        <v>2740</v>
      </c>
      <c r="C1409" s="263" t="s">
        <v>2565</v>
      </c>
      <c r="D1409" s="263" t="s">
        <v>2738</v>
      </c>
      <c r="E1409" s="263" t="s">
        <v>2739</v>
      </c>
      <c r="F1409" s="263" t="s">
        <v>2425</v>
      </c>
    </row>
    <row r="1410" spans="1:6">
      <c r="A1410" s="263">
        <v>1409</v>
      </c>
      <c r="B1410" s="263" t="s">
        <v>2741</v>
      </c>
      <c r="C1410" s="263" t="s">
        <v>2567</v>
      </c>
      <c r="D1410" s="263" t="s">
        <v>2738</v>
      </c>
      <c r="E1410" s="263" t="s">
        <v>2739</v>
      </c>
      <c r="F1410" s="263" t="s">
        <v>2425</v>
      </c>
    </row>
    <row r="1411" spans="1:6">
      <c r="A1411" s="263">
        <v>1410</v>
      </c>
      <c r="B1411" s="263" t="s">
        <v>2742</v>
      </c>
      <c r="C1411" s="263" t="s">
        <v>2569</v>
      </c>
      <c r="D1411" s="263" t="s">
        <v>2738</v>
      </c>
      <c r="E1411" s="263" t="s">
        <v>2739</v>
      </c>
      <c r="F1411" s="263" t="s">
        <v>2425</v>
      </c>
    </row>
    <row r="1412" spans="1:6">
      <c r="A1412" s="263">
        <v>1411</v>
      </c>
      <c r="B1412" s="263" t="s">
        <v>2743</v>
      </c>
      <c r="C1412" s="263" t="s">
        <v>2571</v>
      </c>
      <c r="D1412" s="263" t="s">
        <v>2738</v>
      </c>
      <c r="E1412" s="263" t="s">
        <v>2739</v>
      </c>
      <c r="F1412" s="263" t="s">
        <v>2425</v>
      </c>
    </row>
    <row r="1413" spans="1:6">
      <c r="A1413" s="263">
        <v>1412</v>
      </c>
      <c r="B1413" s="263" t="s">
        <v>2744</v>
      </c>
      <c r="C1413" s="263" t="s">
        <v>2573</v>
      </c>
      <c r="D1413" s="263" t="s">
        <v>2738</v>
      </c>
      <c r="E1413" s="263" t="s">
        <v>2739</v>
      </c>
      <c r="F1413" s="263" t="s">
        <v>2425</v>
      </c>
    </row>
    <row r="1414" spans="1:6">
      <c r="A1414" s="263">
        <v>1413</v>
      </c>
      <c r="B1414" s="263" t="s">
        <v>2745</v>
      </c>
      <c r="C1414" s="263" t="s">
        <v>2575</v>
      </c>
      <c r="D1414" s="263" t="s">
        <v>2738</v>
      </c>
      <c r="E1414" s="263" t="s">
        <v>2739</v>
      </c>
      <c r="F1414" s="263" t="s">
        <v>2425</v>
      </c>
    </row>
    <row r="1415" spans="1:6">
      <c r="A1415" s="263">
        <v>1414</v>
      </c>
      <c r="B1415" s="263" t="s">
        <v>2746</v>
      </c>
      <c r="C1415" s="263" t="s">
        <v>2577</v>
      </c>
      <c r="D1415" s="263" t="s">
        <v>2738</v>
      </c>
      <c r="E1415" s="263" t="s">
        <v>2739</v>
      </c>
      <c r="F1415" s="263" t="s">
        <v>2425</v>
      </c>
    </row>
    <row r="1416" spans="1:6">
      <c r="A1416" s="263">
        <v>1415</v>
      </c>
      <c r="B1416" s="263" t="s">
        <v>2747</v>
      </c>
      <c r="C1416" s="263" t="s">
        <v>2579</v>
      </c>
      <c r="D1416" s="263" t="s">
        <v>2738</v>
      </c>
      <c r="E1416" s="263" t="s">
        <v>2739</v>
      </c>
      <c r="F1416" s="263" t="s">
        <v>2425</v>
      </c>
    </row>
    <row r="1417" spans="1:6">
      <c r="A1417" s="263">
        <v>1416</v>
      </c>
      <c r="B1417" s="263" t="s">
        <v>2748</v>
      </c>
      <c r="C1417" s="263" t="s">
        <v>2581</v>
      </c>
      <c r="D1417" s="263" t="s">
        <v>2738</v>
      </c>
      <c r="E1417" s="263" t="s">
        <v>2739</v>
      </c>
      <c r="F1417" s="263" t="s">
        <v>2425</v>
      </c>
    </row>
    <row r="1418" spans="1:6">
      <c r="A1418" s="263">
        <v>1417</v>
      </c>
      <c r="B1418" s="263" t="s">
        <v>2749</v>
      </c>
      <c r="C1418" s="263" t="s">
        <v>2373</v>
      </c>
      <c r="D1418" s="263" t="s">
        <v>2738</v>
      </c>
      <c r="E1418" s="263" t="s">
        <v>2739</v>
      </c>
      <c r="F1418" s="263" t="s">
        <v>2425</v>
      </c>
    </row>
    <row r="1419" spans="1:6">
      <c r="A1419" s="263">
        <v>1418</v>
      </c>
      <c r="B1419" s="263" t="s">
        <v>2750</v>
      </c>
      <c r="C1419" s="263" t="s">
        <v>2584</v>
      </c>
      <c r="D1419" s="263" t="s">
        <v>2738</v>
      </c>
      <c r="E1419" s="263" t="s">
        <v>2739</v>
      </c>
      <c r="F1419" s="263" t="s">
        <v>2425</v>
      </c>
    </row>
    <row r="1420" spans="1:6">
      <c r="A1420" s="263">
        <v>1419</v>
      </c>
      <c r="B1420" s="263" t="s">
        <v>2751</v>
      </c>
      <c r="C1420" s="263" t="s">
        <v>2586</v>
      </c>
      <c r="D1420" s="263" t="s">
        <v>2738</v>
      </c>
      <c r="E1420" s="263" t="s">
        <v>2739</v>
      </c>
      <c r="F1420" s="263" t="s">
        <v>2425</v>
      </c>
    </row>
    <row r="1421" spans="1:6">
      <c r="A1421" s="263">
        <v>1420</v>
      </c>
      <c r="B1421" s="263" t="s">
        <v>2752</v>
      </c>
      <c r="C1421" s="263" t="s">
        <v>2588</v>
      </c>
      <c r="D1421" s="263" t="s">
        <v>2738</v>
      </c>
      <c r="E1421" s="263" t="s">
        <v>2739</v>
      </c>
      <c r="F1421" s="263" t="s">
        <v>2425</v>
      </c>
    </row>
    <row r="1422" spans="1:6">
      <c r="A1422" s="263">
        <v>1421</v>
      </c>
      <c r="B1422" s="263" t="s">
        <v>2753</v>
      </c>
      <c r="C1422" s="263" t="s">
        <v>2590</v>
      </c>
      <c r="D1422" s="263" t="s">
        <v>2738</v>
      </c>
      <c r="E1422" s="263" t="s">
        <v>2739</v>
      </c>
      <c r="F1422" s="263" t="s">
        <v>2425</v>
      </c>
    </row>
    <row r="1423" spans="1:6">
      <c r="A1423" s="263">
        <v>1422</v>
      </c>
      <c r="B1423" s="263" t="s">
        <v>2754</v>
      </c>
      <c r="C1423" s="263" t="s">
        <v>2609</v>
      </c>
      <c r="D1423" s="263" t="s">
        <v>2738</v>
      </c>
      <c r="E1423" s="263" t="s">
        <v>2739</v>
      </c>
      <c r="F1423" s="263" t="s">
        <v>2425</v>
      </c>
    </row>
    <row r="1424" spans="1:6">
      <c r="A1424" s="263">
        <v>1423</v>
      </c>
      <c r="B1424" s="263" t="s">
        <v>2755</v>
      </c>
      <c r="C1424" s="263" t="s">
        <v>2756</v>
      </c>
      <c r="D1424" s="263" t="s">
        <v>2757</v>
      </c>
      <c r="E1424" s="263" t="s">
        <v>2758</v>
      </c>
      <c r="F1424" s="263" t="s">
        <v>2425</v>
      </c>
    </row>
    <row r="1425" spans="1:6">
      <c r="A1425" s="263">
        <v>1424</v>
      </c>
      <c r="B1425" s="263" t="s">
        <v>2759</v>
      </c>
      <c r="C1425" s="263" t="s">
        <v>2094</v>
      </c>
      <c r="D1425" s="263" t="s">
        <v>2757</v>
      </c>
      <c r="E1425" s="263" t="s">
        <v>2758</v>
      </c>
      <c r="F1425" s="263" t="s">
        <v>2425</v>
      </c>
    </row>
    <row r="1426" spans="1:6">
      <c r="A1426" s="263">
        <v>1425</v>
      </c>
      <c r="B1426" s="263" t="s">
        <v>2760</v>
      </c>
      <c r="C1426" s="263" t="s">
        <v>865</v>
      </c>
      <c r="D1426" s="263" t="s">
        <v>2757</v>
      </c>
      <c r="E1426" s="263" t="s">
        <v>2758</v>
      </c>
      <c r="F1426" s="263" t="s">
        <v>2425</v>
      </c>
    </row>
    <row r="1427" spans="1:6">
      <c r="A1427" s="263">
        <v>1426</v>
      </c>
      <c r="B1427" s="263" t="s">
        <v>2761</v>
      </c>
      <c r="C1427" s="263" t="s">
        <v>2762</v>
      </c>
      <c r="D1427" s="263" t="s">
        <v>2757</v>
      </c>
      <c r="E1427" s="263" t="s">
        <v>2758</v>
      </c>
      <c r="F1427" s="263" t="s">
        <v>2425</v>
      </c>
    </row>
    <row r="1428" spans="1:6">
      <c r="A1428" s="263">
        <v>1427</v>
      </c>
      <c r="B1428" s="263" t="s">
        <v>2763</v>
      </c>
      <c r="C1428" s="263" t="s">
        <v>2764</v>
      </c>
      <c r="D1428" s="263" t="s">
        <v>2757</v>
      </c>
      <c r="E1428" s="263" t="s">
        <v>2758</v>
      </c>
      <c r="F1428" s="263" t="s">
        <v>2425</v>
      </c>
    </row>
    <row r="1429" spans="1:6">
      <c r="A1429" s="263">
        <v>1428</v>
      </c>
      <c r="B1429" s="263" t="s">
        <v>2765</v>
      </c>
      <c r="C1429" s="263" t="s">
        <v>2766</v>
      </c>
      <c r="D1429" s="263" t="s">
        <v>2757</v>
      </c>
      <c r="E1429" s="263" t="s">
        <v>2758</v>
      </c>
      <c r="F1429" s="263" t="s">
        <v>2425</v>
      </c>
    </row>
    <row r="1430" spans="1:6">
      <c r="A1430" s="263">
        <v>1429</v>
      </c>
      <c r="B1430" s="263" t="s">
        <v>2767</v>
      </c>
      <c r="C1430" s="263" t="s">
        <v>871</v>
      </c>
      <c r="D1430" s="263" t="s">
        <v>2757</v>
      </c>
      <c r="E1430" s="263" t="s">
        <v>2758</v>
      </c>
      <c r="F1430" s="263" t="s">
        <v>2425</v>
      </c>
    </row>
    <row r="1431" spans="1:6">
      <c r="A1431" s="263">
        <v>1430</v>
      </c>
      <c r="B1431" s="263" t="s">
        <v>2768</v>
      </c>
      <c r="C1431" s="263" t="s">
        <v>2769</v>
      </c>
      <c r="D1431" s="263" t="s">
        <v>2757</v>
      </c>
      <c r="E1431" s="263" t="s">
        <v>2758</v>
      </c>
      <c r="F1431" s="263" t="s">
        <v>2425</v>
      </c>
    </row>
    <row r="1432" spans="1:6">
      <c r="A1432" s="263">
        <v>1431</v>
      </c>
      <c r="B1432" s="263" t="s">
        <v>2770</v>
      </c>
      <c r="C1432" s="263" t="s">
        <v>2771</v>
      </c>
      <c r="D1432" s="263" t="s">
        <v>2757</v>
      </c>
      <c r="E1432" s="263" t="s">
        <v>2758</v>
      </c>
      <c r="F1432" s="263" t="s">
        <v>2425</v>
      </c>
    </row>
    <row r="1433" spans="1:6">
      <c r="A1433" s="263">
        <v>1432</v>
      </c>
      <c r="B1433" s="263" t="s">
        <v>2772</v>
      </c>
      <c r="C1433" s="263" t="s">
        <v>883</v>
      </c>
      <c r="D1433" s="263" t="s">
        <v>2757</v>
      </c>
      <c r="E1433" s="263" t="s">
        <v>2758</v>
      </c>
      <c r="F1433" s="263" t="s">
        <v>2425</v>
      </c>
    </row>
    <row r="1434" spans="1:6">
      <c r="A1434" s="263">
        <v>1433</v>
      </c>
      <c r="B1434" s="263" t="s">
        <v>2773</v>
      </c>
      <c r="C1434" s="263" t="s">
        <v>2774</v>
      </c>
      <c r="D1434" s="263" t="s">
        <v>2757</v>
      </c>
      <c r="E1434" s="263" t="s">
        <v>2758</v>
      </c>
      <c r="F1434" s="263" t="s">
        <v>2425</v>
      </c>
    </row>
    <row r="1435" spans="1:6">
      <c r="A1435" s="263">
        <v>1434</v>
      </c>
      <c r="B1435" s="263" t="s">
        <v>2775</v>
      </c>
      <c r="C1435" s="263" t="s">
        <v>2776</v>
      </c>
      <c r="D1435" s="263" t="s">
        <v>2757</v>
      </c>
      <c r="E1435" s="263" t="s">
        <v>2758</v>
      </c>
      <c r="F1435" s="263" t="s">
        <v>2425</v>
      </c>
    </row>
    <row r="1436" spans="1:6">
      <c r="A1436" s="263">
        <v>1435</v>
      </c>
      <c r="B1436" s="263" t="s">
        <v>2777</v>
      </c>
      <c r="C1436" s="263" t="s">
        <v>2778</v>
      </c>
      <c r="D1436" s="263" t="s">
        <v>2757</v>
      </c>
      <c r="E1436" s="263" t="s">
        <v>2758</v>
      </c>
      <c r="F1436" s="263" t="s">
        <v>2425</v>
      </c>
    </row>
    <row r="1437" spans="1:6">
      <c r="A1437" s="263">
        <v>1436</v>
      </c>
      <c r="B1437" s="263" t="s">
        <v>2779</v>
      </c>
      <c r="C1437" s="263" t="s">
        <v>1794</v>
      </c>
      <c r="D1437" s="263" t="s">
        <v>2780</v>
      </c>
      <c r="E1437" s="263" t="s">
        <v>2781</v>
      </c>
      <c r="F1437" s="263" t="s">
        <v>2425</v>
      </c>
    </row>
    <row r="1438" spans="1:6">
      <c r="A1438" s="263">
        <v>1437</v>
      </c>
      <c r="B1438" s="263" t="s">
        <v>2782</v>
      </c>
      <c r="C1438" s="263" t="s">
        <v>2783</v>
      </c>
      <c r="D1438" s="263" t="s">
        <v>2780</v>
      </c>
      <c r="E1438" s="263" t="s">
        <v>2781</v>
      </c>
      <c r="F1438" s="263" t="s">
        <v>2425</v>
      </c>
    </row>
    <row r="1439" spans="1:6">
      <c r="A1439" s="263">
        <v>1438</v>
      </c>
      <c r="B1439" s="263" t="s">
        <v>2784</v>
      </c>
      <c r="C1439" s="263" t="s">
        <v>2785</v>
      </c>
      <c r="D1439" s="263" t="s">
        <v>2780</v>
      </c>
      <c r="E1439" s="263" t="s">
        <v>2781</v>
      </c>
      <c r="F1439" s="263" t="s">
        <v>2425</v>
      </c>
    </row>
    <row r="1440" spans="1:6">
      <c r="A1440" s="263">
        <v>1439</v>
      </c>
      <c r="B1440" s="263" t="s">
        <v>2786</v>
      </c>
      <c r="C1440" s="263" t="s">
        <v>2787</v>
      </c>
      <c r="D1440" s="263" t="s">
        <v>2780</v>
      </c>
      <c r="E1440" s="263" t="s">
        <v>2781</v>
      </c>
      <c r="F1440" s="263" t="s">
        <v>2425</v>
      </c>
    </row>
    <row r="1441" spans="1:6">
      <c r="A1441" s="263">
        <v>1440</v>
      </c>
      <c r="B1441" s="263" t="s">
        <v>2788</v>
      </c>
      <c r="C1441" s="263" t="s">
        <v>2789</v>
      </c>
      <c r="D1441" s="263" t="s">
        <v>2780</v>
      </c>
      <c r="E1441" s="263" t="s">
        <v>2781</v>
      </c>
      <c r="F1441" s="263" t="s">
        <v>2425</v>
      </c>
    </row>
    <row r="1442" spans="1:6">
      <c r="A1442" s="263">
        <v>1441</v>
      </c>
      <c r="B1442" s="263" t="s">
        <v>2790</v>
      </c>
      <c r="C1442" s="263" t="s">
        <v>2791</v>
      </c>
      <c r="D1442" s="263" t="s">
        <v>2780</v>
      </c>
      <c r="E1442" s="263" t="s">
        <v>2781</v>
      </c>
      <c r="F1442" s="263" t="s">
        <v>2425</v>
      </c>
    </row>
    <row r="1443" spans="1:6">
      <c r="A1443" s="263">
        <v>1442</v>
      </c>
      <c r="B1443" s="263" t="s">
        <v>2792</v>
      </c>
      <c r="C1443" s="263" t="s">
        <v>2793</v>
      </c>
      <c r="D1443" s="263" t="s">
        <v>2780</v>
      </c>
      <c r="E1443" s="263" t="s">
        <v>2781</v>
      </c>
      <c r="F1443" s="263" t="s">
        <v>2425</v>
      </c>
    </row>
    <row r="1444" spans="1:6">
      <c r="A1444" s="263">
        <v>1443</v>
      </c>
      <c r="B1444" s="263" t="s">
        <v>2794</v>
      </c>
      <c r="C1444" s="263" t="s">
        <v>2795</v>
      </c>
      <c r="D1444" s="263" t="s">
        <v>2780</v>
      </c>
      <c r="E1444" s="263" t="s">
        <v>2781</v>
      </c>
      <c r="F1444" s="263" t="s">
        <v>2425</v>
      </c>
    </row>
    <row r="1445" spans="1:6">
      <c r="A1445" s="263">
        <v>1444</v>
      </c>
      <c r="B1445" s="263" t="s">
        <v>2796</v>
      </c>
      <c r="C1445" s="263" t="s">
        <v>2797</v>
      </c>
      <c r="D1445" s="263" t="s">
        <v>2780</v>
      </c>
      <c r="E1445" s="263" t="s">
        <v>2781</v>
      </c>
      <c r="F1445" s="263" t="s">
        <v>2425</v>
      </c>
    </row>
    <row r="1446" spans="1:6">
      <c r="A1446" s="263">
        <v>1445</v>
      </c>
      <c r="B1446" s="263" t="s">
        <v>2798</v>
      </c>
      <c r="C1446" s="263" t="s">
        <v>2799</v>
      </c>
      <c r="D1446" s="263" t="s">
        <v>2780</v>
      </c>
      <c r="E1446" s="263" t="s">
        <v>2781</v>
      </c>
      <c r="F1446" s="263" t="s">
        <v>2425</v>
      </c>
    </row>
    <row r="1447" spans="1:6">
      <c r="A1447" s="263">
        <v>1446</v>
      </c>
      <c r="B1447" s="263" t="s">
        <v>2800</v>
      </c>
      <c r="C1447" s="263" t="s">
        <v>2561</v>
      </c>
      <c r="D1447" s="263" t="s">
        <v>2801</v>
      </c>
      <c r="E1447" s="263" t="s">
        <v>2802</v>
      </c>
      <c r="F1447" s="263" t="s">
        <v>2425</v>
      </c>
    </row>
    <row r="1448" spans="1:6">
      <c r="A1448" s="263">
        <v>1447</v>
      </c>
      <c r="B1448" s="263" t="s">
        <v>2803</v>
      </c>
      <c r="C1448" s="263" t="s">
        <v>2565</v>
      </c>
      <c r="D1448" s="263" t="s">
        <v>2801</v>
      </c>
      <c r="E1448" s="263" t="s">
        <v>2802</v>
      </c>
      <c r="F1448" s="263" t="s">
        <v>2425</v>
      </c>
    </row>
    <row r="1449" spans="1:6">
      <c r="A1449" s="263">
        <v>1448</v>
      </c>
      <c r="B1449" s="263" t="s">
        <v>2804</v>
      </c>
      <c r="C1449" s="263" t="s">
        <v>2567</v>
      </c>
      <c r="D1449" s="263" t="s">
        <v>2801</v>
      </c>
      <c r="E1449" s="263" t="s">
        <v>2802</v>
      </c>
      <c r="F1449" s="263" t="s">
        <v>2425</v>
      </c>
    </row>
    <row r="1450" spans="1:6">
      <c r="A1450" s="263">
        <v>1449</v>
      </c>
      <c r="B1450" s="263" t="s">
        <v>2805</v>
      </c>
      <c r="C1450" s="263" t="s">
        <v>2571</v>
      </c>
      <c r="D1450" s="263" t="s">
        <v>2801</v>
      </c>
      <c r="E1450" s="263" t="s">
        <v>2802</v>
      </c>
      <c r="F1450" s="263" t="s">
        <v>2425</v>
      </c>
    </row>
    <row r="1451" spans="1:6">
      <c r="A1451" s="263">
        <v>1450</v>
      </c>
      <c r="B1451" s="263" t="s">
        <v>2806</v>
      </c>
      <c r="C1451" s="263" t="s">
        <v>2573</v>
      </c>
      <c r="D1451" s="263" t="s">
        <v>2801</v>
      </c>
      <c r="E1451" s="263" t="s">
        <v>2802</v>
      </c>
      <c r="F1451" s="263" t="s">
        <v>2425</v>
      </c>
    </row>
    <row r="1452" spans="1:6">
      <c r="A1452" s="263">
        <v>1451</v>
      </c>
      <c r="B1452" s="263" t="s">
        <v>2807</v>
      </c>
      <c r="C1452" s="263" t="s">
        <v>2575</v>
      </c>
      <c r="D1452" s="263" t="s">
        <v>2801</v>
      </c>
      <c r="E1452" s="263" t="s">
        <v>2802</v>
      </c>
      <c r="F1452" s="263" t="s">
        <v>2425</v>
      </c>
    </row>
    <row r="1453" spans="1:6">
      <c r="A1453" s="263">
        <v>1452</v>
      </c>
      <c r="B1453" s="263" t="s">
        <v>2808</v>
      </c>
      <c r="C1453" s="263" t="s">
        <v>2373</v>
      </c>
      <c r="D1453" s="263" t="s">
        <v>2801</v>
      </c>
      <c r="E1453" s="263" t="s">
        <v>2802</v>
      </c>
      <c r="F1453" s="263" t="s">
        <v>2425</v>
      </c>
    </row>
    <row r="1454" spans="1:6">
      <c r="A1454" s="263">
        <v>1453</v>
      </c>
      <c r="B1454" s="263" t="s">
        <v>2809</v>
      </c>
      <c r="C1454" s="263" t="s">
        <v>2584</v>
      </c>
      <c r="D1454" s="263" t="s">
        <v>2801</v>
      </c>
      <c r="E1454" s="263" t="s">
        <v>2802</v>
      </c>
      <c r="F1454" s="263" t="s">
        <v>2425</v>
      </c>
    </row>
    <row r="1455" spans="1:6">
      <c r="A1455" s="263">
        <v>1454</v>
      </c>
      <c r="B1455" s="263" t="s">
        <v>2810</v>
      </c>
      <c r="C1455" s="263" t="s">
        <v>2586</v>
      </c>
      <c r="D1455" s="263" t="s">
        <v>2801</v>
      </c>
      <c r="E1455" s="263" t="s">
        <v>2802</v>
      </c>
      <c r="F1455" s="263" t="s">
        <v>2425</v>
      </c>
    </row>
    <row r="1456" spans="1:6">
      <c r="A1456" s="263">
        <v>1455</v>
      </c>
      <c r="B1456" s="263" t="s">
        <v>2811</v>
      </c>
      <c r="C1456" s="263" t="s">
        <v>2588</v>
      </c>
      <c r="D1456" s="263" t="s">
        <v>2801</v>
      </c>
      <c r="E1456" s="263" t="s">
        <v>2802</v>
      </c>
      <c r="F1456" s="263" t="s">
        <v>2425</v>
      </c>
    </row>
    <row r="1457" spans="1:6">
      <c r="A1457" s="263">
        <v>1456</v>
      </c>
      <c r="B1457" s="263" t="s">
        <v>2812</v>
      </c>
      <c r="C1457" s="263" t="s">
        <v>2590</v>
      </c>
      <c r="D1457" s="263" t="s">
        <v>2801</v>
      </c>
      <c r="E1457" s="263" t="s">
        <v>2802</v>
      </c>
      <c r="F1457" s="263" t="s">
        <v>2425</v>
      </c>
    </row>
    <row r="1458" spans="1:6">
      <c r="A1458" s="263">
        <v>1457</v>
      </c>
      <c r="B1458" s="263" t="s">
        <v>2813</v>
      </c>
      <c r="C1458" s="263" t="s">
        <v>2814</v>
      </c>
      <c r="D1458" s="263" t="s">
        <v>2801</v>
      </c>
      <c r="E1458" s="263" t="s">
        <v>2802</v>
      </c>
      <c r="F1458" s="263" t="s">
        <v>2425</v>
      </c>
    </row>
    <row r="1459" spans="1:6">
      <c r="A1459" s="263">
        <v>1458</v>
      </c>
      <c r="B1459" s="263" t="s">
        <v>2815</v>
      </c>
      <c r="C1459" s="263" t="s">
        <v>2816</v>
      </c>
      <c r="D1459" s="263" t="s">
        <v>2801</v>
      </c>
      <c r="E1459" s="263" t="s">
        <v>2802</v>
      </c>
      <c r="F1459" s="263" t="s">
        <v>2425</v>
      </c>
    </row>
    <row r="1460" spans="1:6">
      <c r="A1460" s="263">
        <v>1459</v>
      </c>
      <c r="B1460" s="263" t="s">
        <v>2817</v>
      </c>
      <c r="C1460" s="263" t="s">
        <v>2818</v>
      </c>
      <c r="D1460" s="263" t="s">
        <v>2801</v>
      </c>
      <c r="E1460" s="263" t="s">
        <v>2802</v>
      </c>
      <c r="F1460" s="263" t="s">
        <v>2425</v>
      </c>
    </row>
    <row r="1461" spans="1:6">
      <c r="A1461" s="263">
        <v>1460</v>
      </c>
      <c r="B1461" s="263" t="s">
        <v>2819</v>
      </c>
      <c r="C1461" s="263" t="s">
        <v>2820</v>
      </c>
      <c r="D1461" s="263" t="s">
        <v>2801</v>
      </c>
      <c r="E1461" s="263" t="s">
        <v>2802</v>
      </c>
      <c r="F1461" s="263" t="s">
        <v>2425</v>
      </c>
    </row>
    <row r="1462" spans="1:6">
      <c r="A1462" s="263">
        <v>1461</v>
      </c>
      <c r="B1462" s="263" t="s">
        <v>2821</v>
      </c>
      <c r="C1462" s="263" t="s">
        <v>2822</v>
      </c>
      <c r="D1462" s="263" t="s">
        <v>2801</v>
      </c>
      <c r="E1462" s="263" t="s">
        <v>2802</v>
      </c>
      <c r="F1462" s="263" t="s">
        <v>2425</v>
      </c>
    </row>
    <row r="1463" spans="1:6">
      <c r="A1463" s="263">
        <v>1462</v>
      </c>
      <c r="B1463" s="263" t="s">
        <v>2823</v>
      </c>
      <c r="C1463" s="263" t="s">
        <v>2824</v>
      </c>
      <c r="D1463" s="263" t="s">
        <v>2801</v>
      </c>
      <c r="E1463" s="263" t="s">
        <v>2802</v>
      </c>
      <c r="F1463" s="263" t="s">
        <v>2425</v>
      </c>
    </row>
    <row r="1464" spans="1:6">
      <c r="A1464" s="263">
        <v>1463</v>
      </c>
      <c r="B1464" s="263" t="s">
        <v>2825</v>
      </c>
      <c r="C1464" s="263" t="s">
        <v>2826</v>
      </c>
      <c r="D1464" s="263" t="s">
        <v>2801</v>
      </c>
      <c r="E1464" s="263" t="s">
        <v>2802</v>
      </c>
      <c r="F1464" s="263" t="s">
        <v>2425</v>
      </c>
    </row>
    <row r="1465" spans="1:6">
      <c r="A1465" s="263">
        <v>1464</v>
      </c>
      <c r="B1465" s="263" t="s">
        <v>2827</v>
      </c>
      <c r="C1465" s="263" t="s">
        <v>2828</v>
      </c>
      <c r="D1465" s="263" t="s">
        <v>2801</v>
      </c>
      <c r="E1465" s="263" t="s">
        <v>2802</v>
      </c>
      <c r="F1465" s="263" t="s">
        <v>2425</v>
      </c>
    </row>
    <row r="1466" spans="1:6">
      <c r="A1466" s="263">
        <v>1465</v>
      </c>
      <c r="B1466" s="263" t="s">
        <v>2829</v>
      </c>
      <c r="C1466" s="263" t="s">
        <v>2830</v>
      </c>
      <c r="D1466" s="263" t="s">
        <v>2801</v>
      </c>
      <c r="E1466" s="263" t="s">
        <v>2802</v>
      </c>
      <c r="F1466" s="263" t="s">
        <v>2425</v>
      </c>
    </row>
    <row r="1467" spans="1:6">
      <c r="A1467" s="263">
        <v>1466</v>
      </c>
      <c r="B1467" s="263" t="s">
        <v>2831</v>
      </c>
      <c r="C1467" s="263" t="s">
        <v>2561</v>
      </c>
      <c r="D1467" s="263" t="s">
        <v>2832</v>
      </c>
      <c r="E1467" s="263" t="s">
        <v>2833</v>
      </c>
      <c r="F1467" s="263" t="s">
        <v>2425</v>
      </c>
    </row>
    <row r="1468" spans="1:6">
      <c r="A1468" s="263">
        <v>1467</v>
      </c>
      <c r="B1468" s="263" t="s">
        <v>2834</v>
      </c>
      <c r="C1468" s="263" t="s">
        <v>2567</v>
      </c>
      <c r="D1468" s="263" t="s">
        <v>2832</v>
      </c>
      <c r="E1468" s="263" t="s">
        <v>2833</v>
      </c>
      <c r="F1468" s="263" t="s">
        <v>2425</v>
      </c>
    </row>
    <row r="1469" spans="1:6">
      <c r="A1469" s="263">
        <v>1468</v>
      </c>
      <c r="B1469" s="263" t="s">
        <v>2835</v>
      </c>
      <c r="C1469" s="263" t="s">
        <v>2569</v>
      </c>
      <c r="D1469" s="263" t="s">
        <v>2832</v>
      </c>
      <c r="E1469" s="263" t="s">
        <v>2833</v>
      </c>
      <c r="F1469" s="263" t="s">
        <v>2425</v>
      </c>
    </row>
    <row r="1470" spans="1:6">
      <c r="A1470" s="263">
        <v>1469</v>
      </c>
      <c r="B1470" s="263" t="s">
        <v>2836</v>
      </c>
      <c r="C1470" s="263" t="s">
        <v>2571</v>
      </c>
      <c r="D1470" s="263" t="s">
        <v>2832</v>
      </c>
      <c r="E1470" s="263" t="s">
        <v>2833</v>
      </c>
      <c r="F1470" s="263" t="s">
        <v>2425</v>
      </c>
    </row>
    <row r="1471" spans="1:6">
      <c r="A1471" s="263">
        <v>1470</v>
      </c>
      <c r="B1471" s="263" t="s">
        <v>2837</v>
      </c>
      <c r="C1471" s="263" t="s">
        <v>2575</v>
      </c>
      <c r="D1471" s="263" t="s">
        <v>2832</v>
      </c>
      <c r="E1471" s="263" t="s">
        <v>2833</v>
      </c>
      <c r="F1471" s="263" t="s">
        <v>2425</v>
      </c>
    </row>
    <row r="1472" spans="1:6">
      <c r="A1472" s="263">
        <v>1471</v>
      </c>
      <c r="B1472" s="263" t="s">
        <v>2838</v>
      </c>
      <c r="C1472" s="263" t="s">
        <v>2581</v>
      </c>
      <c r="D1472" s="263" t="s">
        <v>2832</v>
      </c>
      <c r="E1472" s="263" t="s">
        <v>2833</v>
      </c>
      <c r="F1472" s="263" t="s">
        <v>2425</v>
      </c>
    </row>
    <row r="1473" spans="1:6">
      <c r="A1473" s="263">
        <v>1472</v>
      </c>
      <c r="B1473" s="263" t="s">
        <v>2839</v>
      </c>
      <c r="C1473" s="263" t="s">
        <v>2373</v>
      </c>
      <c r="D1473" s="263" t="s">
        <v>2832</v>
      </c>
      <c r="E1473" s="263" t="s">
        <v>2833</v>
      </c>
      <c r="F1473" s="263" t="s">
        <v>2425</v>
      </c>
    </row>
    <row r="1474" spans="1:6">
      <c r="A1474" s="263">
        <v>1473</v>
      </c>
      <c r="B1474" s="263" t="s">
        <v>2840</v>
      </c>
      <c r="C1474" s="263" t="s">
        <v>2584</v>
      </c>
      <c r="D1474" s="263" t="s">
        <v>2832</v>
      </c>
      <c r="E1474" s="263" t="s">
        <v>2833</v>
      </c>
      <c r="F1474" s="263" t="s">
        <v>2425</v>
      </c>
    </row>
    <row r="1475" spans="1:6">
      <c r="A1475" s="263">
        <v>1474</v>
      </c>
      <c r="B1475" s="263" t="s">
        <v>2841</v>
      </c>
      <c r="C1475" s="263" t="s">
        <v>2586</v>
      </c>
      <c r="D1475" s="263" t="s">
        <v>2832</v>
      </c>
      <c r="E1475" s="263" t="s">
        <v>2833</v>
      </c>
      <c r="F1475" s="263" t="s">
        <v>2425</v>
      </c>
    </row>
    <row r="1476" spans="1:6">
      <c r="A1476" s="263">
        <v>1475</v>
      </c>
      <c r="B1476" s="263" t="s">
        <v>2842</v>
      </c>
      <c r="C1476" s="263" t="s">
        <v>2588</v>
      </c>
      <c r="D1476" s="263" t="s">
        <v>2832</v>
      </c>
      <c r="E1476" s="263" t="s">
        <v>2833</v>
      </c>
      <c r="F1476" s="263" t="s">
        <v>2425</v>
      </c>
    </row>
    <row r="1477" spans="1:6">
      <c r="A1477" s="263">
        <v>1476</v>
      </c>
      <c r="B1477" s="263" t="s">
        <v>2843</v>
      </c>
      <c r="C1477" s="263" t="s">
        <v>2590</v>
      </c>
      <c r="D1477" s="263" t="s">
        <v>2832</v>
      </c>
      <c r="E1477" s="263" t="s">
        <v>2833</v>
      </c>
      <c r="F1477" s="263" t="s">
        <v>2425</v>
      </c>
    </row>
    <row r="1478" spans="1:6">
      <c r="A1478" s="263">
        <v>1477</v>
      </c>
      <c r="B1478" s="263" t="s">
        <v>2844</v>
      </c>
      <c r="C1478" s="263" t="s">
        <v>2609</v>
      </c>
      <c r="D1478" s="263" t="s">
        <v>2832</v>
      </c>
      <c r="E1478" s="263" t="s">
        <v>2833</v>
      </c>
      <c r="F1478" s="263" t="s">
        <v>2425</v>
      </c>
    </row>
    <row r="1479" spans="1:6">
      <c r="A1479" s="263">
        <v>1478</v>
      </c>
      <c r="B1479" s="263" t="s">
        <v>2845</v>
      </c>
      <c r="C1479" s="263" t="s">
        <v>2814</v>
      </c>
      <c r="D1479" s="263" t="s">
        <v>2832</v>
      </c>
      <c r="E1479" s="263" t="s">
        <v>2833</v>
      </c>
      <c r="F1479" s="263" t="s">
        <v>2425</v>
      </c>
    </row>
    <row r="1480" spans="1:6">
      <c r="A1480" s="263">
        <v>1479</v>
      </c>
      <c r="B1480" s="263" t="s">
        <v>2846</v>
      </c>
      <c r="C1480" s="263" t="s">
        <v>1187</v>
      </c>
      <c r="D1480" s="263" t="s">
        <v>2832</v>
      </c>
      <c r="E1480" s="263" t="s">
        <v>2833</v>
      </c>
      <c r="F1480" s="263" t="s">
        <v>2425</v>
      </c>
    </row>
    <row r="1481" spans="1:6">
      <c r="A1481" s="263">
        <v>1480</v>
      </c>
      <c r="B1481" s="263" t="s">
        <v>2847</v>
      </c>
      <c r="C1481" s="263" t="s">
        <v>640</v>
      </c>
      <c r="D1481" s="263" t="s">
        <v>2832</v>
      </c>
      <c r="E1481" s="263" t="s">
        <v>2833</v>
      </c>
      <c r="F1481" s="263" t="s">
        <v>2425</v>
      </c>
    </row>
    <row r="1482" spans="1:6">
      <c r="A1482" s="263">
        <v>1481</v>
      </c>
      <c r="B1482" s="263" t="s">
        <v>2848</v>
      </c>
      <c r="C1482" s="263" t="s">
        <v>1645</v>
      </c>
      <c r="D1482" s="263" t="s">
        <v>2832</v>
      </c>
      <c r="E1482" s="263" t="s">
        <v>2833</v>
      </c>
      <c r="F1482" s="263" t="s">
        <v>2425</v>
      </c>
    </row>
    <row r="1483" spans="1:6">
      <c r="A1483" s="263">
        <v>1482</v>
      </c>
      <c r="B1483" s="263" t="s">
        <v>2849</v>
      </c>
      <c r="C1483" s="263" t="s">
        <v>2561</v>
      </c>
      <c r="D1483" s="263" t="s">
        <v>2850</v>
      </c>
      <c r="E1483" s="263" t="s">
        <v>2851</v>
      </c>
      <c r="F1483" s="263" t="s">
        <v>2425</v>
      </c>
    </row>
    <row r="1484" spans="1:6">
      <c r="A1484" s="263">
        <v>1483</v>
      </c>
      <c r="B1484" s="263" t="s">
        <v>2852</v>
      </c>
      <c r="C1484" s="263" t="s">
        <v>2565</v>
      </c>
      <c r="D1484" s="263" t="s">
        <v>2850</v>
      </c>
      <c r="E1484" s="263" t="s">
        <v>2851</v>
      </c>
      <c r="F1484" s="263" t="s">
        <v>2425</v>
      </c>
    </row>
    <row r="1485" spans="1:6">
      <c r="A1485" s="263">
        <v>1484</v>
      </c>
      <c r="B1485" s="263" t="s">
        <v>2853</v>
      </c>
      <c r="C1485" s="263" t="s">
        <v>2567</v>
      </c>
      <c r="D1485" s="263" t="s">
        <v>2850</v>
      </c>
      <c r="E1485" s="263" t="s">
        <v>2851</v>
      </c>
      <c r="F1485" s="263" t="s">
        <v>2425</v>
      </c>
    </row>
    <row r="1486" spans="1:6">
      <c r="A1486" s="263">
        <v>1485</v>
      </c>
      <c r="B1486" s="263" t="s">
        <v>2854</v>
      </c>
      <c r="C1486" s="263" t="s">
        <v>2569</v>
      </c>
      <c r="D1486" s="263" t="s">
        <v>2850</v>
      </c>
      <c r="E1486" s="263" t="s">
        <v>2851</v>
      </c>
      <c r="F1486" s="263" t="s">
        <v>2425</v>
      </c>
    </row>
    <row r="1487" spans="1:6">
      <c r="A1487" s="263">
        <v>1486</v>
      </c>
      <c r="B1487" s="263" t="s">
        <v>2855</v>
      </c>
      <c r="C1487" s="263" t="s">
        <v>2571</v>
      </c>
      <c r="D1487" s="263" t="s">
        <v>2850</v>
      </c>
      <c r="E1487" s="263" t="s">
        <v>2851</v>
      </c>
      <c r="F1487" s="263" t="s">
        <v>2425</v>
      </c>
    </row>
    <row r="1488" spans="1:6">
      <c r="A1488" s="263">
        <v>1487</v>
      </c>
      <c r="B1488" s="263" t="s">
        <v>2856</v>
      </c>
      <c r="C1488" s="263" t="s">
        <v>2575</v>
      </c>
      <c r="D1488" s="263" t="s">
        <v>2850</v>
      </c>
      <c r="E1488" s="263" t="s">
        <v>2851</v>
      </c>
      <c r="F1488" s="263" t="s">
        <v>2425</v>
      </c>
    </row>
    <row r="1489" spans="1:6">
      <c r="A1489" s="263">
        <v>1488</v>
      </c>
      <c r="B1489" s="263" t="s">
        <v>2857</v>
      </c>
      <c r="C1489" s="263" t="s">
        <v>2577</v>
      </c>
      <c r="D1489" s="263" t="s">
        <v>2850</v>
      </c>
      <c r="E1489" s="263" t="s">
        <v>2851</v>
      </c>
      <c r="F1489" s="263" t="s">
        <v>2425</v>
      </c>
    </row>
    <row r="1490" spans="1:6">
      <c r="A1490" s="263">
        <v>1489</v>
      </c>
      <c r="B1490" s="263" t="s">
        <v>2858</v>
      </c>
      <c r="C1490" s="263" t="s">
        <v>2579</v>
      </c>
      <c r="D1490" s="263" t="s">
        <v>2850</v>
      </c>
      <c r="E1490" s="263" t="s">
        <v>2851</v>
      </c>
      <c r="F1490" s="263" t="s">
        <v>2425</v>
      </c>
    </row>
    <row r="1491" spans="1:6">
      <c r="A1491" s="263">
        <v>1490</v>
      </c>
      <c r="B1491" s="263" t="s">
        <v>2859</v>
      </c>
      <c r="C1491" s="263" t="s">
        <v>2581</v>
      </c>
      <c r="D1491" s="263" t="s">
        <v>2850</v>
      </c>
      <c r="E1491" s="263" t="s">
        <v>2851</v>
      </c>
      <c r="F1491" s="263" t="s">
        <v>2425</v>
      </c>
    </row>
    <row r="1492" spans="1:6">
      <c r="A1492" s="263">
        <v>1491</v>
      </c>
      <c r="B1492" s="263" t="s">
        <v>2860</v>
      </c>
      <c r="C1492" s="263" t="s">
        <v>2373</v>
      </c>
      <c r="D1492" s="263" t="s">
        <v>2850</v>
      </c>
      <c r="E1492" s="263" t="s">
        <v>2851</v>
      </c>
      <c r="F1492" s="263" t="s">
        <v>2425</v>
      </c>
    </row>
    <row r="1493" spans="1:6">
      <c r="A1493" s="263">
        <v>1492</v>
      </c>
      <c r="B1493" s="263" t="s">
        <v>2861</v>
      </c>
      <c r="C1493" s="263" t="s">
        <v>2584</v>
      </c>
      <c r="D1493" s="263" t="s">
        <v>2850</v>
      </c>
      <c r="E1493" s="263" t="s">
        <v>2851</v>
      </c>
      <c r="F1493" s="263" t="s">
        <v>2425</v>
      </c>
    </row>
    <row r="1494" spans="1:6">
      <c r="A1494" s="263">
        <v>1493</v>
      </c>
      <c r="B1494" s="263" t="s">
        <v>2862</v>
      </c>
      <c r="C1494" s="263" t="s">
        <v>2586</v>
      </c>
      <c r="D1494" s="263" t="s">
        <v>2850</v>
      </c>
      <c r="E1494" s="263" t="s">
        <v>2851</v>
      </c>
      <c r="F1494" s="263" t="s">
        <v>2425</v>
      </c>
    </row>
    <row r="1495" spans="1:6">
      <c r="A1495" s="263">
        <v>1494</v>
      </c>
      <c r="B1495" s="263" t="s">
        <v>2863</v>
      </c>
      <c r="C1495" s="263" t="s">
        <v>2588</v>
      </c>
      <c r="D1495" s="263" t="s">
        <v>2850</v>
      </c>
      <c r="E1495" s="263" t="s">
        <v>2851</v>
      </c>
      <c r="F1495" s="263" t="s">
        <v>2425</v>
      </c>
    </row>
    <row r="1496" spans="1:6">
      <c r="A1496" s="263">
        <v>1495</v>
      </c>
      <c r="B1496" s="263" t="s">
        <v>2864</v>
      </c>
      <c r="C1496" s="263" t="s">
        <v>2590</v>
      </c>
      <c r="D1496" s="263" t="s">
        <v>2850</v>
      </c>
      <c r="E1496" s="263" t="s">
        <v>2851</v>
      </c>
      <c r="F1496" s="263" t="s">
        <v>2425</v>
      </c>
    </row>
    <row r="1497" spans="1:6">
      <c r="A1497" s="263">
        <v>1496</v>
      </c>
      <c r="B1497" s="263" t="s">
        <v>2865</v>
      </c>
      <c r="C1497" s="263" t="s">
        <v>2814</v>
      </c>
      <c r="D1497" s="263" t="s">
        <v>2850</v>
      </c>
      <c r="E1497" s="263" t="s">
        <v>2851</v>
      </c>
      <c r="F1497" s="263" t="s">
        <v>2425</v>
      </c>
    </row>
    <row r="1498" spans="1:6">
      <c r="A1498" s="263">
        <v>1497</v>
      </c>
      <c r="B1498" s="263" t="s">
        <v>2866</v>
      </c>
      <c r="C1498" s="263" t="s">
        <v>2561</v>
      </c>
      <c r="D1498" s="263" t="s">
        <v>2867</v>
      </c>
      <c r="E1498" s="263" t="s">
        <v>2868</v>
      </c>
      <c r="F1498" s="263" t="s">
        <v>2425</v>
      </c>
    </row>
    <row r="1499" spans="1:6">
      <c r="A1499" s="263">
        <v>1498</v>
      </c>
      <c r="B1499" s="263" t="s">
        <v>2869</v>
      </c>
      <c r="C1499" s="263" t="s">
        <v>2565</v>
      </c>
      <c r="D1499" s="263" t="s">
        <v>2867</v>
      </c>
      <c r="E1499" s="263" t="s">
        <v>2868</v>
      </c>
      <c r="F1499" s="263" t="s">
        <v>2425</v>
      </c>
    </row>
    <row r="1500" spans="1:6">
      <c r="A1500" s="263">
        <v>1499</v>
      </c>
      <c r="B1500" s="263" t="s">
        <v>2870</v>
      </c>
      <c r="C1500" s="263" t="s">
        <v>2567</v>
      </c>
      <c r="D1500" s="263" t="s">
        <v>2867</v>
      </c>
      <c r="E1500" s="263" t="s">
        <v>2868</v>
      </c>
      <c r="F1500" s="263" t="s">
        <v>2425</v>
      </c>
    </row>
    <row r="1501" spans="1:6">
      <c r="A1501" s="263">
        <v>1500</v>
      </c>
      <c r="B1501" s="263" t="s">
        <v>2871</v>
      </c>
      <c r="C1501" s="263" t="s">
        <v>2569</v>
      </c>
      <c r="D1501" s="263" t="s">
        <v>2867</v>
      </c>
      <c r="E1501" s="263" t="s">
        <v>2868</v>
      </c>
      <c r="F1501" s="263" t="s">
        <v>2425</v>
      </c>
    </row>
    <row r="1502" spans="1:6">
      <c r="A1502" s="263">
        <v>1501</v>
      </c>
      <c r="B1502" s="263" t="s">
        <v>2872</v>
      </c>
      <c r="C1502" s="263" t="s">
        <v>2571</v>
      </c>
      <c r="D1502" s="263" t="s">
        <v>2867</v>
      </c>
      <c r="E1502" s="263" t="s">
        <v>2868</v>
      </c>
      <c r="F1502" s="263" t="s">
        <v>2425</v>
      </c>
    </row>
    <row r="1503" spans="1:6">
      <c r="A1503" s="263">
        <v>1502</v>
      </c>
      <c r="B1503" s="263" t="s">
        <v>2873</v>
      </c>
      <c r="C1503" s="263" t="s">
        <v>2573</v>
      </c>
      <c r="D1503" s="263" t="s">
        <v>2867</v>
      </c>
      <c r="E1503" s="263" t="s">
        <v>2868</v>
      </c>
      <c r="F1503" s="263" t="s">
        <v>2425</v>
      </c>
    </row>
    <row r="1504" spans="1:6">
      <c r="A1504" s="263">
        <v>1503</v>
      </c>
      <c r="B1504" s="263" t="s">
        <v>2874</v>
      </c>
      <c r="C1504" s="263" t="s">
        <v>2575</v>
      </c>
      <c r="D1504" s="263" t="s">
        <v>2867</v>
      </c>
      <c r="E1504" s="263" t="s">
        <v>2868</v>
      </c>
      <c r="F1504" s="263" t="s">
        <v>2425</v>
      </c>
    </row>
    <row r="1505" spans="1:6">
      <c r="A1505" s="263">
        <v>1504</v>
      </c>
      <c r="B1505" s="263" t="s">
        <v>2875</v>
      </c>
      <c r="C1505" s="263" t="s">
        <v>2577</v>
      </c>
      <c r="D1505" s="263" t="s">
        <v>2867</v>
      </c>
      <c r="E1505" s="263" t="s">
        <v>2868</v>
      </c>
      <c r="F1505" s="263" t="s">
        <v>2425</v>
      </c>
    </row>
    <row r="1506" spans="1:6">
      <c r="A1506" s="263">
        <v>1505</v>
      </c>
      <c r="B1506" s="263" t="s">
        <v>2876</v>
      </c>
      <c r="C1506" s="263" t="s">
        <v>2579</v>
      </c>
      <c r="D1506" s="263" t="s">
        <v>2867</v>
      </c>
      <c r="E1506" s="263" t="s">
        <v>2868</v>
      </c>
      <c r="F1506" s="263" t="s">
        <v>2425</v>
      </c>
    </row>
    <row r="1507" spans="1:6">
      <c r="A1507" s="263">
        <v>1506</v>
      </c>
      <c r="B1507" s="263" t="s">
        <v>2877</v>
      </c>
      <c r="C1507" s="263" t="s">
        <v>2581</v>
      </c>
      <c r="D1507" s="263" t="s">
        <v>2867</v>
      </c>
      <c r="E1507" s="263" t="s">
        <v>2868</v>
      </c>
      <c r="F1507" s="263" t="s">
        <v>2425</v>
      </c>
    </row>
    <row r="1508" spans="1:6">
      <c r="A1508" s="263">
        <v>1507</v>
      </c>
      <c r="B1508" s="263" t="s">
        <v>2878</v>
      </c>
      <c r="C1508" s="263" t="s">
        <v>2373</v>
      </c>
      <c r="D1508" s="263" t="s">
        <v>2867</v>
      </c>
      <c r="E1508" s="263" t="s">
        <v>2868</v>
      </c>
      <c r="F1508" s="263" t="s">
        <v>2425</v>
      </c>
    </row>
    <row r="1509" spans="1:6">
      <c r="A1509" s="263">
        <v>1508</v>
      </c>
      <c r="B1509" s="263" t="s">
        <v>2879</v>
      </c>
      <c r="C1509" s="263" t="s">
        <v>2584</v>
      </c>
      <c r="D1509" s="263" t="s">
        <v>2867</v>
      </c>
      <c r="E1509" s="263" t="s">
        <v>2868</v>
      </c>
      <c r="F1509" s="263" t="s">
        <v>2425</v>
      </c>
    </row>
    <row r="1510" spans="1:6">
      <c r="A1510" s="263">
        <v>1509</v>
      </c>
      <c r="B1510" s="263" t="s">
        <v>2880</v>
      </c>
      <c r="C1510" s="263" t="s">
        <v>2586</v>
      </c>
      <c r="D1510" s="263" t="s">
        <v>2867</v>
      </c>
      <c r="E1510" s="263" t="s">
        <v>2868</v>
      </c>
      <c r="F1510" s="263" t="s">
        <v>2425</v>
      </c>
    </row>
    <row r="1511" spans="1:6">
      <c r="A1511" s="263">
        <v>1510</v>
      </c>
      <c r="B1511" s="263" t="s">
        <v>2881</v>
      </c>
      <c r="C1511" s="263" t="s">
        <v>2588</v>
      </c>
      <c r="D1511" s="263" t="s">
        <v>2867</v>
      </c>
      <c r="E1511" s="263" t="s">
        <v>2868</v>
      </c>
      <c r="F1511" s="263" t="s">
        <v>2425</v>
      </c>
    </row>
    <row r="1512" spans="1:6">
      <c r="A1512" s="263">
        <v>1511</v>
      </c>
      <c r="B1512" s="263" t="s">
        <v>2882</v>
      </c>
      <c r="C1512" s="263" t="s">
        <v>2590</v>
      </c>
      <c r="D1512" s="263" t="s">
        <v>2867</v>
      </c>
      <c r="E1512" s="263" t="s">
        <v>2868</v>
      </c>
      <c r="F1512" s="263" t="s">
        <v>2425</v>
      </c>
    </row>
    <row r="1513" spans="1:6">
      <c r="A1513" s="263">
        <v>1512</v>
      </c>
      <c r="B1513" s="263" t="s">
        <v>2883</v>
      </c>
      <c r="C1513" s="263" t="s">
        <v>2884</v>
      </c>
      <c r="D1513" s="263" t="s">
        <v>2885</v>
      </c>
      <c r="E1513" s="263" t="s">
        <v>2886</v>
      </c>
      <c r="F1513" s="263" t="s">
        <v>2425</v>
      </c>
    </row>
    <row r="1514" spans="1:6">
      <c r="A1514" s="263">
        <v>1513</v>
      </c>
      <c r="B1514" s="263" t="s">
        <v>2887</v>
      </c>
      <c r="C1514" s="263" t="s">
        <v>2888</v>
      </c>
      <c r="D1514" s="263" t="s">
        <v>2885</v>
      </c>
      <c r="E1514" s="263" t="s">
        <v>2886</v>
      </c>
      <c r="F1514" s="263" t="s">
        <v>2425</v>
      </c>
    </row>
    <row r="1515" spans="1:6">
      <c r="A1515" s="263">
        <v>1514</v>
      </c>
      <c r="B1515" s="263" t="s">
        <v>2889</v>
      </c>
      <c r="C1515" s="263" t="s">
        <v>2890</v>
      </c>
      <c r="D1515" s="263" t="s">
        <v>2885</v>
      </c>
      <c r="E1515" s="263" t="s">
        <v>2886</v>
      </c>
      <c r="F1515" s="263" t="s">
        <v>2425</v>
      </c>
    </row>
    <row r="1516" spans="1:6">
      <c r="A1516" s="263">
        <v>1515</v>
      </c>
      <c r="B1516" s="263" t="s">
        <v>2891</v>
      </c>
      <c r="C1516" s="263" t="s">
        <v>2892</v>
      </c>
      <c r="D1516" s="263" t="s">
        <v>2885</v>
      </c>
      <c r="E1516" s="263" t="s">
        <v>2886</v>
      </c>
      <c r="F1516" s="263" t="s">
        <v>2425</v>
      </c>
    </row>
    <row r="1517" spans="1:6">
      <c r="A1517" s="263">
        <v>1516</v>
      </c>
      <c r="B1517" s="263" t="s">
        <v>2893</v>
      </c>
      <c r="C1517" s="263" t="s">
        <v>2894</v>
      </c>
      <c r="D1517" s="263" t="s">
        <v>2885</v>
      </c>
      <c r="E1517" s="263" t="s">
        <v>2886</v>
      </c>
      <c r="F1517" s="263" t="s">
        <v>2425</v>
      </c>
    </row>
    <row r="1518" spans="1:6">
      <c r="A1518" s="263">
        <v>1517</v>
      </c>
      <c r="B1518" s="263" t="s">
        <v>2895</v>
      </c>
      <c r="C1518" s="263" t="s">
        <v>2896</v>
      </c>
      <c r="D1518" s="263" t="s">
        <v>2885</v>
      </c>
      <c r="E1518" s="263" t="s">
        <v>2886</v>
      </c>
      <c r="F1518" s="263" t="s">
        <v>2425</v>
      </c>
    </row>
    <row r="1519" spans="1:6">
      <c r="A1519" s="263">
        <v>1518</v>
      </c>
      <c r="B1519" s="263" t="s">
        <v>2897</v>
      </c>
      <c r="C1519" s="263" t="s">
        <v>2898</v>
      </c>
      <c r="D1519" s="263" t="s">
        <v>2885</v>
      </c>
      <c r="E1519" s="263" t="s">
        <v>2886</v>
      </c>
      <c r="F1519" s="263" t="s">
        <v>2425</v>
      </c>
    </row>
    <row r="1520" spans="1:6">
      <c r="A1520" s="263">
        <v>1519</v>
      </c>
      <c r="B1520" s="263" t="s">
        <v>2899</v>
      </c>
      <c r="C1520" s="263" t="s">
        <v>2900</v>
      </c>
      <c r="D1520" s="263" t="s">
        <v>2885</v>
      </c>
      <c r="E1520" s="263" t="s">
        <v>2886</v>
      </c>
      <c r="F1520" s="263" t="s">
        <v>2425</v>
      </c>
    </row>
    <row r="1521" spans="1:6">
      <c r="A1521" s="263">
        <v>1520</v>
      </c>
      <c r="B1521" s="263" t="s">
        <v>2901</v>
      </c>
      <c r="C1521" s="263" t="s">
        <v>1647</v>
      </c>
      <c r="D1521" s="263" t="s">
        <v>2885</v>
      </c>
      <c r="E1521" s="263" t="s">
        <v>2886</v>
      </c>
      <c r="F1521" s="263" t="s">
        <v>2425</v>
      </c>
    </row>
    <row r="1522" spans="1:6">
      <c r="A1522" s="263">
        <v>1521</v>
      </c>
      <c r="B1522" s="263" t="s">
        <v>2902</v>
      </c>
      <c r="C1522" s="263" t="s">
        <v>2903</v>
      </c>
      <c r="D1522" s="263" t="s">
        <v>2885</v>
      </c>
      <c r="E1522" s="263" t="s">
        <v>2886</v>
      </c>
      <c r="F1522" s="263" t="s">
        <v>2425</v>
      </c>
    </row>
    <row r="1523" spans="1:6">
      <c r="A1523" s="263">
        <v>1522</v>
      </c>
      <c r="B1523" s="263" t="s">
        <v>2904</v>
      </c>
      <c r="C1523" s="263" t="s">
        <v>2905</v>
      </c>
      <c r="D1523" s="263" t="s">
        <v>2885</v>
      </c>
      <c r="E1523" s="263" t="s">
        <v>2886</v>
      </c>
      <c r="F1523" s="263" t="s">
        <v>2425</v>
      </c>
    </row>
    <row r="1524" spans="1:6">
      <c r="A1524" s="263">
        <v>1523</v>
      </c>
      <c r="B1524" s="263" t="s">
        <v>2906</v>
      </c>
      <c r="C1524" s="263" t="s">
        <v>2907</v>
      </c>
      <c r="D1524" s="263" t="s">
        <v>2908</v>
      </c>
      <c r="E1524" s="263" t="s">
        <v>2909</v>
      </c>
      <c r="F1524" s="263" t="s">
        <v>2425</v>
      </c>
    </row>
    <row r="1525" spans="1:6">
      <c r="A1525" s="263">
        <v>1524</v>
      </c>
      <c r="B1525" s="263" t="s">
        <v>2910</v>
      </c>
      <c r="C1525" s="263" t="s">
        <v>2911</v>
      </c>
      <c r="D1525" s="263" t="s">
        <v>2908</v>
      </c>
      <c r="E1525" s="263" t="s">
        <v>2909</v>
      </c>
      <c r="F1525" s="263" t="s">
        <v>2425</v>
      </c>
    </row>
    <row r="1526" spans="1:6">
      <c r="A1526" s="263">
        <v>1525</v>
      </c>
      <c r="B1526" s="263" t="s">
        <v>2912</v>
      </c>
      <c r="C1526" s="263" t="s">
        <v>2913</v>
      </c>
      <c r="D1526" s="263" t="s">
        <v>2908</v>
      </c>
      <c r="E1526" s="263" t="s">
        <v>2909</v>
      </c>
      <c r="F1526" s="263" t="s">
        <v>2425</v>
      </c>
    </row>
    <row r="1527" spans="1:6">
      <c r="A1527" s="263">
        <v>1526</v>
      </c>
      <c r="B1527" s="263" t="s">
        <v>2914</v>
      </c>
      <c r="C1527" s="263" t="s">
        <v>2915</v>
      </c>
      <c r="D1527" s="263" t="s">
        <v>2908</v>
      </c>
      <c r="E1527" s="263" t="s">
        <v>2909</v>
      </c>
      <c r="F1527" s="263" t="s">
        <v>2425</v>
      </c>
    </row>
    <row r="1528" spans="1:6">
      <c r="A1528" s="263">
        <v>1527</v>
      </c>
      <c r="B1528" s="263" t="s">
        <v>2916</v>
      </c>
      <c r="C1528" s="263" t="s">
        <v>2917</v>
      </c>
      <c r="D1528" s="263" t="s">
        <v>2908</v>
      </c>
      <c r="E1528" s="263" t="s">
        <v>2909</v>
      </c>
      <c r="F1528" s="263" t="s">
        <v>2425</v>
      </c>
    </row>
    <row r="1529" spans="1:6">
      <c r="A1529" s="263">
        <v>1528</v>
      </c>
      <c r="B1529" s="263" t="s">
        <v>2918</v>
      </c>
      <c r="C1529" s="263" t="s">
        <v>2919</v>
      </c>
      <c r="D1529" s="263" t="s">
        <v>2908</v>
      </c>
      <c r="E1529" s="263" t="s">
        <v>2909</v>
      </c>
      <c r="F1529" s="263" t="s">
        <v>2425</v>
      </c>
    </row>
    <row r="1530" spans="1:6">
      <c r="A1530" s="263">
        <v>1529</v>
      </c>
      <c r="B1530" s="263" t="s">
        <v>2920</v>
      </c>
      <c r="C1530" s="263" t="s">
        <v>2921</v>
      </c>
      <c r="D1530" s="263" t="s">
        <v>2908</v>
      </c>
      <c r="E1530" s="263" t="s">
        <v>2909</v>
      </c>
      <c r="F1530" s="263" t="s">
        <v>2425</v>
      </c>
    </row>
    <row r="1531" spans="1:6">
      <c r="A1531" s="263">
        <v>1530</v>
      </c>
      <c r="B1531" s="263" t="s">
        <v>2922</v>
      </c>
      <c r="C1531" s="263" t="s">
        <v>2923</v>
      </c>
      <c r="D1531" s="263" t="s">
        <v>2908</v>
      </c>
      <c r="E1531" s="263" t="s">
        <v>2909</v>
      </c>
      <c r="F1531" s="263" t="s">
        <v>2425</v>
      </c>
    </row>
    <row r="1532" spans="1:6">
      <c r="A1532" s="263">
        <v>1531</v>
      </c>
      <c r="B1532" s="263" t="s">
        <v>2924</v>
      </c>
      <c r="C1532" s="263" t="s">
        <v>2925</v>
      </c>
      <c r="D1532" s="263" t="s">
        <v>2908</v>
      </c>
      <c r="E1532" s="263" t="s">
        <v>2909</v>
      </c>
      <c r="F1532" s="263" t="s">
        <v>2425</v>
      </c>
    </row>
    <row r="1533" spans="1:6">
      <c r="A1533" s="263">
        <v>1532</v>
      </c>
      <c r="B1533" s="263" t="s">
        <v>2926</v>
      </c>
      <c r="C1533" s="263" t="s">
        <v>2927</v>
      </c>
      <c r="D1533" s="263" t="s">
        <v>2908</v>
      </c>
      <c r="E1533" s="263" t="s">
        <v>2909</v>
      </c>
      <c r="F1533" s="263" t="s">
        <v>2425</v>
      </c>
    </row>
    <row r="1534" spans="1:6">
      <c r="A1534" s="263">
        <v>1533</v>
      </c>
      <c r="B1534" s="263" t="s">
        <v>2928</v>
      </c>
      <c r="C1534" s="263" t="s">
        <v>2929</v>
      </c>
      <c r="D1534" s="263" t="s">
        <v>2908</v>
      </c>
      <c r="E1534" s="263" t="s">
        <v>2909</v>
      </c>
      <c r="F1534" s="263" t="s">
        <v>2425</v>
      </c>
    </row>
    <row r="1535" spans="1:6">
      <c r="A1535" s="263">
        <v>1534</v>
      </c>
      <c r="B1535" s="263" t="s">
        <v>2930</v>
      </c>
      <c r="C1535" s="263" t="s">
        <v>2931</v>
      </c>
      <c r="D1535" s="263" t="s">
        <v>2908</v>
      </c>
      <c r="E1535" s="263" t="s">
        <v>2909</v>
      </c>
      <c r="F1535" s="263" t="s">
        <v>2425</v>
      </c>
    </row>
    <row r="1536" spans="1:6">
      <c r="A1536" s="263">
        <v>1535</v>
      </c>
      <c r="B1536" s="263" t="s">
        <v>2932</v>
      </c>
      <c r="C1536" s="263" t="s">
        <v>2933</v>
      </c>
      <c r="D1536" s="263" t="s">
        <v>2934</v>
      </c>
      <c r="E1536" s="263" t="s">
        <v>68</v>
      </c>
      <c r="F1536" s="263" t="s">
        <v>2935</v>
      </c>
    </row>
    <row r="1537" spans="1:6">
      <c r="A1537" s="263">
        <v>1536</v>
      </c>
      <c r="B1537" s="263" t="s">
        <v>2936</v>
      </c>
      <c r="C1537" s="263" t="s">
        <v>2937</v>
      </c>
      <c r="D1537" s="263" t="s">
        <v>2934</v>
      </c>
      <c r="E1537" s="263" t="s">
        <v>68</v>
      </c>
      <c r="F1537" s="263" t="s">
        <v>2935</v>
      </c>
    </row>
    <row r="1538" spans="1:6">
      <c r="A1538" s="263">
        <v>1537</v>
      </c>
      <c r="B1538" s="263" t="s">
        <v>2938</v>
      </c>
      <c r="C1538" s="263" t="s">
        <v>146</v>
      </c>
      <c r="D1538" s="263" t="s">
        <v>2934</v>
      </c>
      <c r="E1538" s="263" t="s">
        <v>68</v>
      </c>
      <c r="F1538" s="263" t="s">
        <v>2935</v>
      </c>
    </row>
    <row r="1539" spans="1:6">
      <c r="A1539" s="263">
        <v>1538</v>
      </c>
      <c r="B1539" s="263" t="s">
        <v>2939</v>
      </c>
      <c r="C1539" s="263" t="s">
        <v>22</v>
      </c>
      <c r="D1539" s="263" t="s">
        <v>2934</v>
      </c>
      <c r="E1539" s="263" t="s">
        <v>68</v>
      </c>
      <c r="F1539" s="263" t="s">
        <v>2935</v>
      </c>
    </row>
    <row r="1540" spans="1:6">
      <c r="A1540" s="263">
        <v>1539</v>
      </c>
      <c r="B1540" s="263" t="s">
        <v>2940</v>
      </c>
      <c r="C1540" s="263" t="s">
        <v>1528</v>
      </c>
      <c r="D1540" s="263" t="s">
        <v>2934</v>
      </c>
      <c r="E1540" s="263" t="s">
        <v>68</v>
      </c>
      <c r="F1540" s="263" t="s">
        <v>2935</v>
      </c>
    </row>
    <row r="1541" spans="1:6">
      <c r="A1541" s="263">
        <v>1540</v>
      </c>
      <c r="B1541" s="263" t="s">
        <v>2941</v>
      </c>
      <c r="C1541" s="263" t="s">
        <v>2942</v>
      </c>
      <c r="D1541" s="263" t="s">
        <v>2934</v>
      </c>
      <c r="E1541" s="263" t="s">
        <v>68</v>
      </c>
      <c r="F1541" s="263" t="s">
        <v>2935</v>
      </c>
    </row>
    <row r="1542" spans="1:6">
      <c r="A1542" s="263">
        <v>1541</v>
      </c>
      <c r="B1542" s="263" t="s">
        <v>2943</v>
      </c>
      <c r="C1542" s="263" t="s">
        <v>2944</v>
      </c>
      <c r="D1542" s="263" t="s">
        <v>2934</v>
      </c>
      <c r="E1542" s="263" t="s">
        <v>68</v>
      </c>
      <c r="F1542" s="263" t="s">
        <v>2935</v>
      </c>
    </row>
    <row r="1543" spans="1:6">
      <c r="A1543" s="263">
        <v>1542</v>
      </c>
      <c r="B1543" s="263" t="s">
        <v>2945</v>
      </c>
      <c r="C1543" s="263" t="s">
        <v>2946</v>
      </c>
      <c r="D1543" s="263" t="s">
        <v>2934</v>
      </c>
      <c r="E1543" s="263" t="s">
        <v>68</v>
      </c>
      <c r="F1543" s="263" t="s">
        <v>2935</v>
      </c>
    </row>
    <row r="1544" spans="1:6">
      <c r="A1544" s="263">
        <v>1543</v>
      </c>
      <c r="B1544" s="263" t="s">
        <v>2947</v>
      </c>
      <c r="C1544" s="263" t="s">
        <v>2525</v>
      </c>
      <c r="D1544" s="263" t="s">
        <v>2934</v>
      </c>
      <c r="E1544" s="263" t="s">
        <v>68</v>
      </c>
      <c r="F1544" s="263" t="s">
        <v>2935</v>
      </c>
    </row>
    <row r="1545" spans="1:6">
      <c r="A1545" s="263">
        <v>1544</v>
      </c>
      <c r="B1545" s="263" t="s">
        <v>2948</v>
      </c>
      <c r="C1545" s="263" t="s">
        <v>2949</v>
      </c>
      <c r="D1545" s="263" t="s">
        <v>2950</v>
      </c>
      <c r="E1545" s="263" t="s">
        <v>2951</v>
      </c>
      <c r="F1545" s="263" t="s">
        <v>2935</v>
      </c>
    </row>
    <row r="1546" spans="1:6">
      <c r="A1546" s="263">
        <v>1545</v>
      </c>
      <c r="B1546" s="263" t="s">
        <v>2952</v>
      </c>
      <c r="C1546" s="263" t="s">
        <v>2953</v>
      </c>
      <c r="D1546" s="263" t="s">
        <v>2950</v>
      </c>
      <c r="E1546" s="263" t="s">
        <v>2951</v>
      </c>
      <c r="F1546" s="263" t="s">
        <v>2935</v>
      </c>
    </row>
    <row r="1547" spans="1:6">
      <c r="A1547" s="263">
        <v>1546</v>
      </c>
      <c r="B1547" s="263" t="s">
        <v>2954</v>
      </c>
      <c r="C1547" s="263" t="s">
        <v>2955</v>
      </c>
      <c r="D1547" s="263" t="s">
        <v>2950</v>
      </c>
      <c r="E1547" s="263" t="s">
        <v>2951</v>
      </c>
      <c r="F1547" s="263" t="s">
        <v>2935</v>
      </c>
    </row>
    <row r="1548" spans="1:6">
      <c r="A1548" s="263">
        <v>1547</v>
      </c>
      <c r="B1548" s="263" t="s">
        <v>2956</v>
      </c>
      <c r="C1548" s="263" t="s">
        <v>2957</v>
      </c>
      <c r="D1548" s="263" t="s">
        <v>2950</v>
      </c>
      <c r="E1548" s="263" t="s">
        <v>2951</v>
      </c>
      <c r="F1548" s="263" t="s">
        <v>2935</v>
      </c>
    </row>
    <row r="1549" spans="1:6">
      <c r="A1549" s="263">
        <v>1548</v>
      </c>
      <c r="B1549" s="263" t="s">
        <v>2958</v>
      </c>
      <c r="C1549" s="263" t="s">
        <v>2959</v>
      </c>
      <c r="D1549" s="263" t="s">
        <v>2950</v>
      </c>
      <c r="E1549" s="263" t="s">
        <v>2951</v>
      </c>
      <c r="F1549" s="263" t="s">
        <v>2935</v>
      </c>
    </row>
    <row r="1550" spans="1:6">
      <c r="A1550" s="263">
        <v>1549</v>
      </c>
      <c r="B1550" s="263" t="s">
        <v>2960</v>
      </c>
      <c r="C1550" s="263" t="s">
        <v>164</v>
      </c>
      <c r="D1550" s="263" t="s">
        <v>2950</v>
      </c>
      <c r="E1550" s="263" t="s">
        <v>2951</v>
      </c>
      <c r="F1550" s="263" t="s">
        <v>2935</v>
      </c>
    </row>
    <row r="1551" spans="1:6">
      <c r="A1551" s="263">
        <v>1550</v>
      </c>
      <c r="B1551" s="263" t="s">
        <v>2961</v>
      </c>
      <c r="C1551" s="263" t="s">
        <v>2962</v>
      </c>
      <c r="D1551" s="263" t="s">
        <v>2950</v>
      </c>
      <c r="E1551" s="263" t="s">
        <v>2951</v>
      </c>
      <c r="F1551" s="263" t="s">
        <v>2935</v>
      </c>
    </row>
    <row r="1552" spans="1:6">
      <c r="A1552" s="263">
        <v>1551</v>
      </c>
      <c r="B1552" s="263" t="s">
        <v>2963</v>
      </c>
      <c r="C1552" s="263" t="s">
        <v>2964</v>
      </c>
      <c r="D1552" s="263" t="s">
        <v>2950</v>
      </c>
      <c r="E1552" s="263" t="s">
        <v>2951</v>
      </c>
      <c r="F1552" s="263" t="s">
        <v>2935</v>
      </c>
    </row>
    <row r="1553" spans="1:6">
      <c r="A1553" s="263">
        <v>1552</v>
      </c>
      <c r="B1553" s="263" t="s">
        <v>2965</v>
      </c>
      <c r="C1553" s="263" t="s">
        <v>2966</v>
      </c>
      <c r="D1553" s="263" t="s">
        <v>2950</v>
      </c>
      <c r="E1553" s="263" t="s">
        <v>2951</v>
      </c>
      <c r="F1553" s="263" t="s">
        <v>2935</v>
      </c>
    </row>
    <row r="1554" spans="1:6">
      <c r="A1554" s="263">
        <v>1553</v>
      </c>
      <c r="B1554" s="263" t="s">
        <v>2967</v>
      </c>
      <c r="C1554" s="263" t="s">
        <v>2968</v>
      </c>
      <c r="D1554" s="263" t="s">
        <v>2950</v>
      </c>
      <c r="E1554" s="263" t="s">
        <v>2951</v>
      </c>
      <c r="F1554" s="263" t="s">
        <v>2935</v>
      </c>
    </row>
    <row r="1555" spans="1:6">
      <c r="A1555" s="263">
        <v>1554</v>
      </c>
      <c r="B1555" s="263" t="s">
        <v>2969</v>
      </c>
      <c r="C1555" s="263" t="s">
        <v>2970</v>
      </c>
      <c r="D1555" s="263" t="s">
        <v>2971</v>
      </c>
      <c r="E1555" s="263" t="s">
        <v>2972</v>
      </c>
      <c r="F1555" s="263" t="s">
        <v>2935</v>
      </c>
    </row>
    <row r="1556" spans="1:6">
      <c r="A1556" s="263">
        <v>1555</v>
      </c>
      <c r="B1556" s="263" t="s">
        <v>2973</v>
      </c>
      <c r="C1556" s="263" t="s">
        <v>2974</v>
      </c>
      <c r="D1556" s="263" t="s">
        <v>2971</v>
      </c>
      <c r="E1556" s="263" t="s">
        <v>2972</v>
      </c>
      <c r="F1556" s="263" t="s">
        <v>2935</v>
      </c>
    </row>
    <row r="1557" spans="1:6">
      <c r="A1557" s="263">
        <v>1556</v>
      </c>
      <c r="B1557" s="263" t="s">
        <v>2975</v>
      </c>
      <c r="C1557" s="263" t="s">
        <v>1291</v>
      </c>
      <c r="D1557" s="263" t="s">
        <v>2971</v>
      </c>
      <c r="E1557" s="263" t="s">
        <v>2972</v>
      </c>
      <c r="F1557" s="263" t="s">
        <v>2935</v>
      </c>
    </row>
    <row r="1558" spans="1:6">
      <c r="A1558" s="263">
        <v>1557</v>
      </c>
      <c r="B1558" s="263" t="s">
        <v>2976</v>
      </c>
      <c r="C1558" s="263" t="s">
        <v>2977</v>
      </c>
      <c r="D1558" s="263" t="s">
        <v>2971</v>
      </c>
      <c r="E1558" s="263" t="s">
        <v>2972</v>
      </c>
      <c r="F1558" s="263" t="s">
        <v>2935</v>
      </c>
    </row>
    <row r="1559" spans="1:6">
      <c r="A1559" s="263">
        <v>1558</v>
      </c>
      <c r="B1559" s="263" t="s">
        <v>2978</v>
      </c>
      <c r="C1559" s="263" t="s">
        <v>2979</v>
      </c>
      <c r="D1559" s="263" t="s">
        <v>2971</v>
      </c>
      <c r="E1559" s="263" t="s">
        <v>2972</v>
      </c>
      <c r="F1559" s="263" t="s">
        <v>2935</v>
      </c>
    </row>
    <row r="1560" spans="1:6">
      <c r="A1560" s="263">
        <v>1559</v>
      </c>
      <c r="B1560" s="263" t="s">
        <v>2980</v>
      </c>
      <c r="C1560" s="263" t="s">
        <v>2981</v>
      </c>
      <c r="D1560" s="263" t="s">
        <v>2971</v>
      </c>
      <c r="E1560" s="263" t="s">
        <v>2972</v>
      </c>
      <c r="F1560" s="263" t="s">
        <v>2935</v>
      </c>
    </row>
    <row r="1561" spans="1:6">
      <c r="A1561" s="263">
        <v>1560</v>
      </c>
      <c r="B1561" s="263" t="s">
        <v>2982</v>
      </c>
      <c r="C1561" s="263" t="s">
        <v>2983</v>
      </c>
      <c r="D1561" s="263" t="s">
        <v>2971</v>
      </c>
      <c r="E1561" s="263" t="s">
        <v>2972</v>
      </c>
      <c r="F1561" s="263" t="s">
        <v>2935</v>
      </c>
    </row>
    <row r="1562" spans="1:6">
      <c r="A1562" s="263">
        <v>1561</v>
      </c>
      <c r="B1562" s="263" t="s">
        <v>2984</v>
      </c>
      <c r="C1562" s="263" t="s">
        <v>2985</v>
      </c>
      <c r="D1562" s="263" t="s">
        <v>2971</v>
      </c>
      <c r="E1562" s="263" t="s">
        <v>2972</v>
      </c>
      <c r="F1562" s="263" t="s">
        <v>2935</v>
      </c>
    </row>
    <row r="1563" spans="1:6">
      <c r="A1563" s="263">
        <v>1562</v>
      </c>
      <c r="B1563" s="263" t="s">
        <v>2986</v>
      </c>
      <c r="C1563" s="263" t="s">
        <v>2987</v>
      </c>
      <c r="D1563" s="263" t="s">
        <v>2988</v>
      </c>
      <c r="E1563" s="263" t="s">
        <v>2989</v>
      </c>
      <c r="F1563" s="263" t="s">
        <v>2935</v>
      </c>
    </row>
    <row r="1564" spans="1:6">
      <c r="A1564" s="263">
        <v>1563</v>
      </c>
      <c r="B1564" s="263" t="s">
        <v>2990</v>
      </c>
      <c r="C1564" s="263" t="s">
        <v>2991</v>
      </c>
      <c r="D1564" s="263" t="s">
        <v>2988</v>
      </c>
      <c r="E1564" s="263" t="s">
        <v>2989</v>
      </c>
      <c r="F1564" s="263" t="s">
        <v>2935</v>
      </c>
    </row>
    <row r="1565" spans="1:6">
      <c r="A1565" s="263">
        <v>1564</v>
      </c>
      <c r="B1565" s="263" t="s">
        <v>2992</v>
      </c>
      <c r="C1565" s="263" t="s">
        <v>2993</v>
      </c>
      <c r="D1565" s="263" t="s">
        <v>2988</v>
      </c>
      <c r="E1565" s="263" t="s">
        <v>2989</v>
      </c>
      <c r="F1565" s="263" t="s">
        <v>2935</v>
      </c>
    </row>
    <row r="1566" spans="1:6">
      <c r="A1566" s="263">
        <v>1565</v>
      </c>
      <c r="B1566" s="263" t="s">
        <v>2994</v>
      </c>
      <c r="C1566" s="263" t="s">
        <v>178</v>
      </c>
      <c r="D1566" s="263" t="s">
        <v>2988</v>
      </c>
      <c r="E1566" s="263" t="s">
        <v>2989</v>
      </c>
      <c r="F1566" s="263" t="s">
        <v>2935</v>
      </c>
    </row>
    <row r="1567" spans="1:6">
      <c r="A1567" s="263">
        <v>1566</v>
      </c>
      <c r="B1567" s="263" t="s">
        <v>2995</v>
      </c>
      <c r="C1567" s="263" t="s">
        <v>2996</v>
      </c>
      <c r="D1567" s="263" t="s">
        <v>2988</v>
      </c>
      <c r="E1567" s="263" t="s">
        <v>2989</v>
      </c>
      <c r="F1567" s="263" t="s">
        <v>2935</v>
      </c>
    </row>
    <row r="1568" spans="1:6">
      <c r="A1568" s="263">
        <v>1567</v>
      </c>
      <c r="B1568" s="263" t="s">
        <v>2997</v>
      </c>
      <c r="C1568" s="263" t="s">
        <v>104</v>
      </c>
      <c r="D1568" s="263" t="s">
        <v>2988</v>
      </c>
      <c r="E1568" s="263" t="s">
        <v>2989</v>
      </c>
      <c r="F1568" s="263" t="s">
        <v>2935</v>
      </c>
    </row>
    <row r="1569" spans="1:6">
      <c r="A1569" s="263">
        <v>1568</v>
      </c>
      <c r="B1569" s="263" t="s">
        <v>2998</v>
      </c>
      <c r="C1569" s="263" t="s">
        <v>1470</v>
      </c>
      <c r="D1569" s="263" t="s">
        <v>2988</v>
      </c>
      <c r="E1569" s="263" t="s">
        <v>2989</v>
      </c>
      <c r="F1569" s="263" t="s">
        <v>2935</v>
      </c>
    </row>
    <row r="1570" spans="1:6">
      <c r="A1570" s="263">
        <v>1569</v>
      </c>
      <c r="B1570" s="263" t="s">
        <v>2999</v>
      </c>
      <c r="C1570" s="263" t="s">
        <v>599</v>
      </c>
      <c r="D1570" s="263" t="s">
        <v>2988</v>
      </c>
      <c r="E1570" s="263" t="s">
        <v>2989</v>
      </c>
      <c r="F1570" s="263" t="s">
        <v>2935</v>
      </c>
    </row>
    <row r="1571" spans="1:6">
      <c r="A1571" s="263">
        <v>1570</v>
      </c>
      <c r="B1571" s="263" t="s">
        <v>3000</v>
      </c>
      <c r="C1571" s="263" t="s">
        <v>3001</v>
      </c>
      <c r="D1571" s="263" t="s">
        <v>2988</v>
      </c>
      <c r="E1571" s="263" t="s">
        <v>2989</v>
      </c>
      <c r="F1571" s="263" t="s">
        <v>2935</v>
      </c>
    </row>
    <row r="1572" spans="1:6">
      <c r="A1572" s="263">
        <v>1571</v>
      </c>
      <c r="B1572" s="263" t="s">
        <v>3002</v>
      </c>
      <c r="C1572" s="263" t="s">
        <v>3003</v>
      </c>
      <c r="D1572" s="263" t="s">
        <v>2988</v>
      </c>
      <c r="E1572" s="263" t="s">
        <v>2989</v>
      </c>
      <c r="F1572" s="263" t="s">
        <v>2935</v>
      </c>
    </row>
    <row r="1573" spans="1:6">
      <c r="A1573" s="263">
        <v>1572</v>
      </c>
      <c r="B1573" s="263" t="s">
        <v>3004</v>
      </c>
      <c r="C1573" s="263" t="s">
        <v>3005</v>
      </c>
      <c r="D1573" s="263" t="s">
        <v>2988</v>
      </c>
      <c r="E1573" s="263" t="s">
        <v>2989</v>
      </c>
      <c r="F1573" s="263" t="s">
        <v>2935</v>
      </c>
    </row>
    <row r="1574" spans="1:6">
      <c r="A1574" s="263">
        <v>1573</v>
      </c>
      <c r="B1574" s="263" t="s">
        <v>3006</v>
      </c>
      <c r="C1574" s="263" t="s">
        <v>348</v>
      </c>
      <c r="D1574" s="263" t="s">
        <v>2988</v>
      </c>
      <c r="E1574" s="263" t="s">
        <v>2989</v>
      </c>
      <c r="F1574" s="263" t="s">
        <v>2935</v>
      </c>
    </row>
    <row r="1575" spans="1:6">
      <c r="A1575" s="263">
        <v>1574</v>
      </c>
      <c r="B1575" s="263" t="s">
        <v>3007</v>
      </c>
      <c r="C1575" s="263" t="s">
        <v>420</v>
      </c>
      <c r="D1575" s="263" t="s">
        <v>2988</v>
      </c>
      <c r="E1575" s="263" t="s">
        <v>2989</v>
      </c>
      <c r="F1575" s="263" t="s">
        <v>2935</v>
      </c>
    </row>
    <row r="1576" spans="1:6">
      <c r="A1576" s="263">
        <v>1575</v>
      </c>
      <c r="B1576" s="263" t="s">
        <v>3008</v>
      </c>
      <c r="C1576" s="263" t="s">
        <v>3009</v>
      </c>
      <c r="D1576" s="263" t="s">
        <v>2988</v>
      </c>
      <c r="E1576" s="263" t="s">
        <v>2989</v>
      </c>
      <c r="F1576" s="263" t="s">
        <v>2935</v>
      </c>
    </row>
    <row r="1577" spans="1:6">
      <c r="A1577" s="263">
        <v>1576</v>
      </c>
      <c r="B1577" s="263" t="s">
        <v>3010</v>
      </c>
      <c r="C1577" s="263" t="s">
        <v>3011</v>
      </c>
      <c r="D1577" s="263" t="s">
        <v>2988</v>
      </c>
      <c r="E1577" s="263" t="s">
        <v>2989</v>
      </c>
      <c r="F1577" s="263" t="s">
        <v>2935</v>
      </c>
    </row>
    <row r="1578" spans="1:6">
      <c r="A1578" s="263">
        <v>1577</v>
      </c>
      <c r="B1578" s="263" t="s">
        <v>3012</v>
      </c>
      <c r="C1578" s="263" t="s">
        <v>3013</v>
      </c>
      <c r="D1578" s="263" t="s">
        <v>3014</v>
      </c>
      <c r="E1578" s="263" t="s">
        <v>3015</v>
      </c>
      <c r="F1578" s="263" t="s">
        <v>2935</v>
      </c>
    </row>
    <row r="1579" spans="1:6">
      <c r="A1579" s="263">
        <v>1578</v>
      </c>
      <c r="B1579" s="263" t="s">
        <v>3016</v>
      </c>
      <c r="C1579" s="263" t="s">
        <v>3017</v>
      </c>
      <c r="D1579" s="263" t="s">
        <v>3014</v>
      </c>
      <c r="E1579" s="263" t="s">
        <v>3015</v>
      </c>
      <c r="F1579" s="263" t="s">
        <v>2935</v>
      </c>
    </row>
    <row r="1580" spans="1:6">
      <c r="A1580" s="263">
        <v>1579</v>
      </c>
      <c r="B1580" s="263" t="s">
        <v>3018</v>
      </c>
      <c r="C1580" s="263" t="s">
        <v>3019</v>
      </c>
      <c r="D1580" s="263" t="s">
        <v>3014</v>
      </c>
      <c r="E1580" s="263" t="s">
        <v>3015</v>
      </c>
      <c r="F1580" s="263" t="s">
        <v>2935</v>
      </c>
    </row>
    <row r="1581" spans="1:6">
      <c r="A1581" s="263">
        <v>1580</v>
      </c>
      <c r="B1581" s="263" t="s">
        <v>3020</v>
      </c>
      <c r="C1581" s="263" t="s">
        <v>3021</v>
      </c>
      <c r="D1581" s="263" t="s">
        <v>3014</v>
      </c>
      <c r="E1581" s="263" t="s">
        <v>3015</v>
      </c>
      <c r="F1581" s="263" t="s">
        <v>2935</v>
      </c>
    </row>
    <row r="1582" spans="1:6">
      <c r="A1582" s="263">
        <v>1581</v>
      </c>
      <c r="B1582" s="263" t="s">
        <v>3022</v>
      </c>
      <c r="C1582" s="263" t="s">
        <v>3023</v>
      </c>
      <c r="D1582" s="263" t="s">
        <v>3014</v>
      </c>
      <c r="E1582" s="263" t="s">
        <v>3015</v>
      </c>
      <c r="F1582" s="263" t="s">
        <v>2935</v>
      </c>
    </row>
    <row r="1583" spans="1:6">
      <c r="A1583" s="263">
        <v>1582</v>
      </c>
      <c r="B1583" s="263" t="s">
        <v>3024</v>
      </c>
      <c r="C1583" s="263" t="s">
        <v>3025</v>
      </c>
      <c r="D1583" s="263" t="s">
        <v>3014</v>
      </c>
      <c r="E1583" s="263" t="s">
        <v>3015</v>
      </c>
      <c r="F1583" s="263" t="s">
        <v>2935</v>
      </c>
    </row>
    <row r="1584" spans="1:6">
      <c r="A1584" s="263">
        <v>1583</v>
      </c>
      <c r="B1584" s="263" t="s">
        <v>3026</v>
      </c>
      <c r="C1584" s="263" t="s">
        <v>3027</v>
      </c>
      <c r="D1584" s="263" t="s">
        <v>3014</v>
      </c>
      <c r="E1584" s="263" t="s">
        <v>3015</v>
      </c>
      <c r="F1584" s="263" t="s">
        <v>2935</v>
      </c>
    </row>
    <row r="1585" spans="1:6">
      <c r="A1585" s="263">
        <v>1584</v>
      </c>
      <c r="B1585" s="263" t="s">
        <v>3028</v>
      </c>
      <c r="C1585" s="263" t="s">
        <v>3029</v>
      </c>
      <c r="D1585" s="263" t="s">
        <v>3014</v>
      </c>
      <c r="E1585" s="263" t="s">
        <v>3015</v>
      </c>
      <c r="F1585" s="263" t="s">
        <v>2935</v>
      </c>
    </row>
    <row r="1586" spans="1:6">
      <c r="A1586" s="263">
        <v>1585</v>
      </c>
      <c r="B1586" s="263" t="s">
        <v>3030</v>
      </c>
      <c r="C1586" s="263" t="s">
        <v>232</v>
      </c>
      <c r="D1586" s="263" t="s">
        <v>3014</v>
      </c>
      <c r="E1586" s="263" t="s">
        <v>3015</v>
      </c>
      <c r="F1586" s="263" t="s">
        <v>2935</v>
      </c>
    </row>
    <row r="1587" spans="1:6">
      <c r="A1587" s="263">
        <v>1586</v>
      </c>
      <c r="B1587" s="263" t="s">
        <v>3031</v>
      </c>
      <c r="C1587" s="263" t="s">
        <v>3032</v>
      </c>
      <c r="D1587" s="263" t="s">
        <v>3014</v>
      </c>
      <c r="E1587" s="263" t="s">
        <v>3015</v>
      </c>
      <c r="F1587" s="263" t="s">
        <v>2935</v>
      </c>
    </row>
    <row r="1588" spans="1:6">
      <c r="A1588" s="263">
        <v>1587</v>
      </c>
      <c r="B1588" s="263" t="s">
        <v>3033</v>
      </c>
      <c r="C1588" s="263" t="s">
        <v>3034</v>
      </c>
      <c r="D1588" s="263" t="s">
        <v>3035</v>
      </c>
      <c r="E1588" s="263" t="s">
        <v>3036</v>
      </c>
      <c r="F1588" s="263" t="s">
        <v>2935</v>
      </c>
    </row>
    <row r="1589" spans="1:6">
      <c r="A1589" s="263">
        <v>1588</v>
      </c>
      <c r="B1589" s="263" t="s">
        <v>3037</v>
      </c>
      <c r="C1589" s="263" t="s">
        <v>3038</v>
      </c>
      <c r="D1589" s="263" t="s">
        <v>3035</v>
      </c>
      <c r="E1589" s="263" t="s">
        <v>3036</v>
      </c>
      <c r="F1589" s="263" t="s">
        <v>2935</v>
      </c>
    </row>
    <row r="1590" spans="1:6">
      <c r="A1590" s="263">
        <v>1589</v>
      </c>
      <c r="B1590" s="263" t="s">
        <v>3039</v>
      </c>
      <c r="C1590" s="263" t="s">
        <v>3040</v>
      </c>
      <c r="D1590" s="263" t="s">
        <v>3035</v>
      </c>
      <c r="E1590" s="263" t="s">
        <v>3036</v>
      </c>
      <c r="F1590" s="263" t="s">
        <v>2935</v>
      </c>
    </row>
    <row r="1591" spans="1:6">
      <c r="A1591" s="263">
        <v>1590</v>
      </c>
      <c r="B1591" s="263" t="s">
        <v>3041</v>
      </c>
      <c r="C1591" s="263" t="s">
        <v>3042</v>
      </c>
      <c r="D1591" s="263" t="s">
        <v>3035</v>
      </c>
      <c r="E1591" s="263" t="s">
        <v>3036</v>
      </c>
      <c r="F1591" s="263" t="s">
        <v>2935</v>
      </c>
    </row>
    <row r="1592" spans="1:6">
      <c r="A1592" s="263">
        <v>1591</v>
      </c>
      <c r="B1592" s="263" t="s">
        <v>3043</v>
      </c>
      <c r="C1592" s="263" t="s">
        <v>3044</v>
      </c>
      <c r="D1592" s="263" t="s">
        <v>3035</v>
      </c>
      <c r="E1592" s="263" t="s">
        <v>3036</v>
      </c>
      <c r="F1592" s="263" t="s">
        <v>2935</v>
      </c>
    </row>
    <row r="1593" spans="1:6">
      <c r="A1593" s="263">
        <v>1592</v>
      </c>
      <c r="B1593" s="263" t="s">
        <v>3045</v>
      </c>
      <c r="C1593" s="263" t="s">
        <v>3046</v>
      </c>
      <c r="D1593" s="263" t="s">
        <v>3035</v>
      </c>
      <c r="E1593" s="263" t="s">
        <v>3036</v>
      </c>
      <c r="F1593" s="263" t="s">
        <v>2935</v>
      </c>
    </row>
    <row r="1594" spans="1:6">
      <c r="A1594" s="263">
        <v>1593</v>
      </c>
      <c r="B1594" s="263" t="s">
        <v>3047</v>
      </c>
      <c r="C1594" s="263" t="s">
        <v>3048</v>
      </c>
      <c r="D1594" s="263" t="s">
        <v>3035</v>
      </c>
      <c r="E1594" s="263" t="s">
        <v>3036</v>
      </c>
      <c r="F1594" s="263" t="s">
        <v>2935</v>
      </c>
    </row>
    <row r="1595" spans="1:6">
      <c r="A1595" s="263">
        <v>1594</v>
      </c>
      <c r="B1595" s="263" t="s">
        <v>3049</v>
      </c>
      <c r="C1595" s="263" t="s">
        <v>731</v>
      </c>
      <c r="D1595" s="263" t="s">
        <v>3035</v>
      </c>
      <c r="E1595" s="263" t="s">
        <v>3036</v>
      </c>
      <c r="F1595" s="263" t="s">
        <v>2935</v>
      </c>
    </row>
    <row r="1596" spans="1:6">
      <c r="A1596" s="263">
        <v>1595</v>
      </c>
      <c r="B1596" s="263" t="s">
        <v>3050</v>
      </c>
      <c r="C1596" s="263" t="s">
        <v>3051</v>
      </c>
      <c r="D1596" s="263" t="s">
        <v>3035</v>
      </c>
      <c r="E1596" s="263" t="s">
        <v>3036</v>
      </c>
      <c r="F1596" s="263" t="s">
        <v>2935</v>
      </c>
    </row>
    <row r="1597" spans="1:6">
      <c r="A1597" s="263">
        <v>1596</v>
      </c>
      <c r="B1597" s="263" t="s">
        <v>3052</v>
      </c>
      <c r="C1597" s="263" t="s">
        <v>3053</v>
      </c>
      <c r="D1597" s="263" t="s">
        <v>3054</v>
      </c>
      <c r="E1597" s="263" t="s">
        <v>3055</v>
      </c>
      <c r="F1597" s="263" t="s">
        <v>2935</v>
      </c>
    </row>
    <row r="1598" spans="1:6">
      <c r="A1598" s="263">
        <v>1597</v>
      </c>
      <c r="B1598" s="263" t="s">
        <v>3056</v>
      </c>
      <c r="C1598" s="263" t="s">
        <v>1834</v>
      </c>
      <c r="D1598" s="263" t="s">
        <v>3054</v>
      </c>
      <c r="E1598" s="263" t="s">
        <v>3055</v>
      </c>
      <c r="F1598" s="263" t="s">
        <v>2935</v>
      </c>
    </row>
    <row r="1599" spans="1:6">
      <c r="A1599" s="263">
        <v>1598</v>
      </c>
      <c r="B1599" s="263" t="s">
        <v>3057</v>
      </c>
      <c r="C1599" s="263" t="s">
        <v>3058</v>
      </c>
      <c r="D1599" s="263" t="s">
        <v>3054</v>
      </c>
      <c r="E1599" s="263" t="s">
        <v>3055</v>
      </c>
      <c r="F1599" s="263" t="s">
        <v>2935</v>
      </c>
    </row>
    <row r="1600" spans="1:6">
      <c r="A1600" s="263">
        <v>1599</v>
      </c>
      <c r="B1600" s="263" t="s">
        <v>3059</v>
      </c>
      <c r="C1600" s="263" t="s">
        <v>3060</v>
      </c>
      <c r="D1600" s="263" t="s">
        <v>3054</v>
      </c>
      <c r="E1600" s="263" t="s">
        <v>3055</v>
      </c>
      <c r="F1600" s="263" t="s">
        <v>2935</v>
      </c>
    </row>
    <row r="1601" spans="1:6">
      <c r="A1601" s="263">
        <v>1600</v>
      </c>
      <c r="B1601" s="263" t="s">
        <v>3061</v>
      </c>
      <c r="C1601" s="263" t="s">
        <v>819</v>
      </c>
      <c r="D1601" s="263" t="s">
        <v>3054</v>
      </c>
      <c r="E1601" s="263" t="s">
        <v>3055</v>
      </c>
      <c r="F1601" s="263" t="s">
        <v>2935</v>
      </c>
    </row>
    <row r="1602" spans="1:6">
      <c r="A1602" s="263">
        <v>1601</v>
      </c>
      <c r="B1602" s="263" t="s">
        <v>3062</v>
      </c>
      <c r="C1602" s="263" t="s">
        <v>3063</v>
      </c>
      <c r="D1602" s="263" t="s">
        <v>3054</v>
      </c>
      <c r="E1602" s="263" t="s">
        <v>3055</v>
      </c>
      <c r="F1602" s="263" t="s">
        <v>2935</v>
      </c>
    </row>
    <row r="1603" spans="1:6">
      <c r="A1603" s="263">
        <v>1602</v>
      </c>
      <c r="B1603" s="263" t="s">
        <v>3064</v>
      </c>
      <c r="C1603" s="263" t="s">
        <v>3065</v>
      </c>
      <c r="D1603" s="263" t="s">
        <v>3054</v>
      </c>
      <c r="E1603" s="263" t="s">
        <v>3055</v>
      </c>
      <c r="F1603" s="263" t="s">
        <v>2935</v>
      </c>
    </row>
    <row r="1604" spans="1:6">
      <c r="A1604" s="263">
        <v>1603</v>
      </c>
      <c r="B1604" s="263" t="s">
        <v>3066</v>
      </c>
      <c r="C1604" s="263" t="s">
        <v>3067</v>
      </c>
      <c r="D1604" s="263" t="s">
        <v>3054</v>
      </c>
      <c r="E1604" s="263" t="s">
        <v>3055</v>
      </c>
      <c r="F1604" s="263" t="s">
        <v>2935</v>
      </c>
    </row>
    <row r="1605" spans="1:6">
      <c r="A1605" s="263">
        <v>1604</v>
      </c>
      <c r="B1605" s="263" t="s">
        <v>3068</v>
      </c>
      <c r="C1605" s="263" t="s">
        <v>80</v>
      </c>
      <c r="D1605" s="263" t="s">
        <v>3054</v>
      </c>
      <c r="E1605" s="263" t="s">
        <v>3055</v>
      </c>
      <c r="F1605" s="263" t="s">
        <v>2935</v>
      </c>
    </row>
    <row r="1606" spans="1:6">
      <c r="A1606" s="263">
        <v>1605</v>
      </c>
      <c r="B1606" s="263" t="s">
        <v>3069</v>
      </c>
      <c r="C1606" s="263" t="s">
        <v>431</v>
      </c>
      <c r="D1606" s="263" t="s">
        <v>3070</v>
      </c>
      <c r="E1606" s="263" t="s">
        <v>3071</v>
      </c>
      <c r="F1606" s="263" t="s">
        <v>2935</v>
      </c>
    </row>
    <row r="1607" spans="1:6">
      <c r="A1607" s="263">
        <v>1606</v>
      </c>
      <c r="B1607" s="263" t="s">
        <v>3072</v>
      </c>
      <c r="C1607" s="263" t="s">
        <v>3073</v>
      </c>
      <c r="D1607" s="263" t="s">
        <v>3070</v>
      </c>
      <c r="E1607" s="263" t="s">
        <v>3071</v>
      </c>
      <c r="F1607" s="263" t="s">
        <v>2935</v>
      </c>
    </row>
    <row r="1608" spans="1:6">
      <c r="A1608" s="263">
        <v>1607</v>
      </c>
      <c r="B1608" s="263" t="s">
        <v>3074</v>
      </c>
      <c r="C1608" s="263" t="s">
        <v>3075</v>
      </c>
      <c r="D1608" s="263" t="s">
        <v>3070</v>
      </c>
      <c r="E1608" s="263" t="s">
        <v>3071</v>
      </c>
      <c r="F1608" s="263" t="s">
        <v>2935</v>
      </c>
    </row>
    <row r="1609" spans="1:6">
      <c r="A1609" s="263">
        <v>1608</v>
      </c>
      <c r="B1609" s="263" t="s">
        <v>3076</v>
      </c>
      <c r="C1609" s="263" t="s">
        <v>3077</v>
      </c>
      <c r="D1609" s="263" t="s">
        <v>3070</v>
      </c>
      <c r="E1609" s="263" t="s">
        <v>3071</v>
      </c>
      <c r="F1609" s="263" t="s">
        <v>2935</v>
      </c>
    </row>
    <row r="1610" spans="1:6">
      <c r="A1610" s="263">
        <v>1609</v>
      </c>
      <c r="B1610" s="263" t="s">
        <v>3078</v>
      </c>
      <c r="C1610" s="263" t="s">
        <v>353</v>
      </c>
      <c r="D1610" s="263" t="s">
        <v>3070</v>
      </c>
      <c r="E1610" s="263" t="s">
        <v>3071</v>
      </c>
      <c r="F1610" s="263" t="s">
        <v>2935</v>
      </c>
    </row>
    <row r="1611" spans="1:6">
      <c r="A1611" s="263">
        <v>1610</v>
      </c>
      <c r="B1611" s="263" t="s">
        <v>3079</v>
      </c>
      <c r="C1611" s="263" t="s">
        <v>3080</v>
      </c>
      <c r="D1611" s="263" t="s">
        <v>3070</v>
      </c>
      <c r="E1611" s="263" t="s">
        <v>3071</v>
      </c>
      <c r="F1611" s="263" t="s">
        <v>2935</v>
      </c>
    </row>
    <row r="1612" spans="1:6">
      <c r="A1612" s="263">
        <v>1611</v>
      </c>
      <c r="B1612" s="263" t="s">
        <v>3081</v>
      </c>
      <c r="C1612" s="263" t="s">
        <v>3082</v>
      </c>
      <c r="D1612" s="263" t="s">
        <v>3083</v>
      </c>
      <c r="E1612" s="263" t="s">
        <v>3084</v>
      </c>
      <c r="F1612" s="263" t="s">
        <v>3085</v>
      </c>
    </row>
    <row r="1613" spans="1:6">
      <c r="A1613" s="263">
        <v>1612</v>
      </c>
      <c r="B1613" s="263" t="s">
        <v>3086</v>
      </c>
      <c r="C1613" s="263" t="s">
        <v>3087</v>
      </c>
      <c r="D1613" s="263" t="s">
        <v>3083</v>
      </c>
      <c r="E1613" s="263" t="s">
        <v>3084</v>
      </c>
      <c r="F1613" s="263" t="s">
        <v>3085</v>
      </c>
    </row>
    <row r="1614" spans="1:6">
      <c r="A1614" s="263">
        <v>1613</v>
      </c>
      <c r="B1614" s="263" t="s">
        <v>3088</v>
      </c>
      <c r="C1614" s="263" t="s">
        <v>3089</v>
      </c>
      <c r="D1614" s="263" t="s">
        <v>3083</v>
      </c>
      <c r="E1614" s="263" t="s">
        <v>3084</v>
      </c>
      <c r="F1614" s="263" t="s">
        <v>3085</v>
      </c>
    </row>
    <row r="1615" spans="1:6">
      <c r="A1615" s="263">
        <v>1614</v>
      </c>
      <c r="B1615" s="263" t="s">
        <v>3090</v>
      </c>
      <c r="C1615" s="263" t="s">
        <v>3091</v>
      </c>
      <c r="D1615" s="263" t="s">
        <v>3083</v>
      </c>
      <c r="E1615" s="263" t="s">
        <v>3084</v>
      </c>
      <c r="F1615" s="263" t="s">
        <v>3085</v>
      </c>
    </row>
    <row r="1616" spans="1:6">
      <c r="A1616" s="263">
        <v>1615</v>
      </c>
      <c r="B1616" s="263" t="s">
        <v>3092</v>
      </c>
      <c r="C1616" s="263" t="s">
        <v>3093</v>
      </c>
      <c r="D1616" s="263" t="s">
        <v>3083</v>
      </c>
      <c r="E1616" s="263" t="s">
        <v>3084</v>
      </c>
      <c r="F1616" s="263" t="s">
        <v>3085</v>
      </c>
    </row>
    <row r="1617" spans="1:6">
      <c r="A1617" s="263">
        <v>1616</v>
      </c>
      <c r="B1617" s="263" t="s">
        <v>3094</v>
      </c>
      <c r="C1617" s="263" t="s">
        <v>3095</v>
      </c>
      <c r="D1617" s="263" t="s">
        <v>3083</v>
      </c>
      <c r="E1617" s="263" t="s">
        <v>3084</v>
      </c>
      <c r="F1617" s="263" t="s">
        <v>3085</v>
      </c>
    </row>
    <row r="1618" spans="1:6">
      <c r="A1618" s="263">
        <v>1617</v>
      </c>
      <c r="B1618" s="263" t="s">
        <v>3096</v>
      </c>
      <c r="C1618" s="263" t="s">
        <v>3097</v>
      </c>
      <c r="D1618" s="263" t="s">
        <v>3083</v>
      </c>
      <c r="E1618" s="263" t="s">
        <v>3084</v>
      </c>
      <c r="F1618" s="263" t="s">
        <v>3085</v>
      </c>
    </row>
    <row r="1619" spans="1:6">
      <c r="A1619" s="263">
        <v>1618</v>
      </c>
      <c r="B1619" s="263" t="s">
        <v>3098</v>
      </c>
      <c r="C1619" s="263" t="s">
        <v>3099</v>
      </c>
      <c r="D1619" s="263" t="s">
        <v>3083</v>
      </c>
      <c r="E1619" s="263" t="s">
        <v>3084</v>
      </c>
      <c r="F1619" s="263" t="s">
        <v>3085</v>
      </c>
    </row>
    <row r="1620" spans="1:6">
      <c r="A1620" s="263">
        <v>1619</v>
      </c>
      <c r="B1620" s="263" t="s">
        <v>3100</v>
      </c>
      <c r="C1620" s="263" t="s">
        <v>3101</v>
      </c>
      <c r="D1620" s="263" t="s">
        <v>3083</v>
      </c>
      <c r="E1620" s="263" t="s">
        <v>3084</v>
      </c>
      <c r="F1620" s="263" t="s">
        <v>3085</v>
      </c>
    </row>
    <row r="1621" spans="1:6">
      <c r="A1621" s="263">
        <v>1620</v>
      </c>
      <c r="B1621" s="263" t="s">
        <v>3102</v>
      </c>
      <c r="C1621" s="263" t="s">
        <v>3103</v>
      </c>
      <c r="D1621" s="263" t="s">
        <v>3104</v>
      </c>
      <c r="E1621" s="263" t="s">
        <v>3105</v>
      </c>
      <c r="F1621" s="263" t="s">
        <v>3085</v>
      </c>
    </row>
    <row r="1622" spans="1:6">
      <c r="A1622" s="263">
        <v>1621</v>
      </c>
      <c r="B1622" s="263" t="s">
        <v>3106</v>
      </c>
      <c r="C1622" s="263" t="s">
        <v>334</v>
      </c>
      <c r="D1622" s="263" t="s">
        <v>3104</v>
      </c>
      <c r="E1622" s="263" t="s">
        <v>3105</v>
      </c>
      <c r="F1622" s="263" t="s">
        <v>3085</v>
      </c>
    </row>
    <row r="1623" spans="1:6">
      <c r="A1623" s="263">
        <v>1622</v>
      </c>
      <c r="B1623" s="263" t="s">
        <v>3107</v>
      </c>
      <c r="C1623" s="263" t="s">
        <v>1291</v>
      </c>
      <c r="D1623" s="263" t="s">
        <v>3104</v>
      </c>
      <c r="E1623" s="263" t="s">
        <v>3105</v>
      </c>
      <c r="F1623" s="263" t="s">
        <v>3085</v>
      </c>
    </row>
    <row r="1624" spans="1:6">
      <c r="A1624" s="263">
        <v>1623</v>
      </c>
      <c r="B1624" s="263" t="s">
        <v>3108</v>
      </c>
      <c r="C1624" s="263" t="s">
        <v>3109</v>
      </c>
      <c r="D1624" s="263" t="s">
        <v>3104</v>
      </c>
      <c r="E1624" s="263" t="s">
        <v>3105</v>
      </c>
      <c r="F1624" s="263" t="s">
        <v>3085</v>
      </c>
    </row>
    <row r="1625" spans="1:6">
      <c r="A1625" s="263">
        <v>1624</v>
      </c>
      <c r="B1625" s="263" t="s">
        <v>3110</v>
      </c>
      <c r="C1625" s="263" t="s">
        <v>3111</v>
      </c>
      <c r="D1625" s="263" t="s">
        <v>3104</v>
      </c>
      <c r="E1625" s="263" t="s">
        <v>3105</v>
      </c>
      <c r="F1625" s="263" t="s">
        <v>3085</v>
      </c>
    </row>
    <row r="1626" spans="1:6">
      <c r="A1626" s="263">
        <v>1625</v>
      </c>
      <c r="B1626" s="263" t="s">
        <v>3112</v>
      </c>
      <c r="C1626" s="263" t="s">
        <v>3113</v>
      </c>
      <c r="D1626" s="263" t="s">
        <v>3104</v>
      </c>
      <c r="E1626" s="263" t="s">
        <v>3105</v>
      </c>
      <c r="F1626" s="263" t="s">
        <v>3085</v>
      </c>
    </row>
    <row r="1627" spans="1:6">
      <c r="A1627" s="263">
        <v>1626</v>
      </c>
      <c r="B1627" s="263" t="s">
        <v>3114</v>
      </c>
      <c r="C1627" s="263" t="s">
        <v>2000</v>
      </c>
      <c r="D1627" s="263" t="s">
        <v>3104</v>
      </c>
      <c r="E1627" s="263" t="s">
        <v>3105</v>
      </c>
      <c r="F1627" s="263" t="s">
        <v>3085</v>
      </c>
    </row>
    <row r="1628" spans="1:6">
      <c r="A1628" s="263">
        <v>1627</v>
      </c>
      <c r="B1628" s="263" t="s">
        <v>3115</v>
      </c>
      <c r="C1628" s="263" t="s">
        <v>1484</v>
      </c>
      <c r="D1628" s="263" t="s">
        <v>3104</v>
      </c>
      <c r="E1628" s="263" t="s">
        <v>3105</v>
      </c>
      <c r="F1628" s="263" t="s">
        <v>3085</v>
      </c>
    </row>
    <row r="1629" spans="1:6">
      <c r="A1629" s="263">
        <v>1628</v>
      </c>
      <c r="B1629" s="263" t="s">
        <v>3116</v>
      </c>
      <c r="C1629" s="263" t="s">
        <v>3117</v>
      </c>
      <c r="D1629" s="263" t="s">
        <v>3104</v>
      </c>
      <c r="E1629" s="263" t="s">
        <v>3105</v>
      </c>
      <c r="F1629" s="263" t="s">
        <v>3085</v>
      </c>
    </row>
    <row r="1630" spans="1:6">
      <c r="A1630" s="263">
        <v>1629</v>
      </c>
      <c r="B1630" s="263" t="s">
        <v>3118</v>
      </c>
      <c r="C1630" s="263" t="s">
        <v>3119</v>
      </c>
      <c r="D1630" s="263" t="s">
        <v>3104</v>
      </c>
      <c r="E1630" s="263" t="s">
        <v>3105</v>
      </c>
      <c r="F1630" s="263" t="s">
        <v>3085</v>
      </c>
    </row>
    <row r="1631" spans="1:6">
      <c r="A1631" s="263">
        <v>1630</v>
      </c>
      <c r="B1631" s="263" t="s">
        <v>3120</v>
      </c>
      <c r="C1631" s="263" t="s">
        <v>2525</v>
      </c>
      <c r="D1631" s="263" t="s">
        <v>3104</v>
      </c>
      <c r="E1631" s="263" t="s">
        <v>3105</v>
      </c>
      <c r="F1631" s="263" t="s">
        <v>3085</v>
      </c>
    </row>
    <row r="1632" spans="1:6">
      <c r="A1632" s="263">
        <v>1631</v>
      </c>
      <c r="B1632" s="263" t="s">
        <v>3121</v>
      </c>
      <c r="C1632" s="263" t="s">
        <v>3122</v>
      </c>
      <c r="D1632" s="263" t="s">
        <v>3123</v>
      </c>
      <c r="E1632" s="263" t="s">
        <v>68</v>
      </c>
      <c r="F1632" s="263" t="s">
        <v>3085</v>
      </c>
    </row>
    <row r="1633" spans="1:6">
      <c r="A1633" s="263">
        <v>1632</v>
      </c>
      <c r="B1633" s="263" t="s">
        <v>3124</v>
      </c>
      <c r="C1633" s="263" t="s">
        <v>1213</v>
      </c>
      <c r="D1633" s="263" t="s">
        <v>3123</v>
      </c>
      <c r="E1633" s="263" t="s">
        <v>68</v>
      </c>
      <c r="F1633" s="263" t="s">
        <v>3085</v>
      </c>
    </row>
    <row r="1634" spans="1:6">
      <c r="A1634" s="263">
        <v>1633</v>
      </c>
      <c r="B1634" s="263" t="s">
        <v>3125</v>
      </c>
      <c r="C1634" s="263" t="s">
        <v>3126</v>
      </c>
      <c r="D1634" s="263" t="s">
        <v>3123</v>
      </c>
      <c r="E1634" s="263" t="s">
        <v>68</v>
      </c>
      <c r="F1634" s="263" t="s">
        <v>3085</v>
      </c>
    </row>
    <row r="1635" spans="1:6">
      <c r="A1635" s="263">
        <v>1634</v>
      </c>
      <c r="B1635" s="263" t="s">
        <v>3127</v>
      </c>
      <c r="C1635" s="263" t="s">
        <v>386</v>
      </c>
      <c r="D1635" s="263" t="s">
        <v>3123</v>
      </c>
      <c r="E1635" s="263" t="s">
        <v>68</v>
      </c>
      <c r="F1635" s="263" t="s">
        <v>3085</v>
      </c>
    </row>
    <row r="1636" spans="1:6">
      <c r="A1636" s="263">
        <v>1635</v>
      </c>
      <c r="B1636" s="263" t="s">
        <v>3128</v>
      </c>
      <c r="C1636" s="263" t="s">
        <v>3129</v>
      </c>
      <c r="D1636" s="263" t="s">
        <v>3123</v>
      </c>
      <c r="E1636" s="263" t="s">
        <v>68</v>
      </c>
      <c r="F1636" s="263" t="s">
        <v>3085</v>
      </c>
    </row>
    <row r="1637" spans="1:6">
      <c r="A1637" s="263">
        <v>1636</v>
      </c>
      <c r="B1637" s="263" t="s">
        <v>3130</v>
      </c>
      <c r="C1637" s="263" t="s">
        <v>3131</v>
      </c>
      <c r="D1637" s="263" t="s">
        <v>3123</v>
      </c>
      <c r="E1637" s="263" t="s">
        <v>68</v>
      </c>
      <c r="F1637" s="263" t="s">
        <v>3085</v>
      </c>
    </row>
    <row r="1638" spans="1:6">
      <c r="A1638" s="263">
        <v>1637</v>
      </c>
      <c r="B1638" s="263" t="s">
        <v>3132</v>
      </c>
      <c r="C1638" s="263" t="s">
        <v>3133</v>
      </c>
      <c r="D1638" s="263" t="s">
        <v>3123</v>
      </c>
      <c r="E1638" s="263" t="s">
        <v>68</v>
      </c>
      <c r="F1638" s="263" t="s">
        <v>3085</v>
      </c>
    </row>
    <row r="1639" spans="1:6">
      <c r="A1639" s="263">
        <v>1638</v>
      </c>
      <c r="B1639" s="263" t="s">
        <v>3134</v>
      </c>
      <c r="C1639" s="263" t="s">
        <v>1735</v>
      </c>
      <c r="D1639" s="263" t="s">
        <v>3123</v>
      </c>
      <c r="E1639" s="263" t="s">
        <v>68</v>
      </c>
      <c r="F1639" s="263" t="s">
        <v>3085</v>
      </c>
    </row>
    <row r="1640" spans="1:6">
      <c r="A1640" s="263">
        <v>1639</v>
      </c>
      <c r="B1640" s="263" t="s">
        <v>3135</v>
      </c>
      <c r="C1640" s="263" t="s">
        <v>3136</v>
      </c>
      <c r="D1640" s="263" t="s">
        <v>3123</v>
      </c>
      <c r="E1640" s="263" t="s">
        <v>68</v>
      </c>
      <c r="F1640" s="263" t="s">
        <v>3085</v>
      </c>
    </row>
    <row r="1641" spans="1:6">
      <c r="A1641" s="263">
        <v>1640</v>
      </c>
      <c r="B1641" s="263" t="s">
        <v>3137</v>
      </c>
      <c r="C1641" s="263" t="s">
        <v>3138</v>
      </c>
      <c r="D1641" s="263" t="s">
        <v>3123</v>
      </c>
      <c r="E1641" s="263" t="s">
        <v>68</v>
      </c>
      <c r="F1641" s="263" t="s">
        <v>3085</v>
      </c>
    </row>
    <row r="1642" spans="1:6">
      <c r="A1642" s="263">
        <v>1641</v>
      </c>
      <c r="B1642" s="263" t="s">
        <v>3139</v>
      </c>
      <c r="C1642" s="263" t="s">
        <v>2068</v>
      </c>
      <c r="D1642" s="263" t="s">
        <v>3140</v>
      </c>
      <c r="E1642" s="263" t="s">
        <v>3141</v>
      </c>
      <c r="F1642" s="263" t="s">
        <v>3085</v>
      </c>
    </row>
    <row r="1643" spans="1:6">
      <c r="A1643" s="263">
        <v>1642</v>
      </c>
      <c r="B1643" s="263" t="s">
        <v>3142</v>
      </c>
      <c r="C1643" s="263" t="s">
        <v>1095</v>
      </c>
      <c r="D1643" s="263" t="s">
        <v>3140</v>
      </c>
      <c r="E1643" s="263" t="s">
        <v>3141</v>
      </c>
      <c r="F1643" s="263" t="s">
        <v>3085</v>
      </c>
    </row>
    <row r="1644" spans="1:6">
      <c r="A1644" s="263">
        <v>1643</v>
      </c>
      <c r="B1644" s="263" t="s">
        <v>3143</v>
      </c>
      <c r="C1644" s="263" t="s">
        <v>3144</v>
      </c>
      <c r="D1644" s="263" t="s">
        <v>3140</v>
      </c>
      <c r="E1644" s="263" t="s">
        <v>3141</v>
      </c>
      <c r="F1644" s="263" t="s">
        <v>3085</v>
      </c>
    </row>
    <row r="1645" spans="1:6">
      <c r="A1645" s="263">
        <v>1644</v>
      </c>
      <c r="B1645" s="263" t="s">
        <v>3145</v>
      </c>
      <c r="C1645" s="263" t="s">
        <v>192</v>
      </c>
      <c r="D1645" s="263" t="s">
        <v>3140</v>
      </c>
      <c r="E1645" s="263" t="s">
        <v>3141</v>
      </c>
      <c r="F1645" s="263" t="s">
        <v>3085</v>
      </c>
    </row>
    <row r="1646" spans="1:6">
      <c r="A1646" s="263">
        <v>1645</v>
      </c>
      <c r="B1646" s="263" t="s">
        <v>3146</v>
      </c>
      <c r="C1646" s="263" t="s">
        <v>3147</v>
      </c>
      <c r="D1646" s="263" t="s">
        <v>3140</v>
      </c>
      <c r="E1646" s="263" t="s">
        <v>3141</v>
      </c>
      <c r="F1646" s="263" t="s">
        <v>3085</v>
      </c>
    </row>
    <row r="1647" spans="1:6">
      <c r="A1647" s="263">
        <v>1646</v>
      </c>
      <c r="B1647" s="263" t="s">
        <v>3148</v>
      </c>
      <c r="C1647" s="263" t="s">
        <v>3149</v>
      </c>
      <c r="D1647" s="263" t="s">
        <v>3150</v>
      </c>
      <c r="E1647" s="263" t="s">
        <v>3151</v>
      </c>
      <c r="F1647" s="263" t="s">
        <v>3085</v>
      </c>
    </row>
    <row r="1648" spans="1:6">
      <c r="A1648" s="263">
        <v>1647</v>
      </c>
      <c r="B1648" s="263" t="s">
        <v>3152</v>
      </c>
      <c r="C1648" s="263" t="s">
        <v>3153</v>
      </c>
      <c r="D1648" s="263" t="s">
        <v>3150</v>
      </c>
      <c r="E1648" s="263" t="s">
        <v>3151</v>
      </c>
      <c r="F1648" s="263" t="s">
        <v>3085</v>
      </c>
    </row>
    <row r="1649" spans="1:6">
      <c r="A1649" s="263">
        <v>1648</v>
      </c>
      <c r="B1649" s="263" t="s">
        <v>3154</v>
      </c>
      <c r="C1649" s="263" t="s">
        <v>3155</v>
      </c>
      <c r="D1649" s="263" t="s">
        <v>3150</v>
      </c>
      <c r="E1649" s="263" t="s">
        <v>3151</v>
      </c>
      <c r="F1649" s="263" t="s">
        <v>3085</v>
      </c>
    </row>
    <row r="1650" spans="1:6">
      <c r="A1650" s="263">
        <v>1649</v>
      </c>
      <c r="B1650" s="263" t="s">
        <v>3156</v>
      </c>
      <c r="C1650" s="263" t="s">
        <v>104</v>
      </c>
      <c r="D1650" s="263" t="s">
        <v>3150</v>
      </c>
      <c r="E1650" s="263" t="s">
        <v>3151</v>
      </c>
      <c r="F1650" s="263" t="s">
        <v>3085</v>
      </c>
    </row>
    <row r="1651" spans="1:6">
      <c r="A1651" s="263">
        <v>1650</v>
      </c>
      <c r="B1651" s="263" t="s">
        <v>3157</v>
      </c>
      <c r="C1651" s="263" t="s">
        <v>3158</v>
      </c>
      <c r="D1651" s="263" t="s">
        <v>3150</v>
      </c>
      <c r="E1651" s="263" t="s">
        <v>3151</v>
      </c>
      <c r="F1651" s="263" t="s">
        <v>3085</v>
      </c>
    </row>
    <row r="1652" spans="1:6">
      <c r="A1652" s="263">
        <v>1651</v>
      </c>
      <c r="B1652" s="263" t="s">
        <v>3159</v>
      </c>
      <c r="C1652" s="263" t="s">
        <v>1161</v>
      </c>
      <c r="D1652" s="263" t="s">
        <v>3150</v>
      </c>
      <c r="E1652" s="263" t="s">
        <v>3151</v>
      </c>
      <c r="F1652" s="263" t="s">
        <v>3085</v>
      </c>
    </row>
    <row r="1653" spans="1:6">
      <c r="A1653" s="263">
        <v>1652</v>
      </c>
      <c r="B1653" s="263" t="s">
        <v>3160</v>
      </c>
      <c r="C1653" s="263" t="s">
        <v>3161</v>
      </c>
      <c r="D1653" s="263" t="s">
        <v>3150</v>
      </c>
      <c r="E1653" s="263" t="s">
        <v>3151</v>
      </c>
      <c r="F1653" s="263" t="s">
        <v>3085</v>
      </c>
    </row>
    <row r="1654" spans="1:6">
      <c r="A1654" s="263">
        <v>1653</v>
      </c>
      <c r="B1654" s="263" t="s">
        <v>3162</v>
      </c>
      <c r="C1654" s="263" t="s">
        <v>599</v>
      </c>
      <c r="D1654" s="263" t="s">
        <v>3150</v>
      </c>
      <c r="E1654" s="263" t="s">
        <v>3151</v>
      </c>
      <c r="F1654" s="263" t="s">
        <v>3085</v>
      </c>
    </row>
    <row r="1655" spans="1:6">
      <c r="A1655" s="263">
        <v>1654</v>
      </c>
      <c r="B1655" s="263" t="s">
        <v>3163</v>
      </c>
      <c r="C1655" s="263" t="s">
        <v>3164</v>
      </c>
      <c r="D1655" s="263" t="s">
        <v>3150</v>
      </c>
      <c r="E1655" s="263" t="s">
        <v>3151</v>
      </c>
      <c r="F1655" s="263" t="s">
        <v>3085</v>
      </c>
    </row>
    <row r="1656" spans="1:6">
      <c r="A1656" s="263">
        <v>1655</v>
      </c>
      <c r="B1656" s="263" t="s">
        <v>3165</v>
      </c>
      <c r="C1656" s="263" t="s">
        <v>3166</v>
      </c>
      <c r="D1656" s="263" t="s">
        <v>3150</v>
      </c>
      <c r="E1656" s="263" t="s">
        <v>3151</v>
      </c>
      <c r="F1656" s="263" t="s">
        <v>3085</v>
      </c>
    </row>
    <row r="1657" spans="1:6">
      <c r="A1657" s="263">
        <v>1656</v>
      </c>
      <c r="B1657" s="263" t="s">
        <v>3167</v>
      </c>
      <c r="C1657" s="263" t="s">
        <v>3168</v>
      </c>
      <c r="D1657" s="263" t="s">
        <v>3150</v>
      </c>
      <c r="E1657" s="263" t="s">
        <v>3151</v>
      </c>
      <c r="F1657" s="263" t="s">
        <v>3085</v>
      </c>
    </row>
    <row r="1658" spans="1:6">
      <c r="A1658" s="263">
        <v>1657</v>
      </c>
      <c r="B1658" s="263" t="s">
        <v>3169</v>
      </c>
      <c r="C1658" s="263" t="s">
        <v>3170</v>
      </c>
      <c r="D1658" s="263" t="s">
        <v>3150</v>
      </c>
      <c r="E1658" s="263" t="s">
        <v>3151</v>
      </c>
      <c r="F1658" s="263" t="s">
        <v>3085</v>
      </c>
    </row>
    <row r="1659" spans="1:6">
      <c r="A1659" s="263">
        <v>1658</v>
      </c>
      <c r="B1659" s="263" t="s">
        <v>3171</v>
      </c>
      <c r="C1659" s="263" t="s">
        <v>3172</v>
      </c>
      <c r="D1659" s="263" t="s">
        <v>3150</v>
      </c>
      <c r="E1659" s="263" t="s">
        <v>3151</v>
      </c>
      <c r="F1659" s="263" t="s">
        <v>3085</v>
      </c>
    </row>
    <row r="1660" spans="1:6">
      <c r="A1660" s="263">
        <v>1659</v>
      </c>
      <c r="B1660" s="263" t="s">
        <v>3173</v>
      </c>
      <c r="C1660" s="263" t="s">
        <v>3011</v>
      </c>
      <c r="D1660" s="263" t="s">
        <v>3150</v>
      </c>
      <c r="E1660" s="263" t="s">
        <v>3151</v>
      </c>
      <c r="F1660" s="263" t="s">
        <v>3085</v>
      </c>
    </row>
    <row r="1661" spans="1:6">
      <c r="A1661" s="263">
        <v>1660</v>
      </c>
      <c r="B1661" s="263" t="s">
        <v>3174</v>
      </c>
      <c r="C1661" s="263" t="s">
        <v>3175</v>
      </c>
      <c r="D1661" s="263" t="s">
        <v>3150</v>
      </c>
      <c r="E1661" s="263" t="s">
        <v>3151</v>
      </c>
      <c r="F1661" s="263" t="s">
        <v>3085</v>
      </c>
    </row>
    <row r="1662" spans="1:6">
      <c r="A1662" s="263">
        <v>1661</v>
      </c>
      <c r="B1662" s="263" t="s">
        <v>3176</v>
      </c>
      <c r="C1662" s="263" t="s">
        <v>1735</v>
      </c>
      <c r="D1662" s="263" t="s">
        <v>3150</v>
      </c>
      <c r="E1662" s="263" t="s">
        <v>3151</v>
      </c>
      <c r="F1662" s="263" t="s">
        <v>3085</v>
      </c>
    </row>
    <row r="1663" spans="1:6">
      <c r="A1663" s="263">
        <v>1662</v>
      </c>
      <c r="B1663" s="263" t="s">
        <v>3177</v>
      </c>
      <c r="C1663" s="263" t="s">
        <v>962</v>
      </c>
      <c r="D1663" s="263" t="s">
        <v>3150</v>
      </c>
      <c r="E1663" s="263" t="s">
        <v>3151</v>
      </c>
      <c r="F1663" s="263" t="s">
        <v>3085</v>
      </c>
    </row>
    <row r="1664" spans="1:6">
      <c r="A1664" s="263">
        <v>1663</v>
      </c>
      <c r="B1664" s="263" t="s">
        <v>3178</v>
      </c>
      <c r="C1664" s="263" t="s">
        <v>192</v>
      </c>
      <c r="D1664" s="263" t="s">
        <v>3150</v>
      </c>
      <c r="E1664" s="263" t="s">
        <v>3151</v>
      </c>
      <c r="F1664" s="263" t="s">
        <v>3085</v>
      </c>
    </row>
    <row r="1665" spans="1:6">
      <c r="A1665" s="263">
        <v>1664</v>
      </c>
      <c r="B1665" s="263" t="s">
        <v>3179</v>
      </c>
      <c r="C1665" s="263" t="s">
        <v>2287</v>
      </c>
      <c r="D1665" s="263" t="s">
        <v>3150</v>
      </c>
      <c r="E1665" s="263" t="s">
        <v>3151</v>
      </c>
      <c r="F1665" s="263" t="s">
        <v>3085</v>
      </c>
    </row>
    <row r="1666" spans="1:6">
      <c r="A1666" s="263">
        <v>1665</v>
      </c>
      <c r="B1666" s="263" t="s">
        <v>3180</v>
      </c>
      <c r="C1666" s="263" t="s">
        <v>3181</v>
      </c>
      <c r="D1666" s="263" t="s">
        <v>3182</v>
      </c>
      <c r="E1666" s="263" t="s">
        <v>3183</v>
      </c>
      <c r="F1666" s="263" t="s">
        <v>3085</v>
      </c>
    </row>
    <row r="1667" spans="1:6">
      <c r="A1667" s="263">
        <v>1666</v>
      </c>
      <c r="B1667" s="263" t="s">
        <v>3184</v>
      </c>
      <c r="C1667" s="263" t="s">
        <v>3185</v>
      </c>
      <c r="D1667" s="263" t="s">
        <v>3182</v>
      </c>
      <c r="E1667" s="263" t="s">
        <v>3183</v>
      </c>
      <c r="F1667" s="263" t="s">
        <v>3085</v>
      </c>
    </row>
    <row r="1668" spans="1:6">
      <c r="A1668" s="263">
        <v>1667</v>
      </c>
      <c r="B1668" s="263" t="s">
        <v>3186</v>
      </c>
      <c r="C1668" s="263" t="s">
        <v>3187</v>
      </c>
      <c r="D1668" s="263" t="s">
        <v>3182</v>
      </c>
      <c r="E1668" s="263" t="s">
        <v>3183</v>
      </c>
      <c r="F1668" s="263" t="s">
        <v>3085</v>
      </c>
    </row>
    <row r="1669" spans="1:6">
      <c r="A1669" s="263">
        <v>1668</v>
      </c>
      <c r="B1669" s="263" t="s">
        <v>3188</v>
      </c>
      <c r="C1669" s="263" t="s">
        <v>3189</v>
      </c>
      <c r="D1669" s="263" t="s">
        <v>3182</v>
      </c>
      <c r="E1669" s="263" t="s">
        <v>3183</v>
      </c>
      <c r="F1669" s="263" t="s">
        <v>3085</v>
      </c>
    </row>
    <row r="1670" spans="1:6">
      <c r="A1670" s="263">
        <v>1669</v>
      </c>
      <c r="B1670" s="263" t="s">
        <v>3190</v>
      </c>
      <c r="C1670" s="263" t="s">
        <v>3191</v>
      </c>
      <c r="D1670" s="263" t="s">
        <v>3182</v>
      </c>
      <c r="E1670" s="263" t="s">
        <v>3183</v>
      </c>
      <c r="F1670" s="263" t="s">
        <v>3085</v>
      </c>
    </row>
    <row r="1671" spans="1:6">
      <c r="A1671" s="263">
        <v>1670</v>
      </c>
      <c r="B1671" s="263" t="s">
        <v>3192</v>
      </c>
      <c r="C1671" s="263" t="s">
        <v>3193</v>
      </c>
      <c r="D1671" s="263" t="s">
        <v>3182</v>
      </c>
      <c r="E1671" s="263" t="s">
        <v>3183</v>
      </c>
      <c r="F1671" s="263" t="s">
        <v>3085</v>
      </c>
    </row>
    <row r="1672" spans="1:6">
      <c r="A1672" s="263">
        <v>1671</v>
      </c>
      <c r="B1672" s="263" t="s">
        <v>3194</v>
      </c>
      <c r="C1672" s="263" t="s">
        <v>3195</v>
      </c>
      <c r="D1672" s="263" t="s">
        <v>3182</v>
      </c>
      <c r="E1672" s="263" t="s">
        <v>3183</v>
      </c>
      <c r="F1672" s="263" t="s">
        <v>3085</v>
      </c>
    </row>
    <row r="1673" spans="1:6">
      <c r="A1673" s="263">
        <v>1672</v>
      </c>
      <c r="B1673" s="263" t="s">
        <v>3196</v>
      </c>
      <c r="C1673" s="263" t="s">
        <v>3197</v>
      </c>
      <c r="D1673" s="263" t="s">
        <v>3182</v>
      </c>
      <c r="E1673" s="263" t="s">
        <v>3183</v>
      </c>
      <c r="F1673" s="263" t="s">
        <v>3085</v>
      </c>
    </row>
    <row r="1674" spans="1:6">
      <c r="A1674" s="263">
        <v>1673</v>
      </c>
      <c r="B1674" s="263" t="s">
        <v>3198</v>
      </c>
      <c r="C1674" s="263" t="s">
        <v>3199</v>
      </c>
      <c r="D1674" s="263" t="s">
        <v>3182</v>
      </c>
      <c r="E1674" s="263" t="s">
        <v>3183</v>
      </c>
      <c r="F1674" s="263" t="s">
        <v>3085</v>
      </c>
    </row>
    <row r="1675" spans="1:6">
      <c r="A1675" s="263">
        <v>1674</v>
      </c>
      <c r="B1675" s="263" t="s">
        <v>3200</v>
      </c>
      <c r="C1675" s="263" t="s">
        <v>396</v>
      </c>
      <c r="D1675" s="263" t="s">
        <v>3182</v>
      </c>
      <c r="E1675" s="263" t="s">
        <v>3183</v>
      </c>
      <c r="F1675" s="263" t="s">
        <v>3085</v>
      </c>
    </row>
    <row r="1676" spans="1:6">
      <c r="A1676" s="263">
        <v>1675</v>
      </c>
      <c r="B1676" s="263" t="s">
        <v>3201</v>
      </c>
      <c r="C1676" s="263" t="s">
        <v>2265</v>
      </c>
      <c r="D1676" s="263" t="s">
        <v>3182</v>
      </c>
      <c r="E1676" s="263" t="s">
        <v>3183</v>
      </c>
      <c r="F1676" s="263" t="s">
        <v>3085</v>
      </c>
    </row>
    <row r="1677" spans="1:6">
      <c r="A1677" s="263">
        <v>1676</v>
      </c>
      <c r="B1677" s="263" t="s">
        <v>3202</v>
      </c>
      <c r="C1677" s="263" t="s">
        <v>3203</v>
      </c>
      <c r="D1677" s="263" t="s">
        <v>3204</v>
      </c>
      <c r="E1677" s="263" t="s">
        <v>3205</v>
      </c>
      <c r="F1677" s="263" t="s">
        <v>3085</v>
      </c>
    </row>
    <row r="1678" spans="1:6">
      <c r="A1678" s="263">
        <v>1677</v>
      </c>
      <c r="B1678" s="263" t="s">
        <v>3206</v>
      </c>
      <c r="C1678" s="263" t="s">
        <v>3207</v>
      </c>
      <c r="D1678" s="263" t="s">
        <v>3204</v>
      </c>
      <c r="E1678" s="263" t="s">
        <v>3205</v>
      </c>
      <c r="F1678" s="263" t="s">
        <v>3085</v>
      </c>
    </row>
    <row r="1679" spans="1:6">
      <c r="A1679" s="263">
        <v>1678</v>
      </c>
      <c r="B1679" s="263" t="s">
        <v>3208</v>
      </c>
      <c r="C1679" s="263" t="s">
        <v>3209</v>
      </c>
      <c r="D1679" s="263" t="s">
        <v>3204</v>
      </c>
      <c r="E1679" s="263" t="s">
        <v>3205</v>
      </c>
      <c r="F1679" s="263" t="s">
        <v>3085</v>
      </c>
    </row>
    <row r="1680" spans="1:6">
      <c r="A1680" s="263">
        <v>1679</v>
      </c>
      <c r="B1680" s="263" t="s">
        <v>3210</v>
      </c>
      <c r="C1680" s="263" t="s">
        <v>811</v>
      </c>
      <c r="D1680" s="263" t="s">
        <v>3204</v>
      </c>
      <c r="E1680" s="263" t="s">
        <v>3205</v>
      </c>
      <c r="F1680" s="263" t="s">
        <v>3085</v>
      </c>
    </row>
    <row r="1681" spans="1:6">
      <c r="A1681" s="263">
        <v>1680</v>
      </c>
      <c r="B1681" s="263" t="s">
        <v>3211</v>
      </c>
      <c r="C1681" s="263" t="s">
        <v>3212</v>
      </c>
      <c r="D1681" s="263" t="s">
        <v>3204</v>
      </c>
      <c r="E1681" s="263" t="s">
        <v>3205</v>
      </c>
      <c r="F1681" s="263" t="s">
        <v>3085</v>
      </c>
    </row>
    <row r="1682" spans="1:6">
      <c r="A1682" s="263">
        <v>1681</v>
      </c>
      <c r="B1682" s="263" t="s">
        <v>3213</v>
      </c>
      <c r="C1682" s="263" t="s">
        <v>3214</v>
      </c>
      <c r="D1682" s="263" t="s">
        <v>3204</v>
      </c>
      <c r="E1682" s="263" t="s">
        <v>3205</v>
      </c>
      <c r="F1682" s="263" t="s">
        <v>3085</v>
      </c>
    </row>
    <row r="1683" spans="1:6">
      <c r="A1683" s="263">
        <v>1682</v>
      </c>
      <c r="B1683" s="263" t="s">
        <v>3215</v>
      </c>
      <c r="C1683" s="263" t="s">
        <v>3216</v>
      </c>
      <c r="D1683" s="263" t="s">
        <v>3204</v>
      </c>
      <c r="E1683" s="263" t="s">
        <v>3205</v>
      </c>
      <c r="F1683" s="263" t="s">
        <v>3085</v>
      </c>
    </row>
    <row r="1684" spans="1:6">
      <c r="A1684" s="263">
        <v>1683</v>
      </c>
      <c r="B1684" s="263" t="s">
        <v>3217</v>
      </c>
      <c r="C1684" s="263" t="s">
        <v>3218</v>
      </c>
      <c r="D1684" s="263" t="s">
        <v>3204</v>
      </c>
      <c r="E1684" s="263" t="s">
        <v>3205</v>
      </c>
      <c r="F1684" s="263" t="s">
        <v>3085</v>
      </c>
    </row>
    <row r="1685" spans="1:6">
      <c r="A1685" s="263">
        <v>1684</v>
      </c>
      <c r="B1685" s="263" t="s">
        <v>3219</v>
      </c>
      <c r="C1685" s="263" t="s">
        <v>3220</v>
      </c>
      <c r="D1685" s="263" t="s">
        <v>3204</v>
      </c>
      <c r="E1685" s="263" t="s">
        <v>3205</v>
      </c>
      <c r="F1685" s="263" t="s">
        <v>3085</v>
      </c>
    </row>
    <row r="1686" spans="1:6">
      <c r="A1686" s="263">
        <v>1685</v>
      </c>
      <c r="B1686" s="263" t="s">
        <v>3221</v>
      </c>
      <c r="C1686" s="263" t="s">
        <v>3222</v>
      </c>
      <c r="D1686" s="263" t="s">
        <v>3204</v>
      </c>
      <c r="E1686" s="263" t="s">
        <v>3205</v>
      </c>
      <c r="F1686" s="263" t="s">
        <v>3085</v>
      </c>
    </row>
    <row r="1687" spans="1:6">
      <c r="A1687" s="263">
        <v>1686</v>
      </c>
      <c r="B1687" s="263" t="s">
        <v>3223</v>
      </c>
      <c r="C1687" s="263" t="s">
        <v>3224</v>
      </c>
      <c r="D1687" s="263" t="s">
        <v>3204</v>
      </c>
      <c r="E1687" s="263" t="s">
        <v>3205</v>
      </c>
      <c r="F1687" s="263" t="s">
        <v>3085</v>
      </c>
    </row>
    <row r="1688" spans="1:6">
      <c r="A1688" s="263">
        <v>1687</v>
      </c>
      <c r="B1688" s="263" t="s">
        <v>3225</v>
      </c>
      <c r="C1688" s="263" t="s">
        <v>3226</v>
      </c>
      <c r="D1688" s="263" t="s">
        <v>3204</v>
      </c>
      <c r="E1688" s="263" t="s">
        <v>3205</v>
      </c>
      <c r="F1688" s="263" t="s">
        <v>3085</v>
      </c>
    </row>
    <row r="1689" spans="1:6">
      <c r="A1689" s="263">
        <v>1688</v>
      </c>
      <c r="B1689" s="263" t="s">
        <v>3227</v>
      </c>
      <c r="C1689" s="263" t="s">
        <v>3228</v>
      </c>
      <c r="D1689" s="263" t="s">
        <v>3204</v>
      </c>
      <c r="E1689" s="263" t="s">
        <v>3205</v>
      </c>
      <c r="F1689" s="263" t="s">
        <v>3085</v>
      </c>
    </row>
    <row r="1690" spans="1:6">
      <c r="A1690" s="263">
        <v>1689</v>
      </c>
      <c r="B1690" s="263" t="s">
        <v>3229</v>
      </c>
      <c r="C1690" s="263" t="s">
        <v>3230</v>
      </c>
      <c r="D1690" s="263" t="s">
        <v>3204</v>
      </c>
      <c r="E1690" s="263" t="s">
        <v>3205</v>
      </c>
      <c r="F1690" s="263" t="s">
        <v>3085</v>
      </c>
    </row>
    <row r="1691" spans="1:6">
      <c r="A1691" s="263">
        <v>1690</v>
      </c>
      <c r="B1691" s="263" t="s">
        <v>3231</v>
      </c>
      <c r="C1691" s="263" t="s">
        <v>531</v>
      </c>
      <c r="D1691" s="263" t="s">
        <v>3232</v>
      </c>
      <c r="E1691" s="263" t="s">
        <v>3233</v>
      </c>
      <c r="F1691" s="263" t="s">
        <v>3085</v>
      </c>
    </row>
    <row r="1692" spans="1:6">
      <c r="A1692" s="263">
        <v>1691</v>
      </c>
      <c r="B1692" s="263" t="s">
        <v>3234</v>
      </c>
      <c r="C1692" s="263" t="s">
        <v>3235</v>
      </c>
      <c r="D1692" s="263" t="s">
        <v>3232</v>
      </c>
      <c r="E1692" s="263" t="s">
        <v>3233</v>
      </c>
      <c r="F1692" s="263" t="s">
        <v>3085</v>
      </c>
    </row>
    <row r="1693" spans="1:6">
      <c r="A1693" s="263">
        <v>1692</v>
      </c>
      <c r="B1693" s="263" t="s">
        <v>3236</v>
      </c>
      <c r="C1693" s="263" t="s">
        <v>3237</v>
      </c>
      <c r="D1693" s="263" t="s">
        <v>3232</v>
      </c>
      <c r="E1693" s="263" t="s">
        <v>3233</v>
      </c>
      <c r="F1693" s="263" t="s">
        <v>3085</v>
      </c>
    </row>
    <row r="1694" spans="1:6">
      <c r="A1694" s="263">
        <v>1693</v>
      </c>
      <c r="B1694" s="263" t="s">
        <v>3238</v>
      </c>
      <c r="C1694" s="263" t="s">
        <v>3239</v>
      </c>
      <c r="D1694" s="263" t="s">
        <v>3232</v>
      </c>
      <c r="E1694" s="263" t="s">
        <v>3233</v>
      </c>
      <c r="F1694" s="263" t="s">
        <v>3085</v>
      </c>
    </row>
    <row r="1695" spans="1:6">
      <c r="A1695" s="263">
        <v>1694</v>
      </c>
      <c r="B1695" s="263" t="s">
        <v>3240</v>
      </c>
      <c r="C1695" s="263" t="s">
        <v>3241</v>
      </c>
      <c r="D1695" s="263" t="s">
        <v>3242</v>
      </c>
      <c r="E1695" s="263" t="s">
        <v>3243</v>
      </c>
      <c r="F1695" s="263" t="s">
        <v>3085</v>
      </c>
    </row>
    <row r="1696" spans="1:6">
      <c r="A1696" s="263">
        <v>1695</v>
      </c>
      <c r="B1696" s="263" t="s">
        <v>3244</v>
      </c>
      <c r="C1696" s="263" t="s">
        <v>1213</v>
      </c>
      <c r="D1696" s="263" t="s">
        <v>3242</v>
      </c>
      <c r="E1696" s="263" t="s">
        <v>3243</v>
      </c>
      <c r="F1696" s="263" t="s">
        <v>3085</v>
      </c>
    </row>
    <row r="1697" spans="1:6">
      <c r="A1697" s="263">
        <v>1696</v>
      </c>
      <c r="B1697" s="263" t="s">
        <v>3245</v>
      </c>
      <c r="C1697" s="263" t="s">
        <v>3246</v>
      </c>
      <c r="D1697" s="263" t="s">
        <v>3242</v>
      </c>
      <c r="E1697" s="263" t="s">
        <v>3243</v>
      </c>
      <c r="F1697" s="263" t="s">
        <v>3085</v>
      </c>
    </row>
    <row r="1698" spans="1:6">
      <c r="A1698" s="263">
        <v>1697</v>
      </c>
      <c r="B1698" s="263" t="s">
        <v>3247</v>
      </c>
      <c r="C1698" s="263" t="s">
        <v>3248</v>
      </c>
      <c r="D1698" s="263" t="s">
        <v>3242</v>
      </c>
      <c r="E1698" s="263" t="s">
        <v>3243</v>
      </c>
      <c r="F1698" s="263" t="s">
        <v>3085</v>
      </c>
    </row>
    <row r="1699" spans="1:6">
      <c r="A1699" s="263">
        <v>1698</v>
      </c>
      <c r="B1699" s="263" t="s">
        <v>3249</v>
      </c>
      <c r="C1699" s="263" t="s">
        <v>3250</v>
      </c>
      <c r="D1699" s="263" t="s">
        <v>3242</v>
      </c>
      <c r="E1699" s="263" t="s">
        <v>3243</v>
      </c>
      <c r="F1699" s="263" t="s">
        <v>3085</v>
      </c>
    </row>
    <row r="1700" spans="1:6">
      <c r="A1700" s="263">
        <v>1699</v>
      </c>
      <c r="B1700" s="263" t="s">
        <v>3251</v>
      </c>
      <c r="C1700" s="263" t="s">
        <v>3252</v>
      </c>
      <c r="D1700" s="263" t="s">
        <v>3242</v>
      </c>
      <c r="E1700" s="263" t="s">
        <v>3243</v>
      </c>
      <c r="F1700" s="263" t="s">
        <v>3085</v>
      </c>
    </row>
    <row r="1701" spans="1:6">
      <c r="A1701" s="263">
        <v>1700</v>
      </c>
      <c r="B1701" s="263" t="s">
        <v>3253</v>
      </c>
      <c r="C1701" s="263" t="s">
        <v>3254</v>
      </c>
      <c r="D1701" s="263" t="s">
        <v>3242</v>
      </c>
      <c r="E1701" s="263" t="s">
        <v>3243</v>
      </c>
      <c r="F1701" s="263" t="s">
        <v>3085</v>
      </c>
    </row>
    <row r="1702" spans="1:6">
      <c r="A1702" s="263">
        <v>1701</v>
      </c>
      <c r="B1702" s="263" t="s">
        <v>3255</v>
      </c>
      <c r="C1702" s="263" t="s">
        <v>3256</v>
      </c>
      <c r="D1702" s="263" t="s">
        <v>3242</v>
      </c>
      <c r="E1702" s="263" t="s">
        <v>3243</v>
      </c>
      <c r="F1702" s="263" t="s">
        <v>3085</v>
      </c>
    </row>
    <row r="1703" spans="1:6">
      <c r="A1703" s="263">
        <v>1702</v>
      </c>
      <c r="B1703" s="263" t="s">
        <v>3257</v>
      </c>
      <c r="C1703" s="263" t="s">
        <v>3258</v>
      </c>
      <c r="D1703" s="263" t="s">
        <v>3259</v>
      </c>
      <c r="E1703" s="263" t="s">
        <v>3260</v>
      </c>
      <c r="F1703" s="263" t="s">
        <v>3085</v>
      </c>
    </row>
    <row r="1704" spans="1:6">
      <c r="A1704" s="263">
        <v>1703</v>
      </c>
      <c r="B1704" s="263" t="s">
        <v>3261</v>
      </c>
      <c r="C1704" s="263" t="s">
        <v>3262</v>
      </c>
      <c r="D1704" s="263" t="s">
        <v>3259</v>
      </c>
      <c r="E1704" s="263" t="s">
        <v>3260</v>
      </c>
      <c r="F1704" s="263" t="s">
        <v>3085</v>
      </c>
    </row>
    <row r="1705" spans="1:6">
      <c r="A1705" s="263">
        <v>1704</v>
      </c>
      <c r="B1705" s="263" t="s">
        <v>3263</v>
      </c>
      <c r="C1705" s="263" t="s">
        <v>3264</v>
      </c>
      <c r="D1705" s="263" t="s">
        <v>3259</v>
      </c>
      <c r="E1705" s="263" t="s">
        <v>3260</v>
      </c>
      <c r="F1705" s="263" t="s">
        <v>3085</v>
      </c>
    </row>
    <row r="1706" spans="1:6">
      <c r="A1706" s="263">
        <v>1705</v>
      </c>
      <c r="B1706" s="263" t="s">
        <v>3265</v>
      </c>
      <c r="C1706" s="263" t="s">
        <v>3266</v>
      </c>
      <c r="D1706" s="263" t="s">
        <v>3259</v>
      </c>
      <c r="E1706" s="263" t="s">
        <v>3260</v>
      </c>
      <c r="F1706" s="263" t="s">
        <v>3085</v>
      </c>
    </row>
    <row r="1707" spans="1:6">
      <c r="A1707" s="263">
        <v>1706</v>
      </c>
      <c r="B1707" s="263" t="s">
        <v>3267</v>
      </c>
      <c r="C1707" s="263" t="s">
        <v>3268</v>
      </c>
      <c r="D1707" s="263" t="s">
        <v>3259</v>
      </c>
      <c r="E1707" s="263" t="s">
        <v>3260</v>
      </c>
      <c r="F1707" s="263" t="s">
        <v>3085</v>
      </c>
    </row>
    <row r="1708" spans="1:6">
      <c r="A1708" s="263">
        <v>1707</v>
      </c>
      <c r="B1708" s="263" t="s">
        <v>3269</v>
      </c>
      <c r="C1708" s="263" t="s">
        <v>3270</v>
      </c>
      <c r="D1708" s="263" t="s">
        <v>3259</v>
      </c>
      <c r="E1708" s="263" t="s">
        <v>3260</v>
      </c>
      <c r="F1708" s="263" t="s">
        <v>3085</v>
      </c>
    </row>
    <row r="1709" spans="1:6">
      <c r="A1709" s="263">
        <v>1708</v>
      </c>
      <c r="B1709" s="263" t="s">
        <v>3271</v>
      </c>
      <c r="C1709" s="263" t="s">
        <v>3272</v>
      </c>
      <c r="D1709" s="263" t="s">
        <v>3259</v>
      </c>
      <c r="E1709" s="263" t="s">
        <v>3260</v>
      </c>
      <c r="F1709" s="263" t="s">
        <v>3085</v>
      </c>
    </row>
    <row r="1710" spans="1:6">
      <c r="A1710" s="263">
        <v>1709</v>
      </c>
      <c r="B1710" s="263" t="s">
        <v>3273</v>
      </c>
      <c r="C1710" s="263" t="s">
        <v>3274</v>
      </c>
      <c r="D1710" s="263" t="s">
        <v>3259</v>
      </c>
      <c r="E1710" s="263" t="s">
        <v>3260</v>
      </c>
      <c r="F1710" s="263" t="s">
        <v>3085</v>
      </c>
    </row>
    <row r="1711" spans="1:6">
      <c r="A1711" s="263">
        <v>1710</v>
      </c>
      <c r="B1711" s="263" t="s">
        <v>3275</v>
      </c>
      <c r="C1711" s="263" t="s">
        <v>3276</v>
      </c>
      <c r="D1711" s="263" t="s">
        <v>3259</v>
      </c>
      <c r="E1711" s="263" t="s">
        <v>3260</v>
      </c>
      <c r="F1711" s="263" t="s">
        <v>3085</v>
      </c>
    </row>
    <row r="1712" spans="1:6">
      <c r="A1712" s="263">
        <v>1711</v>
      </c>
      <c r="B1712" s="263" t="s">
        <v>3277</v>
      </c>
      <c r="C1712" s="263" t="s">
        <v>3278</v>
      </c>
      <c r="D1712" s="263" t="s">
        <v>3259</v>
      </c>
      <c r="E1712" s="263" t="s">
        <v>3260</v>
      </c>
      <c r="F1712" s="263" t="s">
        <v>3085</v>
      </c>
    </row>
    <row r="1713" spans="1:6">
      <c r="A1713" s="263">
        <v>1712</v>
      </c>
      <c r="B1713" s="263" t="s">
        <v>3279</v>
      </c>
      <c r="C1713" s="263" t="s">
        <v>3280</v>
      </c>
      <c r="D1713" s="263" t="s">
        <v>3281</v>
      </c>
      <c r="E1713" s="263" t="s">
        <v>3282</v>
      </c>
      <c r="F1713" s="263" t="s">
        <v>3085</v>
      </c>
    </row>
    <row r="1714" spans="1:6">
      <c r="A1714" s="263">
        <v>1713</v>
      </c>
      <c r="B1714" s="263" t="s">
        <v>3283</v>
      </c>
      <c r="C1714" s="263" t="s">
        <v>332</v>
      </c>
      <c r="D1714" s="263" t="s">
        <v>3281</v>
      </c>
      <c r="E1714" s="263" t="s">
        <v>3282</v>
      </c>
      <c r="F1714" s="263" t="s">
        <v>3085</v>
      </c>
    </row>
    <row r="1715" spans="1:6">
      <c r="A1715" s="263">
        <v>1714</v>
      </c>
      <c r="B1715" s="263" t="s">
        <v>3284</v>
      </c>
      <c r="C1715" s="263" t="s">
        <v>3285</v>
      </c>
      <c r="D1715" s="263" t="s">
        <v>3281</v>
      </c>
      <c r="E1715" s="263" t="s">
        <v>3282</v>
      </c>
      <c r="F1715" s="263" t="s">
        <v>3085</v>
      </c>
    </row>
    <row r="1716" spans="1:6">
      <c r="A1716" s="263">
        <v>1715</v>
      </c>
      <c r="B1716" s="263" t="s">
        <v>3286</v>
      </c>
      <c r="C1716" s="263" t="s">
        <v>3287</v>
      </c>
      <c r="D1716" s="263" t="s">
        <v>3281</v>
      </c>
      <c r="E1716" s="263" t="s">
        <v>3282</v>
      </c>
      <c r="F1716" s="263" t="s">
        <v>3085</v>
      </c>
    </row>
    <row r="1717" spans="1:6">
      <c r="A1717" s="263">
        <v>1716</v>
      </c>
      <c r="B1717" s="263" t="s">
        <v>3288</v>
      </c>
      <c r="C1717" s="263" t="s">
        <v>164</v>
      </c>
      <c r="D1717" s="263" t="s">
        <v>3281</v>
      </c>
      <c r="E1717" s="263" t="s">
        <v>3282</v>
      </c>
      <c r="F1717" s="263" t="s">
        <v>3085</v>
      </c>
    </row>
    <row r="1718" spans="1:6">
      <c r="A1718" s="263">
        <v>1717</v>
      </c>
      <c r="B1718" s="263" t="s">
        <v>3289</v>
      </c>
      <c r="C1718" s="263" t="s">
        <v>1135</v>
      </c>
      <c r="D1718" s="263" t="s">
        <v>3281</v>
      </c>
      <c r="E1718" s="263" t="s">
        <v>3282</v>
      </c>
      <c r="F1718" s="263" t="s">
        <v>3085</v>
      </c>
    </row>
    <row r="1719" spans="1:6">
      <c r="A1719" s="263">
        <v>1718</v>
      </c>
      <c r="B1719" s="263" t="s">
        <v>3290</v>
      </c>
      <c r="C1719" s="263" t="s">
        <v>353</v>
      </c>
      <c r="D1719" s="263" t="s">
        <v>3281</v>
      </c>
      <c r="E1719" s="263" t="s">
        <v>3282</v>
      </c>
      <c r="F1719" s="263" t="s">
        <v>3085</v>
      </c>
    </row>
    <row r="1720" spans="1:6">
      <c r="A1720" s="263">
        <v>1719</v>
      </c>
      <c r="B1720" s="263" t="s">
        <v>3291</v>
      </c>
      <c r="C1720" s="263" t="s">
        <v>964</v>
      </c>
      <c r="D1720" s="263" t="s">
        <v>3281</v>
      </c>
      <c r="E1720" s="263" t="s">
        <v>3282</v>
      </c>
      <c r="F1720" s="263" t="s">
        <v>3085</v>
      </c>
    </row>
    <row r="1721" spans="1:6">
      <c r="A1721" s="263">
        <v>1720</v>
      </c>
      <c r="B1721" s="263" t="s">
        <v>3292</v>
      </c>
      <c r="C1721" s="263" t="s">
        <v>3293</v>
      </c>
      <c r="D1721" s="263" t="s">
        <v>3281</v>
      </c>
      <c r="E1721" s="263" t="s">
        <v>3282</v>
      </c>
      <c r="F1721" s="263" t="s">
        <v>3085</v>
      </c>
    </row>
    <row r="1722" spans="1:6">
      <c r="A1722" s="263">
        <v>1721</v>
      </c>
      <c r="B1722" s="263" t="s">
        <v>3294</v>
      </c>
      <c r="C1722" s="263" t="s">
        <v>3295</v>
      </c>
      <c r="D1722" s="263" t="s">
        <v>3281</v>
      </c>
      <c r="E1722" s="263" t="s">
        <v>3282</v>
      </c>
      <c r="F1722" s="263" t="s">
        <v>3085</v>
      </c>
    </row>
    <row r="1723" spans="1:6">
      <c r="A1723" s="263">
        <v>1722</v>
      </c>
      <c r="B1723" s="263" t="s">
        <v>3296</v>
      </c>
      <c r="C1723" s="263" t="s">
        <v>3297</v>
      </c>
      <c r="D1723" s="263" t="s">
        <v>3281</v>
      </c>
      <c r="E1723" s="263" t="s">
        <v>3282</v>
      </c>
      <c r="F1723" s="263" t="s">
        <v>3085</v>
      </c>
    </row>
    <row r="1724" spans="1:6">
      <c r="A1724" s="263">
        <v>1723</v>
      </c>
      <c r="B1724" s="263" t="s">
        <v>3298</v>
      </c>
      <c r="C1724" s="263" t="s">
        <v>3299</v>
      </c>
      <c r="D1724" s="263" t="s">
        <v>3300</v>
      </c>
      <c r="E1724" s="263" t="s">
        <v>3301</v>
      </c>
      <c r="F1724" s="263" t="s">
        <v>3085</v>
      </c>
    </row>
    <row r="1725" spans="1:6">
      <c r="A1725" s="263">
        <v>1724</v>
      </c>
      <c r="B1725" s="263" t="s">
        <v>3302</v>
      </c>
      <c r="C1725" s="263" t="s">
        <v>3303</v>
      </c>
      <c r="D1725" s="263" t="s">
        <v>3300</v>
      </c>
      <c r="E1725" s="263" t="s">
        <v>3301</v>
      </c>
      <c r="F1725" s="263" t="s">
        <v>3085</v>
      </c>
    </row>
    <row r="1726" spans="1:6">
      <c r="A1726" s="263">
        <v>1725</v>
      </c>
      <c r="B1726" s="263" t="s">
        <v>3304</v>
      </c>
      <c r="C1726" s="263" t="s">
        <v>3305</v>
      </c>
      <c r="D1726" s="263" t="s">
        <v>3300</v>
      </c>
      <c r="E1726" s="263" t="s">
        <v>3301</v>
      </c>
      <c r="F1726" s="263" t="s">
        <v>3085</v>
      </c>
    </row>
    <row r="1727" spans="1:6">
      <c r="A1727" s="263">
        <v>1726</v>
      </c>
      <c r="B1727" s="263" t="s">
        <v>3306</v>
      </c>
      <c r="C1727" s="263" t="s">
        <v>3307</v>
      </c>
      <c r="D1727" s="263" t="s">
        <v>3300</v>
      </c>
      <c r="E1727" s="263" t="s">
        <v>3301</v>
      </c>
      <c r="F1727" s="263" t="s">
        <v>3085</v>
      </c>
    </row>
    <row r="1728" spans="1:6">
      <c r="A1728" s="263">
        <v>1727</v>
      </c>
      <c r="B1728" s="263" t="s">
        <v>3308</v>
      </c>
      <c r="C1728" s="263" t="s">
        <v>3309</v>
      </c>
      <c r="D1728" s="263" t="s">
        <v>3300</v>
      </c>
      <c r="E1728" s="263" t="s">
        <v>3301</v>
      </c>
      <c r="F1728" s="263" t="s">
        <v>3085</v>
      </c>
    </row>
    <row r="1729" spans="1:6">
      <c r="A1729" s="263">
        <v>1728</v>
      </c>
      <c r="B1729" s="263" t="s">
        <v>3310</v>
      </c>
      <c r="C1729" s="263" t="s">
        <v>336</v>
      </c>
      <c r="D1729" s="263" t="s">
        <v>3300</v>
      </c>
      <c r="E1729" s="263" t="s">
        <v>3301</v>
      </c>
      <c r="F1729" s="263" t="s">
        <v>3085</v>
      </c>
    </row>
    <row r="1730" spans="1:6">
      <c r="A1730" s="263">
        <v>1729</v>
      </c>
      <c r="B1730" s="263" t="s">
        <v>3311</v>
      </c>
      <c r="C1730" s="263" t="s">
        <v>3312</v>
      </c>
      <c r="D1730" s="263" t="s">
        <v>3313</v>
      </c>
      <c r="E1730" s="263" t="s">
        <v>3314</v>
      </c>
      <c r="F1730" s="263" t="s">
        <v>3085</v>
      </c>
    </row>
    <row r="1731" spans="1:6">
      <c r="A1731" s="263">
        <v>1730</v>
      </c>
      <c r="B1731" s="263" t="s">
        <v>3315</v>
      </c>
      <c r="C1731" s="263" t="s">
        <v>692</v>
      </c>
      <c r="D1731" s="263" t="s">
        <v>3313</v>
      </c>
      <c r="E1731" s="263" t="s">
        <v>3314</v>
      </c>
      <c r="F1731" s="263" t="s">
        <v>3085</v>
      </c>
    </row>
    <row r="1732" spans="1:6">
      <c r="A1732" s="263">
        <v>1731</v>
      </c>
      <c r="B1732" s="263" t="s">
        <v>3316</v>
      </c>
      <c r="C1732" s="263" t="s">
        <v>3317</v>
      </c>
      <c r="D1732" s="263" t="s">
        <v>3313</v>
      </c>
      <c r="E1732" s="263" t="s">
        <v>3314</v>
      </c>
      <c r="F1732" s="263" t="s">
        <v>3085</v>
      </c>
    </row>
    <row r="1733" spans="1:6">
      <c r="A1733" s="263">
        <v>1732</v>
      </c>
      <c r="B1733" s="263" t="s">
        <v>3318</v>
      </c>
      <c r="C1733" s="263" t="s">
        <v>1322</v>
      </c>
      <c r="D1733" s="263" t="s">
        <v>3313</v>
      </c>
      <c r="E1733" s="263" t="s">
        <v>3314</v>
      </c>
      <c r="F1733" s="263" t="s">
        <v>3085</v>
      </c>
    </row>
    <row r="1734" spans="1:6">
      <c r="A1734" s="263">
        <v>1733</v>
      </c>
      <c r="B1734" s="263" t="s">
        <v>3319</v>
      </c>
      <c r="C1734" s="263" t="s">
        <v>3320</v>
      </c>
      <c r="D1734" s="263" t="s">
        <v>3313</v>
      </c>
      <c r="E1734" s="263" t="s">
        <v>3314</v>
      </c>
      <c r="F1734" s="263" t="s">
        <v>3085</v>
      </c>
    </row>
    <row r="1735" spans="1:6">
      <c r="A1735" s="263">
        <v>1734</v>
      </c>
      <c r="B1735" s="263" t="s">
        <v>3321</v>
      </c>
      <c r="C1735" s="263" t="s">
        <v>3322</v>
      </c>
      <c r="D1735" s="263" t="s">
        <v>3313</v>
      </c>
      <c r="E1735" s="263" t="s">
        <v>3314</v>
      </c>
      <c r="F1735" s="263" t="s">
        <v>3085</v>
      </c>
    </row>
    <row r="1736" spans="1:6">
      <c r="A1736" s="263">
        <v>1735</v>
      </c>
      <c r="B1736" s="263" t="s">
        <v>3323</v>
      </c>
      <c r="C1736" s="263" t="s">
        <v>3324</v>
      </c>
      <c r="D1736" s="263" t="s">
        <v>3313</v>
      </c>
      <c r="E1736" s="263" t="s">
        <v>3314</v>
      </c>
      <c r="F1736" s="263" t="s">
        <v>3085</v>
      </c>
    </row>
    <row r="1737" spans="1:6">
      <c r="A1737" s="263">
        <v>1736</v>
      </c>
      <c r="B1737" s="263" t="s">
        <v>3325</v>
      </c>
      <c r="C1737" s="263" t="s">
        <v>3326</v>
      </c>
      <c r="D1737" s="263" t="s">
        <v>3313</v>
      </c>
      <c r="E1737" s="263" t="s">
        <v>3314</v>
      </c>
      <c r="F1737" s="263" t="s">
        <v>3085</v>
      </c>
    </row>
    <row r="1738" spans="1:6">
      <c r="A1738" s="263">
        <v>1737</v>
      </c>
      <c r="B1738" s="263" t="s">
        <v>3327</v>
      </c>
      <c r="C1738" s="263" t="s">
        <v>469</v>
      </c>
      <c r="D1738" s="263" t="s">
        <v>3328</v>
      </c>
      <c r="E1738" s="263" t="s">
        <v>3329</v>
      </c>
      <c r="F1738" s="263" t="s">
        <v>3085</v>
      </c>
    </row>
    <row r="1739" spans="1:6">
      <c r="A1739" s="263">
        <v>1738</v>
      </c>
      <c r="B1739" s="263" t="s">
        <v>3330</v>
      </c>
      <c r="C1739" s="263" t="s">
        <v>1788</v>
      </c>
      <c r="D1739" s="263" t="s">
        <v>3328</v>
      </c>
      <c r="E1739" s="263" t="s">
        <v>3329</v>
      </c>
      <c r="F1739" s="263" t="s">
        <v>3085</v>
      </c>
    </row>
    <row r="1740" spans="1:6">
      <c r="A1740" s="263">
        <v>1739</v>
      </c>
      <c r="B1740" s="263" t="s">
        <v>3331</v>
      </c>
      <c r="C1740" s="263" t="s">
        <v>3332</v>
      </c>
      <c r="D1740" s="263" t="s">
        <v>3328</v>
      </c>
      <c r="E1740" s="263" t="s">
        <v>3329</v>
      </c>
      <c r="F1740" s="263" t="s">
        <v>3085</v>
      </c>
    </row>
    <row r="1741" spans="1:6">
      <c r="A1741" s="263">
        <v>1740</v>
      </c>
      <c r="B1741" s="263" t="s">
        <v>3333</v>
      </c>
      <c r="C1741" s="263" t="s">
        <v>3334</v>
      </c>
      <c r="D1741" s="263" t="s">
        <v>3328</v>
      </c>
      <c r="E1741" s="263" t="s">
        <v>3329</v>
      </c>
      <c r="F1741" s="263" t="s">
        <v>3085</v>
      </c>
    </row>
    <row r="1742" spans="1:6">
      <c r="A1742" s="263">
        <v>1741</v>
      </c>
      <c r="B1742" s="263" t="s">
        <v>3335</v>
      </c>
      <c r="C1742" s="263" t="s">
        <v>3336</v>
      </c>
      <c r="D1742" s="263" t="s">
        <v>3328</v>
      </c>
      <c r="E1742" s="263" t="s">
        <v>3329</v>
      </c>
      <c r="F1742" s="263" t="s">
        <v>3085</v>
      </c>
    </row>
    <row r="1743" spans="1:6">
      <c r="A1743" s="263">
        <v>1742</v>
      </c>
      <c r="B1743" s="263" t="s">
        <v>3337</v>
      </c>
      <c r="C1743" s="263" t="s">
        <v>3338</v>
      </c>
      <c r="D1743" s="263" t="s">
        <v>3328</v>
      </c>
      <c r="E1743" s="263" t="s">
        <v>3329</v>
      </c>
      <c r="F1743" s="263" t="s">
        <v>3085</v>
      </c>
    </row>
    <row r="1744" spans="1:6">
      <c r="A1744" s="263">
        <v>1743</v>
      </c>
      <c r="B1744" s="263" t="s">
        <v>3339</v>
      </c>
      <c r="C1744" s="263" t="s">
        <v>3340</v>
      </c>
      <c r="D1744" s="263" t="s">
        <v>3328</v>
      </c>
      <c r="E1744" s="263" t="s">
        <v>3329</v>
      </c>
      <c r="F1744" s="263" t="s">
        <v>3085</v>
      </c>
    </row>
    <row r="1745" spans="1:6">
      <c r="A1745" s="263">
        <v>1744</v>
      </c>
      <c r="B1745" s="263" t="s">
        <v>3341</v>
      </c>
      <c r="C1745" s="263" t="s">
        <v>3342</v>
      </c>
      <c r="D1745" s="263" t="s">
        <v>3328</v>
      </c>
      <c r="E1745" s="263" t="s">
        <v>3329</v>
      </c>
      <c r="F1745" s="263" t="s">
        <v>3085</v>
      </c>
    </row>
    <row r="1746" spans="1:6">
      <c r="A1746" s="263">
        <v>1745</v>
      </c>
      <c r="B1746" s="263" t="s">
        <v>3343</v>
      </c>
      <c r="C1746" s="263" t="s">
        <v>3344</v>
      </c>
      <c r="D1746" s="263" t="s">
        <v>3328</v>
      </c>
      <c r="E1746" s="263" t="s">
        <v>3329</v>
      </c>
      <c r="F1746" s="263" t="s">
        <v>3085</v>
      </c>
    </row>
    <row r="1747" spans="1:6">
      <c r="A1747" s="263">
        <v>1746</v>
      </c>
      <c r="B1747" s="263" t="s">
        <v>3345</v>
      </c>
      <c r="C1747" s="263" t="s">
        <v>3346</v>
      </c>
      <c r="D1747" s="263" t="s">
        <v>3328</v>
      </c>
      <c r="E1747" s="263" t="s">
        <v>3329</v>
      </c>
      <c r="F1747" s="263" t="s">
        <v>3085</v>
      </c>
    </row>
    <row r="1748" spans="1:6">
      <c r="A1748" s="263">
        <v>1747</v>
      </c>
      <c r="B1748" s="263" t="s">
        <v>3347</v>
      </c>
      <c r="C1748" s="263" t="s">
        <v>3348</v>
      </c>
      <c r="D1748" s="263" t="s">
        <v>3328</v>
      </c>
      <c r="E1748" s="263" t="s">
        <v>3329</v>
      </c>
      <c r="F1748" s="263" t="s">
        <v>3085</v>
      </c>
    </row>
    <row r="1749" spans="1:6">
      <c r="A1749" s="263">
        <v>1748</v>
      </c>
      <c r="B1749" s="263" t="s">
        <v>3349</v>
      </c>
      <c r="C1749" s="263" t="s">
        <v>3350</v>
      </c>
      <c r="D1749" s="263" t="s">
        <v>3328</v>
      </c>
      <c r="E1749" s="263" t="s">
        <v>3329</v>
      </c>
      <c r="F1749" s="263" t="s">
        <v>3085</v>
      </c>
    </row>
    <row r="1750" spans="1:6">
      <c r="A1750" s="263">
        <v>1749</v>
      </c>
      <c r="B1750" s="263" t="s">
        <v>3351</v>
      </c>
      <c r="C1750" s="263" t="s">
        <v>3352</v>
      </c>
      <c r="D1750" s="263" t="s">
        <v>3353</v>
      </c>
      <c r="E1750" s="263" t="s">
        <v>3354</v>
      </c>
      <c r="F1750" s="263" t="s">
        <v>3085</v>
      </c>
    </row>
    <row r="1751" spans="1:6">
      <c r="A1751" s="263">
        <v>1750</v>
      </c>
      <c r="B1751" s="263" t="s">
        <v>3355</v>
      </c>
      <c r="C1751" s="263" t="s">
        <v>3356</v>
      </c>
      <c r="D1751" s="263" t="s">
        <v>3353</v>
      </c>
      <c r="E1751" s="263" t="s">
        <v>3354</v>
      </c>
      <c r="F1751" s="263" t="s">
        <v>3085</v>
      </c>
    </row>
    <row r="1752" spans="1:6">
      <c r="A1752" s="263">
        <v>1751</v>
      </c>
      <c r="B1752" s="263" t="s">
        <v>3357</v>
      </c>
      <c r="C1752" s="263" t="s">
        <v>3358</v>
      </c>
      <c r="D1752" s="263" t="s">
        <v>3353</v>
      </c>
      <c r="E1752" s="263" t="s">
        <v>3354</v>
      </c>
      <c r="F1752" s="263" t="s">
        <v>3085</v>
      </c>
    </row>
    <row r="1753" spans="1:6">
      <c r="A1753" s="263">
        <v>1752</v>
      </c>
      <c r="B1753" s="263" t="s">
        <v>3359</v>
      </c>
      <c r="C1753" s="263" t="s">
        <v>3360</v>
      </c>
      <c r="D1753" s="263" t="s">
        <v>3353</v>
      </c>
      <c r="E1753" s="263" t="s">
        <v>3354</v>
      </c>
      <c r="F1753" s="263" t="s">
        <v>3085</v>
      </c>
    </row>
    <row r="1754" spans="1:6">
      <c r="A1754" s="263">
        <v>1753</v>
      </c>
      <c r="B1754" s="263" t="s">
        <v>3361</v>
      </c>
      <c r="C1754" s="263" t="s">
        <v>56</v>
      </c>
      <c r="D1754" s="263" t="s">
        <v>3353</v>
      </c>
      <c r="E1754" s="263" t="s">
        <v>3354</v>
      </c>
      <c r="F1754" s="263" t="s">
        <v>3085</v>
      </c>
    </row>
    <row r="1755" spans="1:6">
      <c r="A1755" s="263">
        <v>1754</v>
      </c>
      <c r="B1755" s="263" t="s">
        <v>3362</v>
      </c>
      <c r="C1755" s="263" t="s">
        <v>3363</v>
      </c>
      <c r="D1755" s="263" t="s">
        <v>3353</v>
      </c>
      <c r="E1755" s="263" t="s">
        <v>3354</v>
      </c>
      <c r="F1755" s="263" t="s">
        <v>3085</v>
      </c>
    </row>
    <row r="1756" spans="1:6">
      <c r="A1756" s="263">
        <v>1755</v>
      </c>
      <c r="B1756" s="263" t="s">
        <v>3364</v>
      </c>
      <c r="C1756" s="263" t="s">
        <v>3365</v>
      </c>
      <c r="D1756" s="263" t="s">
        <v>3353</v>
      </c>
      <c r="E1756" s="263" t="s">
        <v>3354</v>
      </c>
      <c r="F1756" s="263" t="s">
        <v>3085</v>
      </c>
    </row>
    <row r="1757" spans="1:6">
      <c r="A1757" s="263">
        <v>1756</v>
      </c>
      <c r="B1757" s="263" t="s">
        <v>3366</v>
      </c>
      <c r="C1757" s="263" t="s">
        <v>3367</v>
      </c>
      <c r="D1757" s="263" t="s">
        <v>3368</v>
      </c>
      <c r="E1757" s="263" t="s">
        <v>3369</v>
      </c>
      <c r="F1757" s="263" t="s">
        <v>3370</v>
      </c>
    </row>
    <row r="1758" spans="1:6">
      <c r="A1758" s="263">
        <v>1757</v>
      </c>
      <c r="B1758" s="263" t="s">
        <v>3371</v>
      </c>
      <c r="C1758" s="263" t="s">
        <v>1116</v>
      </c>
      <c r="D1758" s="263" t="s">
        <v>3368</v>
      </c>
      <c r="E1758" s="263" t="s">
        <v>3369</v>
      </c>
      <c r="F1758" s="263" t="s">
        <v>3370</v>
      </c>
    </row>
    <row r="1759" spans="1:6">
      <c r="A1759" s="263">
        <v>1758</v>
      </c>
      <c r="B1759" s="263" t="s">
        <v>3372</v>
      </c>
      <c r="C1759" s="263" t="s">
        <v>3373</v>
      </c>
      <c r="D1759" s="263" t="s">
        <v>3368</v>
      </c>
      <c r="E1759" s="263" t="s">
        <v>3369</v>
      </c>
      <c r="F1759" s="263" t="s">
        <v>3370</v>
      </c>
    </row>
    <row r="1760" spans="1:6">
      <c r="A1760" s="263">
        <v>1759</v>
      </c>
      <c r="B1760" s="263" t="s">
        <v>3374</v>
      </c>
      <c r="C1760" s="263" t="s">
        <v>3375</v>
      </c>
      <c r="D1760" s="263" t="s">
        <v>3368</v>
      </c>
      <c r="E1760" s="263" t="s">
        <v>3369</v>
      </c>
      <c r="F1760" s="263" t="s">
        <v>3370</v>
      </c>
    </row>
    <row r="1761" spans="1:6">
      <c r="A1761" s="263">
        <v>1760</v>
      </c>
      <c r="B1761" s="263" t="s">
        <v>3376</v>
      </c>
      <c r="C1761" s="263" t="s">
        <v>3377</v>
      </c>
      <c r="D1761" s="263" t="s">
        <v>3368</v>
      </c>
      <c r="E1761" s="263" t="s">
        <v>3369</v>
      </c>
      <c r="F1761" s="263" t="s">
        <v>3370</v>
      </c>
    </row>
    <row r="1762" spans="1:6">
      <c r="A1762" s="263">
        <v>1761</v>
      </c>
      <c r="B1762" s="263" t="s">
        <v>3378</v>
      </c>
      <c r="C1762" s="263" t="s">
        <v>1061</v>
      </c>
      <c r="D1762" s="263" t="s">
        <v>3368</v>
      </c>
      <c r="E1762" s="263" t="s">
        <v>3369</v>
      </c>
      <c r="F1762" s="263" t="s">
        <v>3370</v>
      </c>
    </row>
    <row r="1763" spans="1:6">
      <c r="A1763" s="263">
        <v>1762</v>
      </c>
      <c r="B1763" s="263" t="s">
        <v>3379</v>
      </c>
      <c r="C1763" s="263" t="s">
        <v>3380</v>
      </c>
      <c r="D1763" s="263" t="s">
        <v>3368</v>
      </c>
      <c r="E1763" s="263" t="s">
        <v>3369</v>
      </c>
      <c r="F1763" s="263" t="s">
        <v>3370</v>
      </c>
    </row>
    <row r="1764" spans="1:6">
      <c r="A1764" s="263">
        <v>1763</v>
      </c>
      <c r="B1764" s="263" t="s">
        <v>3381</v>
      </c>
      <c r="C1764" s="263" t="s">
        <v>3382</v>
      </c>
      <c r="D1764" s="263" t="s">
        <v>3368</v>
      </c>
      <c r="E1764" s="263" t="s">
        <v>3369</v>
      </c>
      <c r="F1764" s="263" t="s">
        <v>3370</v>
      </c>
    </row>
    <row r="1765" spans="1:6">
      <c r="A1765" s="263">
        <v>1764</v>
      </c>
      <c r="B1765" s="263" t="s">
        <v>3383</v>
      </c>
      <c r="C1765" s="263" t="s">
        <v>3384</v>
      </c>
      <c r="D1765" s="263" t="s">
        <v>3368</v>
      </c>
      <c r="E1765" s="263" t="s">
        <v>3369</v>
      </c>
      <c r="F1765" s="263" t="s">
        <v>3370</v>
      </c>
    </row>
    <row r="1766" spans="1:6">
      <c r="A1766" s="263">
        <v>1765</v>
      </c>
      <c r="B1766" s="263" t="s">
        <v>3385</v>
      </c>
      <c r="C1766" s="263" t="s">
        <v>3386</v>
      </c>
      <c r="D1766" s="263" t="s">
        <v>3368</v>
      </c>
      <c r="E1766" s="263" t="s">
        <v>3369</v>
      </c>
      <c r="F1766" s="263" t="s">
        <v>3370</v>
      </c>
    </row>
    <row r="1767" spans="1:6">
      <c r="A1767" s="263">
        <v>1766</v>
      </c>
      <c r="B1767" s="263" t="s">
        <v>3387</v>
      </c>
      <c r="C1767" s="263" t="s">
        <v>164</v>
      </c>
      <c r="D1767" s="263" t="s">
        <v>3368</v>
      </c>
      <c r="E1767" s="263" t="s">
        <v>3369</v>
      </c>
      <c r="F1767" s="263" t="s">
        <v>3370</v>
      </c>
    </row>
    <row r="1768" spans="1:6">
      <c r="A1768" s="263">
        <v>1767</v>
      </c>
      <c r="B1768" s="263" t="s">
        <v>3388</v>
      </c>
      <c r="C1768" s="263" t="s">
        <v>3011</v>
      </c>
      <c r="D1768" s="263" t="s">
        <v>3368</v>
      </c>
      <c r="E1768" s="263" t="s">
        <v>3369</v>
      </c>
      <c r="F1768" s="263" t="s">
        <v>3370</v>
      </c>
    </row>
    <row r="1769" spans="1:6">
      <c r="A1769" s="263">
        <v>1768</v>
      </c>
      <c r="B1769" s="263" t="s">
        <v>3389</v>
      </c>
      <c r="C1769" s="263" t="s">
        <v>1737</v>
      </c>
      <c r="D1769" s="263" t="s">
        <v>3368</v>
      </c>
      <c r="E1769" s="263" t="s">
        <v>3369</v>
      </c>
      <c r="F1769" s="263" t="s">
        <v>3370</v>
      </c>
    </row>
    <row r="1770" spans="1:6">
      <c r="A1770" s="263">
        <v>1769</v>
      </c>
      <c r="B1770" s="263" t="s">
        <v>3390</v>
      </c>
      <c r="C1770" s="263" t="s">
        <v>863</v>
      </c>
      <c r="D1770" s="263" t="s">
        <v>3368</v>
      </c>
      <c r="E1770" s="263" t="s">
        <v>3369</v>
      </c>
      <c r="F1770" s="263" t="s">
        <v>3370</v>
      </c>
    </row>
    <row r="1771" spans="1:6">
      <c r="A1771" s="263">
        <v>1770</v>
      </c>
      <c r="B1771" s="263" t="s">
        <v>3391</v>
      </c>
      <c r="C1771" s="263" t="s">
        <v>3392</v>
      </c>
      <c r="D1771" s="263" t="s">
        <v>3368</v>
      </c>
      <c r="E1771" s="263" t="s">
        <v>3369</v>
      </c>
      <c r="F1771" s="263" t="s">
        <v>3370</v>
      </c>
    </row>
    <row r="1772" spans="1:6">
      <c r="A1772" s="263">
        <v>1771</v>
      </c>
      <c r="B1772" s="263" t="s">
        <v>3393</v>
      </c>
      <c r="C1772" s="263" t="s">
        <v>3394</v>
      </c>
      <c r="D1772" s="263" t="s">
        <v>3395</v>
      </c>
      <c r="E1772" s="263" t="s">
        <v>3396</v>
      </c>
      <c r="F1772" s="263" t="s">
        <v>3370</v>
      </c>
    </row>
    <row r="1773" spans="1:6">
      <c r="A1773" s="263">
        <v>1772</v>
      </c>
      <c r="B1773" s="263" t="s">
        <v>3397</v>
      </c>
      <c r="C1773" s="263" t="s">
        <v>326</v>
      </c>
      <c r="D1773" s="263" t="s">
        <v>3395</v>
      </c>
      <c r="E1773" s="263" t="s">
        <v>3396</v>
      </c>
      <c r="F1773" s="263" t="s">
        <v>3370</v>
      </c>
    </row>
    <row r="1774" spans="1:6">
      <c r="A1774" s="263">
        <v>1773</v>
      </c>
      <c r="B1774" s="263" t="s">
        <v>3398</v>
      </c>
      <c r="C1774" s="263" t="s">
        <v>2252</v>
      </c>
      <c r="D1774" s="263" t="s">
        <v>3395</v>
      </c>
      <c r="E1774" s="263" t="s">
        <v>3396</v>
      </c>
      <c r="F1774" s="263" t="s">
        <v>3370</v>
      </c>
    </row>
    <row r="1775" spans="1:6">
      <c r="A1775" s="263">
        <v>1774</v>
      </c>
      <c r="B1775" s="263" t="s">
        <v>3399</v>
      </c>
      <c r="C1775" s="263" t="s">
        <v>3400</v>
      </c>
      <c r="D1775" s="263" t="s">
        <v>3395</v>
      </c>
      <c r="E1775" s="263" t="s">
        <v>3396</v>
      </c>
      <c r="F1775" s="263" t="s">
        <v>3370</v>
      </c>
    </row>
    <row r="1776" spans="1:6">
      <c r="A1776" s="263">
        <v>1775</v>
      </c>
      <c r="B1776" s="263" t="s">
        <v>3401</v>
      </c>
      <c r="C1776" s="263" t="s">
        <v>3402</v>
      </c>
      <c r="D1776" s="263" t="s">
        <v>3395</v>
      </c>
      <c r="E1776" s="263" t="s">
        <v>3396</v>
      </c>
      <c r="F1776" s="263" t="s">
        <v>3370</v>
      </c>
    </row>
    <row r="1777" spans="1:6">
      <c r="A1777" s="263">
        <v>1776</v>
      </c>
      <c r="B1777" s="263" t="s">
        <v>3403</v>
      </c>
      <c r="C1777" s="263" t="s">
        <v>3404</v>
      </c>
      <c r="D1777" s="263" t="s">
        <v>3395</v>
      </c>
      <c r="E1777" s="263" t="s">
        <v>3396</v>
      </c>
      <c r="F1777" s="263" t="s">
        <v>3370</v>
      </c>
    </row>
    <row r="1778" spans="1:6">
      <c r="A1778" s="263">
        <v>1777</v>
      </c>
      <c r="B1778" s="263" t="s">
        <v>3405</v>
      </c>
      <c r="C1778" s="263" t="s">
        <v>3406</v>
      </c>
      <c r="D1778" s="263" t="s">
        <v>3395</v>
      </c>
      <c r="E1778" s="263" t="s">
        <v>3396</v>
      </c>
      <c r="F1778" s="263" t="s">
        <v>3370</v>
      </c>
    </row>
    <row r="1779" spans="1:6">
      <c r="A1779" s="263">
        <v>1778</v>
      </c>
      <c r="B1779" s="263" t="s">
        <v>3407</v>
      </c>
      <c r="C1779" s="263" t="s">
        <v>3408</v>
      </c>
      <c r="D1779" s="263" t="s">
        <v>3395</v>
      </c>
      <c r="E1779" s="263" t="s">
        <v>3396</v>
      </c>
      <c r="F1779" s="263" t="s">
        <v>3370</v>
      </c>
    </row>
    <row r="1780" spans="1:6">
      <c r="A1780" s="263">
        <v>1779</v>
      </c>
      <c r="B1780" s="263" t="s">
        <v>3409</v>
      </c>
      <c r="C1780" s="263" t="s">
        <v>3410</v>
      </c>
      <c r="D1780" s="263" t="s">
        <v>3395</v>
      </c>
      <c r="E1780" s="263" t="s">
        <v>3396</v>
      </c>
      <c r="F1780" s="263" t="s">
        <v>3370</v>
      </c>
    </row>
    <row r="1781" spans="1:6">
      <c r="A1781" s="263">
        <v>1780</v>
      </c>
      <c r="B1781" s="263" t="s">
        <v>3411</v>
      </c>
      <c r="C1781" s="263" t="s">
        <v>3412</v>
      </c>
      <c r="D1781" s="263" t="s">
        <v>3395</v>
      </c>
      <c r="E1781" s="263" t="s">
        <v>3396</v>
      </c>
      <c r="F1781" s="263" t="s">
        <v>3370</v>
      </c>
    </row>
    <row r="1782" spans="1:6">
      <c r="A1782" s="263">
        <v>1781</v>
      </c>
      <c r="B1782" s="263" t="s">
        <v>3413</v>
      </c>
      <c r="C1782" s="263" t="s">
        <v>3414</v>
      </c>
      <c r="D1782" s="263" t="s">
        <v>3395</v>
      </c>
      <c r="E1782" s="263" t="s">
        <v>3396</v>
      </c>
      <c r="F1782" s="263" t="s">
        <v>3370</v>
      </c>
    </row>
    <row r="1783" spans="1:6">
      <c r="A1783" s="263">
        <v>1782</v>
      </c>
      <c r="B1783" s="263" t="s">
        <v>3415</v>
      </c>
      <c r="C1783" s="263" t="s">
        <v>3416</v>
      </c>
      <c r="D1783" s="263" t="s">
        <v>3395</v>
      </c>
      <c r="E1783" s="263" t="s">
        <v>3396</v>
      </c>
      <c r="F1783" s="263" t="s">
        <v>3370</v>
      </c>
    </row>
    <row r="1784" spans="1:6">
      <c r="A1784" s="263">
        <v>1783</v>
      </c>
      <c r="B1784" s="263" t="s">
        <v>3417</v>
      </c>
      <c r="C1784" s="263" t="s">
        <v>3418</v>
      </c>
      <c r="D1784" s="263" t="s">
        <v>3395</v>
      </c>
      <c r="E1784" s="263" t="s">
        <v>3396</v>
      </c>
      <c r="F1784" s="263" t="s">
        <v>3370</v>
      </c>
    </row>
    <row r="1785" spans="1:6">
      <c r="A1785" s="263">
        <v>1784</v>
      </c>
      <c r="B1785" s="263" t="s">
        <v>3419</v>
      </c>
      <c r="C1785" s="263" t="s">
        <v>3420</v>
      </c>
      <c r="D1785" s="263" t="s">
        <v>3395</v>
      </c>
      <c r="E1785" s="263" t="s">
        <v>3396</v>
      </c>
      <c r="F1785" s="263" t="s">
        <v>3370</v>
      </c>
    </row>
    <row r="1786" spans="1:6">
      <c r="A1786" s="263">
        <v>1785</v>
      </c>
      <c r="B1786" s="263" t="s">
        <v>3421</v>
      </c>
      <c r="C1786" s="263" t="s">
        <v>3422</v>
      </c>
      <c r="D1786" s="263" t="s">
        <v>3395</v>
      </c>
      <c r="E1786" s="263" t="s">
        <v>3396</v>
      </c>
      <c r="F1786" s="263" t="s">
        <v>3370</v>
      </c>
    </row>
    <row r="1787" spans="1:6">
      <c r="A1787" s="263">
        <v>1786</v>
      </c>
      <c r="B1787" s="263" t="s">
        <v>3423</v>
      </c>
      <c r="C1787" s="263" t="s">
        <v>3424</v>
      </c>
      <c r="D1787" s="263" t="s">
        <v>3395</v>
      </c>
      <c r="E1787" s="263" t="s">
        <v>3396</v>
      </c>
      <c r="F1787" s="263" t="s">
        <v>3370</v>
      </c>
    </row>
    <row r="1788" spans="1:6">
      <c r="A1788" s="263">
        <v>1787</v>
      </c>
      <c r="B1788" s="263" t="s">
        <v>3425</v>
      </c>
      <c r="C1788" s="263" t="s">
        <v>2525</v>
      </c>
      <c r="D1788" s="263" t="s">
        <v>3395</v>
      </c>
      <c r="E1788" s="263" t="s">
        <v>3396</v>
      </c>
      <c r="F1788" s="263" t="s">
        <v>3370</v>
      </c>
    </row>
    <row r="1789" spans="1:6">
      <c r="A1789" s="263">
        <v>1788</v>
      </c>
      <c r="B1789" s="263" t="s">
        <v>3426</v>
      </c>
      <c r="C1789" s="263" t="s">
        <v>3427</v>
      </c>
      <c r="D1789" s="263" t="s">
        <v>3428</v>
      </c>
      <c r="E1789" s="263" t="s">
        <v>3429</v>
      </c>
      <c r="F1789" s="263" t="s">
        <v>3370</v>
      </c>
    </row>
    <row r="1790" spans="1:6">
      <c r="A1790" s="263">
        <v>1789</v>
      </c>
      <c r="B1790" s="263" t="s">
        <v>3430</v>
      </c>
      <c r="C1790" s="263" t="s">
        <v>3431</v>
      </c>
      <c r="D1790" s="263" t="s">
        <v>3428</v>
      </c>
      <c r="E1790" s="263" t="s">
        <v>3429</v>
      </c>
      <c r="F1790" s="263" t="s">
        <v>3370</v>
      </c>
    </row>
    <row r="1791" spans="1:6">
      <c r="A1791" s="263">
        <v>1790</v>
      </c>
      <c r="B1791" s="263" t="s">
        <v>3432</v>
      </c>
      <c r="C1791" s="263" t="s">
        <v>144</v>
      </c>
      <c r="D1791" s="263" t="s">
        <v>3428</v>
      </c>
      <c r="E1791" s="263" t="s">
        <v>3429</v>
      </c>
      <c r="F1791" s="263" t="s">
        <v>3370</v>
      </c>
    </row>
    <row r="1792" spans="1:6">
      <c r="A1792" s="263">
        <v>1791</v>
      </c>
      <c r="B1792" s="263" t="s">
        <v>3433</v>
      </c>
      <c r="C1792" s="263" t="s">
        <v>3434</v>
      </c>
      <c r="D1792" s="263" t="s">
        <v>3428</v>
      </c>
      <c r="E1792" s="263" t="s">
        <v>3429</v>
      </c>
      <c r="F1792" s="263" t="s">
        <v>3370</v>
      </c>
    </row>
    <row r="1793" spans="1:6">
      <c r="A1793" s="263">
        <v>1792</v>
      </c>
      <c r="B1793" s="263" t="s">
        <v>3435</v>
      </c>
      <c r="C1793" s="263" t="s">
        <v>3436</v>
      </c>
      <c r="D1793" s="263" t="s">
        <v>3428</v>
      </c>
      <c r="E1793" s="263" t="s">
        <v>3429</v>
      </c>
      <c r="F1793" s="263" t="s">
        <v>3370</v>
      </c>
    </row>
    <row r="1794" spans="1:6">
      <c r="A1794" s="263">
        <v>1793</v>
      </c>
      <c r="B1794" s="263" t="s">
        <v>3437</v>
      </c>
      <c r="C1794" s="263" t="s">
        <v>3438</v>
      </c>
      <c r="D1794" s="263" t="s">
        <v>3428</v>
      </c>
      <c r="E1794" s="263" t="s">
        <v>3429</v>
      </c>
      <c r="F1794" s="263" t="s">
        <v>3370</v>
      </c>
    </row>
    <row r="1795" spans="1:6">
      <c r="A1795" s="263">
        <v>1794</v>
      </c>
      <c r="B1795" s="263" t="s">
        <v>3439</v>
      </c>
      <c r="C1795" s="263" t="s">
        <v>3440</v>
      </c>
      <c r="D1795" s="263" t="s">
        <v>3428</v>
      </c>
      <c r="E1795" s="263" t="s">
        <v>3429</v>
      </c>
      <c r="F1795" s="263" t="s">
        <v>3370</v>
      </c>
    </row>
    <row r="1796" spans="1:6">
      <c r="A1796" s="263">
        <v>1795</v>
      </c>
      <c r="B1796" s="263" t="s">
        <v>3441</v>
      </c>
      <c r="C1796" s="263" t="s">
        <v>3442</v>
      </c>
      <c r="D1796" s="263" t="s">
        <v>3428</v>
      </c>
      <c r="E1796" s="263" t="s">
        <v>3429</v>
      </c>
      <c r="F1796" s="263" t="s">
        <v>3370</v>
      </c>
    </row>
    <row r="1797" spans="1:6">
      <c r="A1797" s="263">
        <v>1796</v>
      </c>
      <c r="B1797" s="263" t="s">
        <v>3443</v>
      </c>
      <c r="C1797" s="263" t="s">
        <v>954</v>
      </c>
      <c r="D1797" s="263" t="s">
        <v>3428</v>
      </c>
      <c r="E1797" s="263" t="s">
        <v>3429</v>
      </c>
      <c r="F1797" s="263" t="s">
        <v>3370</v>
      </c>
    </row>
    <row r="1798" spans="1:6">
      <c r="A1798" s="263">
        <v>1797</v>
      </c>
      <c r="B1798" s="263" t="s">
        <v>3444</v>
      </c>
      <c r="C1798" s="263" t="s">
        <v>3445</v>
      </c>
      <c r="D1798" s="263" t="s">
        <v>3428</v>
      </c>
      <c r="E1798" s="263" t="s">
        <v>3429</v>
      </c>
      <c r="F1798" s="263" t="s">
        <v>3370</v>
      </c>
    </row>
    <row r="1799" spans="1:6">
      <c r="A1799" s="263">
        <v>1798</v>
      </c>
      <c r="B1799" s="263" t="s">
        <v>3446</v>
      </c>
      <c r="C1799" s="263" t="s">
        <v>933</v>
      </c>
      <c r="D1799" s="263" t="s">
        <v>3428</v>
      </c>
      <c r="E1799" s="263" t="s">
        <v>3429</v>
      </c>
      <c r="F1799" s="263" t="s">
        <v>3370</v>
      </c>
    </row>
    <row r="1800" spans="1:6">
      <c r="A1800" s="263">
        <v>1799</v>
      </c>
      <c r="B1800" s="263" t="s">
        <v>3447</v>
      </c>
      <c r="C1800" s="263" t="s">
        <v>3448</v>
      </c>
      <c r="D1800" s="263" t="s">
        <v>3428</v>
      </c>
      <c r="E1800" s="263" t="s">
        <v>3429</v>
      </c>
      <c r="F1800" s="263" t="s">
        <v>3370</v>
      </c>
    </row>
    <row r="1801" spans="1:6">
      <c r="A1801" s="263">
        <v>1800</v>
      </c>
      <c r="B1801" s="263" t="s">
        <v>3449</v>
      </c>
      <c r="C1801" s="263" t="s">
        <v>3450</v>
      </c>
      <c r="D1801" s="263" t="s">
        <v>3428</v>
      </c>
      <c r="E1801" s="263" t="s">
        <v>3429</v>
      </c>
      <c r="F1801" s="263" t="s">
        <v>3370</v>
      </c>
    </row>
    <row r="1802" spans="1:6">
      <c r="A1802" s="263">
        <v>1801</v>
      </c>
      <c r="B1802" s="263" t="s">
        <v>3451</v>
      </c>
      <c r="C1802" s="263" t="s">
        <v>1512</v>
      </c>
      <c r="D1802" s="263" t="s">
        <v>3428</v>
      </c>
      <c r="E1802" s="263" t="s">
        <v>3429</v>
      </c>
      <c r="F1802" s="263" t="s">
        <v>3370</v>
      </c>
    </row>
    <row r="1803" spans="1:6">
      <c r="A1803" s="263">
        <v>1802</v>
      </c>
      <c r="B1803" s="263" t="s">
        <v>3452</v>
      </c>
      <c r="C1803" s="263" t="s">
        <v>3453</v>
      </c>
      <c r="D1803" s="263" t="s">
        <v>3428</v>
      </c>
      <c r="E1803" s="263" t="s">
        <v>3429</v>
      </c>
      <c r="F1803" s="263" t="s">
        <v>3370</v>
      </c>
    </row>
    <row r="1804" spans="1:6">
      <c r="A1804" s="263">
        <v>1803</v>
      </c>
      <c r="B1804" s="263" t="s">
        <v>3454</v>
      </c>
      <c r="C1804" s="263" t="s">
        <v>3455</v>
      </c>
      <c r="D1804" s="263" t="s">
        <v>3428</v>
      </c>
      <c r="E1804" s="263" t="s">
        <v>3429</v>
      </c>
      <c r="F1804" s="263" t="s">
        <v>3370</v>
      </c>
    </row>
    <row r="1805" spans="1:6">
      <c r="A1805" s="263">
        <v>1804</v>
      </c>
      <c r="B1805" s="263" t="s">
        <v>3456</v>
      </c>
      <c r="C1805" s="263" t="s">
        <v>3457</v>
      </c>
      <c r="D1805" s="263" t="s">
        <v>3428</v>
      </c>
      <c r="E1805" s="263" t="s">
        <v>3429</v>
      </c>
      <c r="F1805" s="263" t="s">
        <v>3370</v>
      </c>
    </row>
    <row r="1806" spans="1:6">
      <c r="A1806" s="263">
        <v>1805</v>
      </c>
      <c r="B1806" s="263" t="s">
        <v>3458</v>
      </c>
      <c r="C1806" s="263" t="s">
        <v>3459</v>
      </c>
      <c r="D1806" s="263" t="s">
        <v>3460</v>
      </c>
      <c r="E1806" s="263" t="s">
        <v>68</v>
      </c>
      <c r="F1806" s="263" t="s">
        <v>3370</v>
      </c>
    </row>
    <row r="1807" spans="1:6">
      <c r="A1807" s="263">
        <v>1806</v>
      </c>
      <c r="B1807" s="263" t="s">
        <v>3461</v>
      </c>
      <c r="C1807" s="263" t="s">
        <v>3462</v>
      </c>
      <c r="D1807" s="263" t="s">
        <v>3460</v>
      </c>
      <c r="E1807" s="263" t="s">
        <v>68</v>
      </c>
      <c r="F1807" s="263" t="s">
        <v>3370</v>
      </c>
    </row>
    <row r="1808" spans="1:6">
      <c r="A1808" s="263">
        <v>1807</v>
      </c>
      <c r="B1808" s="263" t="s">
        <v>3463</v>
      </c>
      <c r="C1808" s="263" t="s">
        <v>3464</v>
      </c>
      <c r="D1808" s="263" t="s">
        <v>3460</v>
      </c>
      <c r="E1808" s="263" t="s">
        <v>68</v>
      </c>
      <c r="F1808" s="263" t="s">
        <v>3370</v>
      </c>
    </row>
    <row r="1809" spans="1:6">
      <c r="A1809" s="263">
        <v>1808</v>
      </c>
      <c r="B1809" s="263" t="s">
        <v>3465</v>
      </c>
      <c r="C1809" s="263" t="s">
        <v>3466</v>
      </c>
      <c r="D1809" s="263" t="s">
        <v>3460</v>
      </c>
      <c r="E1809" s="263" t="s">
        <v>68</v>
      </c>
      <c r="F1809" s="263" t="s">
        <v>3370</v>
      </c>
    </row>
    <row r="1810" spans="1:6">
      <c r="A1810" s="263">
        <v>1809</v>
      </c>
      <c r="B1810" s="263" t="s">
        <v>3467</v>
      </c>
      <c r="C1810" s="263" t="s">
        <v>3468</v>
      </c>
      <c r="D1810" s="263" t="s">
        <v>3460</v>
      </c>
      <c r="E1810" s="263" t="s">
        <v>68</v>
      </c>
      <c r="F1810" s="263" t="s">
        <v>3370</v>
      </c>
    </row>
    <row r="1811" spans="1:6">
      <c r="A1811" s="263">
        <v>1810</v>
      </c>
      <c r="B1811" s="263" t="s">
        <v>3469</v>
      </c>
      <c r="C1811" s="263" t="s">
        <v>1375</v>
      </c>
      <c r="D1811" s="263" t="s">
        <v>3460</v>
      </c>
      <c r="E1811" s="263" t="s">
        <v>68</v>
      </c>
      <c r="F1811" s="263" t="s">
        <v>3370</v>
      </c>
    </row>
    <row r="1812" spans="1:6">
      <c r="A1812" s="263">
        <v>1811</v>
      </c>
      <c r="B1812" s="263" t="s">
        <v>3470</v>
      </c>
      <c r="C1812" s="263" t="s">
        <v>3471</v>
      </c>
      <c r="D1812" s="263" t="s">
        <v>3460</v>
      </c>
      <c r="E1812" s="263" t="s">
        <v>68</v>
      </c>
      <c r="F1812" s="263" t="s">
        <v>3370</v>
      </c>
    </row>
    <row r="1813" spans="1:6">
      <c r="A1813" s="263">
        <v>1812</v>
      </c>
      <c r="B1813" s="263" t="s">
        <v>3472</v>
      </c>
      <c r="C1813" s="263" t="s">
        <v>3473</v>
      </c>
      <c r="D1813" s="263" t="s">
        <v>3460</v>
      </c>
      <c r="E1813" s="263" t="s">
        <v>68</v>
      </c>
      <c r="F1813" s="263" t="s">
        <v>3370</v>
      </c>
    </row>
    <row r="1814" spans="1:6">
      <c r="A1814" s="263">
        <v>1813</v>
      </c>
      <c r="B1814" s="263" t="s">
        <v>3474</v>
      </c>
      <c r="C1814" s="263" t="s">
        <v>3475</v>
      </c>
      <c r="D1814" s="263" t="s">
        <v>3460</v>
      </c>
      <c r="E1814" s="263" t="s">
        <v>68</v>
      </c>
      <c r="F1814" s="263" t="s">
        <v>3370</v>
      </c>
    </row>
    <row r="1815" spans="1:6">
      <c r="A1815" s="263">
        <v>1814</v>
      </c>
      <c r="B1815" s="263" t="s">
        <v>3476</v>
      </c>
      <c r="C1815" s="263" t="s">
        <v>3477</v>
      </c>
      <c r="D1815" s="263" t="s">
        <v>3460</v>
      </c>
      <c r="E1815" s="263" t="s">
        <v>68</v>
      </c>
      <c r="F1815" s="263" t="s">
        <v>3370</v>
      </c>
    </row>
    <row r="1816" spans="1:6">
      <c r="A1816" s="263">
        <v>1815</v>
      </c>
      <c r="B1816" s="263" t="s">
        <v>3478</v>
      </c>
      <c r="C1816" s="263" t="s">
        <v>3479</v>
      </c>
      <c r="D1816" s="263" t="s">
        <v>3460</v>
      </c>
      <c r="E1816" s="263" t="s">
        <v>68</v>
      </c>
      <c r="F1816" s="263" t="s">
        <v>3370</v>
      </c>
    </row>
    <row r="1817" spans="1:6">
      <c r="A1817" s="263">
        <v>1816</v>
      </c>
      <c r="B1817" s="263" t="s">
        <v>3480</v>
      </c>
      <c r="C1817" s="263" t="s">
        <v>3481</v>
      </c>
      <c r="D1817" s="263" t="s">
        <v>3460</v>
      </c>
      <c r="E1817" s="263" t="s">
        <v>68</v>
      </c>
      <c r="F1817" s="263" t="s">
        <v>3370</v>
      </c>
    </row>
    <row r="1818" spans="1:6">
      <c r="A1818" s="263">
        <v>1817</v>
      </c>
      <c r="B1818" s="263" t="s">
        <v>3482</v>
      </c>
      <c r="C1818" s="263" t="s">
        <v>3483</v>
      </c>
      <c r="D1818" s="263" t="s">
        <v>3460</v>
      </c>
      <c r="E1818" s="263" t="s">
        <v>68</v>
      </c>
      <c r="F1818" s="263" t="s">
        <v>3370</v>
      </c>
    </row>
    <row r="1819" spans="1:6">
      <c r="A1819" s="263">
        <v>1818</v>
      </c>
      <c r="B1819" s="263" t="s">
        <v>3484</v>
      </c>
      <c r="C1819" s="263" t="s">
        <v>3485</v>
      </c>
      <c r="D1819" s="263" t="s">
        <v>3486</v>
      </c>
      <c r="E1819" s="263" t="s">
        <v>3487</v>
      </c>
      <c r="F1819" s="263" t="s">
        <v>3370</v>
      </c>
    </row>
    <row r="1820" spans="1:6">
      <c r="A1820" s="263">
        <v>1819</v>
      </c>
      <c r="B1820" s="263" t="s">
        <v>3488</v>
      </c>
      <c r="C1820" s="263" t="s">
        <v>3489</v>
      </c>
      <c r="D1820" s="263" t="s">
        <v>3486</v>
      </c>
      <c r="E1820" s="263" t="s">
        <v>3487</v>
      </c>
      <c r="F1820" s="263" t="s">
        <v>3370</v>
      </c>
    </row>
    <row r="1821" spans="1:6">
      <c r="A1821" s="263">
        <v>1820</v>
      </c>
      <c r="B1821" s="263" t="s">
        <v>3490</v>
      </c>
      <c r="C1821" s="263" t="s">
        <v>3491</v>
      </c>
      <c r="D1821" s="263" t="s">
        <v>3486</v>
      </c>
      <c r="E1821" s="263" t="s">
        <v>3487</v>
      </c>
      <c r="F1821" s="263" t="s">
        <v>3370</v>
      </c>
    </row>
    <row r="1822" spans="1:6">
      <c r="A1822" s="263">
        <v>1821</v>
      </c>
      <c r="B1822" s="263" t="s">
        <v>3492</v>
      </c>
      <c r="C1822" s="263" t="s">
        <v>3493</v>
      </c>
      <c r="D1822" s="263" t="s">
        <v>3486</v>
      </c>
      <c r="E1822" s="263" t="s">
        <v>3487</v>
      </c>
      <c r="F1822" s="263" t="s">
        <v>3370</v>
      </c>
    </row>
    <row r="1823" spans="1:6">
      <c r="A1823" s="263">
        <v>1822</v>
      </c>
      <c r="B1823" s="263" t="s">
        <v>3494</v>
      </c>
      <c r="C1823" s="263" t="s">
        <v>74</v>
      </c>
      <c r="D1823" s="263" t="s">
        <v>3486</v>
      </c>
      <c r="E1823" s="263" t="s">
        <v>3487</v>
      </c>
      <c r="F1823" s="263" t="s">
        <v>3370</v>
      </c>
    </row>
    <row r="1824" spans="1:6">
      <c r="A1824" s="263">
        <v>1823</v>
      </c>
      <c r="B1824" s="263" t="s">
        <v>3495</v>
      </c>
      <c r="C1824" s="263" t="s">
        <v>224</v>
      </c>
      <c r="D1824" s="263" t="s">
        <v>3486</v>
      </c>
      <c r="E1824" s="263" t="s">
        <v>3487</v>
      </c>
      <c r="F1824" s="263" t="s">
        <v>3370</v>
      </c>
    </row>
    <row r="1825" spans="1:6">
      <c r="A1825" s="263">
        <v>1824</v>
      </c>
      <c r="B1825" s="263" t="s">
        <v>3496</v>
      </c>
      <c r="C1825" s="263" t="s">
        <v>353</v>
      </c>
      <c r="D1825" s="263" t="s">
        <v>3486</v>
      </c>
      <c r="E1825" s="263" t="s">
        <v>3487</v>
      </c>
      <c r="F1825" s="263" t="s">
        <v>3370</v>
      </c>
    </row>
    <row r="1826" spans="1:6">
      <c r="A1826" s="263">
        <v>1825</v>
      </c>
      <c r="B1826" s="263" t="s">
        <v>3497</v>
      </c>
      <c r="C1826" s="263" t="s">
        <v>3498</v>
      </c>
      <c r="D1826" s="263" t="s">
        <v>3499</v>
      </c>
      <c r="E1826" s="263" t="s">
        <v>3500</v>
      </c>
      <c r="F1826" s="263" t="s">
        <v>3370</v>
      </c>
    </row>
    <row r="1827" spans="1:6">
      <c r="A1827" s="263">
        <v>1826</v>
      </c>
      <c r="B1827" s="263" t="s">
        <v>3501</v>
      </c>
      <c r="C1827" s="263" t="s">
        <v>3502</v>
      </c>
      <c r="D1827" s="263" t="s">
        <v>3499</v>
      </c>
      <c r="E1827" s="263" t="s">
        <v>3500</v>
      </c>
      <c r="F1827" s="263" t="s">
        <v>3370</v>
      </c>
    </row>
    <row r="1828" spans="1:6">
      <c r="A1828" s="263">
        <v>1827</v>
      </c>
      <c r="B1828" s="263" t="s">
        <v>3503</v>
      </c>
      <c r="C1828" s="263" t="s">
        <v>2351</v>
      </c>
      <c r="D1828" s="263" t="s">
        <v>3499</v>
      </c>
      <c r="E1828" s="263" t="s">
        <v>3500</v>
      </c>
      <c r="F1828" s="263" t="s">
        <v>3370</v>
      </c>
    </row>
    <row r="1829" spans="1:6">
      <c r="A1829" s="263">
        <v>1828</v>
      </c>
      <c r="B1829" s="263" t="s">
        <v>3504</v>
      </c>
      <c r="C1829" s="263" t="s">
        <v>3505</v>
      </c>
      <c r="D1829" s="263" t="s">
        <v>3499</v>
      </c>
      <c r="E1829" s="263" t="s">
        <v>3500</v>
      </c>
      <c r="F1829" s="263" t="s">
        <v>3370</v>
      </c>
    </row>
    <row r="1830" spans="1:6">
      <c r="A1830" s="263">
        <v>1829</v>
      </c>
      <c r="B1830" s="263" t="s">
        <v>3506</v>
      </c>
      <c r="C1830" s="263" t="s">
        <v>3507</v>
      </c>
      <c r="D1830" s="263" t="s">
        <v>3499</v>
      </c>
      <c r="E1830" s="263" t="s">
        <v>3500</v>
      </c>
      <c r="F1830" s="263" t="s">
        <v>3370</v>
      </c>
    </row>
    <row r="1831" spans="1:6">
      <c r="A1831" s="263">
        <v>1830</v>
      </c>
      <c r="B1831" s="263" t="s">
        <v>3508</v>
      </c>
      <c r="C1831" s="263" t="s">
        <v>3175</v>
      </c>
      <c r="D1831" s="263" t="s">
        <v>3499</v>
      </c>
      <c r="E1831" s="263" t="s">
        <v>3500</v>
      </c>
      <c r="F1831" s="263" t="s">
        <v>3370</v>
      </c>
    </row>
    <row r="1832" spans="1:6">
      <c r="A1832" s="263">
        <v>1831</v>
      </c>
      <c r="B1832" s="263" t="s">
        <v>3509</v>
      </c>
      <c r="C1832" s="263" t="s">
        <v>3510</v>
      </c>
      <c r="D1832" s="263" t="s">
        <v>3499</v>
      </c>
      <c r="E1832" s="263" t="s">
        <v>3500</v>
      </c>
      <c r="F1832" s="263" t="s">
        <v>3370</v>
      </c>
    </row>
    <row r="1833" spans="1:6">
      <c r="A1833" s="263">
        <v>1832</v>
      </c>
      <c r="B1833" s="263" t="s">
        <v>3511</v>
      </c>
      <c r="C1833" s="263" t="s">
        <v>3512</v>
      </c>
      <c r="D1833" s="263" t="s">
        <v>3499</v>
      </c>
      <c r="E1833" s="263" t="s">
        <v>3500</v>
      </c>
      <c r="F1833" s="263" t="s">
        <v>3370</v>
      </c>
    </row>
    <row r="1834" spans="1:6">
      <c r="A1834" s="263">
        <v>1833</v>
      </c>
      <c r="B1834" s="263" t="s">
        <v>3513</v>
      </c>
      <c r="C1834" s="263" t="s">
        <v>3514</v>
      </c>
      <c r="D1834" s="263" t="s">
        <v>3499</v>
      </c>
      <c r="E1834" s="263" t="s">
        <v>3500</v>
      </c>
      <c r="F1834" s="263" t="s">
        <v>3370</v>
      </c>
    </row>
    <row r="1835" spans="1:6">
      <c r="A1835" s="263">
        <v>1834</v>
      </c>
      <c r="B1835" s="263" t="s">
        <v>3515</v>
      </c>
      <c r="C1835" s="263" t="s">
        <v>88</v>
      </c>
      <c r="D1835" s="263" t="s">
        <v>3499</v>
      </c>
      <c r="E1835" s="263" t="s">
        <v>3500</v>
      </c>
      <c r="F1835" s="263" t="s">
        <v>3370</v>
      </c>
    </row>
    <row r="1836" spans="1:6">
      <c r="A1836" s="263">
        <v>1835</v>
      </c>
      <c r="B1836" s="263" t="s">
        <v>3516</v>
      </c>
      <c r="C1836" s="263" t="s">
        <v>2287</v>
      </c>
      <c r="D1836" s="263" t="s">
        <v>3499</v>
      </c>
      <c r="E1836" s="263" t="s">
        <v>3500</v>
      </c>
      <c r="F1836" s="263" t="s">
        <v>3370</v>
      </c>
    </row>
    <row r="1837" spans="1:6">
      <c r="A1837" s="263">
        <v>1836</v>
      </c>
      <c r="B1837" s="263" t="s">
        <v>3517</v>
      </c>
      <c r="C1837" s="263" t="s">
        <v>3518</v>
      </c>
      <c r="D1837" s="263" t="s">
        <v>3499</v>
      </c>
      <c r="E1837" s="263" t="s">
        <v>3500</v>
      </c>
      <c r="F1837" s="263" t="s">
        <v>3370</v>
      </c>
    </row>
    <row r="1838" spans="1:6">
      <c r="A1838" s="263">
        <v>1837</v>
      </c>
      <c r="B1838" s="263" t="s">
        <v>3519</v>
      </c>
      <c r="C1838" s="263" t="s">
        <v>3520</v>
      </c>
      <c r="D1838" s="263" t="s">
        <v>3521</v>
      </c>
      <c r="E1838" s="263" t="s">
        <v>3522</v>
      </c>
      <c r="F1838" s="263" t="s">
        <v>3370</v>
      </c>
    </row>
    <row r="1839" spans="1:6">
      <c r="A1839" s="263">
        <v>1838</v>
      </c>
      <c r="B1839" s="263" t="s">
        <v>3523</v>
      </c>
      <c r="C1839" s="263" t="s">
        <v>3524</v>
      </c>
      <c r="D1839" s="263" t="s">
        <v>3521</v>
      </c>
      <c r="E1839" s="263" t="s">
        <v>3522</v>
      </c>
      <c r="F1839" s="263" t="s">
        <v>3370</v>
      </c>
    </row>
    <row r="1840" spans="1:6">
      <c r="A1840" s="263">
        <v>1839</v>
      </c>
      <c r="B1840" s="263" t="s">
        <v>3525</v>
      </c>
      <c r="C1840" s="263" t="s">
        <v>3526</v>
      </c>
      <c r="D1840" s="263" t="s">
        <v>3521</v>
      </c>
      <c r="E1840" s="263" t="s">
        <v>3522</v>
      </c>
      <c r="F1840" s="263" t="s">
        <v>3370</v>
      </c>
    </row>
    <row r="1841" spans="1:6">
      <c r="A1841" s="263">
        <v>1840</v>
      </c>
      <c r="B1841" s="263" t="s">
        <v>3527</v>
      </c>
      <c r="C1841" s="263" t="s">
        <v>3528</v>
      </c>
      <c r="D1841" s="263" t="s">
        <v>3521</v>
      </c>
      <c r="E1841" s="263" t="s">
        <v>3522</v>
      </c>
      <c r="F1841" s="263" t="s">
        <v>3370</v>
      </c>
    </row>
    <row r="1842" spans="1:6">
      <c r="A1842" s="263">
        <v>1841</v>
      </c>
      <c r="B1842" s="263" t="s">
        <v>3529</v>
      </c>
      <c r="C1842" s="263" t="s">
        <v>3530</v>
      </c>
      <c r="D1842" s="263" t="s">
        <v>3521</v>
      </c>
      <c r="E1842" s="263" t="s">
        <v>3522</v>
      </c>
      <c r="F1842" s="263" t="s">
        <v>3370</v>
      </c>
    </row>
    <row r="1843" spans="1:6">
      <c r="A1843" s="263">
        <v>1842</v>
      </c>
      <c r="B1843" s="263" t="s">
        <v>3531</v>
      </c>
      <c r="C1843" s="263" t="s">
        <v>3532</v>
      </c>
      <c r="D1843" s="263" t="s">
        <v>3521</v>
      </c>
      <c r="E1843" s="263" t="s">
        <v>3522</v>
      </c>
      <c r="F1843" s="263" t="s">
        <v>3370</v>
      </c>
    </row>
    <row r="1844" spans="1:6">
      <c r="A1844" s="263">
        <v>1843</v>
      </c>
      <c r="B1844" s="263" t="s">
        <v>3533</v>
      </c>
      <c r="C1844" s="263" t="s">
        <v>3534</v>
      </c>
      <c r="D1844" s="263" t="s">
        <v>3521</v>
      </c>
      <c r="E1844" s="263" t="s">
        <v>3522</v>
      </c>
      <c r="F1844" s="263" t="s">
        <v>3370</v>
      </c>
    </row>
    <row r="1845" spans="1:6">
      <c r="A1845" s="263">
        <v>1844</v>
      </c>
      <c r="B1845" s="263" t="s">
        <v>3535</v>
      </c>
      <c r="C1845" s="263" t="s">
        <v>3536</v>
      </c>
      <c r="D1845" s="263" t="s">
        <v>3521</v>
      </c>
      <c r="E1845" s="263" t="s">
        <v>3522</v>
      </c>
      <c r="F1845" s="263" t="s">
        <v>3370</v>
      </c>
    </row>
    <row r="1846" spans="1:6">
      <c r="A1846" s="263">
        <v>1845</v>
      </c>
      <c r="B1846" s="263" t="s">
        <v>3537</v>
      </c>
      <c r="C1846" s="263" t="s">
        <v>348</v>
      </c>
      <c r="D1846" s="263" t="s">
        <v>3521</v>
      </c>
      <c r="E1846" s="263" t="s">
        <v>3522</v>
      </c>
      <c r="F1846" s="263" t="s">
        <v>3370</v>
      </c>
    </row>
    <row r="1847" spans="1:6">
      <c r="A1847" s="263">
        <v>1846</v>
      </c>
      <c r="B1847" s="263" t="s">
        <v>3538</v>
      </c>
      <c r="C1847" s="263" t="s">
        <v>164</v>
      </c>
      <c r="D1847" s="263" t="s">
        <v>3521</v>
      </c>
      <c r="E1847" s="263" t="s">
        <v>3522</v>
      </c>
      <c r="F1847" s="263" t="s">
        <v>3370</v>
      </c>
    </row>
    <row r="1848" spans="1:6">
      <c r="A1848" s="263">
        <v>1847</v>
      </c>
      <c r="B1848" s="263" t="s">
        <v>3539</v>
      </c>
      <c r="C1848" s="263" t="s">
        <v>224</v>
      </c>
      <c r="D1848" s="263" t="s">
        <v>3521</v>
      </c>
      <c r="E1848" s="263" t="s">
        <v>3522</v>
      </c>
      <c r="F1848" s="263" t="s">
        <v>3370</v>
      </c>
    </row>
    <row r="1849" spans="1:6">
      <c r="A1849" s="263">
        <v>1848</v>
      </c>
      <c r="B1849" s="263" t="s">
        <v>3540</v>
      </c>
      <c r="C1849" s="263" t="s">
        <v>3541</v>
      </c>
      <c r="D1849" s="263" t="s">
        <v>3521</v>
      </c>
      <c r="E1849" s="263" t="s">
        <v>3522</v>
      </c>
      <c r="F1849" s="263" t="s">
        <v>3370</v>
      </c>
    </row>
    <row r="1850" spans="1:6">
      <c r="A1850" s="263">
        <v>1849</v>
      </c>
      <c r="B1850" s="263" t="s">
        <v>3542</v>
      </c>
      <c r="C1850" s="263" t="s">
        <v>353</v>
      </c>
      <c r="D1850" s="263" t="s">
        <v>3521</v>
      </c>
      <c r="E1850" s="263" t="s">
        <v>3522</v>
      </c>
      <c r="F1850" s="263" t="s">
        <v>3370</v>
      </c>
    </row>
    <row r="1851" spans="1:6">
      <c r="A1851" s="263">
        <v>1850</v>
      </c>
      <c r="B1851" s="263" t="s">
        <v>3543</v>
      </c>
      <c r="C1851" s="263" t="s">
        <v>3544</v>
      </c>
      <c r="D1851" s="263" t="s">
        <v>3545</v>
      </c>
      <c r="E1851" s="263" t="s">
        <v>3546</v>
      </c>
      <c r="F1851" s="263" t="s">
        <v>3370</v>
      </c>
    </row>
    <row r="1852" spans="1:6">
      <c r="A1852" s="263">
        <v>1851</v>
      </c>
      <c r="B1852" s="263" t="s">
        <v>3547</v>
      </c>
      <c r="C1852" s="263" t="s">
        <v>3548</v>
      </c>
      <c r="D1852" s="263" t="s">
        <v>3545</v>
      </c>
      <c r="E1852" s="263" t="s">
        <v>3546</v>
      </c>
      <c r="F1852" s="263" t="s">
        <v>3370</v>
      </c>
    </row>
    <row r="1853" spans="1:6">
      <c r="A1853" s="263">
        <v>1852</v>
      </c>
      <c r="B1853" s="263" t="s">
        <v>3549</v>
      </c>
      <c r="C1853" s="263" t="s">
        <v>3550</v>
      </c>
      <c r="D1853" s="263" t="s">
        <v>3545</v>
      </c>
      <c r="E1853" s="263" t="s">
        <v>3546</v>
      </c>
      <c r="F1853" s="263" t="s">
        <v>3370</v>
      </c>
    </row>
    <row r="1854" spans="1:6">
      <c r="A1854" s="263">
        <v>1853</v>
      </c>
      <c r="B1854" s="263" t="s">
        <v>3551</v>
      </c>
      <c r="C1854" s="263" t="s">
        <v>3552</v>
      </c>
      <c r="D1854" s="263" t="s">
        <v>3545</v>
      </c>
      <c r="E1854" s="263" t="s">
        <v>3546</v>
      </c>
      <c r="F1854" s="263" t="s">
        <v>3370</v>
      </c>
    </row>
    <row r="1855" spans="1:6">
      <c r="A1855" s="263">
        <v>1854</v>
      </c>
      <c r="B1855" s="263" t="s">
        <v>3553</v>
      </c>
      <c r="C1855" s="263" t="s">
        <v>3554</v>
      </c>
      <c r="D1855" s="263" t="s">
        <v>3545</v>
      </c>
      <c r="E1855" s="263" t="s">
        <v>3546</v>
      </c>
      <c r="F1855" s="263" t="s">
        <v>3370</v>
      </c>
    </row>
    <row r="1856" spans="1:6">
      <c r="A1856" s="263">
        <v>1855</v>
      </c>
      <c r="B1856" s="263" t="s">
        <v>3555</v>
      </c>
      <c r="C1856" s="263" t="s">
        <v>3556</v>
      </c>
      <c r="D1856" s="263" t="s">
        <v>3545</v>
      </c>
      <c r="E1856" s="263" t="s">
        <v>3546</v>
      </c>
      <c r="F1856" s="263" t="s">
        <v>3370</v>
      </c>
    </row>
    <row r="1857" spans="1:6">
      <c r="A1857" s="263">
        <v>1856</v>
      </c>
      <c r="B1857" s="263" t="s">
        <v>3557</v>
      </c>
      <c r="C1857" s="263" t="s">
        <v>3558</v>
      </c>
      <c r="D1857" s="263" t="s">
        <v>3545</v>
      </c>
      <c r="E1857" s="263" t="s">
        <v>3546</v>
      </c>
      <c r="F1857" s="263" t="s">
        <v>3370</v>
      </c>
    </row>
    <row r="1858" spans="1:6">
      <c r="A1858" s="263">
        <v>1857</v>
      </c>
      <c r="B1858" s="263" t="s">
        <v>3559</v>
      </c>
      <c r="C1858" s="263" t="s">
        <v>3560</v>
      </c>
      <c r="D1858" s="263" t="s">
        <v>3545</v>
      </c>
      <c r="E1858" s="263" t="s">
        <v>3546</v>
      </c>
      <c r="F1858" s="263" t="s">
        <v>3370</v>
      </c>
    </row>
    <row r="1859" spans="1:6">
      <c r="A1859" s="263">
        <v>1858</v>
      </c>
      <c r="B1859" s="263" t="s">
        <v>3561</v>
      </c>
      <c r="C1859" s="263" t="s">
        <v>3562</v>
      </c>
      <c r="D1859" s="263" t="s">
        <v>3545</v>
      </c>
      <c r="E1859" s="263" t="s">
        <v>3546</v>
      </c>
      <c r="F1859" s="263" t="s">
        <v>3370</v>
      </c>
    </row>
    <row r="1860" spans="1:6">
      <c r="A1860" s="263">
        <v>1859</v>
      </c>
      <c r="B1860" s="263" t="s">
        <v>3563</v>
      </c>
      <c r="C1860" s="263" t="s">
        <v>3564</v>
      </c>
      <c r="D1860" s="263" t="s">
        <v>3545</v>
      </c>
      <c r="E1860" s="263" t="s">
        <v>3546</v>
      </c>
      <c r="F1860" s="263" t="s">
        <v>3370</v>
      </c>
    </row>
    <row r="1861" spans="1:6">
      <c r="A1861" s="263">
        <v>1860</v>
      </c>
      <c r="B1861" s="263" t="s">
        <v>3565</v>
      </c>
      <c r="C1861" s="263" t="s">
        <v>1360</v>
      </c>
      <c r="D1861" s="263" t="s">
        <v>3545</v>
      </c>
      <c r="E1861" s="263" t="s">
        <v>3546</v>
      </c>
      <c r="F1861" s="263" t="s">
        <v>3370</v>
      </c>
    </row>
    <row r="1862" spans="1:6">
      <c r="A1862" s="263">
        <v>1861</v>
      </c>
      <c r="B1862" s="263" t="s">
        <v>3566</v>
      </c>
      <c r="C1862" s="263" t="s">
        <v>3567</v>
      </c>
      <c r="D1862" s="263" t="s">
        <v>3568</v>
      </c>
      <c r="E1862" s="263" t="s">
        <v>3569</v>
      </c>
      <c r="F1862" s="263" t="s">
        <v>3370</v>
      </c>
    </row>
    <row r="1863" spans="1:6">
      <c r="A1863" s="263">
        <v>1862</v>
      </c>
      <c r="B1863" s="263" t="s">
        <v>3570</v>
      </c>
      <c r="C1863" s="263" t="s">
        <v>418</v>
      </c>
      <c r="D1863" s="263" t="s">
        <v>3568</v>
      </c>
      <c r="E1863" s="263" t="s">
        <v>3569</v>
      </c>
      <c r="F1863" s="263" t="s">
        <v>3370</v>
      </c>
    </row>
    <row r="1864" spans="1:6">
      <c r="A1864" s="263">
        <v>1863</v>
      </c>
      <c r="B1864" s="263" t="s">
        <v>3571</v>
      </c>
      <c r="C1864" s="263" t="s">
        <v>3572</v>
      </c>
      <c r="D1864" s="263" t="s">
        <v>3568</v>
      </c>
      <c r="E1864" s="263" t="s">
        <v>3569</v>
      </c>
      <c r="F1864" s="263" t="s">
        <v>3370</v>
      </c>
    </row>
    <row r="1865" spans="1:6">
      <c r="A1865" s="263">
        <v>1864</v>
      </c>
      <c r="B1865" s="263" t="s">
        <v>3573</v>
      </c>
      <c r="C1865" s="263" t="s">
        <v>3574</v>
      </c>
      <c r="D1865" s="263" t="s">
        <v>3568</v>
      </c>
      <c r="E1865" s="263" t="s">
        <v>3569</v>
      </c>
      <c r="F1865" s="263" t="s">
        <v>3370</v>
      </c>
    </row>
    <row r="1866" spans="1:6">
      <c r="A1866" s="263">
        <v>1865</v>
      </c>
      <c r="B1866" s="263" t="s">
        <v>3575</v>
      </c>
      <c r="C1866" s="263" t="s">
        <v>1733</v>
      </c>
      <c r="D1866" s="263" t="s">
        <v>3568</v>
      </c>
      <c r="E1866" s="263" t="s">
        <v>3569</v>
      </c>
      <c r="F1866" s="263" t="s">
        <v>3370</v>
      </c>
    </row>
    <row r="1867" spans="1:6">
      <c r="A1867" s="263">
        <v>1866</v>
      </c>
      <c r="B1867" s="263" t="s">
        <v>3576</v>
      </c>
      <c r="C1867" s="263" t="s">
        <v>1480</v>
      </c>
      <c r="D1867" s="263" t="s">
        <v>3568</v>
      </c>
      <c r="E1867" s="263" t="s">
        <v>3569</v>
      </c>
      <c r="F1867" s="263" t="s">
        <v>3370</v>
      </c>
    </row>
    <row r="1868" spans="1:6">
      <c r="A1868" s="263">
        <v>1867</v>
      </c>
      <c r="B1868" s="263" t="s">
        <v>3577</v>
      </c>
      <c r="C1868" s="263" t="s">
        <v>962</v>
      </c>
      <c r="D1868" s="263" t="s">
        <v>3568</v>
      </c>
      <c r="E1868" s="263" t="s">
        <v>3569</v>
      </c>
      <c r="F1868" s="263" t="s">
        <v>3370</v>
      </c>
    </row>
    <row r="1869" spans="1:6">
      <c r="A1869" s="263">
        <v>1868</v>
      </c>
      <c r="B1869" s="263" t="s">
        <v>3578</v>
      </c>
      <c r="C1869" s="263" t="s">
        <v>3579</v>
      </c>
      <c r="D1869" s="263" t="s">
        <v>3568</v>
      </c>
      <c r="E1869" s="263" t="s">
        <v>3569</v>
      </c>
      <c r="F1869" s="263" t="s">
        <v>3370</v>
      </c>
    </row>
    <row r="1870" spans="1:6">
      <c r="A1870" s="263">
        <v>1869</v>
      </c>
      <c r="B1870" s="263" t="s">
        <v>3580</v>
      </c>
      <c r="C1870" s="263" t="s">
        <v>3581</v>
      </c>
      <c r="D1870" s="263" t="s">
        <v>3568</v>
      </c>
      <c r="E1870" s="263" t="s">
        <v>3569</v>
      </c>
      <c r="F1870" s="263" t="s">
        <v>3370</v>
      </c>
    </row>
    <row r="1871" spans="1:6">
      <c r="A1871" s="263">
        <v>1870</v>
      </c>
      <c r="B1871" s="263" t="s">
        <v>3582</v>
      </c>
      <c r="C1871" s="263" t="s">
        <v>3583</v>
      </c>
      <c r="D1871" s="263" t="s">
        <v>3568</v>
      </c>
      <c r="E1871" s="263" t="s">
        <v>3569</v>
      </c>
      <c r="F1871" s="263" t="s">
        <v>3370</v>
      </c>
    </row>
    <row r="1872" spans="1:6">
      <c r="A1872" s="263">
        <v>1871</v>
      </c>
      <c r="B1872" s="263" t="s">
        <v>3584</v>
      </c>
      <c r="C1872" s="263" t="s">
        <v>3585</v>
      </c>
      <c r="D1872" s="263" t="s">
        <v>3568</v>
      </c>
      <c r="E1872" s="263" t="s">
        <v>3569</v>
      </c>
      <c r="F1872" s="263" t="s">
        <v>3370</v>
      </c>
    </row>
    <row r="1873" spans="1:6">
      <c r="A1873" s="263">
        <v>1872</v>
      </c>
      <c r="B1873" s="263" t="s">
        <v>3586</v>
      </c>
      <c r="C1873" s="263" t="s">
        <v>3587</v>
      </c>
      <c r="D1873" s="263" t="s">
        <v>3588</v>
      </c>
      <c r="E1873" s="263" t="s">
        <v>3589</v>
      </c>
      <c r="F1873" s="263" t="s">
        <v>3370</v>
      </c>
    </row>
    <row r="1874" spans="1:6">
      <c r="A1874" s="263">
        <v>1873</v>
      </c>
      <c r="B1874" s="263" t="s">
        <v>3590</v>
      </c>
      <c r="C1874" s="263" t="s">
        <v>1213</v>
      </c>
      <c r="D1874" s="263" t="s">
        <v>3588</v>
      </c>
      <c r="E1874" s="263" t="s">
        <v>3589</v>
      </c>
      <c r="F1874" s="263" t="s">
        <v>3370</v>
      </c>
    </row>
    <row r="1875" spans="1:6">
      <c r="A1875" s="263">
        <v>1874</v>
      </c>
      <c r="B1875" s="263" t="s">
        <v>3591</v>
      </c>
      <c r="C1875" s="263" t="s">
        <v>74</v>
      </c>
      <c r="D1875" s="263" t="s">
        <v>3588</v>
      </c>
      <c r="E1875" s="263" t="s">
        <v>3589</v>
      </c>
      <c r="F1875" s="263" t="s">
        <v>3370</v>
      </c>
    </row>
    <row r="1876" spans="1:6">
      <c r="A1876" s="263">
        <v>1875</v>
      </c>
      <c r="B1876" s="263" t="s">
        <v>3592</v>
      </c>
      <c r="C1876" s="263" t="s">
        <v>599</v>
      </c>
      <c r="D1876" s="263" t="s">
        <v>3588</v>
      </c>
      <c r="E1876" s="263" t="s">
        <v>3589</v>
      </c>
      <c r="F1876" s="263" t="s">
        <v>3370</v>
      </c>
    </row>
    <row r="1877" spans="1:6">
      <c r="A1877" s="263">
        <v>1876</v>
      </c>
      <c r="B1877" s="263" t="s">
        <v>3593</v>
      </c>
      <c r="C1877" s="263" t="s">
        <v>2227</v>
      </c>
      <c r="D1877" s="263" t="s">
        <v>3588</v>
      </c>
      <c r="E1877" s="263" t="s">
        <v>3589</v>
      </c>
      <c r="F1877" s="263" t="s">
        <v>3370</v>
      </c>
    </row>
    <row r="1878" spans="1:6">
      <c r="A1878" s="263">
        <v>1877</v>
      </c>
      <c r="B1878" s="263" t="s">
        <v>3594</v>
      </c>
      <c r="C1878" s="263" t="s">
        <v>122</v>
      </c>
      <c r="D1878" s="263" t="s">
        <v>3588</v>
      </c>
      <c r="E1878" s="263" t="s">
        <v>3589</v>
      </c>
      <c r="F1878" s="263" t="s">
        <v>3370</v>
      </c>
    </row>
    <row r="1879" spans="1:6">
      <c r="A1879" s="263">
        <v>1878</v>
      </c>
      <c r="B1879" s="263" t="s">
        <v>3595</v>
      </c>
      <c r="C1879" s="263" t="s">
        <v>3596</v>
      </c>
      <c r="D1879" s="263" t="s">
        <v>3588</v>
      </c>
      <c r="E1879" s="263" t="s">
        <v>3589</v>
      </c>
      <c r="F1879" s="263" t="s">
        <v>3370</v>
      </c>
    </row>
    <row r="1880" spans="1:6">
      <c r="A1880" s="263">
        <v>1879</v>
      </c>
      <c r="B1880" s="263" t="s">
        <v>3597</v>
      </c>
      <c r="C1880" s="263" t="s">
        <v>54</v>
      </c>
      <c r="D1880" s="263" t="s">
        <v>3588</v>
      </c>
      <c r="E1880" s="263" t="s">
        <v>3589</v>
      </c>
      <c r="F1880" s="263" t="s">
        <v>3370</v>
      </c>
    </row>
    <row r="1881" spans="1:6">
      <c r="A1881" s="263">
        <v>1880</v>
      </c>
      <c r="B1881" s="263" t="s">
        <v>3598</v>
      </c>
      <c r="C1881" s="263" t="s">
        <v>927</v>
      </c>
      <c r="D1881" s="263" t="s">
        <v>3588</v>
      </c>
      <c r="E1881" s="263" t="s">
        <v>3589</v>
      </c>
      <c r="F1881" s="263" t="s">
        <v>3370</v>
      </c>
    </row>
    <row r="1882" spans="1:6">
      <c r="A1882" s="263">
        <v>1881</v>
      </c>
      <c r="B1882" s="263" t="s">
        <v>3599</v>
      </c>
      <c r="C1882" s="263" t="s">
        <v>3600</v>
      </c>
      <c r="D1882" s="263" t="s">
        <v>3588</v>
      </c>
      <c r="E1882" s="263" t="s">
        <v>3589</v>
      </c>
      <c r="F1882" s="263" t="s">
        <v>3370</v>
      </c>
    </row>
    <row r="1883" spans="1:6">
      <c r="A1883" s="263">
        <v>1882</v>
      </c>
      <c r="B1883" s="263" t="s">
        <v>3601</v>
      </c>
      <c r="C1883" s="263" t="s">
        <v>224</v>
      </c>
      <c r="D1883" s="263" t="s">
        <v>3588</v>
      </c>
      <c r="E1883" s="263" t="s">
        <v>3589</v>
      </c>
      <c r="F1883" s="263" t="s">
        <v>3370</v>
      </c>
    </row>
    <row r="1884" spans="1:6">
      <c r="A1884" s="263">
        <v>1883</v>
      </c>
      <c r="B1884" s="263" t="s">
        <v>3602</v>
      </c>
      <c r="C1884" s="263" t="s">
        <v>353</v>
      </c>
      <c r="D1884" s="263" t="s">
        <v>3588</v>
      </c>
      <c r="E1884" s="263" t="s">
        <v>3589</v>
      </c>
      <c r="F1884" s="263" t="s">
        <v>3370</v>
      </c>
    </row>
    <row r="1885" spans="1:6">
      <c r="A1885" s="263">
        <v>1884</v>
      </c>
      <c r="B1885" s="263" t="s">
        <v>3603</v>
      </c>
      <c r="C1885" s="263" t="s">
        <v>3604</v>
      </c>
      <c r="D1885" s="263" t="s">
        <v>3605</v>
      </c>
      <c r="E1885" s="263" t="s">
        <v>3606</v>
      </c>
      <c r="F1885" s="263" t="s">
        <v>3370</v>
      </c>
    </row>
    <row r="1886" spans="1:6">
      <c r="A1886" s="263">
        <v>1885</v>
      </c>
      <c r="B1886" s="263" t="s">
        <v>3607</v>
      </c>
      <c r="C1886" s="263" t="s">
        <v>3608</v>
      </c>
      <c r="D1886" s="263" t="s">
        <v>3605</v>
      </c>
      <c r="E1886" s="263" t="s">
        <v>3606</v>
      </c>
      <c r="F1886" s="263" t="s">
        <v>3370</v>
      </c>
    </row>
    <row r="1887" spans="1:6">
      <c r="A1887" s="263">
        <v>1886</v>
      </c>
      <c r="B1887" s="263" t="s">
        <v>3609</v>
      </c>
      <c r="C1887" s="263" t="s">
        <v>1578</v>
      </c>
      <c r="D1887" s="263" t="s">
        <v>3605</v>
      </c>
      <c r="E1887" s="263" t="s">
        <v>3606</v>
      </c>
      <c r="F1887" s="263" t="s">
        <v>3370</v>
      </c>
    </row>
    <row r="1888" spans="1:6">
      <c r="A1888" s="263">
        <v>1887</v>
      </c>
      <c r="B1888" s="263" t="s">
        <v>3610</v>
      </c>
      <c r="C1888" s="263" t="s">
        <v>3611</v>
      </c>
      <c r="D1888" s="263" t="s">
        <v>3605</v>
      </c>
      <c r="E1888" s="263" t="s">
        <v>3606</v>
      </c>
      <c r="F1888" s="263" t="s">
        <v>3370</v>
      </c>
    </row>
    <row r="1889" spans="1:6">
      <c r="A1889" s="263">
        <v>1888</v>
      </c>
      <c r="B1889" s="263" t="s">
        <v>3612</v>
      </c>
      <c r="C1889" s="263" t="s">
        <v>3613</v>
      </c>
      <c r="D1889" s="263" t="s">
        <v>3605</v>
      </c>
      <c r="E1889" s="263" t="s">
        <v>3606</v>
      </c>
      <c r="F1889" s="263" t="s">
        <v>3370</v>
      </c>
    </row>
    <row r="1890" spans="1:6">
      <c r="A1890" s="263">
        <v>1889</v>
      </c>
      <c r="B1890" s="263" t="s">
        <v>3614</v>
      </c>
      <c r="C1890" s="263" t="s">
        <v>3615</v>
      </c>
      <c r="D1890" s="263" t="s">
        <v>3605</v>
      </c>
      <c r="E1890" s="263" t="s">
        <v>3606</v>
      </c>
      <c r="F1890" s="263" t="s">
        <v>3370</v>
      </c>
    </row>
    <row r="1891" spans="1:6">
      <c r="A1891" s="263">
        <v>1890</v>
      </c>
      <c r="B1891" s="263" t="s">
        <v>3616</v>
      </c>
      <c r="C1891" s="263" t="s">
        <v>3617</v>
      </c>
      <c r="D1891" s="263" t="s">
        <v>3605</v>
      </c>
      <c r="E1891" s="263" t="s">
        <v>3606</v>
      </c>
      <c r="F1891" s="263" t="s">
        <v>3370</v>
      </c>
    </row>
    <row r="1892" spans="1:6">
      <c r="A1892" s="263">
        <v>1891</v>
      </c>
      <c r="B1892" s="263" t="s">
        <v>3618</v>
      </c>
      <c r="C1892" s="263" t="s">
        <v>84</v>
      </c>
      <c r="D1892" s="263" t="s">
        <v>3605</v>
      </c>
      <c r="E1892" s="263" t="s">
        <v>3606</v>
      </c>
      <c r="F1892" s="263" t="s">
        <v>3370</v>
      </c>
    </row>
    <row r="1893" spans="1:6">
      <c r="A1893" s="263">
        <v>1892</v>
      </c>
      <c r="B1893" s="263" t="s">
        <v>3619</v>
      </c>
      <c r="C1893" s="263" t="s">
        <v>3326</v>
      </c>
      <c r="D1893" s="263" t="s">
        <v>3605</v>
      </c>
      <c r="E1893" s="263" t="s">
        <v>3606</v>
      </c>
      <c r="F1893" s="263" t="s">
        <v>3370</v>
      </c>
    </row>
    <row r="1894" spans="1:6">
      <c r="A1894" s="263">
        <v>1893</v>
      </c>
      <c r="B1894" s="263" t="s">
        <v>3620</v>
      </c>
      <c r="C1894" s="263" t="s">
        <v>3621</v>
      </c>
      <c r="D1894" s="263" t="s">
        <v>3605</v>
      </c>
      <c r="E1894" s="263" t="s">
        <v>3606</v>
      </c>
      <c r="F1894" s="263" t="s">
        <v>3370</v>
      </c>
    </row>
    <row r="1895" spans="1:6">
      <c r="A1895" s="263">
        <v>1894</v>
      </c>
      <c r="B1895" s="263" t="s">
        <v>3622</v>
      </c>
      <c r="C1895" s="263" t="s">
        <v>3623</v>
      </c>
      <c r="D1895" s="263" t="s">
        <v>3624</v>
      </c>
      <c r="E1895" s="263" t="s">
        <v>3625</v>
      </c>
      <c r="F1895" s="263" t="s">
        <v>3370</v>
      </c>
    </row>
    <row r="1896" spans="1:6">
      <c r="A1896" s="263">
        <v>1895</v>
      </c>
      <c r="B1896" s="263" t="s">
        <v>3626</v>
      </c>
      <c r="C1896" s="263" t="s">
        <v>3627</v>
      </c>
      <c r="D1896" s="263" t="s">
        <v>3624</v>
      </c>
      <c r="E1896" s="263" t="s">
        <v>3625</v>
      </c>
      <c r="F1896" s="263" t="s">
        <v>3370</v>
      </c>
    </row>
    <row r="1897" spans="1:6">
      <c r="A1897" s="263">
        <v>1896</v>
      </c>
      <c r="B1897" s="263" t="s">
        <v>3628</v>
      </c>
      <c r="C1897" s="263" t="s">
        <v>3629</v>
      </c>
      <c r="D1897" s="263" t="s">
        <v>3624</v>
      </c>
      <c r="E1897" s="263" t="s">
        <v>3625</v>
      </c>
      <c r="F1897" s="263" t="s">
        <v>3370</v>
      </c>
    </row>
    <row r="1898" spans="1:6">
      <c r="A1898" s="263">
        <v>1897</v>
      </c>
      <c r="B1898" s="263" t="s">
        <v>3630</v>
      </c>
      <c r="C1898" s="263" t="s">
        <v>3631</v>
      </c>
      <c r="D1898" s="263" t="s">
        <v>3624</v>
      </c>
      <c r="E1898" s="263" t="s">
        <v>3625</v>
      </c>
      <c r="F1898" s="263" t="s">
        <v>3370</v>
      </c>
    </row>
    <row r="1899" spans="1:6">
      <c r="A1899" s="263">
        <v>1898</v>
      </c>
      <c r="B1899" s="263" t="s">
        <v>3632</v>
      </c>
      <c r="C1899" s="263" t="s">
        <v>3633</v>
      </c>
      <c r="D1899" s="263" t="s">
        <v>3624</v>
      </c>
      <c r="E1899" s="263" t="s">
        <v>3625</v>
      </c>
      <c r="F1899" s="263" t="s">
        <v>3370</v>
      </c>
    </row>
    <row r="1900" spans="1:6">
      <c r="A1900" s="263">
        <v>1899</v>
      </c>
      <c r="B1900" s="263" t="s">
        <v>3634</v>
      </c>
      <c r="C1900" s="263" t="s">
        <v>2128</v>
      </c>
      <c r="D1900" s="263" t="s">
        <v>3624</v>
      </c>
      <c r="E1900" s="263" t="s">
        <v>3625</v>
      </c>
      <c r="F1900" s="263" t="s">
        <v>3370</v>
      </c>
    </row>
    <row r="1901" spans="1:6">
      <c r="A1901" s="263">
        <v>1900</v>
      </c>
      <c r="B1901" s="263" t="s">
        <v>3635</v>
      </c>
      <c r="C1901" s="263" t="s">
        <v>3636</v>
      </c>
      <c r="D1901" s="263" t="s">
        <v>3624</v>
      </c>
      <c r="E1901" s="263" t="s">
        <v>3625</v>
      </c>
      <c r="F1901" s="263" t="s">
        <v>3370</v>
      </c>
    </row>
    <row r="1902" spans="1:6">
      <c r="A1902" s="263">
        <v>1901</v>
      </c>
      <c r="B1902" s="263" t="s">
        <v>3637</v>
      </c>
      <c r="C1902" s="263" t="s">
        <v>3638</v>
      </c>
      <c r="D1902" s="263" t="s">
        <v>3624</v>
      </c>
      <c r="E1902" s="263" t="s">
        <v>3625</v>
      </c>
      <c r="F1902" s="263" t="s">
        <v>3370</v>
      </c>
    </row>
    <row r="1903" spans="1:6">
      <c r="A1903" s="263">
        <v>1902</v>
      </c>
      <c r="B1903" s="263" t="s">
        <v>3639</v>
      </c>
      <c r="C1903" s="263" t="s">
        <v>3640</v>
      </c>
      <c r="D1903" s="263" t="s">
        <v>3624</v>
      </c>
      <c r="E1903" s="263" t="s">
        <v>3625</v>
      </c>
      <c r="F1903" s="263" t="s">
        <v>3370</v>
      </c>
    </row>
    <row r="1904" spans="1:6">
      <c r="A1904" s="263">
        <v>1903</v>
      </c>
      <c r="B1904" s="263" t="s">
        <v>3641</v>
      </c>
      <c r="C1904" s="263" t="s">
        <v>3642</v>
      </c>
      <c r="D1904" s="263" t="s">
        <v>3624</v>
      </c>
      <c r="E1904" s="263" t="s">
        <v>3625</v>
      </c>
      <c r="F1904" s="263" t="s">
        <v>3370</v>
      </c>
    </row>
    <row r="1905" spans="1:6">
      <c r="A1905" s="263">
        <v>1904</v>
      </c>
      <c r="B1905" s="263" t="s">
        <v>3643</v>
      </c>
      <c r="C1905" s="263" t="s">
        <v>3644</v>
      </c>
      <c r="D1905" s="263" t="s">
        <v>3624</v>
      </c>
      <c r="E1905" s="263" t="s">
        <v>3625</v>
      </c>
      <c r="F1905" s="263" t="s">
        <v>3370</v>
      </c>
    </row>
    <row r="1906" spans="1:6">
      <c r="A1906" s="263">
        <v>1905</v>
      </c>
      <c r="B1906" s="263" t="s">
        <v>3645</v>
      </c>
      <c r="C1906" s="263" t="s">
        <v>3646</v>
      </c>
      <c r="D1906" s="263" t="s">
        <v>3624</v>
      </c>
      <c r="E1906" s="263" t="s">
        <v>3625</v>
      </c>
      <c r="F1906" s="263" t="s">
        <v>3370</v>
      </c>
    </row>
    <row r="1907" spans="1:6">
      <c r="A1907" s="263">
        <v>1906</v>
      </c>
      <c r="B1907" s="263" t="s">
        <v>3647</v>
      </c>
      <c r="C1907" s="263" t="s">
        <v>3648</v>
      </c>
      <c r="D1907" s="263" t="s">
        <v>3624</v>
      </c>
      <c r="E1907" s="263" t="s">
        <v>3625</v>
      </c>
      <c r="F1907" s="263" t="s">
        <v>3370</v>
      </c>
    </row>
    <row r="1908" spans="1:6">
      <c r="A1908" s="263">
        <v>1907</v>
      </c>
      <c r="B1908" s="263" t="s">
        <v>3649</v>
      </c>
      <c r="C1908" s="263" t="s">
        <v>351</v>
      </c>
      <c r="D1908" s="263" t="s">
        <v>3624</v>
      </c>
      <c r="E1908" s="263" t="s">
        <v>3625</v>
      </c>
      <c r="F1908" s="263" t="s">
        <v>3370</v>
      </c>
    </row>
    <row r="1909" spans="1:6">
      <c r="A1909" s="263">
        <v>1908</v>
      </c>
      <c r="B1909" s="263" t="s">
        <v>3650</v>
      </c>
      <c r="C1909" s="263" t="s">
        <v>80</v>
      </c>
      <c r="D1909" s="263" t="s">
        <v>3624</v>
      </c>
      <c r="E1909" s="263" t="s">
        <v>3625</v>
      </c>
      <c r="F1909" s="263" t="s">
        <v>3370</v>
      </c>
    </row>
    <row r="1910" spans="1:6">
      <c r="A1910" s="263">
        <v>1909</v>
      </c>
      <c r="B1910" s="263" t="s">
        <v>3651</v>
      </c>
      <c r="C1910" s="263" t="s">
        <v>3652</v>
      </c>
      <c r="D1910" s="263" t="s">
        <v>3624</v>
      </c>
      <c r="E1910" s="263" t="s">
        <v>3625</v>
      </c>
      <c r="F1910" s="263" t="s">
        <v>3370</v>
      </c>
    </row>
    <row r="1911" spans="1:6">
      <c r="A1911" s="263">
        <v>1910</v>
      </c>
      <c r="B1911" s="263" t="s">
        <v>3653</v>
      </c>
      <c r="C1911" s="263" t="s">
        <v>3654</v>
      </c>
      <c r="D1911" s="263" t="s">
        <v>3624</v>
      </c>
      <c r="E1911" s="263" t="s">
        <v>3625</v>
      </c>
      <c r="F1911" s="263" t="s">
        <v>3370</v>
      </c>
    </row>
    <row r="1912" spans="1:6">
      <c r="A1912" s="263">
        <v>1911</v>
      </c>
      <c r="B1912" s="263" t="s">
        <v>3655</v>
      </c>
      <c r="C1912" s="263" t="s">
        <v>3656</v>
      </c>
      <c r="D1912" s="263" t="s">
        <v>3624</v>
      </c>
      <c r="E1912" s="263" t="s">
        <v>3625</v>
      </c>
      <c r="F1912" s="263" t="s">
        <v>3370</v>
      </c>
    </row>
    <row r="1913" spans="1:6">
      <c r="A1913" s="263">
        <v>1912</v>
      </c>
      <c r="B1913" s="263" t="s">
        <v>3657</v>
      </c>
      <c r="C1913" s="263" t="s">
        <v>3658</v>
      </c>
      <c r="D1913" s="263" t="s">
        <v>3624</v>
      </c>
      <c r="E1913" s="263" t="s">
        <v>3625</v>
      </c>
      <c r="F1913" s="263" t="s">
        <v>3370</v>
      </c>
    </row>
    <row r="1914" spans="1:6">
      <c r="A1914" s="263">
        <v>1913</v>
      </c>
      <c r="B1914" s="263" t="s">
        <v>3659</v>
      </c>
      <c r="C1914" s="263" t="s">
        <v>3660</v>
      </c>
      <c r="D1914" s="263" t="s">
        <v>3624</v>
      </c>
      <c r="E1914" s="263" t="s">
        <v>3625</v>
      </c>
      <c r="F1914" s="263" t="s">
        <v>3370</v>
      </c>
    </row>
    <row r="1915" spans="1:6">
      <c r="A1915" s="263">
        <v>1914</v>
      </c>
      <c r="B1915" s="263" t="s">
        <v>3661</v>
      </c>
      <c r="C1915" s="263" t="s">
        <v>3662</v>
      </c>
      <c r="D1915" s="263" t="s">
        <v>3663</v>
      </c>
      <c r="E1915" s="263" t="s">
        <v>3664</v>
      </c>
      <c r="F1915" s="263" t="s">
        <v>3370</v>
      </c>
    </row>
    <row r="1916" spans="1:6">
      <c r="A1916" s="263">
        <v>1915</v>
      </c>
      <c r="B1916" s="263" t="s">
        <v>3665</v>
      </c>
      <c r="C1916" s="263" t="s">
        <v>3666</v>
      </c>
      <c r="D1916" s="263" t="s">
        <v>3663</v>
      </c>
      <c r="E1916" s="263" t="s">
        <v>3664</v>
      </c>
      <c r="F1916" s="263" t="s">
        <v>3370</v>
      </c>
    </row>
    <row r="1917" spans="1:6">
      <c r="A1917" s="263">
        <v>1916</v>
      </c>
      <c r="B1917" s="263" t="s">
        <v>3667</v>
      </c>
      <c r="C1917" s="263" t="s">
        <v>3668</v>
      </c>
      <c r="D1917" s="263" t="s">
        <v>3663</v>
      </c>
      <c r="E1917" s="263" t="s">
        <v>3664</v>
      </c>
      <c r="F1917" s="263" t="s">
        <v>3370</v>
      </c>
    </row>
    <row r="1918" spans="1:6">
      <c r="A1918" s="263">
        <v>1917</v>
      </c>
      <c r="B1918" s="263" t="s">
        <v>3669</v>
      </c>
      <c r="C1918" s="263" t="s">
        <v>3670</v>
      </c>
      <c r="D1918" s="263" t="s">
        <v>3663</v>
      </c>
      <c r="E1918" s="263" t="s">
        <v>3664</v>
      </c>
      <c r="F1918" s="263" t="s">
        <v>3370</v>
      </c>
    </row>
    <row r="1919" spans="1:6">
      <c r="A1919" s="263">
        <v>1918</v>
      </c>
      <c r="B1919" s="263" t="s">
        <v>3671</v>
      </c>
      <c r="C1919" s="263" t="s">
        <v>178</v>
      </c>
      <c r="D1919" s="263" t="s">
        <v>3663</v>
      </c>
      <c r="E1919" s="263" t="s">
        <v>3664</v>
      </c>
      <c r="F1919" s="263" t="s">
        <v>3370</v>
      </c>
    </row>
    <row r="1920" spans="1:6">
      <c r="A1920" s="263">
        <v>1919</v>
      </c>
      <c r="B1920" s="263" t="s">
        <v>3672</v>
      </c>
      <c r="C1920" s="263" t="s">
        <v>3558</v>
      </c>
      <c r="D1920" s="263" t="s">
        <v>3663</v>
      </c>
      <c r="E1920" s="263" t="s">
        <v>3664</v>
      </c>
      <c r="F1920" s="263" t="s">
        <v>3370</v>
      </c>
    </row>
    <row r="1921" spans="1:6">
      <c r="A1921" s="263">
        <v>1920</v>
      </c>
      <c r="B1921" s="263" t="s">
        <v>3673</v>
      </c>
      <c r="C1921" s="263" t="s">
        <v>3674</v>
      </c>
      <c r="D1921" s="263" t="s">
        <v>3663</v>
      </c>
      <c r="E1921" s="263" t="s">
        <v>3664</v>
      </c>
      <c r="F1921" s="263" t="s">
        <v>3370</v>
      </c>
    </row>
    <row r="1922" spans="1:6">
      <c r="A1922" s="263">
        <v>1921</v>
      </c>
      <c r="B1922" s="263" t="s">
        <v>3675</v>
      </c>
      <c r="C1922" s="263" t="s">
        <v>3676</v>
      </c>
      <c r="D1922" s="263" t="s">
        <v>3663</v>
      </c>
      <c r="E1922" s="263" t="s">
        <v>3664</v>
      </c>
      <c r="F1922" s="263" t="s">
        <v>3370</v>
      </c>
    </row>
    <row r="1923" spans="1:6">
      <c r="A1923" s="263">
        <v>1922</v>
      </c>
      <c r="B1923" s="263" t="s">
        <v>3677</v>
      </c>
      <c r="C1923" s="263" t="s">
        <v>3678</v>
      </c>
      <c r="D1923" s="263" t="s">
        <v>3663</v>
      </c>
      <c r="E1923" s="263" t="s">
        <v>3664</v>
      </c>
      <c r="F1923" s="263" t="s">
        <v>3370</v>
      </c>
    </row>
    <row r="1924" spans="1:6">
      <c r="A1924" s="263">
        <v>1923</v>
      </c>
      <c r="B1924" s="263" t="s">
        <v>3679</v>
      </c>
      <c r="C1924" s="263" t="s">
        <v>3680</v>
      </c>
      <c r="D1924" s="263" t="s">
        <v>3663</v>
      </c>
      <c r="E1924" s="263" t="s">
        <v>3664</v>
      </c>
      <c r="F1924" s="263" t="s">
        <v>3370</v>
      </c>
    </row>
    <row r="1925" spans="1:6">
      <c r="A1925" s="263">
        <v>1924</v>
      </c>
      <c r="B1925" s="263" t="s">
        <v>3681</v>
      </c>
      <c r="C1925" s="263" t="s">
        <v>3682</v>
      </c>
      <c r="D1925" s="263" t="s">
        <v>3663</v>
      </c>
      <c r="E1925" s="263" t="s">
        <v>3664</v>
      </c>
      <c r="F1925" s="263" t="s">
        <v>3370</v>
      </c>
    </row>
    <row r="1926" spans="1:6">
      <c r="A1926" s="263">
        <v>1925</v>
      </c>
      <c r="B1926" s="263" t="s">
        <v>3683</v>
      </c>
      <c r="C1926" s="263" t="s">
        <v>628</v>
      </c>
      <c r="D1926" s="263" t="s">
        <v>3684</v>
      </c>
      <c r="E1926" s="263" t="s">
        <v>3685</v>
      </c>
      <c r="F1926" s="263" t="s">
        <v>3370</v>
      </c>
    </row>
    <row r="1927" spans="1:6">
      <c r="A1927" s="263">
        <v>1926</v>
      </c>
      <c r="B1927" s="263" t="s">
        <v>3686</v>
      </c>
      <c r="C1927" s="263" t="s">
        <v>632</v>
      </c>
      <c r="D1927" s="263" t="s">
        <v>3684</v>
      </c>
      <c r="E1927" s="263" t="s">
        <v>3685</v>
      </c>
      <c r="F1927" s="263" t="s">
        <v>3370</v>
      </c>
    </row>
    <row r="1928" spans="1:6">
      <c r="A1928" s="263">
        <v>1927</v>
      </c>
      <c r="B1928" s="263" t="s">
        <v>3687</v>
      </c>
      <c r="C1928" s="263" t="s">
        <v>634</v>
      </c>
      <c r="D1928" s="263" t="s">
        <v>3684</v>
      </c>
      <c r="E1928" s="263" t="s">
        <v>3685</v>
      </c>
      <c r="F1928" s="263" t="s">
        <v>3370</v>
      </c>
    </row>
    <row r="1929" spans="1:6">
      <c r="A1929" s="263">
        <v>1928</v>
      </c>
      <c r="B1929" s="263" t="s">
        <v>3688</v>
      </c>
      <c r="C1929" s="263" t="s">
        <v>1184</v>
      </c>
      <c r="D1929" s="263" t="s">
        <v>3684</v>
      </c>
      <c r="E1929" s="263" t="s">
        <v>3685</v>
      </c>
      <c r="F1929" s="263" t="s">
        <v>3370</v>
      </c>
    </row>
    <row r="1930" spans="1:6">
      <c r="A1930" s="263">
        <v>1929</v>
      </c>
      <c r="B1930" s="263" t="s">
        <v>3689</v>
      </c>
      <c r="C1930" s="263" t="s">
        <v>636</v>
      </c>
      <c r="D1930" s="263" t="s">
        <v>3684</v>
      </c>
      <c r="E1930" s="263" t="s">
        <v>3685</v>
      </c>
      <c r="F1930" s="263" t="s">
        <v>3370</v>
      </c>
    </row>
    <row r="1931" spans="1:6">
      <c r="A1931" s="263">
        <v>1930</v>
      </c>
      <c r="B1931" s="263" t="s">
        <v>3690</v>
      </c>
      <c r="C1931" s="263" t="s">
        <v>1187</v>
      </c>
      <c r="D1931" s="263" t="s">
        <v>3684</v>
      </c>
      <c r="E1931" s="263" t="s">
        <v>3685</v>
      </c>
      <c r="F1931" s="263" t="s">
        <v>3370</v>
      </c>
    </row>
    <row r="1932" spans="1:6">
      <c r="A1932" s="263">
        <v>1931</v>
      </c>
      <c r="B1932" s="263" t="s">
        <v>3691</v>
      </c>
      <c r="C1932" s="263" t="s">
        <v>638</v>
      </c>
      <c r="D1932" s="263" t="s">
        <v>3684</v>
      </c>
      <c r="E1932" s="263" t="s">
        <v>3685</v>
      </c>
      <c r="F1932" s="263" t="s">
        <v>3370</v>
      </c>
    </row>
    <row r="1933" spans="1:6">
      <c r="A1933" s="263">
        <v>1932</v>
      </c>
      <c r="B1933" s="263" t="s">
        <v>3692</v>
      </c>
      <c r="C1933" s="263" t="s">
        <v>3693</v>
      </c>
      <c r="D1933" s="263" t="s">
        <v>3684</v>
      </c>
      <c r="E1933" s="263" t="s">
        <v>3685</v>
      </c>
      <c r="F1933" s="263" t="s">
        <v>3370</v>
      </c>
    </row>
    <row r="1934" spans="1:6">
      <c r="A1934" s="263">
        <v>1933</v>
      </c>
      <c r="B1934" s="263" t="s">
        <v>3694</v>
      </c>
      <c r="C1934" s="263" t="s">
        <v>3695</v>
      </c>
      <c r="D1934" s="263" t="s">
        <v>3684</v>
      </c>
      <c r="E1934" s="263" t="s">
        <v>3685</v>
      </c>
      <c r="F1934" s="263" t="s">
        <v>3370</v>
      </c>
    </row>
    <row r="1935" spans="1:6">
      <c r="A1935" s="263">
        <v>1934</v>
      </c>
      <c r="B1935" s="263" t="s">
        <v>3696</v>
      </c>
      <c r="C1935" s="263" t="s">
        <v>3697</v>
      </c>
      <c r="D1935" s="263" t="s">
        <v>3684</v>
      </c>
      <c r="E1935" s="263" t="s">
        <v>3685</v>
      </c>
      <c r="F1935" s="263" t="s">
        <v>3370</v>
      </c>
    </row>
    <row r="1936" spans="1:6">
      <c r="A1936" s="263">
        <v>1935</v>
      </c>
      <c r="B1936" s="263" t="s">
        <v>3698</v>
      </c>
      <c r="C1936" s="263" t="s">
        <v>3699</v>
      </c>
      <c r="D1936" s="263" t="s">
        <v>3684</v>
      </c>
      <c r="E1936" s="263" t="s">
        <v>3685</v>
      </c>
      <c r="F1936" s="263" t="s">
        <v>3370</v>
      </c>
    </row>
    <row r="1937" spans="1:6">
      <c r="A1937" s="263">
        <v>1936</v>
      </c>
      <c r="B1937" s="263" t="s">
        <v>3700</v>
      </c>
      <c r="C1937" s="263" t="s">
        <v>3701</v>
      </c>
      <c r="D1937" s="263" t="s">
        <v>3684</v>
      </c>
      <c r="E1937" s="263" t="s">
        <v>3685</v>
      </c>
      <c r="F1937" s="263" t="s">
        <v>3370</v>
      </c>
    </row>
    <row r="1938" spans="1:6">
      <c r="A1938" s="263">
        <v>1937</v>
      </c>
      <c r="B1938" s="263" t="s">
        <v>3702</v>
      </c>
      <c r="C1938" s="263" t="s">
        <v>3703</v>
      </c>
      <c r="D1938" s="263" t="s">
        <v>3684</v>
      </c>
      <c r="E1938" s="263" t="s">
        <v>3685</v>
      </c>
      <c r="F1938" s="263" t="s">
        <v>3370</v>
      </c>
    </row>
    <row r="1939" spans="1:6">
      <c r="A1939" s="263">
        <v>1938</v>
      </c>
      <c r="B1939" s="263" t="s">
        <v>3704</v>
      </c>
      <c r="C1939" s="263" t="s">
        <v>3705</v>
      </c>
      <c r="D1939" s="263" t="s">
        <v>3684</v>
      </c>
      <c r="E1939" s="263" t="s">
        <v>3685</v>
      </c>
      <c r="F1939" s="263" t="s">
        <v>3370</v>
      </c>
    </row>
    <row r="1940" spans="1:6">
      <c r="A1940" s="263">
        <v>1939</v>
      </c>
      <c r="B1940" s="263" t="s">
        <v>3706</v>
      </c>
      <c r="C1940" s="263" t="s">
        <v>628</v>
      </c>
      <c r="D1940" s="263" t="s">
        <v>3707</v>
      </c>
      <c r="E1940" s="263" t="s">
        <v>3708</v>
      </c>
      <c r="F1940" s="263" t="s">
        <v>3370</v>
      </c>
    </row>
    <row r="1941" spans="1:6">
      <c r="A1941" s="263">
        <v>1940</v>
      </c>
      <c r="B1941" s="263" t="s">
        <v>3709</v>
      </c>
      <c r="C1941" s="263" t="s">
        <v>632</v>
      </c>
      <c r="D1941" s="263" t="s">
        <v>3707</v>
      </c>
      <c r="E1941" s="263" t="s">
        <v>3708</v>
      </c>
      <c r="F1941" s="263" t="s">
        <v>3370</v>
      </c>
    </row>
    <row r="1942" spans="1:6">
      <c r="A1942" s="263">
        <v>1941</v>
      </c>
      <c r="B1942" s="263" t="s">
        <v>3710</v>
      </c>
      <c r="C1942" s="263" t="s">
        <v>634</v>
      </c>
      <c r="D1942" s="263" t="s">
        <v>3707</v>
      </c>
      <c r="E1942" s="263" t="s">
        <v>3708</v>
      </c>
      <c r="F1942" s="263" t="s">
        <v>3370</v>
      </c>
    </row>
    <row r="1943" spans="1:6">
      <c r="A1943" s="263">
        <v>1942</v>
      </c>
      <c r="B1943" s="263" t="s">
        <v>3711</v>
      </c>
      <c r="C1943" s="263" t="s">
        <v>3712</v>
      </c>
      <c r="D1943" s="263" t="s">
        <v>3707</v>
      </c>
      <c r="E1943" s="263" t="s">
        <v>3708</v>
      </c>
      <c r="F1943" s="263" t="s">
        <v>3370</v>
      </c>
    </row>
    <row r="1944" spans="1:6">
      <c r="A1944" s="263">
        <v>1943</v>
      </c>
      <c r="B1944" s="263" t="s">
        <v>3713</v>
      </c>
      <c r="C1944" s="263" t="s">
        <v>815</v>
      </c>
      <c r="D1944" s="263" t="s">
        <v>3707</v>
      </c>
      <c r="E1944" s="263" t="s">
        <v>3708</v>
      </c>
      <c r="F1944" s="263" t="s">
        <v>3370</v>
      </c>
    </row>
    <row r="1945" spans="1:6">
      <c r="A1945" s="263">
        <v>1944</v>
      </c>
      <c r="B1945" s="263" t="s">
        <v>3714</v>
      </c>
      <c r="C1945" s="263" t="s">
        <v>3175</v>
      </c>
      <c r="D1945" s="263" t="s">
        <v>3707</v>
      </c>
      <c r="E1945" s="263" t="s">
        <v>3708</v>
      </c>
      <c r="F1945" s="263" t="s">
        <v>3370</v>
      </c>
    </row>
    <row r="1946" spans="1:6">
      <c r="A1946" s="263">
        <v>1945</v>
      </c>
      <c r="B1946" s="263" t="s">
        <v>3715</v>
      </c>
      <c r="C1946" s="263" t="s">
        <v>964</v>
      </c>
      <c r="D1946" s="263" t="s">
        <v>3707</v>
      </c>
      <c r="E1946" s="263" t="s">
        <v>3708</v>
      </c>
      <c r="F1946" s="263" t="s">
        <v>3370</v>
      </c>
    </row>
    <row r="1947" spans="1:6">
      <c r="A1947" s="263">
        <v>1946</v>
      </c>
      <c r="B1947" s="263" t="s">
        <v>3716</v>
      </c>
      <c r="C1947" s="263" t="s">
        <v>3717</v>
      </c>
      <c r="D1947" s="263" t="s">
        <v>3707</v>
      </c>
      <c r="E1947" s="263" t="s">
        <v>3708</v>
      </c>
      <c r="F1947" s="263" t="s">
        <v>3370</v>
      </c>
    </row>
    <row r="1948" spans="1:6">
      <c r="A1948" s="263">
        <v>1947</v>
      </c>
      <c r="B1948" s="263" t="s">
        <v>3718</v>
      </c>
      <c r="C1948" s="263" t="s">
        <v>3719</v>
      </c>
      <c r="D1948" s="263" t="s">
        <v>3720</v>
      </c>
      <c r="E1948" s="263" t="s">
        <v>3721</v>
      </c>
      <c r="F1948" s="263" t="s">
        <v>3722</v>
      </c>
    </row>
    <row r="1949" spans="1:6">
      <c r="A1949" s="263">
        <v>1948</v>
      </c>
      <c r="B1949" s="263" t="s">
        <v>3723</v>
      </c>
      <c r="C1949" s="263" t="s">
        <v>3724</v>
      </c>
      <c r="D1949" s="263" t="s">
        <v>3720</v>
      </c>
      <c r="E1949" s="263" t="s">
        <v>3721</v>
      </c>
      <c r="F1949" s="263" t="s">
        <v>3722</v>
      </c>
    </row>
    <row r="1950" spans="1:6">
      <c r="A1950" s="263">
        <v>1949</v>
      </c>
      <c r="B1950" s="263" t="s">
        <v>3725</v>
      </c>
      <c r="C1950" s="263" t="s">
        <v>783</v>
      </c>
      <c r="D1950" s="263" t="s">
        <v>3720</v>
      </c>
      <c r="E1950" s="263" t="s">
        <v>3721</v>
      </c>
      <c r="F1950" s="263" t="s">
        <v>3722</v>
      </c>
    </row>
    <row r="1951" spans="1:6">
      <c r="A1951" s="263">
        <v>1950</v>
      </c>
      <c r="B1951" s="263" t="s">
        <v>3726</v>
      </c>
      <c r="C1951" s="263" t="s">
        <v>3727</v>
      </c>
      <c r="D1951" s="263" t="s">
        <v>3720</v>
      </c>
      <c r="E1951" s="263" t="s">
        <v>3721</v>
      </c>
      <c r="F1951" s="263" t="s">
        <v>3722</v>
      </c>
    </row>
    <row r="1952" spans="1:6">
      <c r="A1952" s="263">
        <v>1951</v>
      </c>
      <c r="B1952" s="263" t="s">
        <v>3728</v>
      </c>
      <c r="C1952" s="263" t="s">
        <v>3729</v>
      </c>
      <c r="D1952" s="263" t="s">
        <v>3720</v>
      </c>
      <c r="E1952" s="263" t="s">
        <v>3721</v>
      </c>
      <c r="F1952" s="263" t="s">
        <v>3722</v>
      </c>
    </row>
    <row r="1953" spans="1:6">
      <c r="A1953" s="263">
        <v>1952</v>
      </c>
      <c r="B1953" s="263" t="s">
        <v>3730</v>
      </c>
      <c r="C1953" s="263" t="s">
        <v>3731</v>
      </c>
      <c r="D1953" s="263" t="s">
        <v>3720</v>
      </c>
      <c r="E1953" s="263" t="s">
        <v>3721</v>
      </c>
      <c r="F1953" s="263" t="s">
        <v>3722</v>
      </c>
    </row>
    <row r="1954" spans="1:6">
      <c r="A1954" s="263">
        <v>1953</v>
      </c>
      <c r="B1954" s="263" t="s">
        <v>3732</v>
      </c>
      <c r="C1954" s="263" t="s">
        <v>3733</v>
      </c>
      <c r="D1954" s="263" t="s">
        <v>3720</v>
      </c>
      <c r="E1954" s="263" t="s">
        <v>3721</v>
      </c>
      <c r="F1954" s="263" t="s">
        <v>3722</v>
      </c>
    </row>
    <row r="1955" spans="1:6">
      <c r="A1955" s="263">
        <v>1954</v>
      </c>
      <c r="B1955" s="263" t="s">
        <v>3734</v>
      </c>
      <c r="C1955" s="263" t="s">
        <v>3735</v>
      </c>
      <c r="D1955" s="263" t="s">
        <v>3720</v>
      </c>
      <c r="E1955" s="263" t="s">
        <v>3721</v>
      </c>
      <c r="F1955" s="263" t="s">
        <v>3722</v>
      </c>
    </row>
    <row r="1956" spans="1:6">
      <c r="A1956" s="263">
        <v>1955</v>
      </c>
      <c r="B1956" s="263" t="s">
        <v>3736</v>
      </c>
      <c r="C1956" s="263" t="s">
        <v>793</v>
      </c>
      <c r="D1956" s="263" t="s">
        <v>3720</v>
      </c>
      <c r="E1956" s="263" t="s">
        <v>3721</v>
      </c>
      <c r="F1956" s="263" t="s">
        <v>3722</v>
      </c>
    </row>
    <row r="1957" spans="1:6">
      <c r="A1957" s="263">
        <v>1956</v>
      </c>
      <c r="B1957" s="263" t="s">
        <v>3737</v>
      </c>
      <c r="C1957" s="263" t="s">
        <v>3738</v>
      </c>
      <c r="D1957" s="263" t="s">
        <v>3720</v>
      </c>
      <c r="E1957" s="263" t="s">
        <v>3721</v>
      </c>
      <c r="F1957" s="263" t="s">
        <v>3722</v>
      </c>
    </row>
    <row r="1958" spans="1:6">
      <c r="A1958" s="263">
        <v>1957</v>
      </c>
      <c r="B1958" s="263" t="s">
        <v>3739</v>
      </c>
      <c r="C1958" s="263" t="s">
        <v>3740</v>
      </c>
      <c r="D1958" s="263" t="s">
        <v>3720</v>
      </c>
      <c r="E1958" s="263" t="s">
        <v>3721</v>
      </c>
      <c r="F1958" s="263" t="s">
        <v>3722</v>
      </c>
    </row>
    <row r="1959" spans="1:6">
      <c r="A1959" s="263">
        <v>1958</v>
      </c>
      <c r="B1959" s="263" t="s">
        <v>3741</v>
      </c>
      <c r="C1959" s="263" t="s">
        <v>3742</v>
      </c>
      <c r="D1959" s="263" t="s">
        <v>3720</v>
      </c>
      <c r="E1959" s="263" t="s">
        <v>3721</v>
      </c>
      <c r="F1959" s="263" t="s">
        <v>3722</v>
      </c>
    </row>
    <row r="1960" spans="1:6">
      <c r="A1960" s="263">
        <v>1959</v>
      </c>
      <c r="B1960" s="263" t="s">
        <v>3743</v>
      </c>
      <c r="C1960" s="263" t="s">
        <v>3744</v>
      </c>
      <c r="D1960" s="263" t="s">
        <v>3720</v>
      </c>
      <c r="E1960" s="263" t="s">
        <v>3721</v>
      </c>
      <c r="F1960" s="263" t="s">
        <v>3722</v>
      </c>
    </row>
    <row r="1961" spans="1:6">
      <c r="A1961" s="263">
        <v>1960</v>
      </c>
      <c r="B1961" s="263" t="s">
        <v>3745</v>
      </c>
      <c r="C1961" s="263" t="s">
        <v>3746</v>
      </c>
      <c r="D1961" s="263" t="s">
        <v>3720</v>
      </c>
      <c r="E1961" s="263" t="s">
        <v>3721</v>
      </c>
      <c r="F1961" s="263" t="s">
        <v>3722</v>
      </c>
    </row>
    <row r="1962" spans="1:6">
      <c r="A1962" s="263">
        <v>1961</v>
      </c>
      <c r="B1962" s="263" t="s">
        <v>3747</v>
      </c>
      <c r="C1962" s="263" t="s">
        <v>3748</v>
      </c>
      <c r="D1962" s="263" t="s">
        <v>3749</v>
      </c>
      <c r="E1962" s="263" t="s">
        <v>3750</v>
      </c>
      <c r="F1962" s="263" t="s">
        <v>3722</v>
      </c>
    </row>
    <row r="1963" spans="1:6">
      <c r="A1963" s="263">
        <v>1962</v>
      </c>
      <c r="B1963" s="263" t="s">
        <v>3751</v>
      </c>
      <c r="C1963" s="263" t="s">
        <v>3752</v>
      </c>
      <c r="D1963" s="263" t="s">
        <v>3749</v>
      </c>
      <c r="E1963" s="263" t="s">
        <v>3750</v>
      </c>
      <c r="F1963" s="263" t="s">
        <v>3722</v>
      </c>
    </row>
    <row r="1964" spans="1:6">
      <c r="A1964" s="263">
        <v>1963</v>
      </c>
      <c r="B1964" s="263" t="s">
        <v>3753</v>
      </c>
      <c r="C1964" s="263" t="s">
        <v>3216</v>
      </c>
      <c r="D1964" s="263" t="s">
        <v>3749</v>
      </c>
      <c r="E1964" s="263" t="s">
        <v>3750</v>
      </c>
      <c r="F1964" s="263" t="s">
        <v>3722</v>
      </c>
    </row>
    <row r="1965" spans="1:6">
      <c r="A1965" s="263">
        <v>1964</v>
      </c>
      <c r="B1965" s="263" t="s">
        <v>3754</v>
      </c>
      <c r="C1965" s="263" t="s">
        <v>3755</v>
      </c>
      <c r="D1965" s="263" t="s">
        <v>3749</v>
      </c>
      <c r="E1965" s="263" t="s">
        <v>3750</v>
      </c>
      <c r="F1965" s="263" t="s">
        <v>3722</v>
      </c>
    </row>
    <row r="1966" spans="1:6">
      <c r="A1966" s="263">
        <v>1965</v>
      </c>
      <c r="B1966" s="263" t="s">
        <v>3756</v>
      </c>
      <c r="C1966" s="263" t="s">
        <v>3757</v>
      </c>
      <c r="D1966" s="263" t="s">
        <v>3749</v>
      </c>
      <c r="E1966" s="263" t="s">
        <v>3750</v>
      </c>
      <c r="F1966" s="263" t="s">
        <v>3722</v>
      </c>
    </row>
    <row r="1967" spans="1:6">
      <c r="A1967" s="263">
        <v>1966</v>
      </c>
      <c r="B1967" s="263" t="s">
        <v>3758</v>
      </c>
      <c r="C1967" s="263" t="s">
        <v>3759</v>
      </c>
      <c r="D1967" s="263" t="s">
        <v>3749</v>
      </c>
      <c r="E1967" s="263" t="s">
        <v>3750</v>
      </c>
      <c r="F1967" s="263" t="s">
        <v>3722</v>
      </c>
    </row>
    <row r="1968" spans="1:6">
      <c r="A1968" s="263">
        <v>1967</v>
      </c>
      <c r="B1968" s="263" t="s">
        <v>3760</v>
      </c>
      <c r="C1968" s="263" t="s">
        <v>3761</v>
      </c>
      <c r="D1968" s="263" t="s">
        <v>3749</v>
      </c>
      <c r="E1968" s="263" t="s">
        <v>3750</v>
      </c>
      <c r="F1968" s="263" t="s">
        <v>3722</v>
      </c>
    </row>
    <row r="1969" spans="1:6">
      <c r="A1969" s="263">
        <v>1968</v>
      </c>
      <c r="B1969" s="263" t="s">
        <v>3762</v>
      </c>
      <c r="C1969" s="263" t="s">
        <v>3763</v>
      </c>
      <c r="D1969" s="263" t="s">
        <v>3749</v>
      </c>
      <c r="E1969" s="263" t="s">
        <v>3750</v>
      </c>
      <c r="F1969" s="263" t="s">
        <v>3722</v>
      </c>
    </row>
    <row r="1970" spans="1:6">
      <c r="A1970" s="263">
        <v>1969</v>
      </c>
      <c r="B1970" s="263" t="s">
        <v>3764</v>
      </c>
      <c r="C1970" s="263" t="s">
        <v>3765</v>
      </c>
      <c r="D1970" s="263" t="s">
        <v>3749</v>
      </c>
      <c r="E1970" s="263" t="s">
        <v>3750</v>
      </c>
      <c r="F1970" s="263" t="s">
        <v>3722</v>
      </c>
    </row>
    <row r="1971" spans="1:6">
      <c r="A1971" s="263">
        <v>1970</v>
      </c>
      <c r="B1971" s="263" t="s">
        <v>3766</v>
      </c>
      <c r="C1971" s="263" t="s">
        <v>3767</v>
      </c>
      <c r="D1971" s="263" t="s">
        <v>3749</v>
      </c>
      <c r="E1971" s="263" t="s">
        <v>3750</v>
      </c>
      <c r="F1971" s="263" t="s">
        <v>3722</v>
      </c>
    </row>
    <row r="1972" spans="1:6">
      <c r="A1972" s="263">
        <v>1971</v>
      </c>
      <c r="B1972" s="263" t="s">
        <v>3768</v>
      </c>
      <c r="C1972" s="263" t="s">
        <v>3769</v>
      </c>
      <c r="D1972" s="263" t="s">
        <v>3749</v>
      </c>
      <c r="E1972" s="263" t="s">
        <v>3750</v>
      </c>
      <c r="F1972" s="263" t="s">
        <v>3722</v>
      </c>
    </row>
    <row r="1973" spans="1:6">
      <c r="A1973" s="263">
        <v>1972</v>
      </c>
      <c r="B1973" s="263" t="s">
        <v>3770</v>
      </c>
      <c r="C1973" s="263" t="s">
        <v>3771</v>
      </c>
      <c r="D1973" s="263" t="s">
        <v>3772</v>
      </c>
      <c r="E1973" s="263" t="s">
        <v>3773</v>
      </c>
      <c r="F1973" s="263" t="s">
        <v>3722</v>
      </c>
    </row>
    <row r="1974" spans="1:6">
      <c r="A1974" s="263">
        <v>1973</v>
      </c>
      <c r="B1974" s="263" t="s">
        <v>3774</v>
      </c>
      <c r="C1974" s="263" t="s">
        <v>919</v>
      </c>
      <c r="D1974" s="263" t="s">
        <v>3772</v>
      </c>
      <c r="E1974" s="263" t="s">
        <v>3773</v>
      </c>
      <c r="F1974" s="263" t="s">
        <v>3722</v>
      </c>
    </row>
    <row r="1975" spans="1:6">
      <c r="A1975" s="263">
        <v>1974</v>
      </c>
      <c r="B1975" s="263" t="s">
        <v>3775</v>
      </c>
      <c r="C1975" s="263" t="s">
        <v>3776</v>
      </c>
      <c r="D1975" s="263" t="s">
        <v>3772</v>
      </c>
      <c r="E1975" s="263" t="s">
        <v>3773</v>
      </c>
      <c r="F1975" s="263" t="s">
        <v>3722</v>
      </c>
    </row>
    <row r="1976" spans="1:6">
      <c r="A1976" s="263">
        <v>1975</v>
      </c>
      <c r="B1976" s="263" t="s">
        <v>3777</v>
      </c>
      <c r="C1976" s="263" t="s">
        <v>3778</v>
      </c>
      <c r="D1976" s="263" t="s">
        <v>3772</v>
      </c>
      <c r="E1976" s="263" t="s">
        <v>3773</v>
      </c>
      <c r="F1976" s="263" t="s">
        <v>3722</v>
      </c>
    </row>
    <row r="1977" spans="1:6">
      <c r="A1977" s="263">
        <v>1976</v>
      </c>
      <c r="B1977" s="263" t="s">
        <v>3779</v>
      </c>
      <c r="C1977" s="263" t="s">
        <v>3780</v>
      </c>
      <c r="D1977" s="263" t="s">
        <v>3772</v>
      </c>
      <c r="E1977" s="263" t="s">
        <v>3773</v>
      </c>
      <c r="F1977" s="263" t="s">
        <v>3722</v>
      </c>
    </row>
    <row r="1978" spans="1:6">
      <c r="A1978" s="263">
        <v>1977</v>
      </c>
      <c r="B1978" s="263" t="s">
        <v>3781</v>
      </c>
      <c r="C1978" s="263" t="s">
        <v>3782</v>
      </c>
      <c r="D1978" s="263" t="s">
        <v>3772</v>
      </c>
      <c r="E1978" s="263" t="s">
        <v>3773</v>
      </c>
      <c r="F1978" s="263" t="s">
        <v>3722</v>
      </c>
    </row>
    <row r="1979" spans="1:6">
      <c r="A1979" s="263">
        <v>1978</v>
      </c>
      <c r="B1979" s="263" t="s">
        <v>3783</v>
      </c>
      <c r="C1979" s="263" t="s">
        <v>3784</v>
      </c>
      <c r="D1979" s="263" t="s">
        <v>3772</v>
      </c>
      <c r="E1979" s="263" t="s">
        <v>3773</v>
      </c>
      <c r="F1979" s="263" t="s">
        <v>3722</v>
      </c>
    </row>
    <row r="1980" spans="1:6">
      <c r="A1980" s="263">
        <v>1979</v>
      </c>
      <c r="B1980" s="263" t="s">
        <v>3785</v>
      </c>
      <c r="C1980" s="263" t="s">
        <v>3786</v>
      </c>
      <c r="D1980" s="263" t="s">
        <v>3772</v>
      </c>
      <c r="E1980" s="263" t="s">
        <v>3773</v>
      </c>
      <c r="F1980" s="263" t="s">
        <v>3722</v>
      </c>
    </row>
    <row r="1981" spans="1:6">
      <c r="A1981" s="263">
        <v>1980</v>
      </c>
      <c r="B1981" s="263" t="s">
        <v>3787</v>
      </c>
      <c r="C1981" s="263" t="s">
        <v>3788</v>
      </c>
      <c r="D1981" s="263" t="s">
        <v>3772</v>
      </c>
      <c r="E1981" s="263" t="s">
        <v>3773</v>
      </c>
      <c r="F1981" s="263" t="s">
        <v>3722</v>
      </c>
    </row>
    <row r="1982" spans="1:6">
      <c r="A1982" s="263">
        <v>1981</v>
      </c>
      <c r="B1982" s="263" t="s">
        <v>3789</v>
      </c>
      <c r="C1982" s="263" t="s">
        <v>3790</v>
      </c>
      <c r="D1982" s="263" t="s">
        <v>3772</v>
      </c>
      <c r="E1982" s="263" t="s">
        <v>3773</v>
      </c>
      <c r="F1982" s="263" t="s">
        <v>3722</v>
      </c>
    </row>
    <row r="1983" spans="1:6">
      <c r="A1983" s="263">
        <v>1982</v>
      </c>
      <c r="B1983" s="263" t="s">
        <v>3791</v>
      </c>
      <c r="C1983" s="263" t="s">
        <v>3792</v>
      </c>
      <c r="D1983" s="263" t="s">
        <v>3772</v>
      </c>
      <c r="E1983" s="263" t="s">
        <v>3773</v>
      </c>
      <c r="F1983" s="263" t="s">
        <v>3722</v>
      </c>
    </row>
    <row r="1984" spans="1:6">
      <c r="A1984" s="263">
        <v>1983</v>
      </c>
      <c r="B1984" s="263" t="s">
        <v>3793</v>
      </c>
      <c r="C1984" s="263" t="s">
        <v>3794</v>
      </c>
      <c r="D1984" s="263" t="s">
        <v>3772</v>
      </c>
      <c r="E1984" s="263" t="s">
        <v>3773</v>
      </c>
      <c r="F1984" s="263" t="s">
        <v>3722</v>
      </c>
    </row>
    <row r="1985" spans="1:6">
      <c r="A1985" s="263">
        <v>1984</v>
      </c>
      <c r="B1985" s="263" t="s">
        <v>3795</v>
      </c>
      <c r="C1985" s="263" t="s">
        <v>3796</v>
      </c>
      <c r="D1985" s="263" t="s">
        <v>3772</v>
      </c>
      <c r="E1985" s="263" t="s">
        <v>3773</v>
      </c>
      <c r="F1985" s="263" t="s">
        <v>3722</v>
      </c>
    </row>
    <row r="1986" spans="1:6">
      <c r="A1986" s="263">
        <v>1985</v>
      </c>
      <c r="B1986" s="263" t="s">
        <v>3797</v>
      </c>
      <c r="C1986" s="263" t="s">
        <v>3798</v>
      </c>
      <c r="D1986" s="263" t="s">
        <v>3772</v>
      </c>
      <c r="E1986" s="263" t="s">
        <v>3773</v>
      </c>
      <c r="F1986" s="263" t="s">
        <v>3722</v>
      </c>
    </row>
    <row r="1987" spans="1:6">
      <c r="A1987" s="263">
        <v>1986</v>
      </c>
      <c r="B1987" s="263" t="s">
        <v>3799</v>
      </c>
      <c r="C1987" s="263" t="s">
        <v>2201</v>
      </c>
      <c r="D1987" s="263" t="s">
        <v>3772</v>
      </c>
      <c r="E1987" s="263" t="s">
        <v>3773</v>
      </c>
      <c r="F1987" s="263" t="s">
        <v>3722</v>
      </c>
    </row>
    <row r="1988" spans="1:6">
      <c r="A1988" s="263">
        <v>1987</v>
      </c>
      <c r="B1988" s="263" t="s">
        <v>3800</v>
      </c>
      <c r="C1988" s="263" t="s">
        <v>3801</v>
      </c>
      <c r="D1988" s="263" t="s">
        <v>3772</v>
      </c>
      <c r="E1988" s="263" t="s">
        <v>3773</v>
      </c>
      <c r="F1988" s="263" t="s">
        <v>3722</v>
      </c>
    </row>
    <row r="1989" spans="1:6">
      <c r="A1989" s="263">
        <v>1988</v>
      </c>
      <c r="B1989" s="263" t="s">
        <v>3802</v>
      </c>
      <c r="C1989" s="263" t="s">
        <v>3803</v>
      </c>
      <c r="D1989" s="263" t="s">
        <v>3772</v>
      </c>
      <c r="E1989" s="263" t="s">
        <v>3773</v>
      </c>
      <c r="F1989" s="263" t="s">
        <v>3722</v>
      </c>
    </row>
    <row r="1990" spans="1:6">
      <c r="A1990" s="263">
        <v>1989</v>
      </c>
      <c r="B1990" s="263" t="s">
        <v>3804</v>
      </c>
      <c r="C1990" s="263" t="s">
        <v>3805</v>
      </c>
      <c r="D1990" s="263" t="s">
        <v>3772</v>
      </c>
      <c r="E1990" s="263" t="s">
        <v>3773</v>
      </c>
      <c r="F1990" s="263" t="s">
        <v>3722</v>
      </c>
    </row>
    <row r="1991" spans="1:6">
      <c r="A1991" s="263">
        <v>1990</v>
      </c>
      <c r="B1991" s="263" t="s">
        <v>3806</v>
      </c>
      <c r="C1991" s="263" t="s">
        <v>3807</v>
      </c>
      <c r="D1991" s="263" t="s">
        <v>3772</v>
      </c>
      <c r="E1991" s="263" t="s">
        <v>3773</v>
      </c>
      <c r="F1991" s="263" t="s">
        <v>3722</v>
      </c>
    </row>
    <row r="1992" spans="1:6">
      <c r="A1992" s="263">
        <v>1991</v>
      </c>
      <c r="B1992" s="263" t="s">
        <v>3808</v>
      </c>
      <c r="C1992" s="263" t="s">
        <v>3809</v>
      </c>
      <c r="D1992" s="263" t="s">
        <v>3810</v>
      </c>
      <c r="E1992" s="263" t="s">
        <v>3811</v>
      </c>
      <c r="F1992" s="263" t="s">
        <v>3722</v>
      </c>
    </row>
    <row r="1993" spans="1:6">
      <c r="A1993" s="263">
        <v>1992</v>
      </c>
      <c r="B1993" s="263" t="s">
        <v>3812</v>
      </c>
      <c r="C1993" s="263" t="s">
        <v>3813</v>
      </c>
      <c r="D1993" s="263" t="s">
        <v>3810</v>
      </c>
      <c r="E1993" s="263" t="s">
        <v>3811</v>
      </c>
      <c r="F1993" s="263" t="s">
        <v>3722</v>
      </c>
    </row>
    <row r="1994" spans="1:6">
      <c r="A1994" s="263">
        <v>1993</v>
      </c>
      <c r="B1994" s="263" t="s">
        <v>3814</v>
      </c>
      <c r="C1994" s="263" t="s">
        <v>3815</v>
      </c>
      <c r="D1994" s="263" t="s">
        <v>3810</v>
      </c>
      <c r="E1994" s="263" t="s">
        <v>3811</v>
      </c>
      <c r="F1994" s="263" t="s">
        <v>3722</v>
      </c>
    </row>
    <row r="1995" spans="1:6">
      <c r="A1995" s="263">
        <v>1994</v>
      </c>
      <c r="B1995" s="263" t="s">
        <v>3816</v>
      </c>
      <c r="C1995" s="263" t="s">
        <v>3817</v>
      </c>
      <c r="D1995" s="263" t="s">
        <v>3810</v>
      </c>
      <c r="E1995" s="263" t="s">
        <v>3811</v>
      </c>
      <c r="F1995" s="263" t="s">
        <v>3722</v>
      </c>
    </row>
    <row r="1996" spans="1:6">
      <c r="A1996" s="263">
        <v>1995</v>
      </c>
      <c r="B1996" s="263" t="s">
        <v>3818</v>
      </c>
      <c r="C1996" s="263" t="s">
        <v>3819</v>
      </c>
      <c r="D1996" s="263" t="s">
        <v>3810</v>
      </c>
      <c r="E1996" s="263" t="s">
        <v>3811</v>
      </c>
      <c r="F1996" s="263" t="s">
        <v>3722</v>
      </c>
    </row>
    <row r="1997" spans="1:6">
      <c r="A1997" s="263">
        <v>1996</v>
      </c>
      <c r="B1997" s="263" t="s">
        <v>3820</v>
      </c>
      <c r="C1997" s="263" t="s">
        <v>3821</v>
      </c>
      <c r="D1997" s="263" t="s">
        <v>3810</v>
      </c>
      <c r="E1997" s="263" t="s">
        <v>3811</v>
      </c>
      <c r="F1997" s="263" t="s">
        <v>3722</v>
      </c>
    </row>
    <row r="1998" spans="1:6">
      <c r="A1998" s="263">
        <v>1997</v>
      </c>
      <c r="B1998" s="263" t="s">
        <v>3822</v>
      </c>
      <c r="C1998" s="263" t="s">
        <v>3823</v>
      </c>
      <c r="D1998" s="263" t="s">
        <v>3824</v>
      </c>
      <c r="E1998" s="263" t="s">
        <v>3825</v>
      </c>
      <c r="F1998" s="263" t="s">
        <v>3722</v>
      </c>
    </row>
    <row r="1999" spans="1:6">
      <c r="A1999" s="263">
        <v>1998</v>
      </c>
      <c r="B1999" s="263" t="s">
        <v>3826</v>
      </c>
      <c r="C1999" s="263" t="s">
        <v>3827</v>
      </c>
      <c r="D1999" s="263" t="s">
        <v>3824</v>
      </c>
      <c r="E1999" s="263" t="s">
        <v>3825</v>
      </c>
      <c r="F1999" s="263" t="s">
        <v>3722</v>
      </c>
    </row>
    <row r="2000" spans="1:6">
      <c r="A2000" s="263">
        <v>1999</v>
      </c>
      <c r="B2000" s="263" t="s">
        <v>3828</v>
      </c>
      <c r="C2000" s="263" t="s">
        <v>3829</v>
      </c>
      <c r="D2000" s="263" t="s">
        <v>3824</v>
      </c>
      <c r="E2000" s="263" t="s">
        <v>3825</v>
      </c>
      <c r="F2000" s="263" t="s">
        <v>3722</v>
      </c>
    </row>
    <row r="2001" spans="1:6">
      <c r="A2001" s="263">
        <v>2000</v>
      </c>
      <c r="B2001" s="263" t="s">
        <v>3830</v>
      </c>
      <c r="C2001" s="263" t="s">
        <v>3831</v>
      </c>
      <c r="D2001" s="263" t="s">
        <v>3824</v>
      </c>
      <c r="E2001" s="263" t="s">
        <v>3825</v>
      </c>
      <c r="F2001" s="263" t="s">
        <v>3722</v>
      </c>
    </row>
    <row r="2002" spans="1:6">
      <c r="A2002" s="263">
        <v>2001</v>
      </c>
      <c r="B2002" s="263" t="s">
        <v>3832</v>
      </c>
      <c r="C2002" s="263" t="s">
        <v>3833</v>
      </c>
      <c r="D2002" s="263" t="s">
        <v>3824</v>
      </c>
      <c r="E2002" s="263" t="s">
        <v>3825</v>
      </c>
      <c r="F2002" s="263" t="s">
        <v>3722</v>
      </c>
    </row>
    <row r="2003" spans="1:6">
      <c r="A2003" s="263">
        <v>2002</v>
      </c>
      <c r="B2003" s="263" t="s">
        <v>3834</v>
      </c>
      <c r="C2003" s="263" t="s">
        <v>3835</v>
      </c>
      <c r="D2003" s="263" t="s">
        <v>3824</v>
      </c>
      <c r="E2003" s="263" t="s">
        <v>3825</v>
      </c>
      <c r="F2003" s="263" t="s">
        <v>3722</v>
      </c>
    </row>
    <row r="2004" spans="1:6">
      <c r="A2004" s="263">
        <v>2003</v>
      </c>
      <c r="B2004" s="263" t="s">
        <v>3836</v>
      </c>
      <c r="C2004" s="263" t="s">
        <v>3837</v>
      </c>
      <c r="D2004" s="263" t="s">
        <v>3824</v>
      </c>
      <c r="E2004" s="263" t="s">
        <v>3825</v>
      </c>
      <c r="F2004" s="263" t="s">
        <v>3722</v>
      </c>
    </row>
    <row r="2005" spans="1:6">
      <c r="A2005" s="263">
        <v>2004</v>
      </c>
      <c r="B2005" s="263" t="s">
        <v>3838</v>
      </c>
      <c r="C2005" s="263" t="s">
        <v>3839</v>
      </c>
      <c r="D2005" s="263" t="s">
        <v>3824</v>
      </c>
      <c r="E2005" s="263" t="s">
        <v>3825</v>
      </c>
      <c r="F2005" s="263" t="s">
        <v>3722</v>
      </c>
    </row>
    <row r="2006" spans="1:6">
      <c r="A2006" s="263">
        <v>2005</v>
      </c>
      <c r="B2006" s="263" t="s">
        <v>3840</v>
      </c>
      <c r="C2006" s="263" t="s">
        <v>702</v>
      </c>
      <c r="D2006" s="263" t="s">
        <v>3824</v>
      </c>
      <c r="E2006" s="263" t="s">
        <v>3825</v>
      </c>
      <c r="F2006" s="263" t="s">
        <v>3722</v>
      </c>
    </row>
    <row r="2007" spans="1:6">
      <c r="A2007" s="263">
        <v>2006</v>
      </c>
      <c r="B2007" s="263" t="s">
        <v>3841</v>
      </c>
      <c r="C2007" s="263" t="s">
        <v>3842</v>
      </c>
      <c r="D2007" s="263" t="s">
        <v>3824</v>
      </c>
      <c r="E2007" s="263" t="s">
        <v>3825</v>
      </c>
      <c r="F2007" s="263" t="s">
        <v>3722</v>
      </c>
    </row>
    <row r="2008" spans="1:6">
      <c r="A2008" s="263">
        <v>2007</v>
      </c>
      <c r="B2008" s="263" t="s">
        <v>3843</v>
      </c>
      <c r="C2008" s="263" t="s">
        <v>1254</v>
      </c>
      <c r="D2008" s="263" t="s">
        <v>3824</v>
      </c>
      <c r="E2008" s="263" t="s">
        <v>3825</v>
      </c>
      <c r="F2008" s="263" t="s">
        <v>3722</v>
      </c>
    </row>
    <row r="2009" spans="1:6">
      <c r="A2009" s="263">
        <v>2008</v>
      </c>
      <c r="B2009" s="263" t="s">
        <v>3844</v>
      </c>
      <c r="C2009" s="263" t="s">
        <v>1079</v>
      </c>
      <c r="D2009" s="263" t="s">
        <v>3824</v>
      </c>
      <c r="E2009" s="263" t="s">
        <v>3825</v>
      </c>
      <c r="F2009" s="263" t="s">
        <v>3722</v>
      </c>
    </row>
    <row r="2010" spans="1:6">
      <c r="A2010" s="263">
        <v>2009</v>
      </c>
      <c r="B2010" s="263" t="s">
        <v>3845</v>
      </c>
      <c r="C2010" s="263" t="s">
        <v>3846</v>
      </c>
      <c r="D2010" s="263" t="s">
        <v>3824</v>
      </c>
      <c r="E2010" s="263" t="s">
        <v>3825</v>
      </c>
      <c r="F2010" s="263" t="s">
        <v>3722</v>
      </c>
    </row>
    <row r="2011" spans="1:6">
      <c r="A2011" s="263">
        <v>2010</v>
      </c>
      <c r="B2011" s="263" t="s">
        <v>3847</v>
      </c>
      <c r="C2011" s="263" t="s">
        <v>3848</v>
      </c>
      <c r="D2011" s="263" t="s">
        <v>3824</v>
      </c>
      <c r="E2011" s="263" t="s">
        <v>3825</v>
      </c>
      <c r="F2011" s="263" t="s">
        <v>3722</v>
      </c>
    </row>
    <row r="2012" spans="1:6">
      <c r="A2012" s="263">
        <v>2011</v>
      </c>
      <c r="B2012" s="263" t="s">
        <v>3849</v>
      </c>
      <c r="C2012" s="263" t="s">
        <v>3850</v>
      </c>
      <c r="D2012" s="263" t="s">
        <v>3824</v>
      </c>
      <c r="E2012" s="263" t="s">
        <v>3825</v>
      </c>
      <c r="F2012" s="263" t="s">
        <v>3722</v>
      </c>
    </row>
    <row r="2013" spans="1:6">
      <c r="A2013" s="263">
        <v>2012</v>
      </c>
      <c r="B2013" s="263" t="s">
        <v>3851</v>
      </c>
      <c r="C2013" s="263" t="s">
        <v>3852</v>
      </c>
      <c r="D2013" s="263" t="s">
        <v>3824</v>
      </c>
      <c r="E2013" s="263" t="s">
        <v>3825</v>
      </c>
      <c r="F2013" s="263" t="s">
        <v>3722</v>
      </c>
    </row>
    <row r="2014" spans="1:6">
      <c r="A2014" s="263">
        <v>2013</v>
      </c>
      <c r="B2014" s="263" t="s">
        <v>3853</v>
      </c>
      <c r="C2014" s="263" t="s">
        <v>3854</v>
      </c>
      <c r="D2014" s="263" t="s">
        <v>3855</v>
      </c>
      <c r="E2014" s="263" t="s">
        <v>3856</v>
      </c>
      <c r="F2014" s="263" t="s">
        <v>3722</v>
      </c>
    </row>
    <row r="2015" spans="1:6">
      <c r="A2015" s="263">
        <v>2014</v>
      </c>
      <c r="B2015" s="263" t="s">
        <v>3857</v>
      </c>
      <c r="C2015" s="263" t="s">
        <v>3858</v>
      </c>
      <c r="D2015" s="263" t="s">
        <v>3855</v>
      </c>
      <c r="E2015" s="263" t="s">
        <v>3856</v>
      </c>
      <c r="F2015" s="263" t="s">
        <v>3722</v>
      </c>
    </row>
    <row r="2016" spans="1:6">
      <c r="A2016" s="263">
        <v>2015</v>
      </c>
      <c r="B2016" s="263" t="s">
        <v>3859</v>
      </c>
      <c r="C2016" s="263" t="s">
        <v>3860</v>
      </c>
      <c r="D2016" s="263" t="s">
        <v>3855</v>
      </c>
      <c r="E2016" s="263" t="s">
        <v>3856</v>
      </c>
      <c r="F2016" s="263" t="s">
        <v>3722</v>
      </c>
    </row>
    <row r="2017" spans="1:6">
      <c r="A2017" s="263">
        <v>2016</v>
      </c>
      <c r="B2017" s="263" t="s">
        <v>3861</v>
      </c>
      <c r="C2017" s="263" t="s">
        <v>3862</v>
      </c>
      <c r="D2017" s="263" t="s">
        <v>3855</v>
      </c>
      <c r="E2017" s="263" t="s">
        <v>3856</v>
      </c>
      <c r="F2017" s="263" t="s">
        <v>3722</v>
      </c>
    </row>
    <row r="2018" spans="1:6">
      <c r="A2018" s="263">
        <v>2017</v>
      </c>
      <c r="B2018" s="263" t="s">
        <v>3863</v>
      </c>
      <c r="C2018" s="263" t="s">
        <v>2538</v>
      </c>
      <c r="D2018" s="263" t="s">
        <v>3855</v>
      </c>
      <c r="E2018" s="263" t="s">
        <v>3856</v>
      </c>
      <c r="F2018" s="263" t="s">
        <v>3722</v>
      </c>
    </row>
    <row r="2019" spans="1:6">
      <c r="A2019" s="263">
        <v>2018</v>
      </c>
      <c r="B2019" s="263" t="s">
        <v>3864</v>
      </c>
      <c r="C2019" s="263" t="s">
        <v>3865</v>
      </c>
      <c r="D2019" s="263" t="s">
        <v>3855</v>
      </c>
      <c r="E2019" s="263" t="s">
        <v>3856</v>
      </c>
      <c r="F2019" s="263" t="s">
        <v>3722</v>
      </c>
    </row>
    <row r="2020" spans="1:6">
      <c r="A2020" s="263">
        <v>2019</v>
      </c>
      <c r="B2020" s="263" t="s">
        <v>3866</v>
      </c>
      <c r="C2020" s="263" t="s">
        <v>3867</v>
      </c>
      <c r="D2020" s="263" t="s">
        <v>3855</v>
      </c>
      <c r="E2020" s="263" t="s">
        <v>3856</v>
      </c>
      <c r="F2020" s="263" t="s">
        <v>3722</v>
      </c>
    </row>
    <row r="2021" spans="1:6">
      <c r="A2021" s="263">
        <v>2020</v>
      </c>
      <c r="B2021" s="263" t="s">
        <v>3868</v>
      </c>
      <c r="C2021" s="263" t="s">
        <v>3869</v>
      </c>
      <c r="D2021" s="263" t="s">
        <v>3855</v>
      </c>
      <c r="E2021" s="263" t="s">
        <v>3856</v>
      </c>
      <c r="F2021" s="263" t="s">
        <v>3722</v>
      </c>
    </row>
    <row r="2022" spans="1:6">
      <c r="A2022" s="263">
        <v>2021</v>
      </c>
      <c r="B2022" s="263" t="s">
        <v>3870</v>
      </c>
      <c r="C2022" s="263" t="s">
        <v>3871</v>
      </c>
      <c r="D2022" s="263" t="s">
        <v>3855</v>
      </c>
      <c r="E2022" s="263" t="s">
        <v>3856</v>
      </c>
      <c r="F2022" s="263" t="s">
        <v>3722</v>
      </c>
    </row>
    <row r="2023" spans="1:6">
      <c r="A2023" s="263">
        <v>2022</v>
      </c>
      <c r="B2023" s="263" t="s">
        <v>3872</v>
      </c>
      <c r="C2023" s="263" t="s">
        <v>714</v>
      </c>
      <c r="D2023" s="263" t="s">
        <v>3855</v>
      </c>
      <c r="E2023" s="263" t="s">
        <v>3856</v>
      </c>
      <c r="F2023" s="263" t="s">
        <v>3722</v>
      </c>
    </row>
    <row r="2024" spans="1:6">
      <c r="A2024" s="263">
        <v>2023</v>
      </c>
      <c r="B2024" s="263" t="s">
        <v>3873</v>
      </c>
      <c r="C2024" s="263" t="s">
        <v>3874</v>
      </c>
      <c r="D2024" s="263" t="s">
        <v>3875</v>
      </c>
      <c r="E2024" s="263" t="s">
        <v>3876</v>
      </c>
      <c r="F2024" s="263" t="s">
        <v>3722</v>
      </c>
    </row>
    <row r="2025" spans="1:6">
      <c r="A2025" s="263">
        <v>2024</v>
      </c>
      <c r="B2025" s="263" t="s">
        <v>3877</v>
      </c>
      <c r="C2025" s="263" t="s">
        <v>1150</v>
      </c>
      <c r="D2025" s="263" t="s">
        <v>3875</v>
      </c>
      <c r="E2025" s="263" t="s">
        <v>3876</v>
      </c>
      <c r="F2025" s="263" t="s">
        <v>3722</v>
      </c>
    </row>
    <row r="2026" spans="1:6">
      <c r="A2026" s="263">
        <v>2025</v>
      </c>
      <c r="B2026" s="263" t="s">
        <v>3878</v>
      </c>
      <c r="C2026" s="263" t="s">
        <v>3879</v>
      </c>
      <c r="D2026" s="263" t="s">
        <v>3875</v>
      </c>
      <c r="E2026" s="263" t="s">
        <v>3876</v>
      </c>
      <c r="F2026" s="263" t="s">
        <v>3722</v>
      </c>
    </row>
    <row r="2027" spans="1:6">
      <c r="A2027" s="263">
        <v>2026</v>
      </c>
      <c r="B2027" s="263" t="s">
        <v>3880</v>
      </c>
      <c r="C2027" s="263" t="s">
        <v>3881</v>
      </c>
      <c r="D2027" s="263" t="s">
        <v>3875</v>
      </c>
      <c r="E2027" s="263" t="s">
        <v>3876</v>
      </c>
      <c r="F2027" s="263" t="s">
        <v>3722</v>
      </c>
    </row>
    <row r="2028" spans="1:6">
      <c r="A2028" s="263">
        <v>2027</v>
      </c>
      <c r="B2028" s="263" t="s">
        <v>3882</v>
      </c>
      <c r="C2028" s="263" t="s">
        <v>56</v>
      </c>
      <c r="D2028" s="263" t="s">
        <v>3875</v>
      </c>
      <c r="E2028" s="263" t="s">
        <v>3876</v>
      </c>
      <c r="F2028" s="263" t="s">
        <v>3722</v>
      </c>
    </row>
    <row r="2029" spans="1:6">
      <c r="A2029" s="263">
        <v>2028</v>
      </c>
      <c r="B2029" s="263" t="s">
        <v>3883</v>
      </c>
      <c r="C2029" s="263" t="s">
        <v>3884</v>
      </c>
      <c r="D2029" s="263" t="s">
        <v>3875</v>
      </c>
      <c r="E2029" s="263" t="s">
        <v>3876</v>
      </c>
      <c r="F2029" s="263" t="s">
        <v>3722</v>
      </c>
    </row>
    <row r="2030" spans="1:6">
      <c r="A2030" s="263">
        <v>2029</v>
      </c>
      <c r="B2030" s="263" t="s">
        <v>3885</v>
      </c>
      <c r="C2030" s="263" t="s">
        <v>3886</v>
      </c>
      <c r="D2030" s="263" t="s">
        <v>3875</v>
      </c>
      <c r="E2030" s="263" t="s">
        <v>3876</v>
      </c>
      <c r="F2030" s="263" t="s">
        <v>3722</v>
      </c>
    </row>
    <row r="2031" spans="1:6">
      <c r="A2031" s="263">
        <v>2030</v>
      </c>
      <c r="B2031" s="263" t="s">
        <v>3887</v>
      </c>
      <c r="C2031" s="263" t="s">
        <v>3888</v>
      </c>
      <c r="D2031" s="263" t="s">
        <v>3875</v>
      </c>
      <c r="E2031" s="263" t="s">
        <v>3876</v>
      </c>
      <c r="F2031" s="263" t="s">
        <v>3722</v>
      </c>
    </row>
    <row r="2032" spans="1:6">
      <c r="A2032" s="263">
        <v>2031</v>
      </c>
      <c r="B2032" s="263" t="s">
        <v>3889</v>
      </c>
      <c r="C2032" s="263" t="s">
        <v>3890</v>
      </c>
      <c r="D2032" s="263" t="s">
        <v>3875</v>
      </c>
      <c r="E2032" s="263" t="s">
        <v>3876</v>
      </c>
      <c r="F2032" s="263" t="s">
        <v>3722</v>
      </c>
    </row>
    <row r="2033" spans="1:6">
      <c r="A2033" s="263">
        <v>2032</v>
      </c>
      <c r="B2033" s="263" t="s">
        <v>3891</v>
      </c>
      <c r="C2033" s="263" t="s">
        <v>3892</v>
      </c>
      <c r="D2033" s="263" t="s">
        <v>3875</v>
      </c>
      <c r="E2033" s="263" t="s">
        <v>3876</v>
      </c>
      <c r="F2033" s="263" t="s">
        <v>3722</v>
      </c>
    </row>
    <row r="2034" spans="1:6">
      <c r="A2034" s="263">
        <v>2033</v>
      </c>
      <c r="B2034" s="263" t="s">
        <v>3893</v>
      </c>
      <c r="C2034" s="263" t="s">
        <v>3894</v>
      </c>
      <c r="D2034" s="263" t="s">
        <v>3875</v>
      </c>
      <c r="E2034" s="263" t="s">
        <v>3876</v>
      </c>
      <c r="F2034" s="263" t="s">
        <v>3722</v>
      </c>
    </row>
    <row r="2035" spans="1:6">
      <c r="A2035" s="263">
        <v>2034</v>
      </c>
      <c r="B2035" s="263" t="s">
        <v>3895</v>
      </c>
      <c r="C2035" s="263" t="s">
        <v>3896</v>
      </c>
      <c r="D2035" s="263" t="s">
        <v>3897</v>
      </c>
      <c r="E2035" s="263" t="s">
        <v>3898</v>
      </c>
      <c r="F2035" s="263" t="s">
        <v>3722</v>
      </c>
    </row>
    <row r="2036" spans="1:6">
      <c r="A2036" s="263">
        <v>2035</v>
      </c>
      <c r="B2036" s="263" t="s">
        <v>3899</v>
      </c>
      <c r="C2036" s="263" t="s">
        <v>3900</v>
      </c>
      <c r="D2036" s="263" t="s">
        <v>3897</v>
      </c>
      <c r="E2036" s="263" t="s">
        <v>3898</v>
      </c>
      <c r="F2036" s="263" t="s">
        <v>3722</v>
      </c>
    </row>
    <row r="2037" spans="1:6">
      <c r="A2037" s="263">
        <v>2036</v>
      </c>
      <c r="B2037" s="263" t="s">
        <v>3901</v>
      </c>
      <c r="C2037" s="263" t="s">
        <v>3902</v>
      </c>
      <c r="D2037" s="263" t="s">
        <v>3897</v>
      </c>
      <c r="E2037" s="263" t="s">
        <v>3898</v>
      </c>
      <c r="F2037" s="263" t="s">
        <v>3722</v>
      </c>
    </row>
    <row r="2038" spans="1:6">
      <c r="A2038" s="263">
        <v>2037</v>
      </c>
      <c r="B2038" s="263" t="s">
        <v>3903</v>
      </c>
      <c r="C2038" s="263" t="s">
        <v>3904</v>
      </c>
      <c r="D2038" s="263" t="s">
        <v>3897</v>
      </c>
      <c r="E2038" s="263" t="s">
        <v>3898</v>
      </c>
      <c r="F2038" s="263" t="s">
        <v>3722</v>
      </c>
    </row>
    <row r="2039" spans="1:6">
      <c r="A2039" s="263">
        <v>2038</v>
      </c>
      <c r="B2039" s="263" t="s">
        <v>3905</v>
      </c>
      <c r="C2039" s="263" t="s">
        <v>3906</v>
      </c>
      <c r="D2039" s="263" t="s">
        <v>3897</v>
      </c>
      <c r="E2039" s="263" t="s">
        <v>3898</v>
      </c>
      <c r="F2039" s="263" t="s">
        <v>3722</v>
      </c>
    </row>
    <row r="2040" spans="1:6">
      <c r="A2040" s="263">
        <v>2039</v>
      </c>
      <c r="B2040" s="263" t="s">
        <v>3907</v>
      </c>
      <c r="C2040" s="263" t="s">
        <v>3908</v>
      </c>
      <c r="D2040" s="263" t="s">
        <v>3897</v>
      </c>
      <c r="E2040" s="263" t="s">
        <v>3898</v>
      </c>
      <c r="F2040" s="263" t="s">
        <v>3722</v>
      </c>
    </row>
    <row r="2041" spans="1:6">
      <c r="A2041" s="263">
        <v>2040</v>
      </c>
      <c r="B2041" s="263" t="s">
        <v>3909</v>
      </c>
      <c r="C2041" s="263" t="s">
        <v>3910</v>
      </c>
      <c r="D2041" s="263" t="s">
        <v>3897</v>
      </c>
      <c r="E2041" s="263" t="s">
        <v>3898</v>
      </c>
      <c r="F2041" s="263" t="s">
        <v>3722</v>
      </c>
    </row>
    <row r="2042" spans="1:6">
      <c r="A2042" s="263">
        <v>2041</v>
      </c>
      <c r="B2042" s="263" t="s">
        <v>3911</v>
      </c>
      <c r="C2042" s="263" t="s">
        <v>3912</v>
      </c>
      <c r="D2042" s="263" t="s">
        <v>3897</v>
      </c>
      <c r="E2042" s="263" t="s">
        <v>3898</v>
      </c>
      <c r="F2042" s="263" t="s">
        <v>3722</v>
      </c>
    </row>
    <row r="2043" spans="1:6">
      <c r="A2043" s="263">
        <v>2042</v>
      </c>
      <c r="B2043" s="263" t="s">
        <v>3913</v>
      </c>
      <c r="C2043" s="263" t="s">
        <v>3914</v>
      </c>
      <c r="D2043" s="263" t="s">
        <v>3915</v>
      </c>
      <c r="E2043" s="263" t="s">
        <v>3916</v>
      </c>
      <c r="F2043" s="263" t="s">
        <v>3722</v>
      </c>
    </row>
    <row r="2044" spans="1:6">
      <c r="A2044" s="263">
        <v>2043</v>
      </c>
      <c r="B2044" s="263" t="s">
        <v>3917</v>
      </c>
      <c r="C2044" s="263" t="s">
        <v>3918</v>
      </c>
      <c r="D2044" s="263" t="s">
        <v>3915</v>
      </c>
      <c r="E2044" s="263" t="s">
        <v>3916</v>
      </c>
      <c r="F2044" s="263" t="s">
        <v>3722</v>
      </c>
    </row>
    <row r="2045" spans="1:6">
      <c r="A2045" s="263">
        <v>2044</v>
      </c>
      <c r="B2045" s="263" t="s">
        <v>3919</v>
      </c>
      <c r="C2045" s="263" t="s">
        <v>3920</v>
      </c>
      <c r="D2045" s="263" t="s">
        <v>3915</v>
      </c>
      <c r="E2045" s="263" t="s">
        <v>3916</v>
      </c>
      <c r="F2045" s="263" t="s">
        <v>3722</v>
      </c>
    </row>
    <row r="2046" spans="1:6">
      <c r="A2046" s="263">
        <v>2045</v>
      </c>
      <c r="B2046" s="263" t="s">
        <v>3921</v>
      </c>
      <c r="C2046" s="263" t="s">
        <v>3922</v>
      </c>
      <c r="D2046" s="263" t="s">
        <v>3915</v>
      </c>
      <c r="E2046" s="263" t="s">
        <v>3916</v>
      </c>
      <c r="F2046" s="263" t="s">
        <v>3722</v>
      </c>
    </row>
    <row r="2047" spans="1:6">
      <c r="A2047" s="263">
        <v>2046</v>
      </c>
      <c r="B2047" s="263" t="s">
        <v>3923</v>
      </c>
      <c r="C2047" s="263" t="s">
        <v>3924</v>
      </c>
      <c r="D2047" s="263" t="s">
        <v>3915</v>
      </c>
      <c r="E2047" s="263" t="s">
        <v>3916</v>
      </c>
      <c r="F2047" s="263" t="s">
        <v>3722</v>
      </c>
    </row>
    <row r="2048" spans="1:6">
      <c r="A2048" s="263">
        <v>2047</v>
      </c>
      <c r="B2048" s="263" t="s">
        <v>3925</v>
      </c>
      <c r="C2048" s="263" t="s">
        <v>3926</v>
      </c>
      <c r="D2048" s="263" t="s">
        <v>3915</v>
      </c>
      <c r="E2048" s="263" t="s">
        <v>3916</v>
      </c>
      <c r="F2048" s="263" t="s">
        <v>3722</v>
      </c>
    </row>
    <row r="2049" spans="1:6">
      <c r="A2049" s="263">
        <v>2048</v>
      </c>
      <c r="B2049" s="263" t="s">
        <v>3927</v>
      </c>
      <c r="C2049" s="263" t="s">
        <v>3928</v>
      </c>
      <c r="D2049" s="263" t="s">
        <v>3915</v>
      </c>
      <c r="E2049" s="263" t="s">
        <v>3916</v>
      </c>
      <c r="F2049" s="263" t="s">
        <v>3722</v>
      </c>
    </row>
    <row r="2050" spans="1:6">
      <c r="A2050" s="263">
        <v>2049</v>
      </c>
      <c r="B2050" s="263" t="s">
        <v>3929</v>
      </c>
      <c r="C2050" s="263" t="s">
        <v>3930</v>
      </c>
      <c r="D2050" s="263" t="s">
        <v>3915</v>
      </c>
      <c r="E2050" s="263" t="s">
        <v>3916</v>
      </c>
      <c r="F2050" s="263" t="s">
        <v>3722</v>
      </c>
    </row>
    <row r="2051" spans="1:6">
      <c r="A2051" s="263">
        <v>2050</v>
      </c>
      <c r="B2051" s="263" t="s">
        <v>3931</v>
      </c>
      <c r="C2051" s="263" t="s">
        <v>3932</v>
      </c>
      <c r="D2051" s="263" t="s">
        <v>3915</v>
      </c>
      <c r="E2051" s="263" t="s">
        <v>3916</v>
      </c>
      <c r="F2051" s="263" t="s">
        <v>3722</v>
      </c>
    </row>
    <row r="2052" spans="1:6">
      <c r="A2052" s="263">
        <v>2051</v>
      </c>
      <c r="B2052" s="263" t="s">
        <v>3933</v>
      </c>
      <c r="C2052" s="263" t="s">
        <v>3934</v>
      </c>
      <c r="D2052" s="263" t="s">
        <v>3915</v>
      </c>
      <c r="E2052" s="263" t="s">
        <v>3916</v>
      </c>
      <c r="F2052" s="263" t="s">
        <v>3722</v>
      </c>
    </row>
    <row r="2053" spans="1:6">
      <c r="A2053" s="263">
        <v>2052</v>
      </c>
      <c r="B2053" s="263" t="s">
        <v>3935</v>
      </c>
      <c r="C2053" s="263" t="s">
        <v>3936</v>
      </c>
      <c r="D2053" s="263" t="s">
        <v>3937</v>
      </c>
      <c r="E2053" s="263" t="s">
        <v>3938</v>
      </c>
      <c r="F2053" s="263" t="s">
        <v>3722</v>
      </c>
    </row>
    <row r="2054" spans="1:6">
      <c r="A2054" s="263">
        <v>2053</v>
      </c>
      <c r="B2054" s="263" t="s">
        <v>3939</v>
      </c>
      <c r="C2054" s="263" t="s">
        <v>74</v>
      </c>
      <c r="D2054" s="263" t="s">
        <v>3937</v>
      </c>
      <c r="E2054" s="263" t="s">
        <v>3938</v>
      </c>
      <c r="F2054" s="263" t="s">
        <v>3722</v>
      </c>
    </row>
    <row r="2055" spans="1:6">
      <c r="A2055" s="263">
        <v>2054</v>
      </c>
      <c r="B2055" s="263" t="s">
        <v>3940</v>
      </c>
      <c r="C2055" s="263" t="s">
        <v>3941</v>
      </c>
      <c r="D2055" s="263" t="s">
        <v>3937</v>
      </c>
      <c r="E2055" s="263" t="s">
        <v>3938</v>
      </c>
      <c r="F2055" s="263" t="s">
        <v>3722</v>
      </c>
    </row>
    <row r="2056" spans="1:6">
      <c r="A2056" s="263">
        <v>2055</v>
      </c>
      <c r="B2056" s="263" t="s">
        <v>3942</v>
      </c>
      <c r="C2056" s="263" t="s">
        <v>3468</v>
      </c>
      <c r="D2056" s="263" t="s">
        <v>3937</v>
      </c>
      <c r="E2056" s="263" t="s">
        <v>3938</v>
      </c>
      <c r="F2056" s="263" t="s">
        <v>3722</v>
      </c>
    </row>
    <row r="2057" spans="1:6">
      <c r="A2057" s="263">
        <v>2056</v>
      </c>
      <c r="B2057" s="263" t="s">
        <v>3943</v>
      </c>
      <c r="C2057" s="263" t="s">
        <v>3944</v>
      </c>
      <c r="D2057" s="263" t="s">
        <v>3937</v>
      </c>
      <c r="E2057" s="263" t="s">
        <v>3938</v>
      </c>
      <c r="F2057" s="263" t="s">
        <v>3722</v>
      </c>
    </row>
    <row r="2058" spans="1:6">
      <c r="A2058" s="263">
        <v>2057</v>
      </c>
      <c r="B2058" s="263" t="s">
        <v>3945</v>
      </c>
      <c r="C2058" s="263" t="s">
        <v>3946</v>
      </c>
      <c r="D2058" s="263" t="s">
        <v>3937</v>
      </c>
      <c r="E2058" s="263" t="s">
        <v>3938</v>
      </c>
      <c r="F2058" s="263" t="s">
        <v>3722</v>
      </c>
    </row>
    <row r="2059" spans="1:6">
      <c r="A2059" s="263">
        <v>2058</v>
      </c>
      <c r="B2059" s="263" t="s">
        <v>3947</v>
      </c>
      <c r="C2059" s="263" t="s">
        <v>3948</v>
      </c>
      <c r="D2059" s="263" t="s">
        <v>3937</v>
      </c>
      <c r="E2059" s="263" t="s">
        <v>3938</v>
      </c>
      <c r="F2059" s="263" t="s">
        <v>3722</v>
      </c>
    </row>
    <row r="2060" spans="1:6">
      <c r="A2060" s="263">
        <v>2059</v>
      </c>
      <c r="B2060" s="263" t="s">
        <v>3949</v>
      </c>
      <c r="C2060" s="263" t="s">
        <v>3950</v>
      </c>
      <c r="D2060" s="263" t="s">
        <v>3937</v>
      </c>
      <c r="E2060" s="263" t="s">
        <v>3938</v>
      </c>
      <c r="F2060" s="263" t="s">
        <v>3722</v>
      </c>
    </row>
    <row r="2061" spans="1:6">
      <c r="A2061" s="263">
        <v>2060</v>
      </c>
      <c r="B2061" s="263" t="s">
        <v>3951</v>
      </c>
      <c r="C2061" s="263" t="s">
        <v>20</v>
      </c>
      <c r="D2061" s="263" t="s">
        <v>3937</v>
      </c>
      <c r="E2061" s="263" t="s">
        <v>3938</v>
      </c>
      <c r="F2061" s="263" t="s">
        <v>3722</v>
      </c>
    </row>
    <row r="2062" spans="1:6">
      <c r="A2062" s="263">
        <v>2061</v>
      </c>
      <c r="B2062" s="263" t="s">
        <v>3952</v>
      </c>
      <c r="C2062" s="263" t="s">
        <v>3953</v>
      </c>
      <c r="D2062" s="263" t="s">
        <v>3937</v>
      </c>
      <c r="E2062" s="263" t="s">
        <v>3938</v>
      </c>
      <c r="F2062" s="263" t="s">
        <v>3722</v>
      </c>
    </row>
    <row r="2063" spans="1:6">
      <c r="A2063" s="263">
        <v>2062</v>
      </c>
      <c r="B2063" s="263" t="s">
        <v>3954</v>
      </c>
      <c r="C2063" s="263" t="s">
        <v>3955</v>
      </c>
      <c r="D2063" s="263" t="s">
        <v>3937</v>
      </c>
      <c r="E2063" s="263" t="s">
        <v>3938</v>
      </c>
      <c r="F2063" s="263" t="s">
        <v>3722</v>
      </c>
    </row>
    <row r="2064" spans="1:6">
      <c r="A2064" s="263">
        <v>2063</v>
      </c>
      <c r="B2064" s="263" t="s">
        <v>3956</v>
      </c>
      <c r="C2064" s="263" t="s">
        <v>1135</v>
      </c>
      <c r="D2064" s="263" t="s">
        <v>3937</v>
      </c>
      <c r="E2064" s="263" t="s">
        <v>3938</v>
      </c>
      <c r="F2064" s="263" t="s">
        <v>3722</v>
      </c>
    </row>
    <row r="2065" spans="1:6">
      <c r="A2065" s="263">
        <v>2064</v>
      </c>
      <c r="B2065" s="263" t="s">
        <v>3957</v>
      </c>
      <c r="C2065" s="263" t="s">
        <v>353</v>
      </c>
      <c r="D2065" s="263" t="s">
        <v>3937</v>
      </c>
      <c r="E2065" s="263" t="s">
        <v>3938</v>
      </c>
      <c r="F2065" s="263" t="s">
        <v>3722</v>
      </c>
    </row>
    <row r="2066" spans="1:6">
      <c r="A2066" s="263">
        <v>2065</v>
      </c>
      <c r="B2066" s="263" t="s">
        <v>3958</v>
      </c>
      <c r="C2066" s="263" t="s">
        <v>3959</v>
      </c>
      <c r="D2066" s="263" t="s">
        <v>3937</v>
      </c>
      <c r="E2066" s="263" t="s">
        <v>3938</v>
      </c>
      <c r="F2066" s="263" t="s">
        <v>3722</v>
      </c>
    </row>
    <row r="2067" spans="1:6">
      <c r="A2067" s="263">
        <v>2066</v>
      </c>
      <c r="B2067" s="263" t="s">
        <v>3960</v>
      </c>
      <c r="C2067" s="263" t="s">
        <v>3961</v>
      </c>
      <c r="D2067" s="263" t="s">
        <v>3937</v>
      </c>
      <c r="E2067" s="263" t="s">
        <v>3938</v>
      </c>
      <c r="F2067" s="263" t="s">
        <v>3722</v>
      </c>
    </row>
    <row r="2068" spans="1:6">
      <c r="A2068" s="263">
        <v>2067</v>
      </c>
      <c r="B2068" s="263" t="s">
        <v>3962</v>
      </c>
      <c r="C2068" s="263" t="s">
        <v>628</v>
      </c>
      <c r="D2068" s="263" t="s">
        <v>3963</v>
      </c>
      <c r="E2068" s="263" t="s">
        <v>3964</v>
      </c>
      <c r="F2068" s="263" t="s">
        <v>3722</v>
      </c>
    </row>
    <row r="2069" spans="1:6">
      <c r="A2069" s="263">
        <v>2068</v>
      </c>
      <c r="B2069" s="263" t="s">
        <v>3965</v>
      </c>
      <c r="C2069" s="263" t="s">
        <v>632</v>
      </c>
      <c r="D2069" s="263" t="s">
        <v>3963</v>
      </c>
      <c r="E2069" s="263" t="s">
        <v>3964</v>
      </c>
      <c r="F2069" s="263" t="s">
        <v>3722</v>
      </c>
    </row>
    <row r="2070" spans="1:6">
      <c r="A2070" s="263">
        <v>2069</v>
      </c>
      <c r="B2070" s="263" t="s">
        <v>3966</v>
      </c>
      <c r="C2070" s="263" t="s">
        <v>3967</v>
      </c>
      <c r="D2070" s="263" t="s">
        <v>3963</v>
      </c>
      <c r="E2070" s="263" t="s">
        <v>3964</v>
      </c>
      <c r="F2070" s="263" t="s">
        <v>3722</v>
      </c>
    </row>
    <row r="2071" spans="1:6">
      <c r="A2071" s="263">
        <v>2070</v>
      </c>
      <c r="B2071" s="263" t="s">
        <v>3968</v>
      </c>
      <c r="C2071" s="263" t="s">
        <v>3969</v>
      </c>
      <c r="D2071" s="263" t="s">
        <v>3963</v>
      </c>
      <c r="E2071" s="263" t="s">
        <v>3964</v>
      </c>
      <c r="F2071" s="263" t="s">
        <v>3722</v>
      </c>
    </row>
    <row r="2072" spans="1:6">
      <c r="A2072" s="263">
        <v>2071</v>
      </c>
      <c r="B2072" s="263" t="s">
        <v>3970</v>
      </c>
      <c r="C2072" s="263" t="s">
        <v>3971</v>
      </c>
      <c r="D2072" s="263" t="s">
        <v>3963</v>
      </c>
      <c r="E2072" s="263" t="s">
        <v>3964</v>
      </c>
      <c r="F2072" s="263" t="s">
        <v>3722</v>
      </c>
    </row>
    <row r="2073" spans="1:6">
      <c r="A2073" s="263">
        <v>2072</v>
      </c>
      <c r="B2073" s="263" t="s">
        <v>3972</v>
      </c>
      <c r="C2073" s="263" t="s">
        <v>3973</v>
      </c>
      <c r="D2073" s="263" t="s">
        <v>3963</v>
      </c>
      <c r="E2073" s="263" t="s">
        <v>3964</v>
      </c>
      <c r="F2073" s="263" t="s">
        <v>3722</v>
      </c>
    </row>
    <row r="2074" spans="1:6">
      <c r="A2074" s="263">
        <v>2073</v>
      </c>
      <c r="B2074" s="263" t="s">
        <v>3974</v>
      </c>
      <c r="C2074" s="263" t="s">
        <v>3975</v>
      </c>
      <c r="D2074" s="263" t="s">
        <v>3963</v>
      </c>
      <c r="E2074" s="263" t="s">
        <v>3964</v>
      </c>
      <c r="F2074" s="263" t="s">
        <v>3722</v>
      </c>
    </row>
    <row r="2075" spans="1:6">
      <c r="A2075" s="263">
        <v>2074</v>
      </c>
      <c r="B2075" s="263" t="s">
        <v>3976</v>
      </c>
      <c r="C2075" s="263" t="s">
        <v>3977</v>
      </c>
      <c r="D2075" s="263" t="s">
        <v>3963</v>
      </c>
      <c r="E2075" s="263" t="s">
        <v>3964</v>
      </c>
      <c r="F2075" s="263" t="s">
        <v>3722</v>
      </c>
    </row>
    <row r="2076" spans="1:6">
      <c r="A2076" s="263">
        <v>2075</v>
      </c>
      <c r="B2076" s="263" t="s">
        <v>3978</v>
      </c>
      <c r="C2076" s="263" t="s">
        <v>3979</v>
      </c>
      <c r="D2076" s="263" t="s">
        <v>3963</v>
      </c>
      <c r="E2076" s="263" t="s">
        <v>3964</v>
      </c>
      <c r="F2076" s="263" t="s">
        <v>3722</v>
      </c>
    </row>
    <row r="2077" spans="1:6">
      <c r="A2077" s="263">
        <v>2076</v>
      </c>
      <c r="B2077" s="263" t="s">
        <v>3980</v>
      </c>
      <c r="C2077" s="263" t="s">
        <v>3981</v>
      </c>
      <c r="D2077" s="263" t="s">
        <v>3963</v>
      </c>
      <c r="E2077" s="263" t="s">
        <v>3964</v>
      </c>
      <c r="F2077" s="263" t="s">
        <v>3722</v>
      </c>
    </row>
    <row r="2078" spans="1:6">
      <c r="A2078" s="263">
        <v>2077</v>
      </c>
      <c r="B2078" s="263" t="s">
        <v>3982</v>
      </c>
      <c r="C2078" s="263" t="s">
        <v>3983</v>
      </c>
      <c r="D2078" s="263" t="s">
        <v>3963</v>
      </c>
      <c r="E2078" s="263" t="s">
        <v>3964</v>
      </c>
      <c r="F2078" s="263" t="s">
        <v>3722</v>
      </c>
    </row>
    <row r="2079" spans="1:6">
      <c r="A2079" s="263">
        <v>2078</v>
      </c>
      <c r="B2079" s="263" t="s">
        <v>3984</v>
      </c>
      <c r="C2079" s="263" t="s">
        <v>628</v>
      </c>
      <c r="D2079" s="263" t="s">
        <v>3985</v>
      </c>
      <c r="E2079" s="263" t="s">
        <v>3986</v>
      </c>
      <c r="F2079" s="263" t="s">
        <v>3722</v>
      </c>
    </row>
    <row r="2080" spans="1:6">
      <c r="A2080" s="263">
        <v>2079</v>
      </c>
      <c r="B2080" s="263" t="s">
        <v>3987</v>
      </c>
      <c r="C2080" s="263" t="s">
        <v>2581</v>
      </c>
      <c r="D2080" s="263" t="s">
        <v>3985</v>
      </c>
      <c r="E2080" s="263" t="s">
        <v>3986</v>
      </c>
      <c r="F2080" s="263" t="s">
        <v>3722</v>
      </c>
    </row>
    <row r="2081" spans="1:6">
      <c r="A2081" s="263">
        <v>2080</v>
      </c>
      <c r="B2081" s="263" t="s">
        <v>3988</v>
      </c>
      <c r="C2081" s="263" t="s">
        <v>2373</v>
      </c>
      <c r="D2081" s="263" t="s">
        <v>3985</v>
      </c>
      <c r="E2081" s="263" t="s">
        <v>3986</v>
      </c>
      <c r="F2081" s="263" t="s">
        <v>3722</v>
      </c>
    </row>
    <row r="2082" spans="1:6">
      <c r="A2082" s="263">
        <v>2081</v>
      </c>
      <c r="B2082" s="263" t="s">
        <v>3989</v>
      </c>
      <c r="C2082" s="263" t="s">
        <v>2584</v>
      </c>
      <c r="D2082" s="263" t="s">
        <v>3985</v>
      </c>
      <c r="E2082" s="263" t="s">
        <v>3986</v>
      </c>
      <c r="F2082" s="263" t="s">
        <v>3722</v>
      </c>
    </row>
    <row r="2083" spans="1:6">
      <c r="A2083" s="263">
        <v>2082</v>
      </c>
      <c r="B2083" s="263" t="s">
        <v>3990</v>
      </c>
      <c r="C2083" s="263" t="s">
        <v>632</v>
      </c>
      <c r="D2083" s="263" t="s">
        <v>3985</v>
      </c>
      <c r="E2083" s="263" t="s">
        <v>3986</v>
      </c>
      <c r="F2083" s="263" t="s">
        <v>3722</v>
      </c>
    </row>
    <row r="2084" spans="1:6">
      <c r="A2084" s="263">
        <v>2083</v>
      </c>
      <c r="B2084" s="263" t="s">
        <v>3991</v>
      </c>
      <c r="C2084" s="263" t="s">
        <v>634</v>
      </c>
      <c r="D2084" s="263" t="s">
        <v>3985</v>
      </c>
      <c r="E2084" s="263" t="s">
        <v>3986</v>
      </c>
      <c r="F2084" s="263" t="s">
        <v>3722</v>
      </c>
    </row>
    <row r="2085" spans="1:6">
      <c r="A2085" s="263">
        <v>2084</v>
      </c>
      <c r="B2085" s="263" t="s">
        <v>3992</v>
      </c>
      <c r="C2085" s="263" t="s">
        <v>1184</v>
      </c>
      <c r="D2085" s="263" t="s">
        <v>3985</v>
      </c>
      <c r="E2085" s="263" t="s">
        <v>3986</v>
      </c>
      <c r="F2085" s="263" t="s">
        <v>3722</v>
      </c>
    </row>
    <row r="2086" spans="1:6">
      <c r="A2086" s="263">
        <v>2085</v>
      </c>
      <c r="B2086" s="263" t="s">
        <v>3993</v>
      </c>
      <c r="C2086" s="263" t="s">
        <v>636</v>
      </c>
      <c r="D2086" s="263" t="s">
        <v>3985</v>
      </c>
      <c r="E2086" s="263" t="s">
        <v>3986</v>
      </c>
      <c r="F2086" s="263" t="s">
        <v>3722</v>
      </c>
    </row>
    <row r="2087" spans="1:6">
      <c r="A2087" s="263">
        <v>2086</v>
      </c>
      <c r="B2087" s="263" t="s">
        <v>3994</v>
      </c>
      <c r="C2087" s="263" t="s">
        <v>1187</v>
      </c>
      <c r="D2087" s="263" t="s">
        <v>3985</v>
      </c>
      <c r="E2087" s="263" t="s">
        <v>3986</v>
      </c>
      <c r="F2087" s="263" t="s">
        <v>3722</v>
      </c>
    </row>
    <row r="2088" spans="1:6">
      <c r="A2088" s="263">
        <v>2087</v>
      </c>
      <c r="B2088" s="263" t="s">
        <v>3995</v>
      </c>
      <c r="C2088" s="263" t="s">
        <v>638</v>
      </c>
      <c r="D2088" s="263" t="s">
        <v>3985</v>
      </c>
      <c r="E2088" s="263" t="s">
        <v>3986</v>
      </c>
      <c r="F2088" s="263" t="s">
        <v>3722</v>
      </c>
    </row>
    <row r="2089" spans="1:6">
      <c r="A2089" s="263">
        <v>2088</v>
      </c>
      <c r="B2089" s="263" t="s">
        <v>3996</v>
      </c>
      <c r="C2089" s="263" t="s">
        <v>640</v>
      </c>
      <c r="D2089" s="263" t="s">
        <v>3985</v>
      </c>
      <c r="E2089" s="263" t="s">
        <v>3986</v>
      </c>
      <c r="F2089" s="263" t="s">
        <v>3722</v>
      </c>
    </row>
    <row r="2090" spans="1:6">
      <c r="A2090" s="263">
        <v>2089</v>
      </c>
      <c r="B2090" s="263" t="s">
        <v>3997</v>
      </c>
      <c r="C2090" s="263" t="s">
        <v>1645</v>
      </c>
      <c r="D2090" s="263" t="s">
        <v>3985</v>
      </c>
      <c r="E2090" s="263" t="s">
        <v>3986</v>
      </c>
      <c r="F2090" s="263" t="s">
        <v>3722</v>
      </c>
    </row>
    <row r="2091" spans="1:6">
      <c r="A2091" s="263">
        <v>2090</v>
      </c>
      <c r="B2091" s="263" t="s">
        <v>3998</v>
      </c>
      <c r="C2091" s="263" t="s">
        <v>3999</v>
      </c>
      <c r="D2091" s="263" t="s">
        <v>3985</v>
      </c>
      <c r="E2091" s="263" t="s">
        <v>3986</v>
      </c>
      <c r="F2091" s="263" t="s">
        <v>3722</v>
      </c>
    </row>
    <row r="2092" spans="1:6">
      <c r="A2092" s="263">
        <v>2091</v>
      </c>
      <c r="B2092" s="263" t="s">
        <v>4000</v>
      </c>
      <c r="C2092" s="263" t="s">
        <v>4001</v>
      </c>
      <c r="D2092" s="263" t="s">
        <v>3985</v>
      </c>
      <c r="E2092" s="263" t="s">
        <v>3986</v>
      </c>
      <c r="F2092" s="263" t="s">
        <v>3722</v>
      </c>
    </row>
    <row r="2093" spans="1:6">
      <c r="A2093" s="263">
        <v>2092</v>
      </c>
      <c r="B2093" s="263" t="s">
        <v>4002</v>
      </c>
      <c r="C2093" s="263" t="s">
        <v>2048</v>
      </c>
      <c r="D2093" s="263" t="s">
        <v>3985</v>
      </c>
      <c r="E2093" s="263" t="s">
        <v>3986</v>
      </c>
      <c r="F2093" s="263" t="s">
        <v>3722</v>
      </c>
    </row>
    <row r="2094" spans="1:6">
      <c r="A2094" s="263">
        <v>2093</v>
      </c>
      <c r="B2094" s="263" t="s">
        <v>4003</v>
      </c>
      <c r="C2094" s="263" t="s">
        <v>2050</v>
      </c>
      <c r="D2094" s="263" t="s">
        <v>3985</v>
      </c>
      <c r="E2094" s="263" t="s">
        <v>3986</v>
      </c>
      <c r="F2094" s="263" t="s">
        <v>3722</v>
      </c>
    </row>
    <row r="2095" spans="1:6">
      <c r="A2095" s="263">
        <v>2094</v>
      </c>
      <c r="B2095" s="263" t="s">
        <v>4004</v>
      </c>
      <c r="C2095" s="263" t="s">
        <v>1887</v>
      </c>
      <c r="D2095" s="263" t="s">
        <v>4005</v>
      </c>
      <c r="E2095" s="263" t="s">
        <v>4006</v>
      </c>
      <c r="F2095" s="263" t="s">
        <v>4007</v>
      </c>
    </row>
    <row r="2096" spans="1:6">
      <c r="A2096" s="263">
        <v>2095</v>
      </c>
      <c r="B2096" s="263" t="s">
        <v>4008</v>
      </c>
      <c r="C2096" s="263" t="s">
        <v>4009</v>
      </c>
      <c r="D2096" s="263" t="s">
        <v>4005</v>
      </c>
      <c r="E2096" s="263" t="s">
        <v>4006</v>
      </c>
      <c r="F2096" s="263" t="s">
        <v>4007</v>
      </c>
    </row>
    <row r="2097" spans="1:6">
      <c r="A2097" s="263">
        <v>2096</v>
      </c>
      <c r="B2097" s="263" t="s">
        <v>4010</v>
      </c>
      <c r="C2097" s="263" t="s">
        <v>412</v>
      </c>
      <c r="D2097" s="263" t="s">
        <v>4005</v>
      </c>
      <c r="E2097" s="263" t="s">
        <v>4006</v>
      </c>
      <c r="F2097" s="263" t="s">
        <v>4007</v>
      </c>
    </row>
    <row r="2098" spans="1:6">
      <c r="A2098" s="263">
        <v>2097</v>
      </c>
      <c r="B2098" s="263" t="s">
        <v>4011</v>
      </c>
      <c r="C2098" s="263" t="s">
        <v>830</v>
      </c>
      <c r="D2098" s="263" t="s">
        <v>4005</v>
      </c>
      <c r="E2098" s="263" t="s">
        <v>4006</v>
      </c>
      <c r="F2098" s="263" t="s">
        <v>4007</v>
      </c>
    </row>
    <row r="2099" spans="1:6">
      <c r="A2099" s="263">
        <v>2098</v>
      </c>
      <c r="B2099" s="263" t="s">
        <v>4012</v>
      </c>
      <c r="C2099" s="263" t="s">
        <v>4013</v>
      </c>
      <c r="D2099" s="263" t="s">
        <v>4005</v>
      </c>
      <c r="E2099" s="263" t="s">
        <v>4006</v>
      </c>
      <c r="F2099" s="263" t="s">
        <v>4007</v>
      </c>
    </row>
    <row r="2100" spans="1:6">
      <c r="A2100" s="263">
        <v>2099</v>
      </c>
      <c r="B2100" s="263" t="s">
        <v>4014</v>
      </c>
      <c r="C2100" s="263" t="s">
        <v>4015</v>
      </c>
      <c r="D2100" s="263" t="s">
        <v>4005</v>
      </c>
      <c r="E2100" s="263" t="s">
        <v>4006</v>
      </c>
      <c r="F2100" s="263" t="s">
        <v>4007</v>
      </c>
    </row>
    <row r="2101" spans="1:6">
      <c r="A2101" s="263">
        <v>2100</v>
      </c>
      <c r="B2101" s="263" t="s">
        <v>4016</v>
      </c>
      <c r="C2101" s="263" t="s">
        <v>4017</v>
      </c>
      <c r="D2101" s="263" t="s">
        <v>4005</v>
      </c>
      <c r="E2101" s="263" t="s">
        <v>4006</v>
      </c>
      <c r="F2101" s="263" t="s">
        <v>4007</v>
      </c>
    </row>
    <row r="2102" spans="1:6">
      <c r="A2102" s="263">
        <v>2101</v>
      </c>
      <c r="B2102" s="263" t="s">
        <v>4018</v>
      </c>
      <c r="C2102" s="263" t="s">
        <v>4019</v>
      </c>
      <c r="D2102" s="263" t="s">
        <v>4005</v>
      </c>
      <c r="E2102" s="263" t="s">
        <v>4006</v>
      </c>
      <c r="F2102" s="263" t="s">
        <v>4007</v>
      </c>
    </row>
    <row r="2103" spans="1:6">
      <c r="A2103" s="263">
        <v>2102</v>
      </c>
      <c r="B2103" s="263" t="s">
        <v>4020</v>
      </c>
      <c r="C2103" s="263" t="s">
        <v>4021</v>
      </c>
      <c r="D2103" s="263" t="s">
        <v>4005</v>
      </c>
      <c r="E2103" s="263" t="s">
        <v>4006</v>
      </c>
      <c r="F2103" s="263" t="s">
        <v>4007</v>
      </c>
    </row>
    <row r="2104" spans="1:6">
      <c r="A2104" s="263">
        <v>2103</v>
      </c>
      <c r="B2104" s="263" t="s">
        <v>4022</v>
      </c>
      <c r="C2104" s="263" t="s">
        <v>4023</v>
      </c>
      <c r="D2104" s="263" t="s">
        <v>4024</v>
      </c>
      <c r="E2104" s="263" t="s">
        <v>4025</v>
      </c>
      <c r="F2104" s="263" t="s">
        <v>4007</v>
      </c>
    </row>
    <row r="2105" spans="1:6">
      <c r="A2105" s="263">
        <v>2104</v>
      </c>
      <c r="B2105" s="263" t="s">
        <v>4026</v>
      </c>
      <c r="C2105" s="263" t="s">
        <v>4027</v>
      </c>
      <c r="D2105" s="263" t="s">
        <v>4024</v>
      </c>
      <c r="E2105" s="263" t="s">
        <v>4025</v>
      </c>
      <c r="F2105" s="263" t="s">
        <v>4007</v>
      </c>
    </row>
    <row r="2106" spans="1:6">
      <c r="A2106" s="263">
        <v>2105</v>
      </c>
      <c r="B2106" s="263" t="s">
        <v>4028</v>
      </c>
      <c r="C2106" s="263" t="s">
        <v>4029</v>
      </c>
      <c r="D2106" s="263" t="s">
        <v>4024</v>
      </c>
      <c r="E2106" s="263" t="s">
        <v>4025</v>
      </c>
      <c r="F2106" s="263" t="s">
        <v>4007</v>
      </c>
    </row>
    <row r="2107" spans="1:6">
      <c r="A2107" s="263">
        <v>2106</v>
      </c>
      <c r="B2107" s="263" t="s">
        <v>4030</v>
      </c>
      <c r="C2107" s="263" t="s">
        <v>4031</v>
      </c>
      <c r="D2107" s="263" t="s">
        <v>4024</v>
      </c>
      <c r="E2107" s="263" t="s">
        <v>4025</v>
      </c>
      <c r="F2107" s="263" t="s">
        <v>4007</v>
      </c>
    </row>
    <row r="2108" spans="1:6">
      <c r="A2108" s="263">
        <v>2107</v>
      </c>
      <c r="B2108" s="263" t="s">
        <v>4032</v>
      </c>
      <c r="C2108" s="263" t="s">
        <v>1461</v>
      </c>
      <c r="D2108" s="263" t="s">
        <v>4024</v>
      </c>
      <c r="E2108" s="263" t="s">
        <v>4025</v>
      </c>
      <c r="F2108" s="263" t="s">
        <v>4007</v>
      </c>
    </row>
    <row r="2109" spans="1:6">
      <c r="A2109" s="263">
        <v>2108</v>
      </c>
      <c r="B2109" s="263" t="s">
        <v>4033</v>
      </c>
      <c r="C2109" s="263" t="s">
        <v>4034</v>
      </c>
      <c r="D2109" s="263" t="s">
        <v>4024</v>
      </c>
      <c r="E2109" s="263" t="s">
        <v>4025</v>
      </c>
      <c r="F2109" s="263" t="s">
        <v>4007</v>
      </c>
    </row>
    <row r="2110" spans="1:6">
      <c r="A2110" s="263">
        <v>2109</v>
      </c>
      <c r="B2110" s="263" t="s">
        <v>4035</v>
      </c>
      <c r="C2110" s="263" t="s">
        <v>4036</v>
      </c>
      <c r="D2110" s="263" t="s">
        <v>4024</v>
      </c>
      <c r="E2110" s="263" t="s">
        <v>4025</v>
      </c>
      <c r="F2110" s="263" t="s">
        <v>4007</v>
      </c>
    </row>
    <row r="2111" spans="1:6">
      <c r="A2111" s="263">
        <v>2110</v>
      </c>
      <c r="B2111" s="263" t="s">
        <v>4037</v>
      </c>
      <c r="C2111" s="263" t="s">
        <v>4038</v>
      </c>
      <c r="D2111" s="263" t="s">
        <v>4024</v>
      </c>
      <c r="E2111" s="263" t="s">
        <v>4025</v>
      </c>
      <c r="F2111" s="263" t="s">
        <v>4007</v>
      </c>
    </row>
    <row r="2112" spans="1:6">
      <c r="A2112" s="263">
        <v>2111</v>
      </c>
      <c r="B2112" s="263" t="s">
        <v>4039</v>
      </c>
      <c r="C2112" s="263" t="s">
        <v>4040</v>
      </c>
      <c r="D2112" s="263" t="s">
        <v>4024</v>
      </c>
      <c r="E2112" s="263" t="s">
        <v>4025</v>
      </c>
      <c r="F2112" s="263" t="s">
        <v>4007</v>
      </c>
    </row>
    <row r="2113" spans="1:6">
      <c r="A2113" s="263">
        <v>2112</v>
      </c>
      <c r="B2113" s="263" t="s">
        <v>4041</v>
      </c>
      <c r="C2113" s="263" t="s">
        <v>4042</v>
      </c>
      <c r="D2113" s="263" t="s">
        <v>4043</v>
      </c>
      <c r="E2113" s="263" t="s">
        <v>4044</v>
      </c>
      <c r="F2113" s="263" t="s">
        <v>4007</v>
      </c>
    </row>
    <row r="2114" spans="1:6">
      <c r="A2114" s="263">
        <v>2113</v>
      </c>
      <c r="B2114" s="263" t="s">
        <v>4045</v>
      </c>
      <c r="C2114" s="263" t="s">
        <v>4046</v>
      </c>
      <c r="D2114" s="263" t="s">
        <v>4043</v>
      </c>
      <c r="E2114" s="263" t="s">
        <v>4044</v>
      </c>
      <c r="F2114" s="263" t="s">
        <v>4007</v>
      </c>
    </row>
    <row r="2115" spans="1:6">
      <c r="A2115" s="263">
        <v>2114</v>
      </c>
      <c r="B2115" s="263" t="s">
        <v>4047</v>
      </c>
      <c r="C2115" s="263" t="s">
        <v>4048</v>
      </c>
      <c r="D2115" s="263" t="s">
        <v>4043</v>
      </c>
      <c r="E2115" s="263" t="s">
        <v>4044</v>
      </c>
      <c r="F2115" s="263" t="s">
        <v>4007</v>
      </c>
    </row>
    <row r="2116" spans="1:6">
      <c r="A2116" s="263">
        <v>2115</v>
      </c>
      <c r="B2116" s="263" t="s">
        <v>4049</v>
      </c>
      <c r="C2116" s="263" t="s">
        <v>3406</v>
      </c>
      <c r="D2116" s="263" t="s">
        <v>4043</v>
      </c>
      <c r="E2116" s="263" t="s">
        <v>4044</v>
      </c>
      <c r="F2116" s="263" t="s">
        <v>4007</v>
      </c>
    </row>
    <row r="2117" spans="1:6">
      <c r="A2117" s="263">
        <v>2116</v>
      </c>
      <c r="B2117" s="263" t="s">
        <v>4050</v>
      </c>
      <c r="C2117" s="263" t="s">
        <v>4051</v>
      </c>
      <c r="D2117" s="263" t="s">
        <v>4043</v>
      </c>
      <c r="E2117" s="263" t="s">
        <v>4044</v>
      </c>
      <c r="F2117" s="263" t="s">
        <v>4007</v>
      </c>
    </row>
    <row r="2118" spans="1:6">
      <c r="A2118" s="263">
        <v>2117</v>
      </c>
      <c r="B2118" s="263" t="s">
        <v>4052</v>
      </c>
      <c r="C2118" s="263" t="s">
        <v>704</v>
      </c>
      <c r="D2118" s="263" t="s">
        <v>4043</v>
      </c>
      <c r="E2118" s="263" t="s">
        <v>4044</v>
      </c>
      <c r="F2118" s="263" t="s">
        <v>4007</v>
      </c>
    </row>
    <row r="2119" spans="1:6">
      <c r="A2119" s="263">
        <v>2118</v>
      </c>
      <c r="B2119" s="263" t="s">
        <v>4053</v>
      </c>
      <c r="C2119" s="263" t="s">
        <v>1889</v>
      </c>
      <c r="D2119" s="263" t="s">
        <v>4043</v>
      </c>
      <c r="E2119" s="263" t="s">
        <v>4044</v>
      </c>
      <c r="F2119" s="263" t="s">
        <v>4007</v>
      </c>
    </row>
    <row r="2120" spans="1:6">
      <c r="A2120" s="263">
        <v>2119</v>
      </c>
      <c r="B2120" s="263" t="s">
        <v>4054</v>
      </c>
      <c r="C2120" s="263" t="s">
        <v>4055</v>
      </c>
      <c r="D2120" s="263" t="s">
        <v>4043</v>
      </c>
      <c r="E2120" s="263" t="s">
        <v>4044</v>
      </c>
      <c r="F2120" s="263" t="s">
        <v>4007</v>
      </c>
    </row>
    <row r="2121" spans="1:6">
      <c r="A2121" s="263">
        <v>2120</v>
      </c>
      <c r="B2121" s="263" t="s">
        <v>4056</v>
      </c>
      <c r="C2121" s="263" t="s">
        <v>4057</v>
      </c>
      <c r="D2121" s="263" t="s">
        <v>4043</v>
      </c>
      <c r="E2121" s="263" t="s">
        <v>4044</v>
      </c>
      <c r="F2121" s="263" t="s">
        <v>4007</v>
      </c>
    </row>
    <row r="2122" spans="1:6">
      <c r="A2122" s="263">
        <v>2121</v>
      </c>
      <c r="B2122" s="263" t="s">
        <v>4058</v>
      </c>
      <c r="C2122" s="263" t="s">
        <v>4059</v>
      </c>
      <c r="D2122" s="263" t="s">
        <v>4060</v>
      </c>
      <c r="E2122" s="263" t="s">
        <v>4061</v>
      </c>
      <c r="F2122" s="263" t="s">
        <v>4007</v>
      </c>
    </row>
    <row r="2123" spans="1:6">
      <c r="A2123" s="263">
        <v>2122</v>
      </c>
      <c r="B2123" s="263" t="s">
        <v>4062</v>
      </c>
      <c r="C2123" s="263" t="s">
        <v>4063</v>
      </c>
      <c r="D2123" s="263" t="s">
        <v>4060</v>
      </c>
      <c r="E2123" s="263" t="s">
        <v>4061</v>
      </c>
      <c r="F2123" s="263" t="s">
        <v>4007</v>
      </c>
    </row>
    <row r="2124" spans="1:6">
      <c r="A2124" s="263">
        <v>2123</v>
      </c>
      <c r="B2124" s="263" t="s">
        <v>4064</v>
      </c>
      <c r="C2124" s="263" t="s">
        <v>4065</v>
      </c>
      <c r="D2124" s="263" t="s">
        <v>4060</v>
      </c>
      <c r="E2124" s="263" t="s">
        <v>4061</v>
      </c>
      <c r="F2124" s="263" t="s">
        <v>4007</v>
      </c>
    </row>
    <row r="2125" spans="1:6">
      <c r="A2125" s="263">
        <v>2124</v>
      </c>
      <c r="B2125" s="263" t="s">
        <v>4066</v>
      </c>
      <c r="C2125" s="263" t="s">
        <v>4067</v>
      </c>
      <c r="D2125" s="263" t="s">
        <v>4060</v>
      </c>
      <c r="E2125" s="263" t="s">
        <v>4061</v>
      </c>
      <c r="F2125" s="263" t="s">
        <v>4007</v>
      </c>
    </row>
    <row r="2126" spans="1:6">
      <c r="A2126" s="263">
        <v>2125</v>
      </c>
      <c r="B2126" s="263" t="s">
        <v>4068</v>
      </c>
      <c r="C2126" s="263" t="s">
        <v>4069</v>
      </c>
      <c r="D2126" s="263" t="s">
        <v>4060</v>
      </c>
      <c r="E2126" s="263" t="s">
        <v>4061</v>
      </c>
      <c r="F2126" s="263" t="s">
        <v>4007</v>
      </c>
    </row>
    <row r="2127" spans="1:6">
      <c r="A2127" s="263">
        <v>2126</v>
      </c>
      <c r="B2127" s="263" t="s">
        <v>4070</v>
      </c>
      <c r="C2127" s="263" t="s">
        <v>4071</v>
      </c>
      <c r="D2127" s="263" t="s">
        <v>4060</v>
      </c>
      <c r="E2127" s="263" t="s">
        <v>4061</v>
      </c>
      <c r="F2127" s="263" t="s">
        <v>4007</v>
      </c>
    </row>
    <row r="2128" spans="1:6">
      <c r="A2128" s="263">
        <v>2127</v>
      </c>
      <c r="B2128" s="263" t="s">
        <v>4072</v>
      </c>
      <c r="C2128" s="263" t="s">
        <v>4073</v>
      </c>
      <c r="D2128" s="263" t="s">
        <v>4060</v>
      </c>
      <c r="E2128" s="263" t="s">
        <v>4061</v>
      </c>
      <c r="F2128" s="263" t="s">
        <v>4007</v>
      </c>
    </row>
    <row r="2129" spans="1:6">
      <c r="A2129" s="263">
        <v>2128</v>
      </c>
      <c r="B2129" s="263" t="s">
        <v>4074</v>
      </c>
      <c r="C2129" s="263" t="s">
        <v>4075</v>
      </c>
      <c r="D2129" s="263" t="s">
        <v>4060</v>
      </c>
      <c r="E2129" s="263" t="s">
        <v>4061</v>
      </c>
      <c r="F2129" s="263" t="s">
        <v>4007</v>
      </c>
    </row>
    <row r="2130" spans="1:6">
      <c r="A2130" s="263">
        <v>2129</v>
      </c>
      <c r="B2130" s="263" t="s">
        <v>4076</v>
      </c>
      <c r="C2130" s="263" t="s">
        <v>4077</v>
      </c>
      <c r="D2130" s="263" t="s">
        <v>4078</v>
      </c>
      <c r="E2130" s="263" t="s">
        <v>4079</v>
      </c>
      <c r="F2130" s="263" t="s">
        <v>4007</v>
      </c>
    </row>
    <row r="2131" spans="1:6">
      <c r="A2131" s="263">
        <v>2130</v>
      </c>
      <c r="B2131" s="263" t="s">
        <v>4080</v>
      </c>
      <c r="C2131" s="263" t="s">
        <v>1974</v>
      </c>
      <c r="D2131" s="263" t="s">
        <v>4078</v>
      </c>
      <c r="E2131" s="263" t="s">
        <v>4079</v>
      </c>
      <c r="F2131" s="263" t="s">
        <v>4007</v>
      </c>
    </row>
    <row r="2132" spans="1:6">
      <c r="A2132" s="263">
        <v>2131</v>
      </c>
      <c r="B2132" s="263" t="s">
        <v>4081</v>
      </c>
      <c r="C2132" s="263" t="s">
        <v>4082</v>
      </c>
      <c r="D2132" s="263" t="s">
        <v>4078</v>
      </c>
      <c r="E2132" s="263" t="s">
        <v>4079</v>
      </c>
      <c r="F2132" s="263" t="s">
        <v>4007</v>
      </c>
    </row>
    <row r="2133" spans="1:6">
      <c r="A2133" s="263">
        <v>2132</v>
      </c>
      <c r="B2133" s="263" t="s">
        <v>4083</v>
      </c>
      <c r="C2133" s="263" t="s">
        <v>4084</v>
      </c>
      <c r="D2133" s="263" t="s">
        <v>4078</v>
      </c>
      <c r="E2133" s="263" t="s">
        <v>4079</v>
      </c>
      <c r="F2133" s="263" t="s">
        <v>4007</v>
      </c>
    </row>
    <row r="2134" spans="1:6">
      <c r="A2134" s="263">
        <v>2133</v>
      </c>
      <c r="B2134" s="263" t="s">
        <v>4085</v>
      </c>
      <c r="C2134" s="263" t="s">
        <v>4086</v>
      </c>
      <c r="D2134" s="263" t="s">
        <v>4078</v>
      </c>
      <c r="E2134" s="263" t="s">
        <v>4079</v>
      </c>
      <c r="F2134" s="263" t="s">
        <v>4007</v>
      </c>
    </row>
    <row r="2135" spans="1:6">
      <c r="A2135" s="263">
        <v>2134</v>
      </c>
      <c r="B2135" s="263" t="s">
        <v>4087</v>
      </c>
      <c r="C2135" s="263" t="s">
        <v>4088</v>
      </c>
      <c r="D2135" s="263" t="s">
        <v>4078</v>
      </c>
      <c r="E2135" s="263" t="s">
        <v>4079</v>
      </c>
      <c r="F2135" s="263" t="s">
        <v>4007</v>
      </c>
    </row>
    <row r="2136" spans="1:6">
      <c r="A2136" s="263">
        <v>2135</v>
      </c>
      <c r="B2136" s="263" t="s">
        <v>4089</v>
      </c>
      <c r="C2136" s="263" t="s">
        <v>4090</v>
      </c>
      <c r="D2136" s="263" t="s">
        <v>4091</v>
      </c>
      <c r="E2136" s="263" t="s">
        <v>4092</v>
      </c>
      <c r="F2136" s="263" t="s">
        <v>4007</v>
      </c>
    </row>
    <row r="2137" spans="1:6">
      <c r="A2137" s="263">
        <v>2136</v>
      </c>
      <c r="B2137" s="263" t="s">
        <v>4093</v>
      </c>
      <c r="C2137" s="263" t="s">
        <v>4094</v>
      </c>
      <c r="D2137" s="263" t="s">
        <v>4091</v>
      </c>
      <c r="E2137" s="263" t="s">
        <v>4092</v>
      </c>
      <c r="F2137" s="263" t="s">
        <v>4007</v>
      </c>
    </row>
    <row r="2138" spans="1:6">
      <c r="A2138" s="263">
        <v>2137</v>
      </c>
      <c r="B2138" s="263" t="s">
        <v>4095</v>
      </c>
      <c r="C2138" s="263" t="s">
        <v>4096</v>
      </c>
      <c r="D2138" s="263" t="s">
        <v>4091</v>
      </c>
      <c r="E2138" s="263" t="s">
        <v>4092</v>
      </c>
      <c r="F2138" s="263" t="s">
        <v>4007</v>
      </c>
    </row>
    <row r="2139" spans="1:6">
      <c r="A2139" s="263">
        <v>2138</v>
      </c>
      <c r="B2139" s="263" t="s">
        <v>4097</v>
      </c>
      <c r="C2139" s="263" t="s">
        <v>4098</v>
      </c>
      <c r="D2139" s="263" t="s">
        <v>4091</v>
      </c>
      <c r="E2139" s="263" t="s">
        <v>4092</v>
      </c>
      <c r="F2139" s="263" t="s">
        <v>4007</v>
      </c>
    </row>
    <row r="2140" spans="1:6">
      <c r="A2140" s="263">
        <v>2139</v>
      </c>
      <c r="B2140" s="263" t="s">
        <v>4099</v>
      </c>
      <c r="C2140" s="263" t="s">
        <v>4100</v>
      </c>
      <c r="D2140" s="263" t="s">
        <v>4091</v>
      </c>
      <c r="E2140" s="263" t="s">
        <v>4092</v>
      </c>
      <c r="F2140" s="263" t="s">
        <v>4007</v>
      </c>
    </row>
    <row r="2141" spans="1:6">
      <c r="A2141" s="263">
        <v>2140</v>
      </c>
      <c r="B2141" s="263" t="s">
        <v>4101</v>
      </c>
      <c r="C2141" s="263" t="s">
        <v>680</v>
      </c>
      <c r="D2141" s="263" t="s">
        <v>4091</v>
      </c>
      <c r="E2141" s="263" t="s">
        <v>4092</v>
      </c>
      <c r="F2141" s="263" t="s">
        <v>4007</v>
      </c>
    </row>
    <row r="2142" spans="1:6">
      <c r="A2142" s="263">
        <v>2141</v>
      </c>
      <c r="B2142" s="263" t="s">
        <v>4102</v>
      </c>
      <c r="C2142" s="263" t="s">
        <v>4103</v>
      </c>
      <c r="D2142" s="263" t="s">
        <v>4091</v>
      </c>
      <c r="E2142" s="263" t="s">
        <v>4092</v>
      </c>
      <c r="F2142" s="263" t="s">
        <v>4007</v>
      </c>
    </row>
    <row r="2143" spans="1:6">
      <c r="A2143" s="263">
        <v>2142</v>
      </c>
      <c r="B2143" s="263" t="s">
        <v>4104</v>
      </c>
      <c r="C2143" s="263" t="s">
        <v>4105</v>
      </c>
      <c r="D2143" s="263" t="s">
        <v>4091</v>
      </c>
      <c r="E2143" s="263" t="s">
        <v>4092</v>
      </c>
      <c r="F2143" s="263" t="s">
        <v>4007</v>
      </c>
    </row>
    <row r="2144" spans="1:6">
      <c r="A2144" s="263">
        <v>2143</v>
      </c>
      <c r="B2144" s="263" t="s">
        <v>4106</v>
      </c>
      <c r="C2144" s="263" t="s">
        <v>4107</v>
      </c>
      <c r="D2144" s="263" t="s">
        <v>4108</v>
      </c>
      <c r="E2144" s="263" t="s">
        <v>4109</v>
      </c>
      <c r="F2144" s="263" t="s">
        <v>4007</v>
      </c>
    </row>
    <row r="2145" spans="1:6">
      <c r="A2145" s="263">
        <v>2144</v>
      </c>
      <c r="B2145" s="263" t="s">
        <v>4110</v>
      </c>
      <c r="C2145" s="263" t="s">
        <v>4111</v>
      </c>
      <c r="D2145" s="263" t="s">
        <v>4108</v>
      </c>
      <c r="E2145" s="263" t="s">
        <v>4109</v>
      </c>
      <c r="F2145" s="263" t="s">
        <v>4007</v>
      </c>
    </row>
    <row r="2146" spans="1:6">
      <c r="A2146" s="263">
        <v>2145</v>
      </c>
      <c r="B2146" s="263" t="s">
        <v>4112</v>
      </c>
      <c r="C2146" s="263" t="s">
        <v>288</v>
      </c>
      <c r="D2146" s="263" t="s">
        <v>4108</v>
      </c>
      <c r="E2146" s="263" t="s">
        <v>4109</v>
      </c>
      <c r="F2146" s="263" t="s">
        <v>4007</v>
      </c>
    </row>
    <row r="2147" spans="1:6">
      <c r="A2147" s="263">
        <v>2146</v>
      </c>
      <c r="B2147" s="263" t="s">
        <v>4113</v>
      </c>
      <c r="C2147" s="263" t="s">
        <v>4114</v>
      </c>
      <c r="D2147" s="263" t="s">
        <v>4108</v>
      </c>
      <c r="E2147" s="263" t="s">
        <v>4109</v>
      </c>
      <c r="F2147" s="263" t="s">
        <v>4007</v>
      </c>
    </row>
    <row r="2148" spans="1:6">
      <c r="A2148" s="263">
        <v>2147</v>
      </c>
      <c r="B2148" s="263" t="s">
        <v>4115</v>
      </c>
      <c r="C2148" s="263" t="s">
        <v>4116</v>
      </c>
      <c r="D2148" s="263" t="s">
        <v>4108</v>
      </c>
      <c r="E2148" s="263" t="s">
        <v>4109</v>
      </c>
      <c r="F2148" s="263" t="s">
        <v>4007</v>
      </c>
    </row>
    <row r="2149" spans="1:6">
      <c r="A2149" s="263">
        <v>2148</v>
      </c>
      <c r="B2149" s="263" t="s">
        <v>4117</v>
      </c>
      <c r="C2149" s="263" t="s">
        <v>4118</v>
      </c>
      <c r="D2149" s="263" t="s">
        <v>4108</v>
      </c>
      <c r="E2149" s="263" t="s">
        <v>4109</v>
      </c>
      <c r="F2149" s="263" t="s">
        <v>4007</v>
      </c>
    </row>
    <row r="2150" spans="1:6">
      <c r="A2150" s="263">
        <v>2149</v>
      </c>
      <c r="B2150" s="263" t="s">
        <v>4119</v>
      </c>
      <c r="C2150" s="263" t="s">
        <v>4120</v>
      </c>
      <c r="D2150" s="263" t="s">
        <v>4108</v>
      </c>
      <c r="E2150" s="263" t="s">
        <v>4109</v>
      </c>
      <c r="F2150" s="263" t="s">
        <v>4007</v>
      </c>
    </row>
    <row r="2151" spans="1:6">
      <c r="A2151" s="263">
        <v>2150</v>
      </c>
      <c r="B2151" s="263" t="s">
        <v>4121</v>
      </c>
      <c r="C2151" s="263" t="s">
        <v>4122</v>
      </c>
      <c r="D2151" s="263" t="s">
        <v>4108</v>
      </c>
      <c r="E2151" s="263" t="s">
        <v>4109</v>
      </c>
      <c r="F2151" s="263" t="s">
        <v>4007</v>
      </c>
    </row>
    <row r="2152" spans="1:6">
      <c r="A2152" s="263">
        <v>2151</v>
      </c>
      <c r="B2152" s="263" t="s">
        <v>4123</v>
      </c>
      <c r="C2152" s="263" t="s">
        <v>4124</v>
      </c>
      <c r="D2152" s="263" t="s">
        <v>4108</v>
      </c>
      <c r="E2152" s="263" t="s">
        <v>4109</v>
      </c>
      <c r="F2152" s="263" t="s">
        <v>4007</v>
      </c>
    </row>
    <row r="2153" spans="1:6">
      <c r="A2153" s="263">
        <v>2152</v>
      </c>
      <c r="B2153" s="263" t="s">
        <v>4125</v>
      </c>
      <c r="C2153" s="263" t="s">
        <v>4126</v>
      </c>
      <c r="D2153" s="263" t="s">
        <v>4108</v>
      </c>
      <c r="E2153" s="263" t="s">
        <v>4109</v>
      </c>
      <c r="F2153" s="263" t="s">
        <v>4007</v>
      </c>
    </row>
    <row r="2154" spans="1:6">
      <c r="A2154" s="263">
        <v>2153</v>
      </c>
      <c r="B2154" s="263" t="s">
        <v>4127</v>
      </c>
      <c r="C2154" s="263" t="s">
        <v>4128</v>
      </c>
      <c r="D2154" s="263" t="s">
        <v>4108</v>
      </c>
      <c r="E2154" s="263" t="s">
        <v>4109</v>
      </c>
      <c r="F2154" s="263" t="s">
        <v>4007</v>
      </c>
    </row>
    <row r="2155" spans="1:6">
      <c r="A2155" s="263">
        <v>2154</v>
      </c>
      <c r="B2155" s="263" t="s">
        <v>4129</v>
      </c>
      <c r="C2155" s="263" t="s">
        <v>4130</v>
      </c>
      <c r="D2155" s="263" t="s">
        <v>4108</v>
      </c>
      <c r="E2155" s="263" t="s">
        <v>4109</v>
      </c>
      <c r="F2155" s="263" t="s">
        <v>4007</v>
      </c>
    </row>
    <row r="2156" spans="1:6">
      <c r="A2156" s="263">
        <v>2155</v>
      </c>
      <c r="B2156" s="263" t="s">
        <v>4131</v>
      </c>
      <c r="C2156" s="263" t="s">
        <v>4132</v>
      </c>
      <c r="D2156" s="263" t="s">
        <v>4108</v>
      </c>
      <c r="E2156" s="263" t="s">
        <v>4109</v>
      </c>
      <c r="F2156" s="263" t="s">
        <v>4007</v>
      </c>
    </row>
    <row r="2157" spans="1:6">
      <c r="A2157" s="263">
        <v>2156</v>
      </c>
      <c r="B2157" s="263" t="s">
        <v>4133</v>
      </c>
      <c r="C2157" s="263" t="s">
        <v>4134</v>
      </c>
      <c r="D2157" s="263" t="s">
        <v>4108</v>
      </c>
      <c r="E2157" s="263" t="s">
        <v>4109</v>
      </c>
      <c r="F2157" s="263" t="s">
        <v>4007</v>
      </c>
    </row>
    <row r="2158" spans="1:6">
      <c r="A2158" s="263">
        <v>2157</v>
      </c>
      <c r="B2158" s="263" t="s">
        <v>4135</v>
      </c>
      <c r="C2158" s="263" t="s">
        <v>4136</v>
      </c>
      <c r="D2158" s="263" t="s">
        <v>4108</v>
      </c>
      <c r="E2158" s="263" t="s">
        <v>4109</v>
      </c>
      <c r="F2158" s="263" t="s">
        <v>4007</v>
      </c>
    </row>
    <row r="2159" spans="1:6">
      <c r="A2159" s="263">
        <v>2158</v>
      </c>
      <c r="B2159" s="263" t="s">
        <v>4137</v>
      </c>
      <c r="C2159" s="263" t="s">
        <v>4138</v>
      </c>
      <c r="D2159" s="263" t="s">
        <v>4108</v>
      </c>
      <c r="E2159" s="263" t="s">
        <v>4109</v>
      </c>
      <c r="F2159" s="263" t="s">
        <v>4007</v>
      </c>
    </row>
    <row r="2160" spans="1:6">
      <c r="A2160" s="263">
        <v>2159</v>
      </c>
      <c r="B2160" s="263" t="s">
        <v>4139</v>
      </c>
      <c r="C2160" s="263" t="s">
        <v>980</v>
      </c>
      <c r="D2160" s="263" t="s">
        <v>4140</v>
      </c>
      <c r="E2160" s="263" t="s">
        <v>68</v>
      </c>
      <c r="F2160" s="263" t="s">
        <v>4141</v>
      </c>
    </row>
    <row r="2161" spans="1:6">
      <c r="A2161" s="263">
        <v>2160</v>
      </c>
      <c r="B2161" s="263" t="s">
        <v>4142</v>
      </c>
      <c r="C2161" s="263" t="s">
        <v>903</v>
      </c>
      <c r="D2161" s="263" t="s">
        <v>4140</v>
      </c>
      <c r="E2161" s="263" t="s">
        <v>68</v>
      </c>
      <c r="F2161" s="263" t="s">
        <v>4141</v>
      </c>
    </row>
    <row r="2162" spans="1:6">
      <c r="A2162" s="263">
        <v>2161</v>
      </c>
      <c r="B2162" s="263" t="s">
        <v>4143</v>
      </c>
      <c r="C2162" s="263" t="s">
        <v>4144</v>
      </c>
      <c r="D2162" s="263" t="s">
        <v>4140</v>
      </c>
      <c r="E2162" s="263" t="s">
        <v>68</v>
      </c>
      <c r="F2162" s="263" t="s">
        <v>4141</v>
      </c>
    </row>
    <row r="2163" spans="1:6">
      <c r="A2163" s="263">
        <v>2162</v>
      </c>
      <c r="B2163" s="263" t="s">
        <v>4145</v>
      </c>
      <c r="C2163" s="263" t="s">
        <v>4146</v>
      </c>
      <c r="D2163" s="263" t="s">
        <v>4140</v>
      </c>
      <c r="E2163" s="263" t="s">
        <v>68</v>
      </c>
      <c r="F2163" s="263" t="s">
        <v>4141</v>
      </c>
    </row>
    <row r="2164" spans="1:6">
      <c r="A2164" s="263">
        <v>2163</v>
      </c>
      <c r="B2164" s="263" t="s">
        <v>4147</v>
      </c>
      <c r="C2164" s="263" t="s">
        <v>4148</v>
      </c>
      <c r="D2164" s="263" t="s">
        <v>4140</v>
      </c>
      <c r="E2164" s="263" t="s">
        <v>68</v>
      </c>
      <c r="F2164" s="263" t="s">
        <v>4141</v>
      </c>
    </row>
    <row r="2165" spans="1:6">
      <c r="A2165" s="263">
        <v>2164</v>
      </c>
      <c r="B2165" s="263" t="s">
        <v>4149</v>
      </c>
      <c r="C2165" s="263" t="s">
        <v>1528</v>
      </c>
      <c r="D2165" s="263" t="s">
        <v>4140</v>
      </c>
      <c r="E2165" s="263" t="s">
        <v>68</v>
      </c>
      <c r="F2165" s="263" t="s">
        <v>4141</v>
      </c>
    </row>
    <row r="2166" spans="1:6">
      <c r="A2166" s="263">
        <v>2165</v>
      </c>
      <c r="B2166" s="263" t="s">
        <v>4150</v>
      </c>
      <c r="C2166" s="263" t="s">
        <v>4151</v>
      </c>
      <c r="D2166" s="263" t="s">
        <v>4140</v>
      </c>
      <c r="E2166" s="263" t="s">
        <v>68</v>
      </c>
      <c r="F2166" s="263" t="s">
        <v>4141</v>
      </c>
    </row>
    <row r="2167" spans="1:6">
      <c r="A2167" s="263">
        <v>2166</v>
      </c>
      <c r="B2167" s="263" t="s">
        <v>4152</v>
      </c>
      <c r="C2167" s="263" t="s">
        <v>1291</v>
      </c>
      <c r="D2167" s="263" t="s">
        <v>4140</v>
      </c>
      <c r="E2167" s="263" t="s">
        <v>68</v>
      </c>
      <c r="F2167" s="263" t="s">
        <v>4141</v>
      </c>
    </row>
    <row r="2168" spans="1:6">
      <c r="A2168" s="263">
        <v>2167</v>
      </c>
      <c r="B2168" s="263" t="s">
        <v>4153</v>
      </c>
      <c r="C2168" s="263" t="s">
        <v>4154</v>
      </c>
      <c r="D2168" s="263" t="s">
        <v>4155</v>
      </c>
      <c r="E2168" s="263" t="s">
        <v>4156</v>
      </c>
      <c r="F2168" s="263" t="s">
        <v>4141</v>
      </c>
    </row>
    <row r="2169" spans="1:6">
      <c r="A2169" s="263">
        <v>2168</v>
      </c>
      <c r="B2169" s="263" t="s">
        <v>4157</v>
      </c>
      <c r="C2169" s="263" t="s">
        <v>4158</v>
      </c>
      <c r="D2169" s="263" t="s">
        <v>4155</v>
      </c>
      <c r="E2169" s="263" t="s">
        <v>4156</v>
      </c>
      <c r="F2169" s="263" t="s">
        <v>4141</v>
      </c>
    </row>
    <row r="2170" spans="1:6">
      <c r="A2170" s="263">
        <v>2169</v>
      </c>
      <c r="B2170" s="263" t="s">
        <v>4159</v>
      </c>
      <c r="C2170" s="263" t="s">
        <v>4160</v>
      </c>
      <c r="D2170" s="263" t="s">
        <v>4155</v>
      </c>
      <c r="E2170" s="263" t="s">
        <v>4156</v>
      </c>
      <c r="F2170" s="263" t="s">
        <v>4141</v>
      </c>
    </row>
    <row r="2171" spans="1:6">
      <c r="A2171" s="263">
        <v>2170</v>
      </c>
      <c r="B2171" s="263" t="s">
        <v>4161</v>
      </c>
      <c r="C2171" s="263" t="s">
        <v>4162</v>
      </c>
      <c r="D2171" s="263" t="s">
        <v>4155</v>
      </c>
      <c r="E2171" s="263" t="s">
        <v>4156</v>
      </c>
      <c r="F2171" s="263" t="s">
        <v>4141</v>
      </c>
    </row>
    <row r="2172" spans="1:6">
      <c r="A2172" s="263">
        <v>2171</v>
      </c>
      <c r="B2172" s="263" t="s">
        <v>4163</v>
      </c>
      <c r="C2172" s="263" t="s">
        <v>4164</v>
      </c>
      <c r="D2172" s="263" t="s">
        <v>4155</v>
      </c>
      <c r="E2172" s="263" t="s">
        <v>4156</v>
      </c>
      <c r="F2172" s="263" t="s">
        <v>4141</v>
      </c>
    </row>
    <row r="2173" spans="1:6">
      <c r="A2173" s="263">
        <v>2172</v>
      </c>
      <c r="B2173" s="263" t="s">
        <v>4165</v>
      </c>
      <c r="C2173" s="263" t="s">
        <v>4166</v>
      </c>
      <c r="D2173" s="263" t="s">
        <v>4155</v>
      </c>
      <c r="E2173" s="263" t="s">
        <v>4156</v>
      </c>
      <c r="F2173" s="263" t="s">
        <v>4141</v>
      </c>
    </row>
    <row r="2174" spans="1:6">
      <c r="A2174" s="263">
        <v>2173</v>
      </c>
      <c r="B2174" s="263" t="s">
        <v>4167</v>
      </c>
      <c r="C2174" s="263" t="s">
        <v>4168</v>
      </c>
      <c r="D2174" s="263" t="s">
        <v>4155</v>
      </c>
      <c r="E2174" s="263" t="s">
        <v>4156</v>
      </c>
      <c r="F2174" s="263" t="s">
        <v>4141</v>
      </c>
    </row>
    <row r="2175" spans="1:6">
      <c r="A2175" s="263">
        <v>2174</v>
      </c>
      <c r="B2175" s="263" t="s">
        <v>4169</v>
      </c>
      <c r="C2175" s="263" t="s">
        <v>4170</v>
      </c>
      <c r="D2175" s="263" t="s">
        <v>4155</v>
      </c>
      <c r="E2175" s="263" t="s">
        <v>4156</v>
      </c>
      <c r="F2175" s="263" t="s">
        <v>4141</v>
      </c>
    </row>
    <row r="2176" spans="1:6">
      <c r="A2176" s="263">
        <v>2175</v>
      </c>
      <c r="B2176" s="263" t="s">
        <v>4171</v>
      </c>
      <c r="C2176" s="263" t="s">
        <v>4172</v>
      </c>
      <c r="D2176" s="263" t="s">
        <v>4173</v>
      </c>
      <c r="E2176" s="263" t="s">
        <v>4174</v>
      </c>
      <c r="F2176" s="263" t="s">
        <v>4141</v>
      </c>
    </row>
    <row r="2177" spans="1:6">
      <c r="A2177" s="263">
        <v>2176</v>
      </c>
      <c r="B2177" s="263" t="s">
        <v>4175</v>
      </c>
      <c r="C2177" s="263" t="s">
        <v>4176</v>
      </c>
      <c r="D2177" s="263" t="s">
        <v>4173</v>
      </c>
      <c r="E2177" s="263" t="s">
        <v>4174</v>
      </c>
      <c r="F2177" s="263" t="s">
        <v>4141</v>
      </c>
    </row>
    <row r="2178" spans="1:6">
      <c r="A2178" s="263">
        <v>2177</v>
      </c>
      <c r="B2178" s="263" t="s">
        <v>4177</v>
      </c>
      <c r="C2178" s="263" t="s">
        <v>4178</v>
      </c>
      <c r="D2178" s="263" t="s">
        <v>4173</v>
      </c>
      <c r="E2178" s="263" t="s">
        <v>4174</v>
      </c>
      <c r="F2178" s="263" t="s">
        <v>4141</v>
      </c>
    </row>
    <row r="2179" spans="1:6">
      <c r="A2179" s="263">
        <v>2178</v>
      </c>
      <c r="B2179" s="263" t="s">
        <v>4179</v>
      </c>
      <c r="C2179" s="263" t="s">
        <v>4180</v>
      </c>
      <c r="D2179" s="263" t="s">
        <v>4173</v>
      </c>
      <c r="E2179" s="263" t="s">
        <v>4174</v>
      </c>
      <c r="F2179" s="263" t="s">
        <v>4141</v>
      </c>
    </row>
    <row r="2180" spans="1:6">
      <c r="A2180" s="263">
        <v>2179</v>
      </c>
      <c r="B2180" s="263" t="s">
        <v>4181</v>
      </c>
      <c r="C2180" s="263" t="s">
        <v>4182</v>
      </c>
      <c r="D2180" s="263" t="s">
        <v>4173</v>
      </c>
      <c r="E2180" s="263" t="s">
        <v>4174</v>
      </c>
      <c r="F2180" s="263" t="s">
        <v>4141</v>
      </c>
    </row>
    <row r="2181" spans="1:6">
      <c r="A2181" s="263">
        <v>2180</v>
      </c>
      <c r="B2181" s="263" t="s">
        <v>4183</v>
      </c>
      <c r="C2181" s="263" t="s">
        <v>4184</v>
      </c>
      <c r="D2181" s="263" t="s">
        <v>4173</v>
      </c>
      <c r="E2181" s="263" t="s">
        <v>4174</v>
      </c>
      <c r="F2181" s="263" t="s">
        <v>4141</v>
      </c>
    </row>
    <row r="2182" spans="1:6">
      <c r="A2182" s="263">
        <v>2181</v>
      </c>
      <c r="B2182" s="263" t="s">
        <v>4185</v>
      </c>
      <c r="C2182" s="263" t="s">
        <v>4186</v>
      </c>
      <c r="D2182" s="263" t="s">
        <v>4173</v>
      </c>
      <c r="E2182" s="263" t="s">
        <v>4174</v>
      </c>
      <c r="F2182" s="263" t="s">
        <v>4141</v>
      </c>
    </row>
    <row r="2183" spans="1:6">
      <c r="A2183" s="263">
        <v>2182</v>
      </c>
      <c r="B2183" s="263" t="s">
        <v>4187</v>
      </c>
      <c r="C2183" s="263" t="s">
        <v>128</v>
      </c>
      <c r="D2183" s="263" t="s">
        <v>4173</v>
      </c>
      <c r="E2183" s="263" t="s">
        <v>4174</v>
      </c>
      <c r="F2183" s="263" t="s">
        <v>4141</v>
      </c>
    </row>
    <row r="2184" spans="1:6">
      <c r="A2184" s="263">
        <v>2183</v>
      </c>
      <c r="B2184" s="263" t="s">
        <v>4188</v>
      </c>
      <c r="C2184" s="263" t="s">
        <v>1070</v>
      </c>
      <c r="D2184" s="263" t="s">
        <v>4173</v>
      </c>
      <c r="E2184" s="263" t="s">
        <v>4174</v>
      </c>
      <c r="F2184" s="263" t="s">
        <v>4141</v>
      </c>
    </row>
    <row r="2185" spans="1:6">
      <c r="A2185" s="263">
        <v>2184</v>
      </c>
      <c r="B2185" s="263" t="s">
        <v>4189</v>
      </c>
      <c r="C2185" s="263" t="s">
        <v>4190</v>
      </c>
      <c r="D2185" s="263" t="s">
        <v>4173</v>
      </c>
      <c r="E2185" s="263" t="s">
        <v>4174</v>
      </c>
      <c r="F2185" s="263" t="s">
        <v>4141</v>
      </c>
    </row>
    <row r="2186" spans="1:6">
      <c r="A2186" s="263">
        <v>2185</v>
      </c>
      <c r="B2186" s="263" t="s">
        <v>4191</v>
      </c>
      <c r="C2186" s="263" t="s">
        <v>4192</v>
      </c>
      <c r="D2186" s="263" t="s">
        <v>4173</v>
      </c>
      <c r="E2186" s="263" t="s">
        <v>4174</v>
      </c>
      <c r="F2186" s="263" t="s">
        <v>4141</v>
      </c>
    </row>
    <row r="2187" spans="1:6">
      <c r="A2187" s="263">
        <v>2186</v>
      </c>
      <c r="B2187" s="263" t="s">
        <v>4193</v>
      </c>
      <c r="C2187" s="263" t="s">
        <v>2038</v>
      </c>
      <c r="D2187" s="263" t="s">
        <v>4173</v>
      </c>
      <c r="E2187" s="263" t="s">
        <v>4174</v>
      </c>
      <c r="F2187" s="263" t="s">
        <v>4141</v>
      </c>
    </row>
    <row r="2188" spans="1:6">
      <c r="A2188" s="263">
        <v>2187</v>
      </c>
      <c r="B2188" s="263" t="s">
        <v>4194</v>
      </c>
      <c r="C2188" s="263" t="s">
        <v>4195</v>
      </c>
      <c r="D2188" s="263" t="s">
        <v>4173</v>
      </c>
      <c r="E2188" s="263" t="s">
        <v>4174</v>
      </c>
      <c r="F2188" s="263" t="s">
        <v>4141</v>
      </c>
    </row>
    <row r="2189" spans="1:6">
      <c r="A2189" s="263">
        <v>2188</v>
      </c>
      <c r="B2189" s="263" t="s">
        <v>4196</v>
      </c>
      <c r="C2189" s="263" t="s">
        <v>4197</v>
      </c>
      <c r="D2189" s="263" t="s">
        <v>4198</v>
      </c>
      <c r="E2189" s="263" t="s">
        <v>4199</v>
      </c>
      <c r="F2189" s="263" t="s">
        <v>4141</v>
      </c>
    </row>
    <row r="2190" spans="1:6">
      <c r="A2190" s="263">
        <v>2189</v>
      </c>
      <c r="B2190" s="263" t="s">
        <v>4200</v>
      </c>
      <c r="C2190" s="263" t="s">
        <v>4201</v>
      </c>
      <c r="D2190" s="263" t="s">
        <v>4198</v>
      </c>
      <c r="E2190" s="263" t="s">
        <v>4199</v>
      </c>
      <c r="F2190" s="263" t="s">
        <v>4141</v>
      </c>
    </row>
    <row r="2191" spans="1:6">
      <c r="A2191" s="263">
        <v>2190</v>
      </c>
      <c r="B2191" s="263" t="s">
        <v>4202</v>
      </c>
      <c r="C2191" s="263" t="s">
        <v>4203</v>
      </c>
      <c r="D2191" s="263" t="s">
        <v>4198</v>
      </c>
      <c r="E2191" s="263" t="s">
        <v>4199</v>
      </c>
      <c r="F2191" s="263" t="s">
        <v>4141</v>
      </c>
    </row>
    <row r="2192" spans="1:6">
      <c r="A2192" s="263">
        <v>2191</v>
      </c>
      <c r="B2192" s="263" t="s">
        <v>4204</v>
      </c>
      <c r="C2192" s="263" t="s">
        <v>4205</v>
      </c>
      <c r="D2192" s="263" t="s">
        <v>4198</v>
      </c>
      <c r="E2192" s="263" t="s">
        <v>4199</v>
      </c>
      <c r="F2192" s="263" t="s">
        <v>4141</v>
      </c>
    </row>
    <row r="2193" spans="1:6">
      <c r="A2193" s="263">
        <v>2192</v>
      </c>
      <c r="B2193" s="263" t="s">
        <v>4206</v>
      </c>
      <c r="C2193" s="263" t="s">
        <v>3063</v>
      </c>
      <c r="D2193" s="263" t="s">
        <v>4198</v>
      </c>
      <c r="E2193" s="263" t="s">
        <v>4199</v>
      </c>
      <c r="F2193" s="263" t="s">
        <v>4141</v>
      </c>
    </row>
    <row r="2194" spans="1:6">
      <c r="A2194" s="263">
        <v>2193</v>
      </c>
      <c r="B2194" s="263" t="s">
        <v>4207</v>
      </c>
      <c r="C2194" s="263" t="s">
        <v>1885</v>
      </c>
      <c r="D2194" s="263" t="s">
        <v>4198</v>
      </c>
      <c r="E2194" s="263" t="s">
        <v>4199</v>
      </c>
      <c r="F2194" s="263" t="s">
        <v>4141</v>
      </c>
    </row>
    <row r="2195" spans="1:6">
      <c r="A2195" s="263">
        <v>2194</v>
      </c>
      <c r="B2195" s="263" t="s">
        <v>4208</v>
      </c>
      <c r="C2195" s="263" t="s">
        <v>22</v>
      </c>
      <c r="D2195" s="263" t="s">
        <v>4198</v>
      </c>
      <c r="E2195" s="263" t="s">
        <v>4199</v>
      </c>
      <c r="F2195" s="263" t="s">
        <v>4141</v>
      </c>
    </row>
    <row r="2196" spans="1:6">
      <c r="A2196" s="263">
        <v>2195</v>
      </c>
      <c r="B2196" s="263" t="s">
        <v>4209</v>
      </c>
      <c r="C2196" s="263" t="s">
        <v>4210</v>
      </c>
      <c r="D2196" s="263" t="s">
        <v>4198</v>
      </c>
      <c r="E2196" s="263" t="s">
        <v>4199</v>
      </c>
      <c r="F2196" s="263" t="s">
        <v>4141</v>
      </c>
    </row>
    <row r="2197" spans="1:6">
      <c r="A2197" s="263">
        <v>2196</v>
      </c>
      <c r="B2197" s="263" t="s">
        <v>4211</v>
      </c>
      <c r="C2197" s="263" t="s">
        <v>373</v>
      </c>
      <c r="D2197" s="263" t="s">
        <v>4198</v>
      </c>
      <c r="E2197" s="263" t="s">
        <v>4199</v>
      </c>
      <c r="F2197" s="263" t="s">
        <v>4141</v>
      </c>
    </row>
    <row r="2198" spans="1:6">
      <c r="A2198" s="263">
        <v>2197</v>
      </c>
      <c r="B2198" s="263" t="s">
        <v>4212</v>
      </c>
      <c r="C2198" s="263" t="s">
        <v>334</v>
      </c>
      <c r="D2198" s="263" t="s">
        <v>4198</v>
      </c>
      <c r="E2198" s="263" t="s">
        <v>4199</v>
      </c>
      <c r="F2198" s="263" t="s">
        <v>4141</v>
      </c>
    </row>
    <row r="2199" spans="1:6">
      <c r="A2199" s="263">
        <v>2198</v>
      </c>
      <c r="B2199" s="263" t="s">
        <v>4213</v>
      </c>
      <c r="C2199" s="263" t="s">
        <v>4214</v>
      </c>
      <c r="D2199" s="263" t="s">
        <v>4198</v>
      </c>
      <c r="E2199" s="263" t="s">
        <v>4199</v>
      </c>
      <c r="F2199" s="263" t="s">
        <v>4141</v>
      </c>
    </row>
    <row r="2200" spans="1:6">
      <c r="A2200" s="263">
        <v>2199</v>
      </c>
      <c r="B2200" s="263" t="s">
        <v>4215</v>
      </c>
      <c r="C2200" s="263" t="s">
        <v>4216</v>
      </c>
      <c r="D2200" s="263" t="s">
        <v>4217</v>
      </c>
      <c r="E2200" s="263" t="s">
        <v>4218</v>
      </c>
      <c r="F2200" s="263" t="s">
        <v>4141</v>
      </c>
    </row>
    <row r="2201" spans="1:6">
      <c r="A2201" s="263">
        <v>2200</v>
      </c>
      <c r="B2201" s="263" t="s">
        <v>4219</v>
      </c>
      <c r="C2201" s="263" t="s">
        <v>573</v>
      </c>
      <c r="D2201" s="263" t="s">
        <v>4217</v>
      </c>
      <c r="E2201" s="263" t="s">
        <v>4218</v>
      </c>
      <c r="F2201" s="263" t="s">
        <v>4141</v>
      </c>
    </row>
    <row r="2202" spans="1:6">
      <c r="A2202" s="263">
        <v>2201</v>
      </c>
      <c r="B2202" s="263" t="s">
        <v>4220</v>
      </c>
      <c r="C2202" s="263" t="s">
        <v>823</v>
      </c>
      <c r="D2202" s="263" t="s">
        <v>4217</v>
      </c>
      <c r="E2202" s="263" t="s">
        <v>4218</v>
      </c>
      <c r="F2202" s="263" t="s">
        <v>4141</v>
      </c>
    </row>
    <row r="2203" spans="1:6">
      <c r="A2203" s="263">
        <v>2202</v>
      </c>
      <c r="B2203" s="263" t="s">
        <v>4221</v>
      </c>
      <c r="C2203" s="263" t="s">
        <v>4222</v>
      </c>
      <c r="D2203" s="263" t="s">
        <v>4217</v>
      </c>
      <c r="E2203" s="263" t="s">
        <v>4218</v>
      </c>
      <c r="F2203" s="263" t="s">
        <v>4141</v>
      </c>
    </row>
    <row r="2204" spans="1:6">
      <c r="A2204" s="263">
        <v>2203</v>
      </c>
      <c r="B2204" s="263" t="s">
        <v>4223</v>
      </c>
      <c r="C2204" s="263" t="s">
        <v>3218</v>
      </c>
      <c r="D2204" s="263" t="s">
        <v>4217</v>
      </c>
      <c r="E2204" s="263" t="s">
        <v>4218</v>
      </c>
      <c r="F2204" s="263" t="s">
        <v>4141</v>
      </c>
    </row>
    <row r="2205" spans="1:6">
      <c r="A2205" s="263">
        <v>2204</v>
      </c>
      <c r="B2205" s="263" t="s">
        <v>4224</v>
      </c>
      <c r="C2205" s="263" t="s">
        <v>3222</v>
      </c>
      <c r="D2205" s="263" t="s">
        <v>4217</v>
      </c>
      <c r="E2205" s="263" t="s">
        <v>4218</v>
      </c>
      <c r="F2205" s="263" t="s">
        <v>4141</v>
      </c>
    </row>
    <row r="2206" spans="1:6">
      <c r="A2206" s="263">
        <v>2205</v>
      </c>
      <c r="B2206" s="263" t="s">
        <v>4225</v>
      </c>
      <c r="C2206" s="263" t="s">
        <v>4226</v>
      </c>
      <c r="D2206" s="263" t="s">
        <v>4217</v>
      </c>
      <c r="E2206" s="263" t="s">
        <v>4218</v>
      </c>
      <c r="F2206" s="263" t="s">
        <v>4141</v>
      </c>
    </row>
    <row r="2207" spans="1:6">
      <c r="A2207" s="263">
        <v>2206</v>
      </c>
      <c r="B2207" s="263" t="s">
        <v>4227</v>
      </c>
      <c r="C2207" s="263" t="s">
        <v>1095</v>
      </c>
      <c r="D2207" s="263" t="s">
        <v>4217</v>
      </c>
      <c r="E2207" s="263" t="s">
        <v>4218</v>
      </c>
      <c r="F2207" s="263" t="s">
        <v>4141</v>
      </c>
    </row>
    <row r="2208" spans="1:6">
      <c r="A2208" s="263">
        <v>2207</v>
      </c>
      <c r="B2208" s="263" t="s">
        <v>4228</v>
      </c>
      <c r="C2208" s="263" t="s">
        <v>2977</v>
      </c>
      <c r="D2208" s="263" t="s">
        <v>4217</v>
      </c>
      <c r="E2208" s="263" t="s">
        <v>4218</v>
      </c>
      <c r="F2208" s="263" t="s">
        <v>4141</v>
      </c>
    </row>
    <row r="2209" spans="1:6">
      <c r="A2209" s="263">
        <v>2208</v>
      </c>
      <c r="B2209" s="263" t="s">
        <v>4229</v>
      </c>
      <c r="C2209" s="263" t="s">
        <v>4230</v>
      </c>
      <c r="D2209" s="263" t="s">
        <v>4231</v>
      </c>
      <c r="E2209" s="263" t="s">
        <v>4232</v>
      </c>
      <c r="F2209" s="263" t="s">
        <v>4141</v>
      </c>
    </row>
    <row r="2210" spans="1:6">
      <c r="A2210" s="263">
        <v>2209</v>
      </c>
      <c r="B2210" s="263" t="s">
        <v>4233</v>
      </c>
      <c r="C2210" s="263" t="s">
        <v>4234</v>
      </c>
      <c r="D2210" s="263" t="s">
        <v>4231</v>
      </c>
      <c r="E2210" s="263" t="s">
        <v>4232</v>
      </c>
      <c r="F2210" s="263" t="s">
        <v>4141</v>
      </c>
    </row>
    <row r="2211" spans="1:6">
      <c r="A2211" s="263">
        <v>2210</v>
      </c>
      <c r="B2211" s="263" t="s">
        <v>4235</v>
      </c>
      <c r="C2211" s="263" t="s">
        <v>4236</v>
      </c>
      <c r="D2211" s="263" t="s">
        <v>4231</v>
      </c>
      <c r="E2211" s="263" t="s">
        <v>4232</v>
      </c>
      <c r="F2211" s="263" t="s">
        <v>4141</v>
      </c>
    </row>
    <row r="2212" spans="1:6">
      <c r="A2212" s="263">
        <v>2211</v>
      </c>
      <c r="B2212" s="263" t="s">
        <v>4237</v>
      </c>
      <c r="C2212" s="263" t="s">
        <v>4238</v>
      </c>
      <c r="D2212" s="263" t="s">
        <v>4231</v>
      </c>
      <c r="E2212" s="263" t="s">
        <v>4232</v>
      </c>
      <c r="F2212" s="263" t="s">
        <v>4141</v>
      </c>
    </row>
    <row r="2213" spans="1:6">
      <c r="A2213" s="263">
        <v>2212</v>
      </c>
      <c r="B2213" s="263" t="s">
        <v>4239</v>
      </c>
      <c r="C2213" s="263" t="s">
        <v>4240</v>
      </c>
      <c r="D2213" s="263" t="s">
        <v>4231</v>
      </c>
      <c r="E2213" s="263" t="s">
        <v>4232</v>
      </c>
      <c r="F2213" s="263" t="s">
        <v>4141</v>
      </c>
    </row>
    <row r="2214" spans="1:6">
      <c r="A2214" s="263">
        <v>2213</v>
      </c>
      <c r="B2214" s="263" t="s">
        <v>4241</v>
      </c>
      <c r="C2214" s="263" t="s">
        <v>4242</v>
      </c>
      <c r="D2214" s="263" t="s">
        <v>4231</v>
      </c>
      <c r="E2214" s="263" t="s">
        <v>4232</v>
      </c>
      <c r="F2214" s="263" t="s">
        <v>4141</v>
      </c>
    </row>
    <row r="2215" spans="1:6">
      <c r="A2215" s="263">
        <v>2214</v>
      </c>
      <c r="B2215" s="263" t="s">
        <v>4243</v>
      </c>
      <c r="C2215" s="263" t="s">
        <v>4244</v>
      </c>
      <c r="D2215" s="263" t="s">
        <v>4231</v>
      </c>
      <c r="E2215" s="263" t="s">
        <v>4232</v>
      </c>
      <c r="F2215" s="263" t="s">
        <v>4141</v>
      </c>
    </row>
    <row r="2216" spans="1:6">
      <c r="A2216" s="263">
        <v>2215</v>
      </c>
      <c r="B2216" s="263" t="s">
        <v>4245</v>
      </c>
      <c r="C2216" s="263" t="s">
        <v>4246</v>
      </c>
      <c r="D2216" s="263" t="s">
        <v>4231</v>
      </c>
      <c r="E2216" s="263" t="s">
        <v>4232</v>
      </c>
      <c r="F2216" s="263" t="s">
        <v>4141</v>
      </c>
    </row>
    <row r="2217" spans="1:6">
      <c r="A2217" s="263">
        <v>2216</v>
      </c>
      <c r="B2217" s="263" t="s">
        <v>4247</v>
      </c>
      <c r="C2217" s="263" t="s">
        <v>1480</v>
      </c>
      <c r="D2217" s="263" t="s">
        <v>4231</v>
      </c>
      <c r="E2217" s="263" t="s">
        <v>4232</v>
      </c>
      <c r="F2217" s="263" t="s">
        <v>4141</v>
      </c>
    </row>
    <row r="2218" spans="1:6">
      <c r="A2218" s="263">
        <v>2217</v>
      </c>
      <c r="B2218" s="263" t="s">
        <v>4248</v>
      </c>
      <c r="C2218" s="263" t="s">
        <v>4249</v>
      </c>
      <c r="D2218" s="263" t="s">
        <v>4231</v>
      </c>
      <c r="E2218" s="263" t="s">
        <v>4232</v>
      </c>
      <c r="F2218" s="263" t="s">
        <v>4141</v>
      </c>
    </row>
    <row r="2219" spans="1:6">
      <c r="A2219" s="263">
        <v>2218</v>
      </c>
      <c r="B2219" s="263" t="s">
        <v>4250</v>
      </c>
      <c r="C2219" s="263" t="s">
        <v>4251</v>
      </c>
      <c r="D2219" s="263" t="s">
        <v>4231</v>
      </c>
      <c r="E2219" s="263" t="s">
        <v>4232</v>
      </c>
      <c r="F2219" s="263" t="s">
        <v>4141</v>
      </c>
    </row>
    <row r="2220" spans="1:6">
      <c r="A2220" s="263">
        <v>2219</v>
      </c>
      <c r="B2220" s="263" t="s">
        <v>4252</v>
      </c>
      <c r="C2220" s="263" t="s">
        <v>4253</v>
      </c>
      <c r="D2220" s="263" t="s">
        <v>4254</v>
      </c>
      <c r="E2220" s="263" t="s">
        <v>4255</v>
      </c>
      <c r="F2220" s="263" t="s">
        <v>4141</v>
      </c>
    </row>
    <row r="2221" spans="1:6">
      <c r="A2221" s="263">
        <v>2220</v>
      </c>
      <c r="B2221" s="263" t="s">
        <v>4256</v>
      </c>
      <c r="C2221" s="263" t="s">
        <v>4257</v>
      </c>
      <c r="D2221" s="263" t="s">
        <v>4254</v>
      </c>
      <c r="E2221" s="263" t="s">
        <v>4255</v>
      </c>
      <c r="F2221" s="263" t="s">
        <v>4141</v>
      </c>
    </row>
    <row r="2222" spans="1:6">
      <c r="A2222" s="263">
        <v>2221</v>
      </c>
      <c r="B2222" s="263" t="s">
        <v>4258</v>
      </c>
      <c r="C2222" s="263" t="s">
        <v>950</v>
      </c>
      <c r="D2222" s="263" t="s">
        <v>4254</v>
      </c>
      <c r="E2222" s="263" t="s">
        <v>4255</v>
      </c>
      <c r="F2222" s="263" t="s">
        <v>4141</v>
      </c>
    </row>
    <row r="2223" spans="1:6">
      <c r="A2223" s="263">
        <v>2222</v>
      </c>
      <c r="B2223" s="263" t="s">
        <v>4259</v>
      </c>
      <c r="C2223" s="263" t="s">
        <v>4260</v>
      </c>
      <c r="D2223" s="263" t="s">
        <v>4254</v>
      </c>
      <c r="E2223" s="263" t="s">
        <v>4255</v>
      </c>
      <c r="F2223" s="263" t="s">
        <v>4141</v>
      </c>
    </row>
    <row r="2224" spans="1:6">
      <c r="A2224" s="263">
        <v>2223</v>
      </c>
      <c r="B2224" s="263" t="s">
        <v>4261</v>
      </c>
      <c r="C2224" s="263" t="s">
        <v>4262</v>
      </c>
      <c r="D2224" s="263" t="s">
        <v>4254</v>
      </c>
      <c r="E2224" s="263" t="s">
        <v>4255</v>
      </c>
      <c r="F2224" s="263" t="s">
        <v>4141</v>
      </c>
    </row>
    <row r="2225" spans="1:6">
      <c r="A2225" s="263">
        <v>2224</v>
      </c>
      <c r="B2225" s="263" t="s">
        <v>4263</v>
      </c>
      <c r="C2225" s="263" t="s">
        <v>4264</v>
      </c>
      <c r="D2225" s="263" t="s">
        <v>4254</v>
      </c>
      <c r="E2225" s="263" t="s">
        <v>4255</v>
      </c>
      <c r="F2225" s="263" t="s">
        <v>4141</v>
      </c>
    </row>
    <row r="2226" spans="1:6">
      <c r="A2226" s="263">
        <v>2225</v>
      </c>
      <c r="B2226" s="263" t="s">
        <v>4265</v>
      </c>
      <c r="C2226" s="263" t="s">
        <v>964</v>
      </c>
      <c r="D2226" s="263" t="s">
        <v>4254</v>
      </c>
      <c r="E2226" s="263" t="s">
        <v>4255</v>
      </c>
      <c r="F2226" s="263" t="s">
        <v>4141</v>
      </c>
    </row>
    <row r="2227" spans="1:6">
      <c r="A2227" s="263">
        <v>2226</v>
      </c>
      <c r="B2227" s="263" t="s">
        <v>4266</v>
      </c>
      <c r="C2227" s="263" t="s">
        <v>4267</v>
      </c>
      <c r="D2227" s="263" t="s">
        <v>4254</v>
      </c>
      <c r="E2227" s="263" t="s">
        <v>4255</v>
      </c>
      <c r="F2227" s="263" t="s">
        <v>4141</v>
      </c>
    </row>
    <row r="2228" spans="1:6">
      <c r="A2228" s="263">
        <v>2227</v>
      </c>
      <c r="B2228" s="263" t="s">
        <v>4268</v>
      </c>
      <c r="C2228" s="263" t="s">
        <v>88</v>
      </c>
      <c r="D2228" s="263" t="s">
        <v>4254</v>
      </c>
      <c r="E2228" s="263" t="s">
        <v>4255</v>
      </c>
      <c r="F2228" s="263" t="s">
        <v>4141</v>
      </c>
    </row>
    <row r="2229" spans="1:6">
      <c r="A2229" s="263">
        <v>2228</v>
      </c>
      <c r="B2229" s="263" t="s">
        <v>4269</v>
      </c>
      <c r="C2229" s="263" t="s">
        <v>92</v>
      </c>
      <c r="D2229" s="263" t="s">
        <v>4254</v>
      </c>
      <c r="E2229" s="263" t="s">
        <v>4255</v>
      </c>
      <c r="F2229" s="263" t="s">
        <v>4141</v>
      </c>
    </row>
    <row r="2230" spans="1:6">
      <c r="A2230" s="263">
        <v>2229</v>
      </c>
      <c r="B2230" s="263" t="s">
        <v>4270</v>
      </c>
      <c r="C2230" s="263" t="s">
        <v>4271</v>
      </c>
      <c r="D2230" s="263" t="s">
        <v>4272</v>
      </c>
      <c r="E2230" s="263" t="s">
        <v>4273</v>
      </c>
      <c r="F2230" s="263" t="s">
        <v>4141</v>
      </c>
    </row>
    <row r="2231" spans="1:6">
      <c r="A2231" s="263">
        <v>2230</v>
      </c>
      <c r="B2231" s="263" t="s">
        <v>4274</v>
      </c>
      <c r="C2231" s="263" t="s">
        <v>4275</v>
      </c>
      <c r="D2231" s="263" t="s">
        <v>4272</v>
      </c>
      <c r="E2231" s="263" t="s">
        <v>4273</v>
      </c>
      <c r="F2231" s="263" t="s">
        <v>4141</v>
      </c>
    </row>
    <row r="2232" spans="1:6">
      <c r="A2232" s="263">
        <v>2231</v>
      </c>
      <c r="B2232" s="263" t="s">
        <v>4276</v>
      </c>
      <c r="C2232" s="263" t="s">
        <v>4277</v>
      </c>
      <c r="D2232" s="263" t="s">
        <v>4272</v>
      </c>
      <c r="E2232" s="263" t="s">
        <v>4273</v>
      </c>
      <c r="F2232" s="263" t="s">
        <v>4141</v>
      </c>
    </row>
    <row r="2233" spans="1:6">
      <c r="A2233" s="263">
        <v>2232</v>
      </c>
      <c r="B2233" s="263" t="s">
        <v>4278</v>
      </c>
      <c r="C2233" s="263" t="s">
        <v>4279</v>
      </c>
      <c r="D2233" s="263" t="s">
        <v>4272</v>
      </c>
      <c r="E2233" s="263" t="s">
        <v>4273</v>
      </c>
      <c r="F2233" s="263" t="s">
        <v>4141</v>
      </c>
    </row>
    <row r="2234" spans="1:6">
      <c r="A2234" s="263">
        <v>2233</v>
      </c>
      <c r="B2234" s="263" t="s">
        <v>4280</v>
      </c>
      <c r="C2234" s="263" t="s">
        <v>4281</v>
      </c>
      <c r="D2234" s="263" t="s">
        <v>4272</v>
      </c>
      <c r="E2234" s="263" t="s">
        <v>4273</v>
      </c>
      <c r="F2234" s="263" t="s">
        <v>4141</v>
      </c>
    </row>
    <row r="2235" spans="1:6">
      <c r="A2235" s="263">
        <v>2234</v>
      </c>
      <c r="B2235" s="263" t="s">
        <v>4282</v>
      </c>
      <c r="C2235" s="263" t="s">
        <v>4283</v>
      </c>
      <c r="D2235" s="263" t="s">
        <v>4272</v>
      </c>
      <c r="E2235" s="263" t="s">
        <v>4273</v>
      </c>
      <c r="F2235" s="263" t="s">
        <v>4141</v>
      </c>
    </row>
    <row r="2236" spans="1:6">
      <c r="A2236" s="263">
        <v>2235</v>
      </c>
      <c r="B2236" s="263" t="s">
        <v>4284</v>
      </c>
      <c r="C2236" s="263" t="s">
        <v>4285</v>
      </c>
      <c r="D2236" s="263" t="s">
        <v>4272</v>
      </c>
      <c r="E2236" s="263" t="s">
        <v>4273</v>
      </c>
      <c r="F2236" s="263" t="s">
        <v>4141</v>
      </c>
    </row>
    <row r="2237" spans="1:6">
      <c r="A2237" s="263">
        <v>2236</v>
      </c>
      <c r="B2237" s="263" t="s">
        <v>4286</v>
      </c>
      <c r="C2237" s="263" t="s">
        <v>4287</v>
      </c>
      <c r="D2237" s="263" t="s">
        <v>4272</v>
      </c>
      <c r="E2237" s="263" t="s">
        <v>4273</v>
      </c>
      <c r="F2237" s="263" t="s">
        <v>4141</v>
      </c>
    </row>
    <row r="2238" spans="1:6">
      <c r="A2238" s="263">
        <v>2237</v>
      </c>
      <c r="B2238" s="263" t="s">
        <v>4288</v>
      </c>
      <c r="C2238" s="263" t="s">
        <v>1516</v>
      </c>
      <c r="D2238" s="263" t="s">
        <v>4272</v>
      </c>
      <c r="E2238" s="263" t="s">
        <v>4273</v>
      </c>
      <c r="F2238" s="263" t="s">
        <v>4141</v>
      </c>
    </row>
    <row r="2239" spans="1:6">
      <c r="A2239" s="263">
        <v>2238</v>
      </c>
      <c r="B2239" s="263" t="s">
        <v>4289</v>
      </c>
      <c r="C2239" s="263" t="s">
        <v>4290</v>
      </c>
      <c r="D2239" s="263" t="s">
        <v>4272</v>
      </c>
      <c r="E2239" s="263" t="s">
        <v>4273</v>
      </c>
      <c r="F2239" s="263" t="s">
        <v>4141</v>
      </c>
    </row>
    <row r="2240" spans="1:6">
      <c r="A2240" s="263">
        <v>2239</v>
      </c>
      <c r="B2240" s="263" t="s">
        <v>4291</v>
      </c>
      <c r="C2240" s="263" t="s">
        <v>4292</v>
      </c>
      <c r="D2240" s="263" t="s">
        <v>4272</v>
      </c>
      <c r="E2240" s="263" t="s">
        <v>4273</v>
      </c>
      <c r="F2240" s="263" t="s">
        <v>4141</v>
      </c>
    </row>
    <row r="2241" spans="1:6">
      <c r="A2241" s="263">
        <v>2240</v>
      </c>
      <c r="B2241" s="263" t="s">
        <v>4293</v>
      </c>
      <c r="C2241" s="263" t="s">
        <v>628</v>
      </c>
      <c r="D2241" s="263" t="s">
        <v>4294</v>
      </c>
      <c r="E2241" s="263" t="s">
        <v>4295</v>
      </c>
      <c r="F2241" s="263" t="s">
        <v>4141</v>
      </c>
    </row>
    <row r="2242" spans="1:6">
      <c r="A2242" s="263">
        <v>2241</v>
      </c>
      <c r="B2242" s="263" t="s">
        <v>4296</v>
      </c>
      <c r="C2242" s="263" t="s">
        <v>2581</v>
      </c>
      <c r="D2242" s="263" t="s">
        <v>4294</v>
      </c>
      <c r="E2242" s="263" t="s">
        <v>4295</v>
      </c>
      <c r="F2242" s="263" t="s">
        <v>4141</v>
      </c>
    </row>
    <row r="2243" spans="1:6">
      <c r="A2243" s="263">
        <v>2242</v>
      </c>
      <c r="B2243" s="263" t="s">
        <v>4297</v>
      </c>
      <c r="C2243" s="263" t="s">
        <v>632</v>
      </c>
      <c r="D2243" s="263" t="s">
        <v>4294</v>
      </c>
      <c r="E2243" s="263" t="s">
        <v>4295</v>
      </c>
      <c r="F2243" s="263" t="s">
        <v>4141</v>
      </c>
    </row>
    <row r="2244" spans="1:6">
      <c r="A2244" s="263">
        <v>2243</v>
      </c>
      <c r="B2244" s="263" t="s">
        <v>4298</v>
      </c>
      <c r="C2244" s="263" t="s">
        <v>634</v>
      </c>
      <c r="D2244" s="263" t="s">
        <v>4294</v>
      </c>
      <c r="E2244" s="263" t="s">
        <v>4295</v>
      </c>
      <c r="F2244" s="263" t="s">
        <v>4141</v>
      </c>
    </row>
    <row r="2245" spans="1:6">
      <c r="A2245" s="263">
        <v>2244</v>
      </c>
      <c r="B2245" s="263" t="s">
        <v>4299</v>
      </c>
      <c r="C2245" s="263" t="s">
        <v>1184</v>
      </c>
      <c r="D2245" s="263" t="s">
        <v>4294</v>
      </c>
      <c r="E2245" s="263" t="s">
        <v>4295</v>
      </c>
      <c r="F2245" s="263" t="s">
        <v>4141</v>
      </c>
    </row>
    <row r="2246" spans="1:6">
      <c r="A2246" s="263">
        <v>2245</v>
      </c>
      <c r="B2246" s="263" t="s">
        <v>4300</v>
      </c>
      <c r="C2246" s="263" t="s">
        <v>636</v>
      </c>
      <c r="D2246" s="263" t="s">
        <v>4294</v>
      </c>
      <c r="E2246" s="263" t="s">
        <v>4295</v>
      </c>
      <c r="F2246" s="263" t="s">
        <v>4141</v>
      </c>
    </row>
    <row r="2247" spans="1:6">
      <c r="A2247" s="263">
        <v>2246</v>
      </c>
      <c r="B2247" s="263" t="s">
        <v>4301</v>
      </c>
      <c r="C2247" s="263" t="s">
        <v>1187</v>
      </c>
      <c r="D2247" s="263" t="s">
        <v>4294</v>
      </c>
      <c r="E2247" s="263" t="s">
        <v>4295</v>
      </c>
      <c r="F2247" s="263" t="s">
        <v>4141</v>
      </c>
    </row>
    <row r="2248" spans="1:6">
      <c r="A2248" s="263">
        <v>2247</v>
      </c>
      <c r="B2248" s="263" t="s">
        <v>4302</v>
      </c>
      <c r="C2248" s="263" t="s">
        <v>638</v>
      </c>
      <c r="D2248" s="263" t="s">
        <v>4294</v>
      </c>
      <c r="E2248" s="263" t="s">
        <v>4295</v>
      </c>
      <c r="F2248" s="263" t="s">
        <v>4141</v>
      </c>
    </row>
    <row r="2249" spans="1:6">
      <c r="A2249" s="263">
        <v>2248</v>
      </c>
      <c r="B2249" s="263" t="s">
        <v>4303</v>
      </c>
      <c r="C2249" s="263" t="s">
        <v>640</v>
      </c>
      <c r="D2249" s="263" t="s">
        <v>4294</v>
      </c>
      <c r="E2249" s="263" t="s">
        <v>4295</v>
      </c>
      <c r="F2249" s="263" t="s">
        <v>4141</v>
      </c>
    </row>
    <row r="2250" spans="1:6">
      <c r="A2250" s="263">
        <v>2249</v>
      </c>
      <c r="B2250" s="263" t="s">
        <v>4304</v>
      </c>
      <c r="C2250" s="263" t="s">
        <v>1645</v>
      </c>
      <c r="D2250" s="263" t="s">
        <v>4294</v>
      </c>
      <c r="E2250" s="263" t="s">
        <v>4295</v>
      </c>
      <c r="F2250" s="263" t="s">
        <v>4141</v>
      </c>
    </row>
    <row r="2251" spans="1:6">
      <c r="A2251" s="263">
        <v>2250</v>
      </c>
      <c r="B2251" s="263" t="s">
        <v>4305</v>
      </c>
      <c r="C2251" s="263" t="s">
        <v>628</v>
      </c>
      <c r="D2251" s="263" t="s">
        <v>4306</v>
      </c>
      <c r="E2251" s="263" t="s">
        <v>4307</v>
      </c>
      <c r="F2251" s="263" t="s">
        <v>4141</v>
      </c>
    </row>
    <row r="2252" spans="1:6">
      <c r="A2252" s="263">
        <v>2251</v>
      </c>
      <c r="B2252" s="263" t="s">
        <v>4308</v>
      </c>
      <c r="C2252" s="263" t="s">
        <v>632</v>
      </c>
      <c r="D2252" s="263" t="s">
        <v>4306</v>
      </c>
      <c r="E2252" s="263" t="s">
        <v>4307</v>
      </c>
      <c r="F2252" s="263" t="s">
        <v>4141</v>
      </c>
    </row>
    <row r="2253" spans="1:6">
      <c r="A2253" s="263">
        <v>2252</v>
      </c>
      <c r="B2253" s="263" t="s">
        <v>4309</v>
      </c>
      <c r="C2253" s="263" t="s">
        <v>634</v>
      </c>
      <c r="D2253" s="263" t="s">
        <v>4306</v>
      </c>
      <c r="E2253" s="263" t="s">
        <v>4307</v>
      </c>
      <c r="F2253" s="263" t="s">
        <v>4141</v>
      </c>
    </row>
    <row r="2254" spans="1:6">
      <c r="A2254" s="263">
        <v>2253</v>
      </c>
      <c r="B2254" s="263" t="s">
        <v>4310</v>
      </c>
      <c r="C2254" s="263" t="s">
        <v>819</v>
      </c>
      <c r="D2254" s="263" t="s">
        <v>4306</v>
      </c>
      <c r="E2254" s="263" t="s">
        <v>4307</v>
      </c>
      <c r="F2254" s="263" t="s">
        <v>4141</v>
      </c>
    </row>
    <row r="2255" spans="1:6">
      <c r="A2255" s="263">
        <v>2254</v>
      </c>
      <c r="B2255" s="263" t="s">
        <v>4311</v>
      </c>
      <c r="C2255" s="263" t="s">
        <v>3558</v>
      </c>
      <c r="D2255" s="263" t="s">
        <v>4306</v>
      </c>
      <c r="E2255" s="263" t="s">
        <v>4307</v>
      </c>
      <c r="F2255" s="263" t="s">
        <v>4141</v>
      </c>
    </row>
    <row r="2256" spans="1:6">
      <c r="A2256" s="263">
        <v>2255</v>
      </c>
      <c r="B2256" s="263" t="s">
        <v>4312</v>
      </c>
      <c r="C2256" s="263" t="s">
        <v>4313</v>
      </c>
      <c r="D2256" s="263" t="s">
        <v>4306</v>
      </c>
      <c r="E2256" s="263" t="s">
        <v>4307</v>
      </c>
      <c r="F2256" s="263" t="s">
        <v>4141</v>
      </c>
    </row>
    <row r="2257" spans="1:6">
      <c r="A2257" s="263">
        <v>2256</v>
      </c>
      <c r="B2257" s="263" t="s">
        <v>4314</v>
      </c>
      <c r="C2257" s="263" t="s">
        <v>420</v>
      </c>
      <c r="D2257" s="263" t="s">
        <v>4306</v>
      </c>
      <c r="E2257" s="263" t="s">
        <v>4307</v>
      </c>
      <c r="F2257" s="263" t="s">
        <v>4141</v>
      </c>
    </row>
    <row r="2258" spans="1:6">
      <c r="A2258" s="263">
        <v>2257</v>
      </c>
      <c r="B2258" s="263" t="s">
        <v>4315</v>
      </c>
      <c r="C2258" s="263" t="s">
        <v>4316</v>
      </c>
      <c r="D2258" s="263" t="s">
        <v>4306</v>
      </c>
      <c r="E2258" s="263" t="s">
        <v>4307</v>
      </c>
      <c r="F2258" s="263" t="s">
        <v>4141</v>
      </c>
    </row>
    <row r="2259" spans="1:6">
      <c r="A2259" s="263">
        <v>2258</v>
      </c>
      <c r="B2259" s="263" t="s">
        <v>4317</v>
      </c>
      <c r="C2259" s="263" t="s">
        <v>628</v>
      </c>
      <c r="D2259" s="263" t="s">
        <v>4318</v>
      </c>
      <c r="E2259" s="263" t="s">
        <v>4319</v>
      </c>
      <c r="F2259" s="263" t="s">
        <v>4141</v>
      </c>
    </row>
    <row r="2260" spans="1:6">
      <c r="A2260" s="263">
        <v>2259</v>
      </c>
      <c r="B2260" s="263" t="s">
        <v>4320</v>
      </c>
      <c r="C2260" s="263" t="s">
        <v>632</v>
      </c>
      <c r="D2260" s="263" t="s">
        <v>4318</v>
      </c>
      <c r="E2260" s="263" t="s">
        <v>4319</v>
      </c>
      <c r="F2260" s="263" t="s">
        <v>4141</v>
      </c>
    </row>
    <row r="2261" spans="1:6">
      <c r="A2261" s="263">
        <v>2260</v>
      </c>
      <c r="B2261" s="263" t="s">
        <v>4321</v>
      </c>
      <c r="C2261" s="263" t="s">
        <v>4322</v>
      </c>
      <c r="D2261" s="263" t="s">
        <v>4318</v>
      </c>
      <c r="E2261" s="263" t="s">
        <v>4319</v>
      </c>
      <c r="F2261" s="263" t="s">
        <v>4141</v>
      </c>
    </row>
    <row r="2262" spans="1:6">
      <c r="A2262" s="263">
        <v>2261</v>
      </c>
      <c r="B2262" s="263" t="s">
        <v>4323</v>
      </c>
      <c r="C2262" s="263" t="s">
        <v>4324</v>
      </c>
      <c r="D2262" s="263" t="s">
        <v>4318</v>
      </c>
      <c r="E2262" s="263" t="s">
        <v>4319</v>
      </c>
      <c r="F2262" s="263" t="s">
        <v>4141</v>
      </c>
    </row>
    <row r="2263" spans="1:6">
      <c r="A2263" s="263">
        <v>2262</v>
      </c>
      <c r="B2263" s="263" t="s">
        <v>4325</v>
      </c>
      <c r="C2263" s="263" t="s">
        <v>4326</v>
      </c>
      <c r="D2263" s="263" t="s">
        <v>4318</v>
      </c>
      <c r="E2263" s="263" t="s">
        <v>4319</v>
      </c>
      <c r="F2263" s="263" t="s">
        <v>4141</v>
      </c>
    </row>
    <row r="2264" spans="1:6">
      <c r="A2264" s="263">
        <v>2263</v>
      </c>
      <c r="B2264" s="263" t="s">
        <v>4327</v>
      </c>
      <c r="C2264" s="263" t="s">
        <v>4328</v>
      </c>
      <c r="D2264" s="263" t="s">
        <v>4318</v>
      </c>
      <c r="E2264" s="263" t="s">
        <v>4319</v>
      </c>
      <c r="F2264" s="263" t="s">
        <v>4141</v>
      </c>
    </row>
    <row r="2265" spans="1:6">
      <c r="A2265" s="263">
        <v>2264</v>
      </c>
      <c r="B2265" s="263" t="s">
        <v>4329</v>
      </c>
      <c r="C2265" s="263" t="s">
        <v>4330</v>
      </c>
      <c r="D2265" s="263" t="s">
        <v>4318</v>
      </c>
      <c r="E2265" s="263" t="s">
        <v>4319</v>
      </c>
      <c r="F2265" s="263" t="s">
        <v>4141</v>
      </c>
    </row>
    <row r="2266" spans="1:6">
      <c r="A2266" s="263">
        <v>2265</v>
      </c>
      <c r="B2266" s="263" t="s">
        <v>4331</v>
      </c>
      <c r="C2266" s="263" t="s">
        <v>4038</v>
      </c>
      <c r="D2266" s="263" t="s">
        <v>4318</v>
      </c>
      <c r="E2266" s="263" t="s">
        <v>4319</v>
      </c>
      <c r="F2266" s="263" t="s">
        <v>4141</v>
      </c>
    </row>
    <row r="2267" spans="1:6">
      <c r="A2267" s="263">
        <v>2266</v>
      </c>
      <c r="B2267" s="263" t="s">
        <v>4332</v>
      </c>
      <c r="C2267" s="263" t="s">
        <v>4333</v>
      </c>
      <c r="D2267" s="263" t="s">
        <v>4318</v>
      </c>
      <c r="E2267" s="263" t="s">
        <v>4319</v>
      </c>
      <c r="F2267" s="263" t="s">
        <v>4141</v>
      </c>
    </row>
    <row r="2268" spans="1:6">
      <c r="A2268" s="263">
        <v>2267</v>
      </c>
      <c r="B2268" s="263" t="s">
        <v>4334</v>
      </c>
      <c r="C2268" s="263" t="s">
        <v>509</v>
      </c>
      <c r="D2268" s="263" t="s">
        <v>4318</v>
      </c>
      <c r="E2268" s="263" t="s">
        <v>4319</v>
      </c>
      <c r="F2268" s="263" t="s">
        <v>4141</v>
      </c>
    </row>
    <row r="2269" spans="1:6">
      <c r="A2269" s="263">
        <v>2268</v>
      </c>
      <c r="B2269" s="263" t="s">
        <v>4335</v>
      </c>
      <c r="C2269" s="263" t="s">
        <v>4336</v>
      </c>
      <c r="D2269" s="263" t="s">
        <v>4337</v>
      </c>
      <c r="E2269" s="263" t="s">
        <v>4338</v>
      </c>
      <c r="F2269" s="263" t="s">
        <v>4339</v>
      </c>
    </row>
    <row r="2270" spans="1:6">
      <c r="A2270" s="263">
        <v>2269</v>
      </c>
      <c r="B2270" s="263" t="s">
        <v>4340</v>
      </c>
      <c r="C2270" s="263" t="s">
        <v>212</v>
      </c>
      <c r="D2270" s="263" t="s">
        <v>4337</v>
      </c>
      <c r="E2270" s="263" t="s">
        <v>4338</v>
      </c>
      <c r="F2270" s="263" t="s">
        <v>4339</v>
      </c>
    </row>
    <row r="2271" spans="1:6">
      <c r="A2271" s="263">
        <v>2270</v>
      </c>
      <c r="B2271" s="263" t="s">
        <v>4341</v>
      </c>
      <c r="C2271" s="263" t="s">
        <v>4342</v>
      </c>
      <c r="D2271" s="263" t="s">
        <v>4337</v>
      </c>
      <c r="E2271" s="263" t="s">
        <v>4338</v>
      </c>
      <c r="F2271" s="263" t="s">
        <v>4339</v>
      </c>
    </row>
    <row r="2272" spans="1:6">
      <c r="A2272" s="263">
        <v>2271</v>
      </c>
      <c r="B2272" s="263" t="s">
        <v>4343</v>
      </c>
      <c r="C2272" s="263" t="s">
        <v>4344</v>
      </c>
      <c r="D2272" s="263" t="s">
        <v>4337</v>
      </c>
      <c r="E2272" s="263" t="s">
        <v>4338</v>
      </c>
      <c r="F2272" s="263" t="s">
        <v>4339</v>
      </c>
    </row>
    <row r="2273" spans="1:6">
      <c r="A2273" s="263">
        <v>2272</v>
      </c>
      <c r="B2273" s="263" t="s">
        <v>4345</v>
      </c>
      <c r="C2273" s="263" t="s">
        <v>4346</v>
      </c>
      <c r="D2273" s="263" t="s">
        <v>4337</v>
      </c>
      <c r="E2273" s="263" t="s">
        <v>4338</v>
      </c>
      <c r="F2273" s="263" t="s">
        <v>4339</v>
      </c>
    </row>
    <row r="2274" spans="1:6">
      <c r="A2274" s="263">
        <v>2273</v>
      </c>
      <c r="B2274" s="263" t="s">
        <v>4347</v>
      </c>
      <c r="C2274" s="263" t="s">
        <v>4348</v>
      </c>
      <c r="D2274" s="263" t="s">
        <v>4337</v>
      </c>
      <c r="E2274" s="263" t="s">
        <v>4338</v>
      </c>
      <c r="F2274" s="263" t="s">
        <v>4339</v>
      </c>
    </row>
    <row r="2275" spans="1:6">
      <c r="A2275" s="263">
        <v>2274</v>
      </c>
      <c r="B2275" s="263" t="s">
        <v>4349</v>
      </c>
      <c r="C2275" s="263" t="s">
        <v>4350</v>
      </c>
      <c r="D2275" s="263" t="s">
        <v>4337</v>
      </c>
      <c r="E2275" s="263" t="s">
        <v>4338</v>
      </c>
      <c r="F2275" s="263" t="s">
        <v>4339</v>
      </c>
    </row>
    <row r="2276" spans="1:6">
      <c r="A2276" s="263">
        <v>2275</v>
      </c>
      <c r="B2276" s="263" t="s">
        <v>4351</v>
      </c>
      <c r="C2276" s="263" t="s">
        <v>4352</v>
      </c>
      <c r="D2276" s="263" t="s">
        <v>4337</v>
      </c>
      <c r="E2276" s="263" t="s">
        <v>4338</v>
      </c>
      <c r="F2276" s="263" t="s">
        <v>4339</v>
      </c>
    </row>
    <row r="2277" spans="1:6">
      <c r="A2277" s="263">
        <v>2276</v>
      </c>
      <c r="B2277" s="263" t="s">
        <v>4353</v>
      </c>
      <c r="C2277" s="263" t="s">
        <v>4354</v>
      </c>
      <c r="D2277" s="263" t="s">
        <v>4337</v>
      </c>
      <c r="E2277" s="263" t="s">
        <v>4338</v>
      </c>
      <c r="F2277" s="263" t="s">
        <v>4339</v>
      </c>
    </row>
    <row r="2278" spans="1:6">
      <c r="A2278" s="263">
        <v>2277</v>
      </c>
      <c r="B2278" s="263" t="s">
        <v>4355</v>
      </c>
      <c r="C2278" s="263" t="s">
        <v>4356</v>
      </c>
      <c r="D2278" s="263" t="s">
        <v>4337</v>
      </c>
      <c r="E2278" s="263" t="s">
        <v>4338</v>
      </c>
      <c r="F2278" s="263" t="s">
        <v>4339</v>
      </c>
    </row>
    <row r="2279" spans="1:6">
      <c r="A2279" s="263">
        <v>2278</v>
      </c>
      <c r="B2279" s="263" t="s">
        <v>4357</v>
      </c>
      <c r="C2279" s="263" t="s">
        <v>3158</v>
      </c>
      <c r="D2279" s="263" t="s">
        <v>4337</v>
      </c>
      <c r="E2279" s="263" t="s">
        <v>4338</v>
      </c>
      <c r="F2279" s="263" t="s">
        <v>4339</v>
      </c>
    </row>
    <row r="2280" spans="1:6">
      <c r="A2280" s="263">
        <v>2279</v>
      </c>
      <c r="B2280" s="263" t="s">
        <v>4358</v>
      </c>
      <c r="C2280" s="263" t="s">
        <v>4359</v>
      </c>
      <c r="D2280" s="263" t="s">
        <v>4337</v>
      </c>
      <c r="E2280" s="263" t="s">
        <v>4338</v>
      </c>
      <c r="F2280" s="263" t="s">
        <v>4339</v>
      </c>
    </row>
    <row r="2281" spans="1:6">
      <c r="A2281" s="263">
        <v>2280</v>
      </c>
      <c r="B2281" s="263" t="s">
        <v>4360</v>
      </c>
      <c r="C2281" s="263" t="s">
        <v>2184</v>
      </c>
      <c r="D2281" s="263" t="s">
        <v>4337</v>
      </c>
      <c r="E2281" s="263" t="s">
        <v>4338</v>
      </c>
      <c r="F2281" s="263" t="s">
        <v>4339</v>
      </c>
    </row>
    <row r="2282" spans="1:6">
      <c r="A2282" s="263">
        <v>2281</v>
      </c>
      <c r="B2282" s="263" t="s">
        <v>4361</v>
      </c>
      <c r="C2282" s="263" t="s">
        <v>4362</v>
      </c>
      <c r="D2282" s="263" t="s">
        <v>4337</v>
      </c>
      <c r="E2282" s="263" t="s">
        <v>4338</v>
      </c>
      <c r="F2282" s="263" t="s">
        <v>4339</v>
      </c>
    </row>
    <row r="2283" spans="1:6">
      <c r="A2283" s="263">
        <v>2282</v>
      </c>
      <c r="B2283" s="263" t="s">
        <v>4363</v>
      </c>
      <c r="C2283" s="263" t="s">
        <v>4364</v>
      </c>
      <c r="D2283" s="263" t="s">
        <v>4337</v>
      </c>
      <c r="E2283" s="263" t="s">
        <v>4338</v>
      </c>
      <c r="F2283" s="263" t="s">
        <v>4339</v>
      </c>
    </row>
    <row r="2284" spans="1:6">
      <c r="A2284" s="263">
        <v>2283</v>
      </c>
      <c r="B2284" s="263" t="s">
        <v>4365</v>
      </c>
      <c r="C2284" s="263" t="s">
        <v>4366</v>
      </c>
      <c r="D2284" s="263" t="s">
        <v>4337</v>
      </c>
      <c r="E2284" s="263" t="s">
        <v>4338</v>
      </c>
      <c r="F2284" s="263" t="s">
        <v>4339</v>
      </c>
    </row>
    <row r="2285" spans="1:6">
      <c r="A2285" s="263">
        <v>2284</v>
      </c>
      <c r="B2285" s="263" t="s">
        <v>4367</v>
      </c>
      <c r="C2285" s="263" t="s">
        <v>2386</v>
      </c>
      <c r="D2285" s="263" t="s">
        <v>4337</v>
      </c>
      <c r="E2285" s="263" t="s">
        <v>4338</v>
      </c>
      <c r="F2285" s="263" t="s">
        <v>4339</v>
      </c>
    </row>
    <row r="2286" spans="1:6">
      <c r="A2286" s="263">
        <v>2285</v>
      </c>
      <c r="B2286" s="263" t="s">
        <v>4368</v>
      </c>
      <c r="C2286" s="263" t="s">
        <v>4369</v>
      </c>
      <c r="D2286" s="263" t="s">
        <v>4337</v>
      </c>
      <c r="E2286" s="263" t="s">
        <v>4338</v>
      </c>
      <c r="F2286" s="263" t="s">
        <v>4339</v>
      </c>
    </row>
    <row r="2287" spans="1:6">
      <c r="A2287" s="263">
        <v>2286</v>
      </c>
      <c r="B2287" s="263" t="s">
        <v>4370</v>
      </c>
      <c r="C2287" s="263" t="s">
        <v>4371</v>
      </c>
      <c r="D2287" s="263" t="s">
        <v>4337</v>
      </c>
      <c r="E2287" s="263" t="s">
        <v>4338</v>
      </c>
      <c r="F2287" s="263" t="s">
        <v>4339</v>
      </c>
    </row>
    <row r="2288" spans="1:6">
      <c r="A2288" s="263">
        <v>2287</v>
      </c>
      <c r="B2288" s="263" t="s">
        <v>4372</v>
      </c>
      <c r="C2288" s="263" t="s">
        <v>4373</v>
      </c>
      <c r="D2288" s="263" t="s">
        <v>4337</v>
      </c>
      <c r="E2288" s="263" t="s">
        <v>4338</v>
      </c>
      <c r="F2288" s="263" t="s">
        <v>4339</v>
      </c>
    </row>
    <row r="2289" spans="1:6">
      <c r="A2289" s="263">
        <v>2288</v>
      </c>
      <c r="B2289" s="263" t="s">
        <v>4374</v>
      </c>
      <c r="C2289" s="263" t="s">
        <v>373</v>
      </c>
      <c r="D2289" s="263" t="s">
        <v>4337</v>
      </c>
      <c r="E2289" s="263" t="s">
        <v>4338</v>
      </c>
      <c r="F2289" s="263" t="s">
        <v>4339</v>
      </c>
    </row>
    <row r="2290" spans="1:6">
      <c r="A2290" s="263">
        <v>2289</v>
      </c>
      <c r="B2290" s="263" t="s">
        <v>4375</v>
      </c>
      <c r="C2290" s="263" t="s">
        <v>1079</v>
      </c>
      <c r="D2290" s="263" t="s">
        <v>4337</v>
      </c>
      <c r="E2290" s="263" t="s">
        <v>4338</v>
      </c>
      <c r="F2290" s="263" t="s">
        <v>4339</v>
      </c>
    </row>
    <row r="2291" spans="1:6">
      <c r="A2291" s="263">
        <v>2290</v>
      </c>
      <c r="B2291" s="263" t="s">
        <v>4376</v>
      </c>
      <c r="C2291" s="263" t="s">
        <v>4377</v>
      </c>
      <c r="D2291" s="263" t="s">
        <v>4337</v>
      </c>
      <c r="E2291" s="263" t="s">
        <v>4338</v>
      </c>
      <c r="F2291" s="263" t="s">
        <v>4339</v>
      </c>
    </row>
    <row r="2292" spans="1:6">
      <c r="A2292" s="263">
        <v>2291</v>
      </c>
      <c r="B2292" s="263" t="s">
        <v>4378</v>
      </c>
      <c r="C2292" s="263" t="s">
        <v>4379</v>
      </c>
      <c r="D2292" s="263" t="s">
        <v>4337</v>
      </c>
      <c r="E2292" s="263" t="s">
        <v>4338</v>
      </c>
      <c r="F2292" s="263" t="s">
        <v>4339</v>
      </c>
    </row>
    <row r="2293" spans="1:6">
      <c r="A2293" s="263">
        <v>2292</v>
      </c>
      <c r="B2293" s="263" t="s">
        <v>4380</v>
      </c>
      <c r="C2293" s="263" t="s">
        <v>4381</v>
      </c>
      <c r="D2293" s="263" t="s">
        <v>4337</v>
      </c>
      <c r="E2293" s="263" t="s">
        <v>4338</v>
      </c>
      <c r="F2293" s="263" t="s">
        <v>4339</v>
      </c>
    </row>
    <row r="2294" spans="1:6">
      <c r="A2294" s="263">
        <v>2293</v>
      </c>
      <c r="B2294" s="263" t="s">
        <v>4382</v>
      </c>
      <c r="C2294" s="263" t="s">
        <v>48</v>
      </c>
      <c r="D2294" s="263" t="s">
        <v>4383</v>
      </c>
      <c r="E2294" s="263" t="s">
        <v>4384</v>
      </c>
      <c r="F2294" s="263" t="s">
        <v>4339</v>
      </c>
    </row>
    <row r="2295" spans="1:6">
      <c r="A2295" s="263">
        <v>2294</v>
      </c>
      <c r="B2295" s="263" t="s">
        <v>4385</v>
      </c>
      <c r="C2295" s="263" t="s">
        <v>1126</v>
      </c>
      <c r="D2295" s="263" t="s">
        <v>4383</v>
      </c>
      <c r="E2295" s="263" t="s">
        <v>4384</v>
      </c>
      <c r="F2295" s="263" t="s">
        <v>4339</v>
      </c>
    </row>
    <row r="2296" spans="1:6">
      <c r="A2296" s="263">
        <v>2295</v>
      </c>
      <c r="B2296" s="263" t="s">
        <v>4386</v>
      </c>
      <c r="C2296" s="263" t="s">
        <v>4387</v>
      </c>
      <c r="D2296" s="263" t="s">
        <v>4383</v>
      </c>
      <c r="E2296" s="263" t="s">
        <v>4384</v>
      </c>
      <c r="F2296" s="263" t="s">
        <v>4339</v>
      </c>
    </row>
    <row r="2297" spans="1:6">
      <c r="A2297" s="263">
        <v>2296</v>
      </c>
      <c r="B2297" s="263" t="s">
        <v>4388</v>
      </c>
      <c r="C2297" s="263" t="s">
        <v>4389</v>
      </c>
      <c r="D2297" s="263" t="s">
        <v>4383</v>
      </c>
      <c r="E2297" s="263" t="s">
        <v>4384</v>
      </c>
      <c r="F2297" s="263" t="s">
        <v>4339</v>
      </c>
    </row>
    <row r="2298" spans="1:6">
      <c r="A2298" s="263">
        <v>2297</v>
      </c>
      <c r="B2298" s="263" t="s">
        <v>4390</v>
      </c>
      <c r="C2298" s="263" t="s">
        <v>4391</v>
      </c>
      <c r="D2298" s="263" t="s">
        <v>4383</v>
      </c>
      <c r="E2298" s="263" t="s">
        <v>4384</v>
      </c>
      <c r="F2298" s="263" t="s">
        <v>4339</v>
      </c>
    </row>
    <row r="2299" spans="1:6">
      <c r="A2299" s="263">
        <v>2298</v>
      </c>
      <c r="B2299" s="263" t="s">
        <v>4392</v>
      </c>
      <c r="C2299" s="263" t="s">
        <v>4393</v>
      </c>
      <c r="D2299" s="263" t="s">
        <v>4383</v>
      </c>
      <c r="E2299" s="263" t="s">
        <v>4384</v>
      </c>
      <c r="F2299" s="263" t="s">
        <v>4339</v>
      </c>
    </row>
    <row r="2300" spans="1:6">
      <c r="A2300" s="263">
        <v>2299</v>
      </c>
      <c r="B2300" s="263" t="s">
        <v>4394</v>
      </c>
      <c r="C2300" s="263" t="s">
        <v>2186</v>
      </c>
      <c r="D2300" s="263" t="s">
        <v>4383</v>
      </c>
      <c r="E2300" s="263" t="s">
        <v>4384</v>
      </c>
      <c r="F2300" s="263" t="s">
        <v>4339</v>
      </c>
    </row>
    <row r="2301" spans="1:6">
      <c r="A2301" s="263">
        <v>2300</v>
      </c>
      <c r="B2301" s="263" t="s">
        <v>4395</v>
      </c>
      <c r="C2301" s="263" t="s">
        <v>4396</v>
      </c>
      <c r="D2301" s="263" t="s">
        <v>4383</v>
      </c>
      <c r="E2301" s="263" t="s">
        <v>4384</v>
      </c>
      <c r="F2301" s="263" t="s">
        <v>4339</v>
      </c>
    </row>
    <row r="2302" spans="1:6">
      <c r="A2302" s="263">
        <v>2301</v>
      </c>
      <c r="B2302" s="263" t="s">
        <v>4397</v>
      </c>
      <c r="C2302" s="263" t="s">
        <v>4398</v>
      </c>
      <c r="D2302" s="263" t="s">
        <v>4383</v>
      </c>
      <c r="E2302" s="263" t="s">
        <v>4384</v>
      </c>
      <c r="F2302" s="263" t="s">
        <v>4339</v>
      </c>
    </row>
    <row r="2303" spans="1:6">
      <c r="A2303" s="263">
        <v>2302</v>
      </c>
      <c r="B2303" s="263" t="s">
        <v>4399</v>
      </c>
      <c r="C2303" s="263" t="s">
        <v>4400</v>
      </c>
      <c r="D2303" s="263" t="s">
        <v>4383</v>
      </c>
      <c r="E2303" s="263" t="s">
        <v>4384</v>
      </c>
      <c r="F2303" s="263" t="s">
        <v>4339</v>
      </c>
    </row>
    <row r="2304" spans="1:6">
      <c r="A2304" s="263">
        <v>2303</v>
      </c>
      <c r="B2304" s="263" t="s">
        <v>4401</v>
      </c>
      <c r="C2304" s="263" t="s">
        <v>146</v>
      </c>
      <c r="D2304" s="263" t="s">
        <v>4383</v>
      </c>
      <c r="E2304" s="263" t="s">
        <v>4384</v>
      </c>
      <c r="F2304" s="263" t="s">
        <v>4339</v>
      </c>
    </row>
    <row r="2305" spans="1:6">
      <c r="A2305" s="263">
        <v>2304</v>
      </c>
      <c r="B2305" s="263" t="s">
        <v>4402</v>
      </c>
      <c r="C2305" s="263" t="s">
        <v>2064</v>
      </c>
      <c r="D2305" s="263" t="s">
        <v>4383</v>
      </c>
      <c r="E2305" s="263" t="s">
        <v>4384</v>
      </c>
      <c r="F2305" s="263" t="s">
        <v>4339</v>
      </c>
    </row>
    <row r="2306" spans="1:6">
      <c r="A2306" s="263">
        <v>2305</v>
      </c>
      <c r="B2306" s="263" t="s">
        <v>4403</v>
      </c>
      <c r="C2306" s="263" t="s">
        <v>1202</v>
      </c>
      <c r="D2306" s="263" t="s">
        <v>4383</v>
      </c>
      <c r="E2306" s="263" t="s">
        <v>4384</v>
      </c>
      <c r="F2306" s="263" t="s">
        <v>4339</v>
      </c>
    </row>
    <row r="2307" spans="1:6">
      <c r="A2307" s="263">
        <v>2306</v>
      </c>
      <c r="B2307" s="263" t="s">
        <v>4404</v>
      </c>
      <c r="C2307" s="263" t="s">
        <v>4405</v>
      </c>
      <c r="D2307" s="263" t="s">
        <v>4383</v>
      </c>
      <c r="E2307" s="263" t="s">
        <v>4384</v>
      </c>
      <c r="F2307" s="263" t="s">
        <v>4339</v>
      </c>
    </row>
    <row r="2308" spans="1:6">
      <c r="A2308" s="263">
        <v>2307</v>
      </c>
      <c r="B2308" s="263" t="s">
        <v>4406</v>
      </c>
      <c r="C2308" s="263" t="s">
        <v>666</v>
      </c>
      <c r="D2308" s="263" t="s">
        <v>4383</v>
      </c>
      <c r="E2308" s="263" t="s">
        <v>4384</v>
      </c>
      <c r="F2308" s="263" t="s">
        <v>4339</v>
      </c>
    </row>
    <row r="2309" spans="1:6">
      <c r="A2309" s="263">
        <v>2308</v>
      </c>
      <c r="B2309" s="263" t="s">
        <v>4407</v>
      </c>
      <c r="C2309" s="263" t="s">
        <v>1735</v>
      </c>
      <c r="D2309" s="263" t="s">
        <v>4383</v>
      </c>
      <c r="E2309" s="263" t="s">
        <v>4384</v>
      </c>
      <c r="F2309" s="263" t="s">
        <v>4339</v>
      </c>
    </row>
    <row r="2310" spans="1:6">
      <c r="A2310" s="263">
        <v>2309</v>
      </c>
      <c r="B2310" s="263" t="s">
        <v>4408</v>
      </c>
      <c r="C2310" s="263" t="s">
        <v>3280</v>
      </c>
      <c r="D2310" s="263" t="s">
        <v>4409</v>
      </c>
      <c r="E2310" s="263" t="s">
        <v>68</v>
      </c>
      <c r="F2310" s="263" t="s">
        <v>4339</v>
      </c>
    </row>
    <row r="2311" spans="1:6">
      <c r="A2311" s="263">
        <v>2310</v>
      </c>
      <c r="B2311" s="263" t="s">
        <v>4410</v>
      </c>
      <c r="C2311" s="263" t="s">
        <v>4411</v>
      </c>
      <c r="D2311" s="263" t="s">
        <v>4409</v>
      </c>
      <c r="E2311" s="263" t="s">
        <v>68</v>
      </c>
      <c r="F2311" s="263" t="s">
        <v>4339</v>
      </c>
    </row>
    <row r="2312" spans="1:6">
      <c r="A2312" s="263">
        <v>2311</v>
      </c>
      <c r="B2312" s="263" t="s">
        <v>4412</v>
      </c>
      <c r="C2312" s="263" t="s">
        <v>4413</v>
      </c>
      <c r="D2312" s="263" t="s">
        <v>4409</v>
      </c>
      <c r="E2312" s="263" t="s">
        <v>68</v>
      </c>
      <c r="F2312" s="263" t="s">
        <v>4339</v>
      </c>
    </row>
    <row r="2313" spans="1:6">
      <c r="A2313" s="263">
        <v>2312</v>
      </c>
      <c r="B2313" s="263" t="s">
        <v>4414</v>
      </c>
      <c r="C2313" s="263" t="s">
        <v>3373</v>
      </c>
      <c r="D2313" s="263" t="s">
        <v>4409</v>
      </c>
      <c r="E2313" s="263" t="s">
        <v>68</v>
      </c>
      <c r="F2313" s="263" t="s">
        <v>4339</v>
      </c>
    </row>
    <row r="2314" spans="1:6">
      <c r="A2314" s="263">
        <v>2313</v>
      </c>
      <c r="B2314" s="263" t="s">
        <v>4415</v>
      </c>
      <c r="C2314" s="263" t="s">
        <v>4416</v>
      </c>
      <c r="D2314" s="263" t="s">
        <v>4409</v>
      </c>
      <c r="E2314" s="263" t="s">
        <v>68</v>
      </c>
      <c r="F2314" s="263" t="s">
        <v>4339</v>
      </c>
    </row>
    <row r="2315" spans="1:6">
      <c r="A2315" s="263">
        <v>2314</v>
      </c>
      <c r="B2315" s="263" t="s">
        <v>4417</v>
      </c>
      <c r="C2315" s="263" t="s">
        <v>4418</v>
      </c>
      <c r="D2315" s="263" t="s">
        <v>4409</v>
      </c>
      <c r="E2315" s="263" t="s">
        <v>68</v>
      </c>
      <c r="F2315" s="263" t="s">
        <v>4339</v>
      </c>
    </row>
    <row r="2316" spans="1:6">
      <c r="A2316" s="263">
        <v>2315</v>
      </c>
      <c r="B2316" s="263" t="s">
        <v>4419</v>
      </c>
      <c r="C2316" s="263" t="s">
        <v>4420</v>
      </c>
      <c r="D2316" s="263" t="s">
        <v>4409</v>
      </c>
      <c r="E2316" s="263" t="s">
        <v>68</v>
      </c>
      <c r="F2316" s="263" t="s">
        <v>4339</v>
      </c>
    </row>
    <row r="2317" spans="1:6">
      <c r="A2317" s="263">
        <v>2316</v>
      </c>
      <c r="B2317" s="263" t="s">
        <v>4421</v>
      </c>
      <c r="C2317" s="263" t="s">
        <v>326</v>
      </c>
      <c r="D2317" s="263" t="s">
        <v>4409</v>
      </c>
      <c r="E2317" s="263" t="s">
        <v>68</v>
      </c>
      <c r="F2317" s="263" t="s">
        <v>4339</v>
      </c>
    </row>
    <row r="2318" spans="1:6">
      <c r="A2318" s="263">
        <v>2317</v>
      </c>
      <c r="B2318" s="263" t="s">
        <v>4422</v>
      </c>
      <c r="C2318" s="263" t="s">
        <v>823</v>
      </c>
      <c r="D2318" s="263" t="s">
        <v>4409</v>
      </c>
      <c r="E2318" s="263" t="s">
        <v>68</v>
      </c>
      <c r="F2318" s="263" t="s">
        <v>4339</v>
      </c>
    </row>
    <row r="2319" spans="1:6">
      <c r="A2319" s="263">
        <v>2318</v>
      </c>
      <c r="B2319" s="263" t="s">
        <v>4423</v>
      </c>
      <c r="C2319" s="263" t="s">
        <v>954</v>
      </c>
      <c r="D2319" s="263" t="s">
        <v>4409</v>
      </c>
      <c r="E2319" s="263" t="s">
        <v>68</v>
      </c>
      <c r="F2319" s="263" t="s">
        <v>4339</v>
      </c>
    </row>
    <row r="2320" spans="1:6">
      <c r="A2320" s="263">
        <v>2319</v>
      </c>
      <c r="B2320" s="263" t="s">
        <v>4424</v>
      </c>
      <c r="C2320" s="263" t="s">
        <v>2509</v>
      </c>
      <c r="D2320" s="263" t="s">
        <v>4409</v>
      </c>
      <c r="E2320" s="263" t="s">
        <v>68</v>
      </c>
      <c r="F2320" s="263" t="s">
        <v>4339</v>
      </c>
    </row>
    <row r="2321" spans="1:6">
      <c r="A2321" s="263">
        <v>2320</v>
      </c>
      <c r="B2321" s="263" t="s">
        <v>4425</v>
      </c>
      <c r="C2321" s="263" t="s">
        <v>4426</v>
      </c>
      <c r="D2321" s="263" t="s">
        <v>4409</v>
      </c>
      <c r="E2321" s="263" t="s">
        <v>68</v>
      </c>
      <c r="F2321" s="263" t="s">
        <v>4339</v>
      </c>
    </row>
    <row r="2322" spans="1:6">
      <c r="A2322" s="263">
        <v>2321</v>
      </c>
      <c r="B2322" s="263" t="s">
        <v>4427</v>
      </c>
      <c r="C2322" s="263" t="s">
        <v>4428</v>
      </c>
      <c r="D2322" s="263" t="s">
        <v>4409</v>
      </c>
      <c r="E2322" s="263" t="s">
        <v>68</v>
      </c>
      <c r="F2322" s="263" t="s">
        <v>4339</v>
      </c>
    </row>
    <row r="2323" spans="1:6">
      <c r="A2323" s="263">
        <v>2322</v>
      </c>
      <c r="B2323" s="263" t="s">
        <v>4429</v>
      </c>
      <c r="C2323" s="263" t="s">
        <v>960</v>
      </c>
      <c r="D2323" s="263" t="s">
        <v>4409</v>
      </c>
      <c r="E2323" s="263" t="s">
        <v>68</v>
      </c>
      <c r="F2323" s="263" t="s">
        <v>4339</v>
      </c>
    </row>
    <row r="2324" spans="1:6">
      <c r="A2324" s="263">
        <v>2323</v>
      </c>
      <c r="B2324" s="263" t="s">
        <v>4430</v>
      </c>
      <c r="C2324" s="263" t="s">
        <v>4431</v>
      </c>
      <c r="D2324" s="263" t="s">
        <v>4409</v>
      </c>
      <c r="E2324" s="263" t="s">
        <v>68</v>
      </c>
      <c r="F2324" s="263" t="s">
        <v>4339</v>
      </c>
    </row>
    <row r="2325" spans="1:6">
      <c r="A2325" s="263">
        <v>2324</v>
      </c>
      <c r="B2325" s="263" t="s">
        <v>4432</v>
      </c>
      <c r="C2325" s="263" t="s">
        <v>4433</v>
      </c>
      <c r="D2325" s="263" t="s">
        <v>4409</v>
      </c>
      <c r="E2325" s="263" t="s">
        <v>68</v>
      </c>
      <c r="F2325" s="263" t="s">
        <v>4339</v>
      </c>
    </row>
    <row r="2326" spans="1:6">
      <c r="A2326" s="263">
        <v>2325</v>
      </c>
      <c r="B2326" s="263" t="s">
        <v>4434</v>
      </c>
      <c r="C2326" s="263" t="s">
        <v>4435</v>
      </c>
      <c r="D2326" s="263" t="s">
        <v>4409</v>
      </c>
      <c r="E2326" s="263" t="s">
        <v>68</v>
      </c>
      <c r="F2326" s="263" t="s">
        <v>4339</v>
      </c>
    </row>
    <row r="2327" spans="1:6">
      <c r="A2327" s="263">
        <v>2326</v>
      </c>
      <c r="B2327" s="263" t="s">
        <v>4436</v>
      </c>
      <c r="C2327" s="263" t="s">
        <v>4437</v>
      </c>
      <c r="D2327" s="263" t="s">
        <v>4409</v>
      </c>
      <c r="E2327" s="263" t="s">
        <v>68</v>
      </c>
      <c r="F2327" s="263" t="s">
        <v>4339</v>
      </c>
    </row>
    <row r="2328" spans="1:6">
      <c r="A2328" s="263">
        <v>2327</v>
      </c>
      <c r="B2328" s="263" t="s">
        <v>4438</v>
      </c>
      <c r="C2328" s="263" t="s">
        <v>4439</v>
      </c>
      <c r="D2328" s="263" t="s">
        <v>4409</v>
      </c>
      <c r="E2328" s="263" t="s">
        <v>68</v>
      </c>
      <c r="F2328" s="263" t="s">
        <v>4339</v>
      </c>
    </row>
    <row r="2329" spans="1:6">
      <c r="A2329" s="263">
        <v>2328</v>
      </c>
      <c r="B2329" s="263" t="s">
        <v>4440</v>
      </c>
      <c r="C2329" s="263" t="s">
        <v>1480</v>
      </c>
      <c r="D2329" s="263" t="s">
        <v>4409</v>
      </c>
      <c r="E2329" s="263" t="s">
        <v>68</v>
      </c>
      <c r="F2329" s="263" t="s">
        <v>4339</v>
      </c>
    </row>
    <row r="2330" spans="1:6">
      <c r="A2330" s="263">
        <v>2329</v>
      </c>
      <c r="B2330" s="263" t="s">
        <v>4441</v>
      </c>
      <c r="C2330" s="263" t="s">
        <v>4442</v>
      </c>
      <c r="D2330" s="263" t="s">
        <v>4409</v>
      </c>
      <c r="E2330" s="263" t="s">
        <v>68</v>
      </c>
      <c r="F2330" s="263" t="s">
        <v>4339</v>
      </c>
    </row>
    <row r="2331" spans="1:6">
      <c r="A2331" s="263">
        <v>2330</v>
      </c>
      <c r="B2331" s="263" t="s">
        <v>4443</v>
      </c>
      <c r="C2331" s="263" t="s">
        <v>4444</v>
      </c>
      <c r="D2331" s="263" t="s">
        <v>4409</v>
      </c>
      <c r="E2331" s="263" t="s">
        <v>68</v>
      </c>
      <c r="F2331" s="263" t="s">
        <v>4339</v>
      </c>
    </row>
    <row r="2332" spans="1:6">
      <c r="A2332" s="263">
        <v>2331</v>
      </c>
      <c r="B2332" s="263" t="s">
        <v>4445</v>
      </c>
      <c r="C2332" s="263" t="s">
        <v>2000</v>
      </c>
      <c r="D2332" s="263" t="s">
        <v>4409</v>
      </c>
      <c r="E2332" s="263" t="s">
        <v>68</v>
      </c>
      <c r="F2332" s="263" t="s">
        <v>4339</v>
      </c>
    </row>
    <row r="2333" spans="1:6">
      <c r="A2333" s="263">
        <v>2332</v>
      </c>
      <c r="B2333" s="263" t="s">
        <v>4446</v>
      </c>
      <c r="C2333" s="263" t="s">
        <v>4447</v>
      </c>
      <c r="D2333" s="263" t="s">
        <v>4448</v>
      </c>
      <c r="E2333" s="263" t="s">
        <v>4449</v>
      </c>
      <c r="F2333" s="263" t="s">
        <v>4339</v>
      </c>
    </row>
    <row r="2334" spans="1:6">
      <c r="A2334" s="263">
        <v>2333</v>
      </c>
      <c r="B2334" s="263" t="s">
        <v>4450</v>
      </c>
      <c r="C2334" s="263" t="s">
        <v>4451</v>
      </c>
      <c r="D2334" s="263" t="s">
        <v>4448</v>
      </c>
      <c r="E2334" s="263" t="s">
        <v>4449</v>
      </c>
      <c r="F2334" s="263" t="s">
        <v>4339</v>
      </c>
    </row>
    <row r="2335" spans="1:6">
      <c r="A2335" s="263">
        <v>2334</v>
      </c>
      <c r="B2335" s="263" t="s">
        <v>4452</v>
      </c>
      <c r="C2335" s="263" t="s">
        <v>4453</v>
      </c>
      <c r="D2335" s="263" t="s">
        <v>4448</v>
      </c>
      <c r="E2335" s="263" t="s">
        <v>4449</v>
      </c>
      <c r="F2335" s="263" t="s">
        <v>4339</v>
      </c>
    </row>
    <row r="2336" spans="1:6">
      <c r="A2336" s="263">
        <v>2335</v>
      </c>
      <c r="B2336" s="263" t="s">
        <v>4454</v>
      </c>
      <c r="C2336" s="263" t="s">
        <v>4455</v>
      </c>
      <c r="D2336" s="263" t="s">
        <v>4448</v>
      </c>
      <c r="E2336" s="263" t="s">
        <v>4449</v>
      </c>
      <c r="F2336" s="263" t="s">
        <v>4339</v>
      </c>
    </row>
    <row r="2337" spans="1:6">
      <c r="A2337" s="263">
        <v>2336</v>
      </c>
      <c r="B2337" s="263" t="s">
        <v>4456</v>
      </c>
      <c r="C2337" s="263" t="s">
        <v>4457</v>
      </c>
      <c r="D2337" s="263" t="s">
        <v>4448</v>
      </c>
      <c r="E2337" s="263" t="s">
        <v>4449</v>
      </c>
      <c r="F2337" s="263" t="s">
        <v>4339</v>
      </c>
    </row>
    <row r="2338" spans="1:6">
      <c r="A2338" s="263">
        <v>2337</v>
      </c>
      <c r="B2338" s="263" t="s">
        <v>4458</v>
      </c>
      <c r="C2338" s="263" t="s">
        <v>4459</v>
      </c>
      <c r="D2338" s="263" t="s">
        <v>4448</v>
      </c>
      <c r="E2338" s="263" t="s">
        <v>4449</v>
      </c>
      <c r="F2338" s="263" t="s">
        <v>4339</v>
      </c>
    </row>
    <row r="2339" spans="1:6">
      <c r="A2339" s="263">
        <v>2338</v>
      </c>
      <c r="B2339" s="263" t="s">
        <v>4460</v>
      </c>
      <c r="C2339" s="263" t="s">
        <v>4461</v>
      </c>
      <c r="D2339" s="263" t="s">
        <v>4448</v>
      </c>
      <c r="E2339" s="263" t="s">
        <v>4449</v>
      </c>
      <c r="F2339" s="263" t="s">
        <v>4339</v>
      </c>
    </row>
    <row r="2340" spans="1:6">
      <c r="A2340" s="263">
        <v>2339</v>
      </c>
      <c r="B2340" s="263" t="s">
        <v>4462</v>
      </c>
      <c r="C2340" s="263" t="s">
        <v>4463</v>
      </c>
      <c r="D2340" s="263" t="s">
        <v>4448</v>
      </c>
      <c r="E2340" s="263" t="s">
        <v>4449</v>
      </c>
      <c r="F2340" s="263" t="s">
        <v>4339</v>
      </c>
    </row>
    <row r="2341" spans="1:6">
      <c r="A2341" s="263">
        <v>2340</v>
      </c>
      <c r="B2341" s="263" t="s">
        <v>4464</v>
      </c>
      <c r="C2341" s="263" t="s">
        <v>4465</v>
      </c>
      <c r="D2341" s="263" t="s">
        <v>4448</v>
      </c>
      <c r="E2341" s="263" t="s">
        <v>4449</v>
      </c>
      <c r="F2341" s="263" t="s">
        <v>4339</v>
      </c>
    </row>
    <row r="2342" spans="1:6">
      <c r="A2342" s="263">
        <v>2341</v>
      </c>
      <c r="B2342" s="263" t="s">
        <v>4466</v>
      </c>
      <c r="C2342" s="263" t="s">
        <v>4467</v>
      </c>
      <c r="D2342" s="263" t="s">
        <v>4448</v>
      </c>
      <c r="E2342" s="263" t="s">
        <v>4449</v>
      </c>
      <c r="F2342" s="263" t="s">
        <v>4339</v>
      </c>
    </row>
    <row r="2343" spans="1:6">
      <c r="A2343" s="263">
        <v>2342</v>
      </c>
      <c r="B2343" s="263" t="s">
        <v>4468</v>
      </c>
      <c r="C2343" s="263" t="s">
        <v>4469</v>
      </c>
      <c r="D2343" s="263" t="s">
        <v>4448</v>
      </c>
      <c r="E2343" s="263" t="s">
        <v>4449</v>
      </c>
      <c r="F2343" s="263" t="s">
        <v>4339</v>
      </c>
    </row>
    <row r="2344" spans="1:6">
      <c r="A2344" s="263">
        <v>2343</v>
      </c>
      <c r="B2344" s="263" t="s">
        <v>4470</v>
      </c>
      <c r="C2344" s="263" t="s">
        <v>4471</v>
      </c>
      <c r="D2344" s="263" t="s">
        <v>4448</v>
      </c>
      <c r="E2344" s="263" t="s">
        <v>4449</v>
      </c>
      <c r="F2344" s="263" t="s">
        <v>4339</v>
      </c>
    </row>
    <row r="2345" spans="1:6">
      <c r="A2345" s="263">
        <v>2344</v>
      </c>
      <c r="B2345" s="263" t="s">
        <v>4472</v>
      </c>
      <c r="C2345" s="263" t="s">
        <v>4473</v>
      </c>
      <c r="D2345" s="263" t="s">
        <v>4448</v>
      </c>
      <c r="E2345" s="263" t="s">
        <v>4449</v>
      </c>
      <c r="F2345" s="263" t="s">
        <v>4339</v>
      </c>
    </row>
    <row r="2346" spans="1:6">
      <c r="A2346" s="263">
        <v>2345</v>
      </c>
      <c r="B2346" s="263" t="s">
        <v>4474</v>
      </c>
      <c r="C2346" s="263" t="s">
        <v>4475</v>
      </c>
      <c r="D2346" s="263" t="s">
        <v>4448</v>
      </c>
      <c r="E2346" s="263" t="s">
        <v>4449</v>
      </c>
      <c r="F2346" s="263" t="s">
        <v>4339</v>
      </c>
    </row>
    <row r="2347" spans="1:6">
      <c r="A2347" s="263">
        <v>2346</v>
      </c>
      <c r="B2347" s="263" t="s">
        <v>4476</v>
      </c>
      <c r="C2347" s="263" t="s">
        <v>4477</v>
      </c>
      <c r="D2347" s="263" t="s">
        <v>4448</v>
      </c>
      <c r="E2347" s="263" t="s">
        <v>4449</v>
      </c>
      <c r="F2347" s="263" t="s">
        <v>4339</v>
      </c>
    </row>
    <row r="2348" spans="1:6">
      <c r="A2348" s="263">
        <v>2347</v>
      </c>
      <c r="B2348" s="263" t="s">
        <v>4478</v>
      </c>
      <c r="C2348" s="263" t="s">
        <v>775</v>
      </c>
      <c r="D2348" s="263" t="s">
        <v>4448</v>
      </c>
      <c r="E2348" s="263" t="s">
        <v>4449</v>
      </c>
      <c r="F2348" s="263" t="s">
        <v>4339</v>
      </c>
    </row>
    <row r="2349" spans="1:6">
      <c r="A2349" s="263">
        <v>2348</v>
      </c>
      <c r="B2349" s="263" t="s">
        <v>4479</v>
      </c>
      <c r="C2349" s="263" t="s">
        <v>1996</v>
      </c>
      <c r="D2349" s="263" t="s">
        <v>4448</v>
      </c>
      <c r="E2349" s="263" t="s">
        <v>4449</v>
      </c>
      <c r="F2349" s="263" t="s">
        <v>4339</v>
      </c>
    </row>
    <row r="2350" spans="1:6">
      <c r="A2350" s="263">
        <v>2349</v>
      </c>
      <c r="B2350" s="263" t="s">
        <v>4480</v>
      </c>
      <c r="C2350" s="263" t="s">
        <v>1866</v>
      </c>
      <c r="D2350" s="263" t="s">
        <v>4448</v>
      </c>
      <c r="E2350" s="263" t="s">
        <v>4449</v>
      </c>
      <c r="F2350" s="263" t="s">
        <v>4339</v>
      </c>
    </row>
    <row r="2351" spans="1:6">
      <c r="A2351" s="263">
        <v>2350</v>
      </c>
      <c r="B2351" s="263" t="s">
        <v>4481</v>
      </c>
      <c r="C2351" s="263" t="s">
        <v>4482</v>
      </c>
      <c r="D2351" s="263" t="s">
        <v>4448</v>
      </c>
      <c r="E2351" s="263" t="s">
        <v>4449</v>
      </c>
      <c r="F2351" s="263" t="s">
        <v>4339</v>
      </c>
    </row>
    <row r="2352" spans="1:6">
      <c r="A2352" s="263">
        <v>2351</v>
      </c>
      <c r="B2352" s="263" t="s">
        <v>4483</v>
      </c>
      <c r="C2352" s="263" t="s">
        <v>4484</v>
      </c>
      <c r="D2352" s="263" t="s">
        <v>4485</v>
      </c>
      <c r="E2352" s="263" t="s">
        <v>4486</v>
      </c>
      <c r="F2352" s="263" t="s">
        <v>4339</v>
      </c>
    </row>
    <row r="2353" spans="1:6">
      <c r="A2353" s="263">
        <v>2352</v>
      </c>
      <c r="B2353" s="263" t="s">
        <v>4487</v>
      </c>
      <c r="C2353" s="263" t="s">
        <v>4488</v>
      </c>
      <c r="D2353" s="263" t="s">
        <v>4485</v>
      </c>
      <c r="E2353" s="263" t="s">
        <v>4486</v>
      </c>
      <c r="F2353" s="263" t="s">
        <v>4339</v>
      </c>
    </row>
    <row r="2354" spans="1:6">
      <c r="A2354" s="263">
        <v>2353</v>
      </c>
      <c r="B2354" s="263" t="s">
        <v>4489</v>
      </c>
      <c r="C2354" s="263" t="s">
        <v>48</v>
      </c>
      <c r="D2354" s="263" t="s">
        <v>4485</v>
      </c>
      <c r="E2354" s="263" t="s">
        <v>4486</v>
      </c>
      <c r="F2354" s="263" t="s">
        <v>4339</v>
      </c>
    </row>
    <row r="2355" spans="1:6">
      <c r="A2355" s="263">
        <v>2354</v>
      </c>
      <c r="B2355" s="263" t="s">
        <v>4490</v>
      </c>
      <c r="C2355" s="263" t="s">
        <v>815</v>
      </c>
      <c r="D2355" s="263" t="s">
        <v>4485</v>
      </c>
      <c r="E2355" s="263" t="s">
        <v>4486</v>
      </c>
      <c r="F2355" s="263" t="s">
        <v>4339</v>
      </c>
    </row>
    <row r="2356" spans="1:6">
      <c r="A2356" s="263">
        <v>2355</v>
      </c>
      <c r="B2356" s="263" t="s">
        <v>4491</v>
      </c>
      <c r="C2356" s="263" t="s">
        <v>819</v>
      </c>
      <c r="D2356" s="263" t="s">
        <v>4485</v>
      </c>
      <c r="E2356" s="263" t="s">
        <v>4486</v>
      </c>
      <c r="F2356" s="263" t="s">
        <v>4339</v>
      </c>
    </row>
    <row r="2357" spans="1:6">
      <c r="A2357" s="263">
        <v>2356</v>
      </c>
      <c r="B2357" s="263" t="s">
        <v>4492</v>
      </c>
      <c r="C2357" s="263" t="s">
        <v>4493</v>
      </c>
      <c r="D2357" s="263" t="s">
        <v>4485</v>
      </c>
      <c r="E2357" s="263" t="s">
        <v>4486</v>
      </c>
      <c r="F2357" s="263" t="s">
        <v>4339</v>
      </c>
    </row>
    <row r="2358" spans="1:6">
      <c r="A2358" s="263">
        <v>2357</v>
      </c>
      <c r="B2358" s="263" t="s">
        <v>4494</v>
      </c>
      <c r="C2358" s="263" t="s">
        <v>4495</v>
      </c>
      <c r="D2358" s="263" t="s">
        <v>4485</v>
      </c>
      <c r="E2358" s="263" t="s">
        <v>4486</v>
      </c>
      <c r="F2358" s="263" t="s">
        <v>4339</v>
      </c>
    </row>
    <row r="2359" spans="1:6">
      <c r="A2359" s="263">
        <v>2358</v>
      </c>
      <c r="B2359" s="263" t="s">
        <v>4496</v>
      </c>
      <c r="C2359" s="263" t="s">
        <v>4497</v>
      </c>
      <c r="D2359" s="263" t="s">
        <v>4485</v>
      </c>
      <c r="E2359" s="263" t="s">
        <v>4486</v>
      </c>
      <c r="F2359" s="263" t="s">
        <v>4339</v>
      </c>
    </row>
    <row r="2360" spans="1:6">
      <c r="A2360" s="263">
        <v>2359</v>
      </c>
      <c r="B2360" s="263" t="s">
        <v>4498</v>
      </c>
      <c r="C2360" s="263" t="s">
        <v>964</v>
      </c>
      <c r="D2360" s="263" t="s">
        <v>4485</v>
      </c>
      <c r="E2360" s="263" t="s">
        <v>4486</v>
      </c>
      <c r="F2360" s="263" t="s">
        <v>4339</v>
      </c>
    </row>
    <row r="2361" spans="1:6">
      <c r="A2361" s="263">
        <v>2360</v>
      </c>
      <c r="B2361" s="263" t="s">
        <v>4499</v>
      </c>
      <c r="C2361" s="263" t="s">
        <v>4500</v>
      </c>
      <c r="D2361" s="263" t="s">
        <v>4485</v>
      </c>
      <c r="E2361" s="263" t="s">
        <v>4486</v>
      </c>
      <c r="F2361" s="263" t="s">
        <v>4339</v>
      </c>
    </row>
    <row r="2362" spans="1:6">
      <c r="A2362" s="263">
        <v>2361</v>
      </c>
      <c r="B2362" s="263" t="s">
        <v>4501</v>
      </c>
      <c r="C2362" s="263" t="s">
        <v>4502</v>
      </c>
      <c r="D2362" s="263" t="s">
        <v>4485</v>
      </c>
      <c r="E2362" s="263" t="s">
        <v>4486</v>
      </c>
      <c r="F2362" s="263" t="s">
        <v>4339</v>
      </c>
    </row>
    <row r="2363" spans="1:6">
      <c r="A2363" s="263">
        <v>2362</v>
      </c>
      <c r="B2363" s="263" t="s">
        <v>4503</v>
      </c>
      <c r="C2363" s="263" t="s">
        <v>4504</v>
      </c>
      <c r="D2363" s="263" t="s">
        <v>4485</v>
      </c>
      <c r="E2363" s="263" t="s">
        <v>4486</v>
      </c>
      <c r="F2363" s="263" t="s">
        <v>4339</v>
      </c>
    </row>
    <row r="2364" spans="1:6">
      <c r="A2364" s="263">
        <v>2363</v>
      </c>
      <c r="B2364" s="263" t="s">
        <v>4505</v>
      </c>
      <c r="C2364" s="263" t="s">
        <v>4506</v>
      </c>
      <c r="D2364" s="263" t="s">
        <v>4485</v>
      </c>
      <c r="E2364" s="263" t="s">
        <v>4486</v>
      </c>
      <c r="F2364" s="263" t="s">
        <v>4339</v>
      </c>
    </row>
    <row r="2365" spans="1:6">
      <c r="A2365" s="263">
        <v>2364</v>
      </c>
      <c r="B2365" s="263" t="s">
        <v>4507</v>
      </c>
      <c r="C2365" s="263" t="s">
        <v>4508</v>
      </c>
      <c r="D2365" s="263" t="s">
        <v>4509</v>
      </c>
      <c r="E2365" s="263" t="s">
        <v>4510</v>
      </c>
      <c r="F2365" s="263" t="s">
        <v>4339</v>
      </c>
    </row>
    <row r="2366" spans="1:6">
      <c r="A2366" s="263">
        <v>2365</v>
      </c>
      <c r="B2366" s="263" t="s">
        <v>4511</v>
      </c>
      <c r="C2366" s="263" t="s">
        <v>4512</v>
      </c>
      <c r="D2366" s="263" t="s">
        <v>4509</v>
      </c>
      <c r="E2366" s="263" t="s">
        <v>4510</v>
      </c>
      <c r="F2366" s="263" t="s">
        <v>4339</v>
      </c>
    </row>
    <row r="2367" spans="1:6">
      <c r="A2367" s="263">
        <v>2366</v>
      </c>
      <c r="B2367" s="263" t="s">
        <v>4513</v>
      </c>
      <c r="C2367" s="263" t="s">
        <v>4514</v>
      </c>
      <c r="D2367" s="263" t="s">
        <v>4509</v>
      </c>
      <c r="E2367" s="263" t="s">
        <v>4510</v>
      </c>
      <c r="F2367" s="263" t="s">
        <v>4339</v>
      </c>
    </row>
    <row r="2368" spans="1:6">
      <c r="A2368" s="263">
        <v>2367</v>
      </c>
      <c r="B2368" s="263" t="s">
        <v>4515</v>
      </c>
      <c r="C2368" s="263" t="s">
        <v>4516</v>
      </c>
      <c r="D2368" s="263" t="s">
        <v>4509</v>
      </c>
      <c r="E2368" s="263" t="s">
        <v>4510</v>
      </c>
      <c r="F2368" s="263" t="s">
        <v>4339</v>
      </c>
    </row>
    <row r="2369" spans="1:6">
      <c r="A2369" s="263">
        <v>2368</v>
      </c>
      <c r="B2369" s="263" t="s">
        <v>4517</v>
      </c>
      <c r="C2369" s="263" t="s">
        <v>4518</v>
      </c>
      <c r="D2369" s="263" t="s">
        <v>4509</v>
      </c>
      <c r="E2369" s="263" t="s">
        <v>4510</v>
      </c>
      <c r="F2369" s="263" t="s">
        <v>4339</v>
      </c>
    </row>
    <row r="2370" spans="1:6">
      <c r="A2370" s="263">
        <v>2369</v>
      </c>
      <c r="B2370" s="263" t="s">
        <v>4519</v>
      </c>
      <c r="C2370" s="263" t="s">
        <v>4520</v>
      </c>
      <c r="D2370" s="263" t="s">
        <v>4509</v>
      </c>
      <c r="E2370" s="263" t="s">
        <v>4510</v>
      </c>
      <c r="F2370" s="263" t="s">
        <v>4339</v>
      </c>
    </row>
    <row r="2371" spans="1:6">
      <c r="A2371" s="263">
        <v>2370</v>
      </c>
      <c r="B2371" s="263" t="s">
        <v>4521</v>
      </c>
      <c r="C2371" s="263" t="s">
        <v>4019</v>
      </c>
      <c r="D2371" s="263" t="s">
        <v>4509</v>
      </c>
      <c r="E2371" s="263" t="s">
        <v>4510</v>
      </c>
      <c r="F2371" s="263" t="s">
        <v>4339</v>
      </c>
    </row>
    <row r="2372" spans="1:6">
      <c r="A2372" s="263">
        <v>2371</v>
      </c>
      <c r="B2372" s="263" t="s">
        <v>4522</v>
      </c>
      <c r="C2372" s="263" t="s">
        <v>840</v>
      </c>
      <c r="D2372" s="263" t="s">
        <v>4509</v>
      </c>
      <c r="E2372" s="263" t="s">
        <v>4510</v>
      </c>
      <c r="F2372" s="263" t="s">
        <v>4339</v>
      </c>
    </row>
    <row r="2373" spans="1:6">
      <c r="A2373" s="263">
        <v>2372</v>
      </c>
      <c r="B2373" s="263" t="s">
        <v>4523</v>
      </c>
      <c r="C2373" s="263" t="s">
        <v>3572</v>
      </c>
      <c r="D2373" s="263" t="s">
        <v>4509</v>
      </c>
      <c r="E2373" s="263" t="s">
        <v>4510</v>
      </c>
      <c r="F2373" s="263" t="s">
        <v>4339</v>
      </c>
    </row>
    <row r="2374" spans="1:6">
      <c r="A2374" s="263">
        <v>2373</v>
      </c>
      <c r="B2374" s="263" t="s">
        <v>4524</v>
      </c>
      <c r="C2374" s="263" t="s">
        <v>353</v>
      </c>
      <c r="D2374" s="263" t="s">
        <v>4509</v>
      </c>
      <c r="E2374" s="263" t="s">
        <v>4510</v>
      </c>
      <c r="F2374" s="263" t="s">
        <v>4339</v>
      </c>
    </row>
    <row r="2375" spans="1:6">
      <c r="A2375" s="263">
        <v>2374</v>
      </c>
      <c r="B2375" s="263" t="s">
        <v>4525</v>
      </c>
      <c r="C2375" s="263" t="s">
        <v>4526</v>
      </c>
      <c r="D2375" s="263" t="s">
        <v>4509</v>
      </c>
      <c r="E2375" s="263" t="s">
        <v>4510</v>
      </c>
      <c r="F2375" s="263" t="s">
        <v>4339</v>
      </c>
    </row>
    <row r="2376" spans="1:6">
      <c r="A2376" s="263">
        <v>2375</v>
      </c>
      <c r="B2376" s="263" t="s">
        <v>4527</v>
      </c>
      <c r="C2376" s="263" t="s">
        <v>3574</v>
      </c>
      <c r="D2376" s="263" t="s">
        <v>4509</v>
      </c>
      <c r="E2376" s="263" t="s">
        <v>4510</v>
      </c>
      <c r="F2376" s="263" t="s">
        <v>4339</v>
      </c>
    </row>
    <row r="2377" spans="1:6">
      <c r="A2377" s="263">
        <v>2376</v>
      </c>
      <c r="B2377" s="263" t="s">
        <v>4528</v>
      </c>
      <c r="C2377" s="263" t="s">
        <v>4529</v>
      </c>
      <c r="D2377" s="263" t="s">
        <v>4509</v>
      </c>
      <c r="E2377" s="263" t="s">
        <v>4510</v>
      </c>
      <c r="F2377" s="263" t="s">
        <v>4339</v>
      </c>
    </row>
    <row r="2378" spans="1:6">
      <c r="A2378" s="263">
        <v>2377</v>
      </c>
      <c r="B2378" s="263" t="s">
        <v>4530</v>
      </c>
      <c r="C2378" s="263" t="s">
        <v>1528</v>
      </c>
      <c r="D2378" s="263" t="s">
        <v>4531</v>
      </c>
      <c r="E2378" s="263" t="s">
        <v>4532</v>
      </c>
      <c r="F2378" s="263" t="s">
        <v>4339</v>
      </c>
    </row>
    <row r="2379" spans="1:6">
      <c r="A2379" s="263">
        <v>2378</v>
      </c>
      <c r="B2379" s="263" t="s">
        <v>4533</v>
      </c>
      <c r="C2379" s="263" t="s">
        <v>158</v>
      </c>
      <c r="D2379" s="263" t="s">
        <v>4531</v>
      </c>
      <c r="E2379" s="263" t="s">
        <v>4532</v>
      </c>
      <c r="F2379" s="263" t="s">
        <v>4339</v>
      </c>
    </row>
    <row r="2380" spans="1:6">
      <c r="A2380" s="263">
        <v>2379</v>
      </c>
      <c r="B2380" s="263" t="s">
        <v>4534</v>
      </c>
      <c r="C2380" s="263" t="s">
        <v>1906</v>
      </c>
      <c r="D2380" s="263" t="s">
        <v>4531</v>
      </c>
      <c r="E2380" s="263" t="s">
        <v>4532</v>
      </c>
      <c r="F2380" s="263" t="s">
        <v>4339</v>
      </c>
    </row>
    <row r="2381" spans="1:6">
      <c r="A2381" s="263">
        <v>2380</v>
      </c>
      <c r="B2381" s="263" t="s">
        <v>4535</v>
      </c>
      <c r="C2381" s="263" t="s">
        <v>80</v>
      </c>
      <c r="D2381" s="263" t="s">
        <v>4531</v>
      </c>
      <c r="E2381" s="263" t="s">
        <v>4532</v>
      </c>
      <c r="F2381" s="263" t="s">
        <v>4339</v>
      </c>
    </row>
    <row r="2382" spans="1:6">
      <c r="A2382" s="263">
        <v>2381</v>
      </c>
      <c r="B2382" s="263" t="s">
        <v>4536</v>
      </c>
      <c r="C2382" s="263" t="s">
        <v>334</v>
      </c>
      <c r="D2382" s="263" t="s">
        <v>4531</v>
      </c>
      <c r="E2382" s="263" t="s">
        <v>4532</v>
      </c>
      <c r="F2382" s="263" t="s">
        <v>4339</v>
      </c>
    </row>
    <row r="2383" spans="1:6">
      <c r="A2383" s="263">
        <v>2382</v>
      </c>
      <c r="B2383" s="263" t="s">
        <v>4537</v>
      </c>
      <c r="C2383" s="263" t="s">
        <v>1697</v>
      </c>
      <c r="D2383" s="263" t="s">
        <v>4531</v>
      </c>
      <c r="E2383" s="263" t="s">
        <v>4532</v>
      </c>
      <c r="F2383" s="263" t="s">
        <v>4339</v>
      </c>
    </row>
    <row r="2384" spans="1:6">
      <c r="A2384" s="263">
        <v>2383</v>
      </c>
      <c r="B2384" s="263" t="s">
        <v>4538</v>
      </c>
      <c r="C2384" s="263" t="s">
        <v>4539</v>
      </c>
      <c r="D2384" s="263" t="s">
        <v>4540</v>
      </c>
      <c r="E2384" s="263" t="s">
        <v>4541</v>
      </c>
      <c r="F2384" s="263" t="s">
        <v>4339</v>
      </c>
    </row>
    <row r="2385" spans="1:6">
      <c r="A2385" s="263">
        <v>2384</v>
      </c>
      <c r="B2385" s="263" t="s">
        <v>4542</v>
      </c>
      <c r="C2385" s="263" t="s">
        <v>2351</v>
      </c>
      <c r="D2385" s="263" t="s">
        <v>4540</v>
      </c>
      <c r="E2385" s="263" t="s">
        <v>4541</v>
      </c>
      <c r="F2385" s="263" t="s">
        <v>4339</v>
      </c>
    </row>
    <row r="2386" spans="1:6">
      <c r="A2386" s="263">
        <v>2385</v>
      </c>
      <c r="B2386" s="263" t="s">
        <v>4543</v>
      </c>
      <c r="C2386" s="263" t="s">
        <v>3218</v>
      </c>
      <c r="D2386" s="263" t="s">
        <v>4540</v>
      </c>
      <c r="E2386" s="263" t="s">
        <v>4541</v>
      </c>
      <c r="F2386" s="263" t="s">
        <v>4339</v>
      </c>
    </row>
    <row r="2387" spans="1:6">
      <c r="A2387" s="263">
        <v>2386</v>
      </c>
      <c r="B2387" s="263" t="s">
        <v>4544</v>
      </c>
      <c r="C2387" s="263" t="s">
        <v>1095</v>
      </c>
      <c r="D2387" s="263" t="s">
        <v>4540</v>
      </c>
      <c r="E2387" s="263" t="s">
        <v>4541</v>
      </c>
      <c r="F2387" s="263" t="s">
        <v>4339</v>
      </c>
    </row>
    <row r="2388" spans="1:6">
      <c r="A2388" s="263">
        <v>2387</v>
      </c>
      <c r="B2388" s="263" t="s">
        <v>4545</v>
      </c>
      <c r="C2388" s="263" t="s">
        <v>4546</v>
      </c>
      <c r="D2388" s="263" t="s">
        <v>4540</v>
      </c>
      <c r="E2388" s="263" t="s">
        <v>4541</v>
      </c>
      <c r="F2388" s="263" t="s">
        <v>4339</v>
      </c>
    </row>
    <row r="2389" spans="1:6">
      <c r="A2389" s="263">
        <v>2388</v>
      </c>
      <c r="B2389" s="263" t="s">
        <v>4547</v>
      </c>
      <c r="C2389" s="263" t="s">
        <v>4548</v>
      </c>
      <c r="D2389" s="263" t="s">
        <v>4540</v>
      </c>
      <c r="E2389" s="263" t="s">
        <v>4541</v>
      </c>
      <c r="F2389" s="263" t="s">
        <v>4339</v>
      </c>
    </row>
    <row r="2390" spans="1:6">
      <c r="A2390" s="263">
        <v>2389</v>
      </c>
      <c r="B2390" s="263" t="s">
        <v>4549</v>
      </c>
      <c r="C2390" s="263" t="s">
        <v>4550</v>
      </c>
      <c r="D2390" s="263" t="s">
        <v>4540</v>
      </c>
      <c r="E2390" s="263" t="s">
        <v>4541</v>
      </c>
      <c r="F2390" s="263" t="s">
        <v>4339</v>
      </c>
    </row>
    <row r="2391" spans="1:6">
      <c r="A2391" s="263">
        <v>2390</v>
      </c>
      <c r="B2391" s="263" t="s">
        <v>4551</v>
      </c>
      <c r="C2391" s="263" t="s">
        <v>4552</v>
      </c>
      <c r="D2391" s="263" t="s">
        <v>4540</v>
      </c>
      <c r="E2391" s="263" t="s">
        <v>4541</v>
      </c>
      <c r="F2391" s="263" t="s">
        <v>4339</v>
      </c>
    </row>
    <row r="2392" spans="1:6">
      <c r="A2392" s="263">
        <v>2391</v>
      </c>
      <c r="B2392" s="263" t="s">
        <v>4553</v>
      </c>
      <c r="C2392" s="263" t="s">
        <v>4554</v>
      </c>
      <c r="D2392" s="263" t="s">
        <v>4540</v>
      </c>
      <c r="E2392" s="263" t="s">
        <v>4541</v>
      </c>
      <c r="F2392" s="263" t="s">
        <v>4339</v>
      </c>
    </row>
    <row r="2393" spans="1:6">
      <c r="A2393" s="263">
        <v>2392</v>
      </c>
      <c r="B2393" s="263" t="s">
        <v>4555</v>
      </c>
      <c r="C2393" s="263" t="s">
        <v>4556</v>
      </c>
      <c r="D2393" s="263" t="s">
        <v>4540</v>
      </c>
      <c r="E2393" s="263" t="s">
        <v>4541</v>
      </c>
      <c r="F2393" s="263" t="s">
        <v>4339</v>
      </c>
    </row>
    <row r="2394" spans="1:6">
      <c r="A2394" s="263">
        <v>2393</v>
      </c>
      <c r="B2394" s="263" t="s">
        <v>4557</v>
      </c>
      <c r="C2394" s="263" t="s">
        <v>3011</v>
      </c>
      <c r="D2394" s="263" t="s">
        <v>4540</v>
      </c>
      <c r="E2394" s="263" t="s">
        <v>4541</v>
      </c>
      <c r="F2394" s="263" t="s">
        <v>4339</v>
      </c>
    </row>
    <row r="2395" spans="1:6">
      <c r="A2395" s="263">
        <v>2394</v>
      </c>
      <c r="B2395" s="263" t="s">
        <v>4558</v>
      </c>
      <c r="C2395" s="263" t="s">
        <v>1739</v>
      </c>
      <c r="D2395" s="263" t="s">
        <v>4540</v>
      </c>
      <c r="E2395" s="263" t="s">
        <v>4541</v>
      </c>
      <c r="F2395" s="263" t="s">
        <v>4339</v>
      </c>
    </row>
    <row r="2396" spans="1:6">
      <c r="A2396" s="263">
        <v>2395</v>
      </c>
      <c r="B2396" s="263" t="s">
        <v>4559</v>
      </c>
      <c r="C2396" s="263" t="s">
        <v>4264</v>
      </c>
      <c r="D2396" s="263" t="s">
        <v>4540</v>
      </c>
      <c r="E2396" s="263" t="s">
        <v>4541</v>
      </c>
      <c r="F2396" s="263" t="s">
        <v>4339</v>
      </c>
    </row>
    <row r="2397" spans="1:6">
      <c r="A2397" s="263">
        <v>2396</v>
      </c>
      <c r="B2397" s="263" t="s">
        <v>4560</v>
      </c>
      <c r="C2397" s="263" t="s">
        <v>628</v>
      </c>
      <c r="D2397" s="263" t="s">
        <v>4561</v>
      </c>
      <c r="E2397" s="263" t="s">
        <v>4562</v>
      </c>
      <c r="F2397" s="263" t="s">
        <v>4339</v>
      </c>
    </row>
    <row r="2398" spans="1:6">
      <c r="A2398" s="263">
        <v>2397</v>
      </c>
      <c r="B2398" s="263" t="s">
        <v>4563</v>
      </c>
      <c r="C2398" s="263" t="s">
        <v>2581</v>
      </c>
      <c r="D2398" s="263" t="s">
        <v>4561</v>
      </c>
      <c r="E2398" s="263" t="s">
        <v>4562</v>
      </c>
      <c r="F2398" s="263" t="s">
        <v>4339</v>
      </c>
    </row>
    <row r="2399" spans="1:6">
      <c r="A2399" s="263">
        <v>2398</v>
      </c>
      <c r="B2399" s="263" t="s">
        <v>4564</v>
      </c>
      <c r="C2399" s="263" t="s">
        <v>632</v>
      </c>
      <c r="D2399" s="263" t="s">
        <v>4561</v>
      </c>
      <c r="E2399" s="263" t="s">
        <v>4562</v>
      </c>
      <c r="F2399" s="263" t="s">
        <v>4339</v>
      </c>
    </row>
    <row r="2400" spans="1:6">
      <c r="A2400" s="263">
        <v>2399</v>
      </c>
      <c r="B2400" s="263" t="s">
        <v>4565</v>
      </c>
      <c r="C2400" s="263" t="s">
        <v>634</v>
      </c>
      <c r="D2400" s="263" t="s">
        <v>4561</v>
      </c>
      <c r="E2400" s="263" t="s">
        <v>4562</v>
      </c>
      <c r="F2400" s="263" t="s">
        <v>4339</v>
      </c>
    </row>
    <row r="2401" spans="1:6">
      <c r="A2401" s="263">
        <v>2400</v>
      </c>
      <c r="B2401" s="263" t="s">
        <v>4566</v>
      </c>
      <c r="C2401" s="263" t="s">
        <v>1184</v>
      </c>
      <c r="D2401" s="263" t="s">
        <v>4561</v>
      </c>
      <c r="E2401" s="263" t="s">
        <v>4562</v>
      </c>
      <c r="F2401" s="263" t="s">
        <v>4339</v>
      </c>
    </row>
    <row r="2402" spans="1:6">
      <c r="A2402" s="263">
        <v>2401</v>
      </c>
      <c r="B2402" s="263" t="s">
        <v>4567</v>
      </c>
      <c r="C2402" s="263" t="s">
        <v>636</v>
      </c>
      <c r="D2402" s="263" t="s">
        <v>4561</v>
      </c>
      <c r="E2402" s="263" t="s">
        <v>4562</v>
      </c>
      <c r="F2402" s="263" t="s">
        <v>4339</v>
      </c>
    </row>
    <row r="2403" spans="1:6">
      <c r="A2403" s="263">
        <v>2402</v>
      </c>
      <c r="B2403" s="263" t="s">
        <v>4568</v>
      </c>
      <c r="C2403" s="263" t="s">
        <v>1187</v>
      </c>
      <c r="D2403" s="263" t="s">
        <v>4561</v>
      </c>
      <c r="E2403" s="263" t="s">
        <v>4562</v>
      </c>
      <c r="F2403" s="263" t="s">
        <v>4339</v>
      </c>
    </row>
    <row r="2404" spans="1:6">
      <c r="A2404" s="263">
        <v>2403</v>
      </c>
      <c r="B2404" s="263" t="s">
        <v>4569</v>
      </c>
      <c r="C2404" s="263" t="s">
        <v>638</v>
      </c>
      <c r="D2404" s="263" t="s">
        <v>4561</v>
      </c>
      <c r="E2404" s="263" t="s">
        <v>4562</v>
      </c>
      <c r="F2404" s="263" t="s">
        <v>4339</v>
      </c>
    </row>
    <row r="2405" spans="1:6">
      <c r="A2405" s="263">
        <v>2404</v>
      </c>
      <c r="B2405" s="263" t="s">
        <v>4570</v>
      </c>
      <c r="C2405" s="263" t="s">
        <v>640</v>
      </c>
      <c r="D2405" s="263" t="s">
        <v>4561</v>
      </c>
      <c r="E2405" s="263" t="s">
        <v>4562</v>
      </c>
      <c r="F2405" s="263" t="s">
        <v>4339</v>
      </c>
    </row>
    <row r="2406" spans="1:6">
      <c r="A2406" s="263">
        <v>2405</v>
      </c>
      <c r="B2406" s="263" t="s">
        <v>4571</v>
      </c>
      <c r="C2406" s="263" t="s">
        <v>1645</v>
      </c>
      <c r="D2406" s="263" t="s">
        <v>4561</v>
      </c>
      <c r="E2406" s="263" t="s">
        <v>4562</v>
      </c>
      <c r="F2406" s="263" t="s">
        <v>4339</v>
      </c>
    </row>
    <row r="2407" spans="1:6">
      <c r="A2407" s="263">
        <v>2406</v>
      </c>
      <c r="B2407" s="263" t="s">
        <v>4572</v>
      </c>
      <c r="C2407" s="263" t="s">
        <v>4573</v>
      </c>
      <c r="D2407" s="263" t="s">
        <v>4561</v>
      </c>
      <c r="E2407" s="263" t="s">
        <v>4562</v>
      </c>
      <c r="F2407" s="263" t="s">
        <v>4339</v>
      </c>
    </row>
    <row r="2408" spans="1:6">
      <c r="A2408" s="263">
        <v>2407</v>
      </c>
      <c r="B2408" s="263" t="s">
        <v>4574</v>
      </c>
      <c r="C2408" s="263" t="s">
        <v>4575</v>
      </c>
      <c r="D2408" s="263" t="s">
        <v>4561</v>
      </c>
      <c r="E2408" s="263" t="s">
        <v>4562</v>
      </c>
      <c r="F2408" s="263" t="s">
        <v>4339</v>
      </c>
    </row>
    <row r="2409" spans="1:6">
      <c r="A2409" s="263">
        <v>2408</v>
      </c>
      <c r="B2409" s="263" t="s">
        <v>4576</v>
      </c>
      <c r="C2409" s="263" t="s">
        <v>1002</v>
      </c>
      <c r="D2409" s="263" t="s">
        <v>4561</v>
      </c>
      <c r="E2409" s="263" t="s">
        <v>4562</v>
      </c>
      <c r="F2409" s="263" t="s">
        <v>4339</v>
      </c>
    </row>
    <row r="2410" spans="1:6">
      <c r="A2410" s="263">
        <v>2409</v>
      </c>
      <c r="B2410" s="263" t="s">
        <v>4577</v>
      </c>
      <c r="C2410" s="263" t="s">
        <v>4578</v>
      </c>
      <c r="D2410" s="263" t="s">
        <v>4561</v>
      </c>
      <c r="E2410" s="263" t="s">
        <v>4562</v>
      </c>
      <c r="F2410" s="263" t="s">
        <v>4339</v>
      </c>
    </row>
    <row r="2411" spans="1:6">
      <c r="A2411" s="263">
        <v>2410</v>
      </c>
      <c r="B2411" s="263" t="s">
        <v>4579</v>
      </c>
      <c r="C2411" s="263" t="s">
        <v>228</v>
      </c>
      <c r="D2411" s="263" t="s">
        <v>4561</v>
      </c>
      <c r="E2411" s="263" t="s">
        <v>4562</v>
      </c>
      <c r="F2411" s="263" t="s">
        <v>4339</v>
      </c>
    </row>
    <row r="2412" spans="1:6">
      <c r="A2412" s="263">
        <v>2411</v>
      </c>
      <c r="B2412" s="263" t="s">
        <v>4580</v>
      </c>
      <c r="C2412" s="263" t="s">
        <v>1676</v>
      </c>
      <c r="D2412" s="263" t="s">
        <v>4561</v>
      </c>
      <c r="E2412" s="263" t="s">
        <v>4562</v>
      </c>
      <c r="F2412" s="263" t="s">
        <v>4339</v>
      </c>
    </row>
    <row r="2413" spans="1:6">
      <c r="A2413" s="263">
        <v>2412</v>
      </c>
      <c r="B2413" s="263" t="s">
        <v>4581</v>
      </c>
      <c r="C2413" s="263" t="s">
        <v>4582</v>
      </c>
      <c r="D2413" s="263" t="s">
        <v>4561</v>
      </c>
      <c r="E2413" s="263" t="s">
        <v>4562</v>
      </c>
      <c r="F2413" s="263" t="s">
        <v>4339</v>
      </c>
    </row>
    <row r="2414" spans="1:6">
      <c r="A2414" s="263">
        <v>2413</v>
      </c>
      <c r="B2414" s="263" t="s">
        <v>4583</v>
      </c>
      <c r="C2414" s="263" t="s">
        <v>628</v>
      </c>
      <c r="D2414" s="263" t="s">
        <v>4584</v>
      </c>
      <c r="E2414" s="263" t="s">
        <v>4585</v>
      </c>
      <c r="F2414" s="263" t="s">
        <v>4339</v>
      </c>
    </row>
    <row r="2415" spans="1:6">
      <c r="A2415" s="263">
        <v>2414</v>
      </c>
      <c r="B2415" s="263" t="s">
        <v>4586</v>
      </c>
      <c r="C2415" s="263" t="s">
        <v>632</v>
      </c>
      <c r="D2415" s="263" t="s">
        <v>4584</v>
      </c>
      <c r="E2415" s="263" t="s">
        <v>4585</v>
      </c>
      <c r="F2415" s="263" t="s">
        <v>4339</v>
      </c>
    </row>
    <row r="2416" spans="1:6">
      <c r="A2416" s="263">
        <v>2415</v>
      </c>
      <c r="B2416" s="263" t="s">
        <v>4587</v>
      </c>
      <c r="C2416" s="263" t="s">
        <v>634</v>
      </c>
      <c r="D2416" s="263" t="s">
        <v>4584</v>
      </c>
      <c r="E2416" s="263" t="s">
        <v>4585</v>
      </c>
      <c r="F2416" s="263" t="s">
        <v>4339</v>
      </c>
    </row>
    <row r="2417" spans="1:6">
      <c r="A2417" s="263">
        <v>2416</v>
      </c>
      <c r="B2417" s="263" t="s">
        <v>4588</v>
      </c>
      <c r="C2417" s="263" t="s">
        <v>1184</v>
      </c>
      <c r="D2417" s="263" t="s">
        <v>4584</v>
      </c>
      <c r="E2417" s="263" t="s">
        <v>4585</v>
      </c>
      <c r="F2417" s="263" t="s">
        <v>4339</v>
      </c>
    </row>
    <row r="2418" spans="1:6">
      <c r="A2418" s="263">
        <v>2417</v>
      </c>
      <c r="B2418" s="263" t="s">
        <v>4589</v>
      </c>
      <c r="C2418" s="263" t="s">
        <v>636</v>
      </c>
      <c r="D2418" s="263" t="s">
        <v>4584</v>
      </c>
      <c r="E2418" s="263" t="s">
        <v>4585</v>
      </c>
      <c r="F2418" s="263" t="s">
        <v>4339</v>
      </c>
    </row>
    <row r="2419" spans="1:6">
      <c r="A2419" s="263">
        <v>2418</v>
      </c>
      <c r="B2419" s="263" t="s">
        <v>4590</v>
      </c>
      <c r="C2419" s="263" t="s">
        <v>4591</v>
      </c>
      <c r="D2419" s="263" t="s">
        <v>4584</v>
      </c>
      <c r="E2419" s="263" t="s">
        <v>4585</v>
      </c>
      <c r="F2419" s="263" t="s">
        <v>4339</v>
      </c>
    </row>
    <row r="2420" spans="1:6">
      <c r="A2420" s="263">
        <v>2419</v>
      </c>
      <c r="B2420" s="263" t="s">
        <v>4592</v>
      </c>
      <c r="C2420" s="263" t="s">
        <v>4593</v>
      </c>
      <c r="D2420" s="263" t="s">
        <v>4584</v>
      </c>
      <c r="E2420" s="263" t="s">
        <v>4585</v>
      </c>
      <c r="F2420" s="263" t="s">
        <v>4339</v>
      </c>
    </row>
    <row r="2421" spans="1:6">
      <c r="A2421" s="263">
        <v>2420</v>
      </c>
      <c r="B2421" s="263" t="s">
        <v>4594</v>
      </c>
      <c r="C2421" s="263" t="s">
        <v>4595</v>
      </c>
      <c r="D2421" s="263" t="s">
        <v>4584</v>
      </c>
      <c r="E2421" s="263" t="s">
        <v>4585</v>
      </c>
      <c r="F2421" s="263" t="s">
        <v>4339</v>
      </c>
    </row>
    <row r="2422" spans="1:6">
      <c r="A2422" s="263">
        <v>2421</v>
      </c>
      <c r="B2422" s="263" t="s">
        <v>4596</v>
      </c>
      <c r="C2422" s="263" t="s">
        <v>4597</v>
      </c>
      <c r="D2422" s="263" t="s">
        <v>4584</v>
      </c>
      <c r="E2422" s="263" t="s">
        <v>4585</v>
      </c>
      <c r="F2422" s="263" t="s">
        <v>4339</v>
      </c>
    </row>
    <row r="2423" spans="1:6">
      <c r="A2423" s="263">
        <v>2422</v>
      </c>
      <c r="B2423" s="263" t="s">
        <v>4598</v>
      </c>
      <c r="C2423" s="263" t="s">
        <v>4599</v>
      </c>
      <c r="D2423" s="263" t="s">
        <v>4584</v>
      </c>
      <c r="E2423" s="263" t="s">
        <v>4585</v>
      </c>
      <c r="F2423" s="263" t="s">
        <v>4339</v>
      </c>
    </row>
    <row r="2424" spans="1:6">
      <c r="A2424" s="263">
        <v>2423</v>
      </c>
      <c r="B2424" s="263" t="s">
        <v>4600</v>
      </c>
      <c r="C2424" s="263" t="s">
        <v>4601</v>
      </c>
      <c r="D2424" s="263" t="s">
        <v>4584</v>
      </c>
      <c r="E2424" s="263" t="s">
        <v>4585</v>
      </c>
      <c r="F2424" s="263" t="s">
        <v>4339</v>
      </c>
    </row>
    <row r="2425" spans="1:6">
      <c r="A2425" s="263">
        <v>2424</v>
      </c>
      <c r="B2425" s="263" t="s">
        <v>4602</v>
      </c>
      <c r="C2425" s="263" t="s">
        <v>4603</v>
      </c>
      <c r="D2425" s="263" t="s">
        <v>4584</v>
      </c>
      <c r="E2425" s="263" t="s">
        <v>4585</v>
      </c>
      <c r="F2425" s="263" t="s">
        <v>4339</v>
      </c>
    </row>
    <row r="2426" spans="1:6">
      <c r="A2426" s="263">
        <v>2425</v>
      </c>
      <c r="B2426" s="263" t="s">
        <v>4604</v>
      </c>
      <c r="C2426" s="263" t="s">
        <v>348</v>
      </c>
      <c r="D2426" s="263" t="s">
        <v>4584</v>
      </c>
      <c r="E2426" s="263" t="s">
        <v>4585</v>
      </c>
      <c r="F2426" s="263" t="s">
        <v>4339</v>
      </c>
    </row>
    <row r="2427" spans="1:6">
      <c r="A2427" s="263">
        <v>2426</v>
      </c>
      <c r="B2427" s="263" t="s">
        <v>4605</v>
      </c>
      <c r="C2427" s="263" t="s">
        <v>1135</v>
      </c>
      <c r="D2427" s="263" t="s">
        <v>4584</v>
      </c>
      <c r="E2427" s="263" t="s">
        <v>4585</v>
      </c>
      <c r="F2427" s="263" t="s">
        <v>4339</v>
      </c>
    </row>
    <row r="2428" spans="1:6">
      <c r="A2428" s="263">
        <v>2427</v>
      </c>
      <c r="B2428" s="263" t="s">
        <v>4606</v>
      </c>
      <c r="C2428" s="263" t="s">
        <v>80</v>
      </c>
      <c r="D2428" s="263" t="s">
        <v>4584</v>
      </c>
      <c r="E2428" s="263" t="s">
        <v>4585</v>
      </c>
      <c r="F2428" s="263" t="s">
        <v>4339</v>
      </c>
    </row>
    <row r="2429" spans="1:6">
      <c r="A2429" s="263">
        <v>2428</v>
      </c>
      <c r="B2429" s="263" t="s">
        <v>4607</v>
      </c>
      <c r="C2429" s="263" t="s">
        <v>733</v>
      </c>
      <c r="D2429" s="263" t="s">
        <v>4584</v>
      </c>
      <c r="E2429" s="263" t="s">
        <v>4585</v>
      </c>
      <c r="F2429" s="263" t="s">
        <v>4339</v>
      </c>
    </row>
    <row r="2430" spans="1:6">
      <c r="A2430" s="263">
        <v>2429</v>
      </c>
      <c r="B2430" s="263" t="s">
        <v>4608</v>
      </c>
      <c r="C2430" s="263" t="s">
        <v>628</v>
      </c>
      <c r="D2430" s="263" t="s">
        <v>4609</v>
      </c>
      <c r="E2430" s="263" t="s">
        <v>4610</v>
      </c>
      <c r="F2430" s="263" t="s">
        <v>4339</v>
      </c>
    </row>
    <row r="2431" spans="1:6">
      <c r="A2431" s="263">
        <v>2430</v>
      </c>
      <c r="B2431" s="263" t="s">
        <v>4611</v>
      </c>
      <c r="C2431" s="263" t="s">
        <v>632</v>
      </c>
      <c r="D2431" s="263" t="s">
        <v>4609</v>
      </c>
      <c r="E2431" s="263" t="s">
        <v>4610</v>
      </c>
      <c r="F2431" s="263" t="s">
        <v>4339</v>
      </c>
    </row>
    <row r="2432" spans="1:6">
      <c r="A2432" s="263">
        <v>2431</v>
      </c>
      <c r="B2432" s="263" t="s">
        <v>4612</v>
      </c>
      <c r="C2432" s="263" t="s">
        <v>634</v>
      </c>
      <c r="D2432" s="263" t="s">
        <v>4609</v>
      </c>
      <c r="E2432" s="263" t="s">
        <v>4610</v>
      </c>
      <c r="F2432" s="263" t="s">
        <v>4339</v>
      </c>
    </row>
    <row r="2433" spans="1:6">
      <c r="A2433" s="263">
        <v>2432</v>
      </c>
      <c r="B2433" s="263" t="s">
        <v>4613</v>
      </c>
      <c r="C2433" s="263" t="s">
        <v>1184</v>
      </c>
      <c r="D2433" s="263" t="s">
        <v>4609</v>
      </c>
      <c r="E2433" s="263" t="s">
        <v>4610</v>
      </c>
      <c r="F2433" s="263" t="s">
        <v>4339</v>
      </c>
    </row>
    <row r="2434" spans="1:6">
      <c r="A2434" s="263">
        <v>2433</v>
      </c>
      <c r="B2434" s="263" t="s">
        <v>4614</v>
      </c>
      <c r="C2434" s="263" t="s">
        <v>636</v>
      </c>
      <c r="D2434" s="263" t="s">
        <v>4609</v>
      </c>
      <c r="E2434" s="263" t="s">
        <v>4610</v>
      </c>
      <c r="F2434" s="263" t="s">
        <v>4339</v>
      </c>
    </row>
    <row r="2435" spans="1:6">
      <c r="A2435" s="263">
        <v>2434</v>
      </c>
      <c r="B2435" s="263" t="s">
        <v>4615</v>
      </c>
      <c r="C2435" s="263" t="s">
        <v>4616</v>
      </c>
      <c r="D2435" s="263" t="s">
        <v>4609</v>
      </c>
      <c r="E2435" s="263" t="s">
        <v>4610</v>
      </c>
      <c r="F2435" s="263" t="s">
        <v>4339</v>
      </c>
    </row>
    <row r="2436" spans="1:6">
      <c r="A2436" s="263">
        <v>2435</v>
      </c>
      <c r="B2436" s="263" t="s">
        <v>4617</v>
      </c>
      <c r="C2436" s="263" t="s">
        <v>4618</v>
      </c>
      <c r="D2436" s="263" t="s">
        <v>4609</v>
      </c>
      <c r="E2436" s="263" t="s">
        <v>4610</v>
      </c>
      <c r="F2436" s="263" t="s">
        <v>4339</v>
      </c>
    </row>
    <row r="2437" spans="1:6">
      <c r="A2437" s="263">
        <v>2436</v>
      </c>
      <c r="B2437" s="263" t="s">
        <v>4619</v>
      </c>
      <c r="C2437" s="263" t="s">
        <v>4620</v>
      </c>
      <c r="D2437" s="263" t="s">
        <v>4609</v>
      </c>
      <c r="E2437" s="263" t="s">
        <v>4610</v>
      </c>
      <c r="F2437" s="263" t="s">
        <v>4339</v>
      </c>
    </row>
    <row r="2438" spans="1:6">
      <c r="A2438" s="263">
        <v>2437</v>
      </c>
      <c r="B2438" s="263" t="s">
        <v>4621</v>
      </c>
      <c r="C2438" s="263" t="s">
        <v>144</v>
      </c>
      <c r="D2438" s="263" t="s">
        <v>4609</v>
      </c>
      <c r="E2438" s="263" t="s">
        <v>4610</v>
      </c>
      <c r="F2438" s="263" t="s">
        <v>4339</v>
      </c>
    </row>
    <row r="2439" spans="1:6">
      <c r="A2439" s="263">
        <v>2438</v>
      </c>
      <c r="B2439" s="263" t="s">
        <v>4622</v>
      </c>
      <c r="C2439" s="263" t="s">
        <v>823</v>
      </c>
      <c r="D2439" s="263" t="s">
        <v>4609</v>
      </c>
      <c r="E2439" s="263" t="s">
        <v>4610</v>
      </c>
      <c r="F2439" s="263" t="s">
        <v>4339</v>
      </c>
    </row>
    <row r="2440" spans="1:6">
      <c r="A2440" s="263">
        <v>2439</v>
      </c>
      <c r="B2440" s="263" t="s">
        <v>4623</v>
      </c>
      <c r="C2440" s="263" t="s">
        <v>2227</v>
      </c>
      <c r="D2440" s="263" t="s">
        <v>4609</v>
      </c>
      <c r="E2440" s="263" t="s">
        <v>4610</v>
      </c>
      <c r="F2440" s="263" t="s">
        <v>4339</v>
      </c>
    </row>
    <row r="2441" spans="1:6">
      <c r="A2441" s="263">
        <v>2440</v>
      </c>
      <c r="B2441" s="263" t="s">
        <v>4624</v>
      </c>
      <c r="C2441" s="263" t="s">
        <v>166</v>
      </c>
      <c r="D2441" s="263" t="s">
        <v>4609</v>
      </c>
      <c r="E2441" s="263" t="s">
        <v>4610</v>
      </c>
      <c r="F2441" s="263" t="s">
        <v>4339</v>
      </c>
    </row>
    <row r="2442" spans="1:6">
      <c r="A2442" s="263">
        <v>2441</v>
      </c>
      <c r="B2442" s="263" t="s">
        <v>4625</v>
      </c>
      <c r="C2442" s="263" t="s">
        <v>4626</v>
      </c>
      <c r="D2442" s="263" t="s">
        <v>4627</v>
      </c>
      <c r="E2442" s="263" t="s">
        <v>4628</v>
      </c>
      <c r="F2442" s="263" t="s">
        <v>4629</v>
      </c>
    </row>
    <row r="2443" spans="1:6">
      <c r="A2443" s="263">
        <v>2442</v>
      </c>
      <c r="B2443" s="263" t="s">
        <v>4630</v>
      </c>
      <c r="C2443" s="263" t="s">
        <v>1116</v>
      </c>
      <c r="D2443" s="263" t="s">
        <v>4627</v>
      </c>
      <c r="E2443" s="263" t="s">
        <v>4628</v>
      </c>
      <c r="F2443" s="263" t="s">
        <v>4629</v>
      </c>
    </row>
    <row r="2444" spans="1:6">
      <c r="A2444" s="263">
        <v>2443</v>
      </c>
      <c r="B2444" s="263" t="s">
        <v>4631</v>
      </c>
      <c r="C2444" s="263" t="s">
        <v>4632</v>
      </c>
      <c r="D2444" s="263" t="s">
        <v>4627</v>
      </c>
      <c r="E2444" s="263" t="s">
        <v>4628</v>
      </c>
      <c r="F2444" s="263" t="s">
        <v>4629</v>
      </c>
    </row>
    <row r="2445" spans="1:6">
      <c r="A2445" s="263">
        <v>2444</v>
      </c>
      <c r="B2445" s="263" t="s">
        <v>4633</v>
      </c>
      <c r="C2445" s="263" t="s">
        <v>4634</v>
      </c>
      <c r="D2445" s="263" t="s">
        <v>4627</v>
      </c>
      <c r="E2445" s="263" t="s">
        <v>4628</v>
      </c>
      <c r="F2445" s="263" t="s">
        <v>4629</v>
      </c>
    </row>
    <row r="2446" spans="1:6">
      <c r="A2446" s="263">
        <v>2445</v>
      </c>
      <c r="B2446" s="263" t="s">
        <v>4635</v>
      </c>
      <c r="C2446" s="263" t="s">
        <v>114</v>
      </c>
      <c r="D2446" s="263" t="s">
        <v>4627</v>
      </c>
      <c r="E2446" s="263" t="s">
        <v>4628</v>
      </c>
      <c r="F2446" s="263" t="s">
        <v>4629</v>
      </c>
    </row>
    <row r="2447" spans="1:6">
      <c r="A2447" s="263">
        <v>2446</v>
      </c>
      <c r="B2447" s="263" t="s">
        <v>4636</v>
      </c>
      <c r="C2447" s="263" t="s">
        <v>4593</v>
      </c>
      <c r="D2447" s="263" t="s">
        <v>4627</v>
      </c>
      <c r="E2447" s="263" t="s">
        <v>4628</v>
      </c>
      <c r="F2447" s="263" t="s">
        <v>4629</v>
      </c>
    </row>
    <row r="2448" spans="1:6">
      <c r="A2448" s="263">
        <v>2447</v>
      </c>
      <c r="B2448" s="263" t="s">
        <v>4637</v>
      </c>
      <c r="C2448" s="263" t="s">
        <v>1883</v>
      </c>
      <c r="D2448" s="263" t="s">
        <v>4627</v>
      </c>
      <c r="E2448" s="263" t="s">
        <v>4628</v>
      </c>
      <c r="F2448" s="263" t="s">
        <v>4629</v>
      </c>
    </row>
    <row r="2449" spans="1:6">
      <c r="A2449" s="263">
        <v>2448</v>
      </c>
      <c r="B2449" s="263" t="s">
        <v>4638</v>
      </c>
      <c r="C2449" s="263" t="s">
        <v>2227</v>
      </c>
      <c r="D2449" s="263" t="s">
        <v>4627</v>
      </c>
      <c r="E2449" s="263" t="s">
        <v>4628</v>
      </c>
      <c r="F2449" s="263" t="s">
        <v>4629</v>
      </c>
    </row>
    <row r="2450" spans="1:6">
      <c r="A2450" s="263">
        <v>2449</v>
      </c>
      <c r="B2450" s="263" t="s">
        <v>4639</v>
      </c>
      <c r="C2450" s="263" t="s">
        <v>4640</v>
      </c>
      <c r="D2450" s="263" t="s">
        <v>4627</v>
      </c>
      <c r="E2450" s="263" t="s">
        <v>4628</v>
      </c>
      <c r="F2450" s="263" t="s">
        <v>4629</v>
      </c>
    </row>
    <row r="2451" spans="1:6">
      <c r="A2451" s="263">
        <v>2450</v>
      </c>
      <c r="B2451" s="263" t="s">
        <v>4641</v>
      </c>
      <c r="C2451" s="263" t="s">
        <v>980</v>
      </c>
      <c r="D2451" s="263" t="s">
        <v>4642</v>
      </c>
      <c r="E2451" s="263" t="s">
        <v>68</v>
      </c>
      <c r="F2451" s="263" t="s">
        <v>4629</v>
      </c>
    </row>
    <row r="2452" spans="1:6">
      <c r="A2452" s="263">
        <v>2451</v>
      </c>
      <c r="B2452" s="263" t="s">
        <v>4643</v>
      </c>
      <c r="C2452" s="263" t="s">
        <v>176</v>
      </c>
      <c r="D2452" s="263" t="s">
        <v>4642</v>
      </c>
      <c r="E2452" s="263" t="s">
        <v>68</v>
      </c>
      <c r="F2452" s="263" t="s">
        <v>4629</v>
      </c>
    </row>
    <row r="2453" spans="1:6">
      <c r="A2453" s="263">
        <v>2452</v>
      </c>
      <c r="B2453" s="263" t="s">
        <v>4644</v>
      </c>
      <c r="C2453" s="263" t="s">
        <v>4645</v>
      </c>
      <c r="D2453" s="263" t="s">
        <v>4642</v>
      </c>
      <c r="E2453" s="263" t="s">
        <v>68</v>
      </c>
      <c r="F2453" s="263" t="s">
        <v>4629</v>
      </c>
    </row>
    <row r="2454" spans="1:6">
      <c r="A2454" s="263">
        <v>2453</v>
      </c>
      <c r="B2454" s="263" t="s">
        <v>4646</v>
      </c>
      <c r="C2454" s="263" t="s">
        <v>4647</v>
      </c>
      <c r="D2454" s="263" t="s">
        <v>4642</v>
      </c>
      <c r="E2454" s="263" t="s">
        <v>68</v>
      </c>
      <c r="F2454" s="263" t="s">
        <v>4629</v>
      </c>
    </row>
    <row r="2455" spans="1:6">
      <c r="A2455" s="263">
        <v>2454</v>
      </c>
      <c r="B2455" s="263" t="s">
        <v>4648</v>
      </c>
      <c r="C2455" s="263" t="s">
        <v>4649</v>
      </c>
      <c r="D2455" s="263" t="s">
        <v>4642</v>
      </c>
      <c r="E2455" s="263" t="s">
        <v>68</v>
      </c>
      <c r="F2455" s="263" t="s">
        <v>4629</v>
      </c>
    </row>
    <row r="2456" spans="1:6">
      <c r="A2456" s="263">
        <v>2455</v>
      </c>
      <c r="B2456" s="263" t="s">
        <v>4650</v>
      </c>
      <c r="C2456" s="263" t="s">
        <v>4651</v>
      </c>
      <c r="D2456" s="263" t="s">
        <v>4642</v>
      </c>
      <c r="E2456" s="263" t="s">
        <v>68</v>
      </c>
      <c r="F2456" s="263" t="s">
        <v>4629</v>
      </c>
    </row>
    <row r="2457" spans="1:6">
      <c r="A2457" s="263">
        <v>2456</v>
      </c>
      <c r="B2457" s="263" t="s">
        <v>4652</v>
      </c>
      <c r="C2457" s="263" t="s">
        <v>4653</v>
      </c>
      <c r="D2457" s="263" t="s">
        <v>4642</v>
      </c>
      <c r="E2457" s="263" t="s">
        <v>68</v>
      </c>
      <c r="F2457" s="263" t="s">
        <v>4629</v>
      </c>
    </row>
    <row r="2458" spans="1:6">
      <c r="A2458" s="263">
        <v>2457</v>
      </c>
      <c r="B2458" s="263" t="s">
        <v>4654</v>
      </c>
      <c r="C2458" s="263" t="s">
        <v>4493</v>
      </c>
      <c r="D2458" s="263" t="s">
        <v>4642</v>
      </c>
      <c r="E2458" s="263" t="s">
        <v>68</v>
      </c>
      <c r="F2458" s="263" t="s">
        <v>4629</v>
      </c>
    </row>
    <row r="2459" spans="1:6">
      <c r="A2459" s="263">
        <v>2458</v>
      </c>
      <c r="B2459" s="263" t="s">
        <v>4655</v>
      </c>
      <c r="C2459" s="263" t="s">
        <v>4656</v>
      </c>
      <c r="D2459" s="263" t="s">
        <v>4642</v>
      </c>
      <c r="E2459" s="263" t="s">
        <v>68</v>
      </c>
      <c r="F2459" s="263" t="s">
        <v>4629</v>
      </c>
    </row>
    <row r="2460" spans="1:6">
      <c r="A2460" s="263">
        <v>2459</v>
      </c>
      <c r="B2460" s="263" t="s">
        <v>4657</v>
      </c>
      <c r="C2460" s="263" t="s">
        <v>4057</v>
      </c>
      <c r="D2460" s="263" t="s">
        <v>4642</v>
      </c>
      <c r="E2460" s="263" t="s">
        <v>68</v>
      </c>
      <c r="F2460" s="263" t="s">
        <v>4629</v>
      </c>
    </row>
    <row r="2461" spans="1:6">
      <c r="A2461" s="263">
        <v>2460</v>
      </c>
      <c r="B2461" s="263" t="s">
        <v>4658</v>
      </c>
      <c r="C2461" s="263" t="s">
        <v>4659</v>
      </c>
      <c r="D2461" s="263" t="s">
        <v>4642</v>
      </c>
      <c r="E2461" s="263" t="s">
        <v>68</v>
      </c>
      <c r="F2461" s="263" t="s">
        <v>4629</v>
      </c>
    </row>
    <row r="2462" spans="1:6">
      <c r="A2462" s="263">
        <v>2461</v>
      </c>
      <c r="B2462" s="263" t="s">
        <v>4660</v>
      </c>
      <c r="C2462" s="263" t="s">
        <v>4661</v>
      </c>
      <c r="D2462" s="263" t="s">
        <v>4642</v>
      </c>
      <c r="E2462" s="263" t="s">
        <v>68</v>
      </c>
      <c r="F2462" s="263" t="s">
        <v>4629</v>
      </c>
    </row>
    <row r="2463" spans="1:6">
      <c r="A2463" s="263">
        <v>2462</v>
      </c>
      <c r="B2463" s="263" t="s">
        <v>4662</v>
      </c>
      <c r="C2463" s="263" t="s">
        <v>4663</v>
      </c>
      <c r="D2463" s="263" t="s">
        <v>4642</v>
      </c>
      <c r="E2463" s="263" t="s">
        <v>68</v>
      </c>
      <c r="F2463" s="263" t="s">
        <v>4629</v>
      </c>
    </row>
    <row r="2464" spans="1:6">
      <c r="A2464" s="263">
        <v>2463</v>
      </c>
      <c r="B2464" s="263" t="s">
        <v>4664</v>
      </c>
      <c r="C2464" s="263" t="s">
        <v>4665</v>
      </c>
      <c r="D2464" s="263" t="s">
        <v>4642</v>
      </c>
      <c r="E2464" s="263" t="s">
        <v>68</v>
      </c>
      <c r="F2464" s="263" t="s">
        <v>4629</v>
      </c>
    </row>
    <row r="2465" spans="1:6">
      <c r="A2465" s="263">
        <v>2464</v>
      </c>
      <c r="B2465" s="263" t="s">
        <v>4666</v>
      </c>
      <c r="C2465" s="263" t="s">
        <v>4667</v>
      </c>
      <c r="D2465" s="263" t="s">
        <v>4642</v>
      </c>
      <c r="E2465" s="263" t="s">
        <v>68</v>
      </c>
      <c r="F2465" s="263" t="s">
        <v>4629</v>
      </c>
    </row>
    <row r="2466" spans="1:6">
      <c r="A2466" s="263">
        <v>2465</v>
      </c>
      <c r="B2466" s="263" t="s">
        <v>4668</v>
      </c>
      <c r="C2466" s="263" t="s">
        <v>4669</v>
      </c>
      <c r="D2466" s="263" t="s">
        <v>4670</v>
      </c>
      <c r="E2466" s="263" t="s">
        <v>4671</v>
      </c>
      <c r="F2466" s="263" t="s">
        <v>4629</v>
      </c>
    </row>
    <row r="2467" spans="1:6">
      <c r="A2467" s="263">
        <v>2466</v>
      </c>
      <c r="B2467" s="263" t="s">
        <v>4672</v>
      </c>
      <c r="C2467" s="263" t="s">
        <v>4673</v>
      </c>
      <c r="D2467" s="263" t="s">
        <v>4670</v>
      </c>
      <c r="E2467" s="263" t="s">
        <v>4671</v>
      </c>
      <c r="F2467" s="263" t="s">
        <v>4629</v>
      </c>
    </row>
    <row r="2468" spans="1:6">
      <c r="A2468" s="263">
        <v>2467</v>
      </c>
      <c r="B2468" s="263" t="s">
        <v>4674</v>
      </c>
      <c r="C2468" s="263" t="s">
        <v>4675</v>
      </c>
      <c r="D2468" s="263" t="s">
        <v>4670</v>
      </c>
      <c r="E2468" s="263" t="s">
        <v>4671</v>
      </c>
      <c r="F2468" s="263" t="s">
        <v>4629</v>
      </c>
    </row>
    <row r="2469" spans="1:6">
      <c r="A2469" s="263">
        <v>2468</v>
      </c>
      <c r="B2469" s="263" t="s">
        <v>4676</v>
      </c>
      <c r="C2469" s="263" t="s">
        <v>4677</v>
      </c>
      <c r="D2469" s="263" t="s">
        <v>4670</v>
      </c>
      <c r="E2469" s="263" t="s">
        <v>4671</v>
      </c>
      <c r="F2469" s="263" t="s">
        <v>4629</v>
      </c>
    </row>
    <row r="2470" spans="1:6">
      <c r="A2470" s="263">
        <v>2469</v>
      </c>
      <c r="B2470" s="263" t="s">
        <v>4678</v>
      </c>
      <c r="C2470" s="263" t="s">
        <v>4679</v>
      </c>
      <c r="D2470" s="263" t="s">
        <v>4670</v>
      </c>
      <c r="E2470" s="263" t="s">
        <v>4671</v>
      </c>
      <c r="F2470" s="263" t="s">
        <v>4629</v>
      </c>
    </row>
    <row r="2471" spans="1:6">
      <c r="A2471" s="263">
        <v>2470</v>
      </c>
      <c r="B2471" s="263" t="s">
        <v>4680</v>
      </c>
      <c r="C2471" s="263" t="s">
        <v>554</v>
      </c>
      <c r="D2471" s="263" t="s">
        <v>4670</v>
      </c>
      <c r="E2471" s="263" t="s">
        <v>4671</v>
      </c>
      <c r="F2471" s="263" t="s">
        <v>4629</v>
      </c>
    </row>
    <row r="2472" spans="1:6">
      <c r="A2472" s="263">
        <v>2471</v>
      </c>
      <c r="B2472" s="263" t="s">
        <v>4681</v>
      </c>
      <c r="C2472" s="263" t="s">
        <v>4682</v>
      </c>
      <c r="D2472" s="263" t="s">
        <v>4670</v>
      </c>
      <c r="E2472" s="263" t="s">
        <v>4671</v>
      </c>
      <c r="F2472" s="263" t="s">
        <v>4629</v>
      </c>
    </row>
    <row r="2473" spans="1:6">
      <c r="A2473" s="263">
        <v>2472</v>
      </c>
      <c r="B2473" s="263" t="s">
        <v>4683</v>
      </c>
      <c r="C2473" s="263" t="s">
        <v>680</v>
      </c>
      <c r="D2473" s="263" t="s">
        <v>4670</v>
      </c>
      <c r="E2473" s="263" t="s">
        <v>4671</v>
      </c>
      <c r="F2473" s="263" t="s">
        <v>4629</v>
      </c>
    </row>
    <row r="2474" spans="1:6">
      <c r="A2474" s="263">
        <v>2473</v>
      </c>
      <c r="B2474" s="263" t="s">
        <v>4684</v>
      </c>
      <c r="C2474" s="263" t="s">
        <v>4105</v>
      </c>
      <c r="D2474" s="263" t="s">
        <v>4670</v>
      </c>
      <c r="E2474" s="263" t="s">
        <v>4671</v>
      </c>
      <c r="F2474" s="263" t="s">
        <v>4629</v>
      </c>
    </row>
    <row r="2475" spans="1:6">
      <c r="A2475" s="263">
        <v>2474</v>
      </c>
      <c r="B2475" s="263" t="s">
        <v>4685</v>
      </c>
      <c r="C2475" s="263" t="s">
        <v>4686</v>
      </c>
      <c r="D2475" s="263" t="s">
        <v>4670</v>
      </c>
      <c r="E2475" s="263" t="s">
        <v>4671</v>
      </c>
      <c r="F2475" s="263" t="s">
        <v>4629</v>
      </c>
    </row>
    <row r="2476" spans="1:6">
      <c r="A2476" s="263">
        <v>2475</v>
      </c>
      <c r="B2476" s="263" t="s">
        <v>4687</v>
      </c>
      <c r="C2476" s="263" t="s">
        <v>4688</v>
      </c>
      <c r="D2476" s="263" t="s">
        <v>4670</v>
      </c>
      <c r="E2476" s="263" t="s">
        <v>4671</v>
      </c>
      <c r="F2476" s="263" t="s">
        <v>4629</v>
      </c>
    </row>
    <row r="2477" spans="1:6">
      <c r="A2477" s="263">
        <v>2476</v>
      </c>
      <c r="B2477" s="263" t="s">
        <v>4689</v>
      </c>
      <c r="C2477" s="263" t="s">
        <v>4690</v>
      </c>
      <c r="D2477" s="263" t="s">
        <v>4691</v>
      </c>
      <c r="E2477" s="263" t="s">
        <v>4692</v>
      </c>
      <c r="F2477" s="263" t="s">
        <v>4629</v>
      </c>
    </row>
    <row r="2478" spans="1:6">
      <c r="A2478" s="263">
        <v>2477</v>
      </c>
      <c r="B2478" s="263" t="s">
        <v>4693</v>
      </c>
      <c r="C2478" s="263" t="s">
        <v>4694</v>
      </c>
      <c r="D2478" s="263" t="s">
        <v>4691</v>
      </c>
      <c r="E2478" s="263" t="s">
        <v>4692</v>
      </c>
      <c r="F2478" s="263" t="s">
        <v>4629</v>
      </c>
    </row>
    <row r="2479" spans="1:6">
      <c r="A2479" s="263">
        <v>2478</v>
      </c>
      <c r="B2479" s="263" t="s">
        <v>4695</v>
      </c>
      <c r="C2479" s="263" t="s">
        <v>4696</v>
      </c>
      <c r="D2479" s="263" t="s">
        <v>4691</v>
      </c>
      <c r="E2479" s="263" t="s">
        <v>4692</v>
      </c>
      <c r="F2479" s="263" t="s">
        <v>4629</v>
      </c>
    </row>
    <row r="2480" spans="1:6">
      <c r="A2480" s="263">
        <v>2479</v>
      </c>
      <c r="B2480" s="263" t="s">
        <v>4697</v>
      </c>
      <c r="C2480" s="263" t="s">
        <v>3468</v>
      </c>
      <c r="D2480" s="263" t="s">
        <v>4691</v>
      </c>
      <c r="E2480" s="263" t="s">
        <v>4692</v>
      </c>
      <c r="F2480" s="263" t="s">
        <v>4629</v>
      </c>
    </row>
    <row r="2481" spans="1:6">
      <c r="A2481" s="263">
        <v>2480</v>
      </c>
      <c r="B2481" s="263" t="s">
        <v>4698</v>
      </c>
      <c r="C2481" s="263" t="s">
        <v>1002</v>
      </c>
      <c r="D2481" s="263" t="s">
        <v>4691</v>
      </c>
      <c r="E2481" s="263" t="s">
        <v>4692</v>
      </c>
      <c r="F2481" s="263" t="s">
        <v>4629</v>
      </c>
    </row>
    <row r="2482" spans="1:6">
      <c r="A2482" s="263">
        <v>2481</v>
      </c>
      <c r="B2482" s="263" t="s">
        <v>4699</v>
      </c>
      <c r="C2482" s="263" t="s">
        <v>4700</v>
      </c>
      <c r="D2482" s="263" t="s">
        <v>4691</v>
      </c>
      <c r="E2482" s="263" t="s">
        <v>4692</v>
      </c>
      <c r="F2482" s="263" t="s">
        <v>4629</v>
      </c>
    </row>
    <row r="2483" spans="1:6">
      <c r="A2483" s="263">
        <v>2482</v>
      </c>
      <c r="B2483" s="263" t="s">
        <v>4701</v>
      </c>
      <c r="C2483" s="263" t="s">
        <v>3450</v>
      </c>
      <c r="D2483" s="263" t="s">
        <v>4691</v>
      </c>
      <c r="E2483" s="263" t="s">
        <v>4692</v>
      </c>
      <c r="F2483" s="263" t="s">
        <v>4629</v>
      </c>
    </row>
    <row r="2484" spans="1:6">
      <c r="A2484" s="263">
        <v>2483</v>
      </c>
      <c r="B2484" s="263" t="s">
        <v>4702</v>
      </c>
      <c r="C2484" s="263" t="s">
        <v>4703</v>
      </c>
      <c r="D2484" s="263" t="s">
        <v>4691</v>
      </c>
      <c r="E2484" s="263" t="s">
        <v>4692</v>
      </c>
      <c r="F2484" s="263" t="s">
        <v>4629</v>
      </c>
    </row>
    <row r="2485" spans="1:6">
      <c r="A2485" s="263">
        <v>2484</v>
      </c>
      <c r="B2485" s="263" t="s">
        <v>4704</v>
      </c>
      <c r="C2485" s="263" t="s">
        <v>3392</v>
      </c>
      <c r="D2485" s="263" t="s">
        <v>4691</v>
      </c>
      <c r="E2485" s="263" t="s">
        <v>4692</v>
      </c>
      <c r="F2485" s="263" t="s">
        <v>4629</v>
      </c>
    </row>
    <row r="2486" spans="1:6">
      <c r="A2486" s="263">
        <v>2485</v>
      </c>
      <c r="B2486" s="263" t="s">
        <v>4705</v>
      </c>
      <c r="C2486" s="263" t="s">
        <v>4706</v>
      </c>
      <c r="D2486" s="263" t="s">
        <v>4707</v>
      </c>
      <c r="E2486" s="263" t="s">
        <v>4708</v>
      </c>
      <c r="F2486" s="263" t="s">
        <v>4629</v>
      </c>
    </row>
    <row r="2487" spans="1:6">
      <c r="A2487" s="263">
        <v>2486</v>
      </c>
      <c r="B2487" s="263" t="s">
        <v>4709</v>
      </c>
      <c r="C2487" s="263" t="s">
        <v>4710</v>
      </c>
      <c r="D2487" s="263" t="s">
        <v>4707</v>
      </c>
      <c r="E2487" s="263" t="s">
        <v>4708</v>
      </c>
      <c r="F2487" s="263" t="s">
        <v>4629</v>
      </c>
    </row>
    <row r="2488" spans="1:6">
      <c r="A2488" s="263">
        <v>2487</v>
      </c>
      <c r="B2488" s="263" t="s">
        <v>4711</v>
      </c>
      <c r="C2488" s="263" t="s">
        <v>4712</v>
      </c>
      <c r="D2488" s="263" t="s">
        <v>4707</v>
      </c>
      <c r="E2488" s="263" t="s">
        <v>4708</v>
      </c>
      <c r="F2488" s="263" t="s">
        <v>4629</v>
      </c>
    </row>
    <row r="2489" spans="1:6">
      <c r="A2489" s="263">
        <v>2488</v>
      </c>
      <c r="B2489" s="263" t="s">
        <v>4713</v>
      </c>
      <c r="C2489" s="263" t="s">
        <v>4714</v>
      </c>
      <c r="D2489" s="263" t="s">
        <v>4707</v>
      </c>
      <c r="E2489" s="263" t="s">
        <v>4708</v>
      </c>
      <c r="F2489" s="263" t="s">
        <v>4629</v>
      </c>
    </row>
    <row r="2490" spans="1:6">
      <c r="A2490" s="263">
        <v>2489</v>
      </c>
      <c r="B2490" s="263" t="s">
        <v>4715</v>
      </c>
      <c r="C2490" s="263" t="s">
        <v>4716</v>
      </c>
      <c r="D2490" s="263" t="s">
        <v>4707</v>
      </c>
      <c r="E2490" s="263" t="s">
        <v>4708</v>
      </c>
      <c r="F2490" s="263" t="s">
        <v>4629</v>
      </c>
    </row>
    <row r="2491" spans="1:6">
      <c r="A2491" s="263">
        <v>2490</v>
      </c>
      <c r="B2491" s="263" t="s">
        <v>4717</v>
      </c>
      <c r="C2491" s="263" t="s">
        <v>4718</v>
      </c>
      <c r="D2491" s="263" t="s">
        <v>4707</v>
      </c>
      <c r="E2491" s="263" t="s">
        <v>4708</v>
      </c>
      <c r="F2491" s="263" t="s">
        <v>4629</v>
      </c>
    </row>
    <row r="2492" spans="1:6">
      <c r="A2492" s="263">
        <v>2491</v>
      </c>
      <c r="B2492" s="263" t="s">
        <v>4719</v>
      </c>
      <c r="C2492" s="263" t="s">
        <v>4720</v>
      </c>
      <c r="D2492" s="263" t="s">
        <v>4707</v>
      </c>
      <c r="E2492" s="263" t="s">
        <v>4708</v>
      </c>
      <c r="F2492" s="263" t="s">
        <v>4629</v>
      </c>
    </row>
    <row r="2493" spans="1:6">
      <c r="A2493" s="263">
        <v>2492</v>
      </c>
      <c r="B2493" s="263" t="s">
        <v>4721</v>
      </c>
      <c r="C2493" s="263" t="s">
        <v>4722</v>
      </c>
      <c r="D2493" s="263" t="s">
        <v>4707</v>
      </c>
      <c r="E2493" s="263" t="s">
        <v>4708</v>
      </c>
      <c r="F2493" s="263" t="s">
        <v>4629</v>
      </c>
    </row>
    <row r="2494" spans="1:6">
      <c r="A2494" s="263">
        <v>2493</v>
      </c>
      <c r="B2494" s="263" t="s">
        <v>4723</v>
      </c>
      <c r="C2494" s="263" t="s">
        <v>4724</v>
      </c>
      <c r="D2494" s="263" t="s">
        <v>4725</v>
      </c>
      <c r="E2494" s="263" t="s">
        <v>4726</v>
      </c>
      <c r="F2494" s="263" t="s">
        <v>4629</v>
      </c>
    </row>
    <row r="2495" spans="1:6">
      <c r="A2495" s="263">
        <v>2494</v>
      </c>
      <c r="B2495" s="263" t="s">
        <v>4727</v>
      </c>
      <c r="C2495" s="263" t="s">
        <v>4728</v>
      </c>
      <c r="D2495" s="263" t="s">
        <v>4725</v>
      </c>
      <c r="E2495" s="263" t="s">
        <v>4726</v>
      </c>
      <c r="F2495" s="263" t="s">
        <v>4629</v>
      </c>
    </row>
    <row r="2496" spans="1:6">
      <c r="A2496" s="263">
        <v>2495</v>
      </c>
      <c r="B2496" s="263" t="s">
        <v>4729</v>
      </c>
      <c r="C2496" s="263" t="s">
        <v>4730</v>
      </c>
      <c r="D2496" s="263" t="s">
        <v>4725</v>
      </c>
      <c r="E2496" s="263" t="s">
        <v>4726</v>
      </c>
      <c r="F2496" s="263" t="s">
        <v>4629</v>
      </c>
    </row>
    <row r="2497" spans="1:6">
      <c r="A2497" s="263">
        <v>2496</v>
      </c>
      <c r="B2497" s="263" t="s">
        <v>4731</v>
      </c>
      <c r="C2497" s="263" t="s">
        <v>348</v>
      </c>
      <c r="D2497" s="263" t="s">
        <v>4725</v>
      </c>
      <c r="E2497" s="263" t="s">
        <v>4726</v>
      </c>
      <c r="F2497" s="263" t="s">
        <v>4629</v>
      </c>
    </row>
    <row r="2498" spans="1:6">
      <c r="A2498" s="263">
        <v>2497</v>
      </c>
      <c r="B2498" s="263" t="s">
        <v>4732</v>
      </c>
      <c r="C2498" s="263" t="s">
        <v>224</v>
      </c>
      <c r="D2498" s="263" t="s">
        <v>4725</v>
      </c>
      <c r="E2498" s="263" t="s">
        <v>4726</v>
      </c>
      <c r="F2498" s="263" t="s">
        <v>4629</v>
      </c>
    </row>
    <row r="2499" spans="1:6">
      <c r="A2499" s="263">
        <v>2498</v>
      </c>
      <c r="B2499" s="263" t="s">
        <v>4733</v>
      </c>
      <c r="C2499" s="263" t="s">
        <v>666</v>
      </c>
      <c r="D2499" s="263" t="s">
        <v>4725</v>
      </c>
      <c r="E2499" s="263" t="s">
        <v>4726</v>
      </c>
      <c r="F2499" s="263" t="s">
        <v>4629</v>
      </c>
    </row>
    <row r="2500" spans="1:6">
      <c r="A2500" s="263">
        <v>2499</v>
      </c>
      <c r="B2500" s="263" t="s">
        <v>4734</v>
      </c>
      <c r="C2500" s="263" t="s">
        <v>4735</v>
      </c>
      <c r="D2500" s="263" t="s">
        <v>4725</v>
      </c>
      <c r="E2500" s="263" t="s">
        <v>4726</v>
      </c>
      <c r="F2500" s="263" t="s">
        <v>4629</v>
      </c>
    </row>
    <row r="2501" spans="1:6">
      <c r="A2501" s="263">
        <v>2500</v>
      </c>
      <c r="B2501" s="263" t="s">
        <v>4736</v>
      </c>
      <c r="C2501" s="263" t="s">
        <v>3172</v>
      </c>
      <c r="D2501" s="263" t="s">
        <v>4725</v>
      </c>
      <c r="E2501" s="263" t="s">
        <v>4726</v>
      </c>
      <c r="F2501" s="263" t="s">
        <v>4629</v>
      </c>
    </row>
    <row r="2502" spans="1:6">
      <c r="A2502" s="263">
        <v>2501</v>
      </c>
      <c r="B2502" s="263" t="s">
        <v>4737</v>
      </c>
      <c r="C2502" s="263" t="s">
        <v>4738</v>
      </c>
      <c r="D2502" s="263" t="s">
        <v>4725</v>
      </c>
      <c r="E2502" s="263" t="s">
        <v>4726</v>
      </c>
      <c r="F2502" s="263" t="s">
        <v>4629</v>
      </c>
    </row>
    <row r="2503" spans="1:6">
      <c r="A2503" s="263">
        <v>2502</v>
      </c>
      <c r="B2503" s="263" t="s">
        <v>4739</v>
      </c>
      <c r="C2503" s="263" t="s">
        <v>4740</v>
      </c>
      <c r="D2503" s="263" t="s">
        <v>4725</v>
      </c>
      <c r="E2503" s="263" t="s">
        <v>4726</v>
      </c>
      <c r="F2503" s="263" t="s">
        <v>4629</v>
      </c>
    </row>
    <row r="2504" spans="1:6">
      <c r="A2504" s="263">
        <v>2503</v>
      </c>
      <c r="B2504" s="263" t="s">
        <v>4741</v>
      </c>
      <c r="C2504" s="263" t="s">
        <v>4742</v>
      </c>
      <c r="D2504" s="263" t="s">
        <v>4743</v>
      </c>
      <c r="E2504" s="263" t="s">
        <v>4744</v>
      </c>
      <c r="F2504" s="263" t="s">
        <v>4629</v>
      </c>
    </row>
    <row r="2505" spans="1:6">
      <c r="A2505" s="263">
        <v>2504</v>
      </c>
      <c r="B2505" s="263" t="s">
        <v>4745</v>
      </c>
      <c r="C2505" s="263" t="s">
        <v>4746</v>
      </c>
      <c r="D2505" s="263" t="s">
        <v>4743</v>
      </c>
      <c r="E2505" s="263" t="s">
        <v>4744</v>
      </c>
      <c r="F2505" s="263" t="s">
        <v>4629</v>
      </c>
    </row>
    <row r="2506" spans="1:6">
      <c r="A2506" s="263">
        <v>2505</v>
      </c>
      <c r="B2506" s="263" t="s">
        <v>4747</v>
      </c>
      <c r="C2506" s="263" t="s">
        <v>4748</v>
      </c>
      <c r="D2506" s="263" t="s">
        <v>4743</v>
      </c>
      <c r="E2506" s="263" t="s">
        <v>4744</v>
      </c>
      <c r="F2506" s="263" t="s">
        <v>4629</v>
      </c>
    </row>
    <row r="2507" spans="1:6">
      <c r="A2507" s="263">
        <v>2506</v>
      </c>
      <c r="B2507" s="263" t="s">
        <v>4749</v>
      </c>
      <c r="C2507" s="263" t="s">
        <v>1254</v>
      </c>
      <c r="D2507" s="263" t="s">
        <v>4743</v>
      </c>
      <c r="E2507" s="263" t="s">
        <v>4744</v>
      </c>
      <c r="F2507" s="263" t="s">
        <v>4629</v>
      </c>
    </row>
    <row r="2508" spans="1:6">
      <c r="A2508" s="263">
        <v>2507</v>
      </c>
      <c r="B2508" s="263" t="s">
        <v>4750</v>
      </c>
      <c r="C2508" s="263" t="s">
        <v>418</v>
      </c>
      <c r="D2508" s="263" t="s">
        <v>4743</v>
      </c>
      <c r="E2508" s="263" t="s">
        <v>4744</v>
      </c>
      <c r="F2508" s="263" t="s">
        <v>4629</v>
      </c>
    </row>
    <row r="2509" spans="1:6">
      <c r="A2509" s="263">
        <v>2508</v>
      </c>
      <c r="B2509" s="263" t="s">
        <v>4751</v>
      </c>
      <c r="C2509" s="263" t="s">
        <v>164</v>
      </c>
      <c r="D2509" s="263" t="s">
        <v>4743</v>
      </c>
      <c r="E2509" s="263" t="s">
        <v>4744</v>
      </c>
      <c r="F2509" s="263" t="s">
        <v>4629</v>
      </c>
    </row>
    <row r="2510" spans="1:6">
      <c r="A2510" s="263">
        <v>2509</v>
      </c>
      <c r="B2510" s="263" t="s">
        <v>4752</v>
      </c>
      <c r="C2510" s="263" t="s">
        <v>1135</v>
      </c>
      <c r="D2510" s="263" t="s">
        <v>4743</v>
      </c>
      <c r="E2510" s="263" t="s">
        <v>4744</v>
      </c>
      <c r="F2510" s="263" t="s">
        <v>4629</v>
      </c>
    </row>
    <row r="2511" spans="1:6">
      <c r="A2511" s="263">
        <v>2510</v>
      </c>
      <c r="B2511" s="263" t="s">
        <v>4753</v>
      </c>
      <c r="C2511" s="263" t="s">
        <v>373</v>
      </c>
      <c r="D2511" s="263" t="s">
        <v>4743</v>
      </c>
      <c r="E2511" s="263" t="s">
        <v>4744</v>
      </c>
      <c r="F2511" s="263" t="s">
        <v>4629</v>
      </c>
    </row>
    <row r="2512" spans="1:6">
      <c r="A2512" s="263">
        <v>2511</v>
      </c>
      <c r="B2512" s="263" t="s">
        <v>4754</v>
      </c>
      <c r="C2512" s="263" t="s">
        <v>80</v>
      </c>
      <c r="D2512" s="263" t="s">
        <v>4743</v>
      </c>
      <c r="E2512" s="263" t="s">
        <v>4744</v>
      </c>
      <c r="F2512" s="263" t="s">
        <v>4629</v>
      </c>
    </row>
    <row r="2513" spans="1:6">
      <c r="A2513" s="263">
        <v>2512</v>
      </c>
      <c r="B2513" s="263" t="s">
        <v>4755</v>
      </c>
      <c r="C2513" s="263" t="s">
        <v>353</v>
      </c>
      <c r="D2513" s="263" t="s">
        <v>4743</v>
      </c>
      <c r="E2513" s="263" t="s">
        <v>4744</v>
      </c>
      <c r="F2513" s="263" t="s">
        <v>4629</v>
      </c>
    </row>
    <row r="2514" spans="1:6">
      <c r="A2514" s="263">
        <v>2513</v>
      </c>
      <c r="B2514" s="263" t="s">
        <v>4756</v>
      </c>
      <c r="C2514" s="263" t="s">
        <v>3574</v>
      </c>
      <c r="D2514" s="263" t="s">
        <v>4743</v>
      </c>
      <c r="E2514" s="263" t="s">
        <v>4744</v>
      </c>
      <c r="F2514" s="263" t="s">
        <v>4629</v>
      </c>
    </row>
    <row r="2515" spans="1:6">
      <c r="A2515" s="263">
        <v>2514</v>
      </c>
      <c r="B2515" s="263" t="s">
        <v>4757</v>
      </c>
      <c r="C2515" s="263" t="s">
        <v>3293</v>
      </c>
      <c r="D2515" s="263" t="s">
        <v>4743</v>
      </c>
      <c r="E2515" s="263" t="s">
        <v>4744</v>
      </c>
      <c r="F2515" s="263" t="s">
        <v>4629</v>
      </c>
    </row>
    <row r="2516" spans="1:6">
      <c r="A2516" s="263">
        <v>2515</v>
      </c>
      <c r="B2516" s="263" t="s">
        <v>4758</v>
      </c>
      <c r="C2516" s="263" t="s">
        <v>4759</v>
      </c>
      <c r="D2516" s="263" t="s">
        <v>4760</v>
      </c>
      <c r="E2516" s="263" t="s">
        <v>4761</v>
      </c>
      <c r="F2516" s="263" t="s">
        <v>4629</v>
      </c>
    </row>
    <row r="2517" spans="1:6">
      <c r="A2517" s="263">
        <v>2516</v>
      </c>
      <c r="B2517" s="263" t="s">
        <v>4762</v>
      </c>
      <c r="C2517" s="263" t="s">
        <v>70</v>
      </c>
      <c r="D2517" s="263" t="s">
        <v>4760</v>
      </c>
      <c r="E2517" s="263" t="s">
        <v>4761</v>
      </c>
      <c r="F2517" s="263" t="s">
        <v>4629</v>
      </c>
    </row>
    <row r="2518" spans="1:6">
      <c r="A2518" s="263">
        <v>2517</v>
      </c>
      <c r="B2518" s="263" t="s">
        <v>4763</v>
      </c>
      <c r="C2518" s="263" t="s">
        <v>4764</v>
      </c>
      <c r="D2518" s="263" t="s">
        <v>4760</v>
      </c>
      <c r="E2518" s="263" t="s">
        <v>4761</v>
      </c>
      <c r="F2518" s="263" t="s">
        <v>4629</v>
      </c>
    </row>
    <row r="2519" spans="1:6">
      <c r="A2519" s="263">
        <v>2518</v>
      </c>
      <c r="B2519" s="263" t="s">
        <v>4765</v>
      </c>
      <c r="C2519" s="263" t="s">
        <v>74</v>
      </c>
      <c r="D2519" s="263" t="s">
        <v>4760</v>
      </c>
      <c r="E2519" s="263" t="s">
        <v>4761</v>
      </c>
      <c r="F2519" s="263" t="s">
        <v>4629</v>
      </c>
    </row>
    <row r="2520" spans="1:6">
      <c r="A2520" s="263">
        <v>2519</v>
      </c>
      <c r="B2520" s="263" t="s">
        <v>4766</v>
      </c>
      <c r="C2520" s="263" t="s">
        <v>4767</v>
      </c>
      <c r="D2520" s="263" t="s">
        <v>4760</v>
      </c>
      <c r="E2520" s="263" t="s">
        <v>4761</v>
      </c>
      <c r="F2520" s="263" t="s">
        <v>4629</v>
      </c>
    </row>
    <row r="2521" spans="1:6">
      <c r="A2521" s="263">
        <v>2520</v>
      </c>
      <c r="B2521" s="263" t="s">
        <v>4768</v>
      </c>
      <c r="C2521" s="263" t="s">
        <v>4769</v>
      </c>
      <c r="D2521" s="263" t="s">
        <v>4760</v>
      </c>
      <c r="E2521" s="263" t="s">
        <v>4761</v>
      </c>
      <c r="F2521" s="263" t="s">
        <v>4629</v>
      </c>
    </row>
    <row r="2522" spans="1:6">
      <c r="A2522" s="263">
        <v>2521</v>
      </c>
      <c r="B2522" s="263" t="s">
        <v>4770</v>
      </c>
      <c r="C2522" s="263" t="s">
        <v>4771</v>
      </c>
      <c r="D2522" s="263" t="s">
        <v>4760</v>
      </c>
      <c r="E2522" s="263" t="s">
        <v>4761</v>
      </c>
      <c r="F2522" s="263" t="s">
        <v>4629</v>
      </c>
    </row>
    <row r="2523" spans="1:6">
      <c r="A2523" s="263">
        <v>2522</v>
      </c>
      <c r="B2523" s="263" t="s">
        <v>4772</v>
      </c>
      <c r="C2523" s="263" t="s">
        <v>789</v>
      </c>
      <c r="D2523" s="263" t="s">
        <v>4760</v>
      </c>
      <c r="E2523" s="263" t="s">
        <v>4761</v>
      </c>
      <c r="F2523" s="263" t="s">
        <v>4629</v>
      </c>
    </row>
    <row r="2524" spans="1:6">
      <c r="A2524" s="263">
        <v>2523</v>
      </c>
      <c r="B2524" s="263" t="s">
        <v>4773</v>
      </c>
      <c r="C2524" s="263" t="s">
        <v>4774</v>
      </c>
      <c r="D2524" s="263" t="s">
        <v>4760</v>
      </c>
      <c r="E2524" s="263" t="s">
        <v>4761</v>
      </c>
      <c r="F2524" s="263" t="s">
        <v>4629</v>
      </c>
    </row>
    <row r="2525" spans="1:6">
      <c r="A2525" s="263">
        <v>2524</v>
      </c>
      <c r="B2525" s="263" t="s">
        <v>4775</v>
      </c>
      <c r="C2525" s="263" t="s">
        <v>4776</v>
      </c>
      <c r="D2525" s="263" t="s">
        <v>4760</v>
      </c>
      <c r="E2525" s="263" t="s">
        <v>4761</v>
      </c>
      <c r="F2525" s="263" t="s">
        <v>4629</v>
      </c>
    </row>
    <row r="2526" spans="1:6">
      <c r="A2526" s="263">
        <v>2525</v>
      </c>
      <c r="B2526" s="263" t="s">
        <v>4777</v>
      </c>
      <c r="C2526" s="263" t="s">
        <v>4778</v>
      </c>
      <c r="D2526" s="263" t="s">
        <v>4760</v>
      </c>
      <c r="E2526" s="263" t="s">
        <v>4761</v>
      </c>
      <c r="F2526" s="263" t="s">
        <v>4629</v>
      </c>
    </row>
    <row r="2527" spans="1:6">
      <c r="A2527" s="263">
        <v>2526</v>
      </c>
      <c r="B2527" s="263" t="s">
        <v>4779</v>
      </c>
      <c r="C2527" s="263" t="s">
        <v>628</v>
      </c>
      <c r="D2527" s="263" t="s">
        <v>4780</v>
      </c>
      <c r="E2527" s="263" t="s">
        <v>4781</v>
      </c>
      <c r="F2527" s="263" t="s">
        <v>4629</v>
      </c>
    </row>
    <row r="2528" spans="1:6">
      <c r="A2528" s="263">
        <v>2527</v>
      </c>
      <c r="B2528" s="263" t="s">
        <v>4782</v>
      </c>
      <c r="C2528" s="263" t="s">
        <v>632</v>
      </c>
      <c r="D2528" s="263" t="s">
        <v>4780</v>
      </c>
      <c r="E2528" s="263" t="s">
        <v>4781</v>
      </c>
      <c r="F2528" s="263" t="s">
        <v>4629</v>
      </c>
    </row>
    <row r="2529" spans="1:6">
      <c r="A2529" s="263">
        <v>2528</v>
      </c>
      <c r="B2529" s="263" t="s">
        <v>4783</v>
      </c>
      <c r="C2529" s="263" t="s">
        <v>634</v>
      </c>
      <c r="D2529" s="263" t="s">
        <v>4780</v>
      </c>
      <c r="E2529" s="263" t="s">
        <v>4781</v>
      </c>
      <c r="F2529" s="263" t="s">
        <v>4629</v>
      </c>
    </row>
    <row r="2530" spans="1:6">
      <c r="A2530" s="263">
        <v>2529</v>
      </c>
      <c r="B2530" s="263" t="s">
        <v>4784</v>
      </c>
      <c r="C2530" s="263" t="s">
        <v>1184</v>
      </c>
      <c r="D2530" s="263" t="s">
        <v>4780</v>
      </c>
      <c r="E2530" s="263" t="s">
        <v>4781</v>
      </c>
      <c r="F2530" s="263" t="s">
        <v>4629</v>
      </c>
    </row>
    <row r="2531" spans="1:6">
      <c r="A2531" s="263">
        <v>2530</v>
      </c>
      <c r="B2531" s="263" t="s">
        <v>4785</v>
      </c>
      <c r="C2531" s="263" t="s">
        <v>4786</v>
      </c>
      <c r="D2531" s="263" t="s">
        <v>4780</v>
      </c>
      <c r="E2531" s="263" t="s">
        <v>4781</v>
      </c>
      <c r="F2531" s="263" t="s">
        <v>4629</v>
      </c>
    </row>
    <row r="2532" spans="1:6">
      <c r="A2532" s="263">
        <v>2531</v>
      </c>
      <c r="B2532" s="263" t="s">
        <v>4787</v>
      </c>
      <c r="C2532" s="263" t="s">
        <v>4788</v>
      </c>
      <c r="D2532" s="263" t="s">
        <v>4780</v>
      </c>
      <c r="E2532" s="263" t="s">
        <v>4781</v>
      </c>
      <c r="F2532" s="263" t="s">
        <v>4629</v>
      </c>
    </row>
    <row r="2533" spans="1:6">
      <c r="A2533" s="263">
        <v>2532</v>
      </c>
      <c r="B2533" s="263" t="s">
        <v>4789</v>
      </c>
      <c r="C2533" s="263" t="s">
        <v>4790</v>
      </c>
      <c r="D2533" s="263" t="s">
        <v>4780</v>
      </c>
      <c r="E2533" s="263" t="s">
        <v>4781</v>
      </c>
      <c r="F2533" s="263" t="s">
        <v>4629</v>
      </c>
    </row>
    <row r="2534" spans="1:6">
      <c r="A2534" s="263">
        <v>2533</v>
      </c>
      <c r="B2534" s="263" t="s">
        <v>4791</v>
      </c>
      <c r="C2534" s="263" t="s">
        <v>692</v>
      </c>
      <c r="D2534" s="263" t="s">
        <v>4780</v>
      </c>
      <c r="E2534" s="263" t="s">
        <v>4781</v>
      </c>
      <c r="F2534" s="263" t="s">
        <v>4629</v>
      </c>
    </row>
    <row r="2535" spans="1:6">
      <c r="A2535" s="263">
        <v>2534</v>
      </c>
      <c r="B2535" s="263" t="s">
        <v>4792</v>
      </c>
      <c r="C2535" s="263" t="s">
        <v>348</v>
      </c>
      <c r="D2535" s="263" t="s">
        <v>4780</v>
      </c>
      <c r="E2535" s="263" t="s">
        <v>4781</v>
      </c>
      <c r="F2535" s="263" t="s">
        <v>4629</v>
      </c>
    </row>
    <row r="2536" spans="1:6">
      <c r="A2536" s="263">
        <v>2535</v>
      </c>
      <c r="B2536" s="263" t="s">
        <v>4793</v>
      </c>
      <c r="C2536" s="263" t="s">
        <v>4264</v>
      </c>
      <c r="D2536" s="263" t="s">
        <v>4780</v>
      </c>
      <c r="E2536" s="263" t="s">
        <v>4781</v>
      </c>
      <c r="F2536" s="263" t="s">
        <v>4629</v>
      </c>
    </row>
    <row r="2537" spans="1:6">
      <c r="A2537" s="263">
        <v>2536</v>
      </c>
      <c r="B2537" s="263" t="s">
        <v>4794</v>
      </c>
      <c r="C2537" s="263" t="s">
        <v>4795</v>
      </c>
      <c r="D2537" s="263" t="s">
        <v>4796</v>
      </c>
      <c r="E2537" s="263" t="s">
        <v>4797</v>
      </c>
      <c r="F2537" s="263" t="s">
        <v>4798</v>
      </c>
    </row>
    <row r="2538" spans="1:6">
      <c r="A2538" s="263">
        <v>2537</v>
      </c>
      <c r="B2538" s="263" t="s">
        <v>4799</v>
      </c>
      <c r="C2538" s="263" t="s">
        <v>4800</v>
      </c>
      <c r="D2538" s="263" t="s">
        <v>4796</v>
      </c>
      <c r="E2538" s="263" t="s">
        <v>4797</v>
      </c>
      <c r="F2538" s="263" t="s">
        <v>4798</v>
      </c>
    </row>
    <row r="2539" spans="1:6">
      <c r="A2539" s="263">
        <v>2538</v>
      </c>
      <c r="B2539" s="263" t="s">
        <v>4801</v>
      </c>
      <c r="C2539" s="263" t="s">
        <v>4802</v>
      </c>
      <c r="D2539" s="263" t="s">
        <v>4796</v>
      </c>
      <c r="E2539" s="263" t="s">
        <v>4797</v>
      </c>
      <c r="F2539" s="263" t="s">
        <v>4798</v>
      </c>
    </row>
    <row r="2540" spans="1:6">
      <c r="A2540" s="263">
        <v>2539</v>
      </c>
      <c r="B2540" s="263" t="s">
        <v>4803</v>
      </c>
      <c r="C2540" s="263" t="s">
        <v>48</v>
      </c>
      <c r="D2540" s="263" t="s">
        <v>4796</v>
      </c>
      <c r="E2540" s="263" t="s">
        <v>4797</v>
      </c>
      <c r="F2540" s="263" t="s">
        <v>4798</v>
      </c>
    </row>
    <row r="2541" spans="1:6">
      <c r="A2541" s="263">
        <v>2540</v>
      </c>
      <c r="B2541" s="263" t="s">
        <v>4804</v>
      </c>
      <c r="C2541" s="263" t="s">
        <v>4805</v>
      </c>
      <c r="D2541" s="263" t="s">
        <v>4796</v>
      </c>
      <c r="E2541" s="263" t="s">
        <v>4797</v>
      </c>
      <c r="F2541" s="263" t="s">
        <v>4798</v>
      </c>
    </row>
    <row r="2542" spans="1:6">
      <c r="A2542" s="263">
        <v>2541</v>
      </c>
      <c r="B2542" s="263" t="s">
        <v>4806</v>
      </c>
      <c r="C2542" s="263" t="s">
        <v>4807</v>
      </c>
      <c r="D2542" s="263" t="s">
        <v>4796</v>
      </c>
      <c r="E2542" s="263" t="s">
        <v>4797</v>
      </c>
      <c r="F2542" s="263" t="s">
        <v>4798</v>
      </c>
    </row>
    <row r="2543" spans="1:6">
      <c r="A2543" s="263">
        <v>2542</v>
      </c>
      <c r="B2543" s="263" t="s">
        <v>4808</v>
      </c>
      <c r="C2543" s="263" t="s">
        <v>4809</v>
      </c>
      <c r="D2543" s="263" t="s">
        <v>4796</v>
      </c>
      <c r="E2543" s="263" t="s">
        <v>4797</v>
      </c>
      <c r="F2543" s="263" t="s">
        <v>4798</v>
      </c>
    </row>
    <row r="2544" spans="1:6">
      <c r="A2544" s="263">
        <v>2543</v>
      </c>
      <c r="B2544" s="263" t="s">
        <v>4810</v>
      </c>
      <c r="C2544" s="263" t="s">
        <v>4811</v>
      </c>
      <c r="D2544" s="263" t="s">
        <v>4796</v>
      </c>
      <c r="E2544" s="263" t="s">
        <v>4797</v>
      </c>
      <c r="F2544" s="263" t="s">
        <v>4798</v>
      </c>
    </row>
    <row r="2545" spans="1:6">
      <c r="A2545" s="263">
        <v>2544</v>
      </c>
      <c r="B2545" s="263" t="s">
        <v>4812</v>
      </c>
      <c r="C2545" s="263" t="s">
        <v>4813</v>
      </c>
      <c r="D2545" s="263" t="s">
        <v>4796</v>
      </c>
      <c r="E2545" s="263" t="s">
        <v>4797</v>
      </c>
      <c r="F2545" s="263" t="s">
        <v>4798</v>
      </c>
    </row>
    <row r="2546" spans="1:6">
      <c r="A2546" s="263">
        <v>2545</v>
      </c>
      <c r="B2546" s="263" t="s">
        <v>4814</v>
      </c>
      <c r="C2546" s="263" t="s">
        <v>332</v>
      </c>
      <c r="D2546" s="263" t="s">
        <v>4796</v>
      </c>
      <c r="E2546" s="263" t="s">
        <v>4797</v>
      </c>
      <c r="F2546" s="263" t="s">
        <v>4798</v>
      </c>
    </row>
    <row r="2547" spans="1:6">
      <c r="A2547" s="263">
        <v>2546</v>
      </c>
      <c r="B2547" s="263" t="s">
        <v>4815</v>
      </c>
      <c r="C2547" s="263" t="s">
        <v>348</v>
      </c>
      <c r="D2547" s="263" t="s">
        <v>4796</v>
      </c>
      <c r="E2547" s="263" t="s">
        <v>4797</v>
      </c>
      <c r="F2547" s="263" t="s">
        <v>4798</v>
      </c>
    </row>
    <row r="2548" spans="1:6">
      <c r="A2548" s="263">
        <v>2547</v>
      </c>
      <c r="B2548" s="263" t="s">
        <v>4816</v>
      </c>
      <c r="C2548" s="263" t="s">
        <v>4817</v>
      </c>
      <c r="D2548" s="263" t="s">
        <v>4796</v>
      </c>
      <c r="E2548" s="263" t="s">
        <v>4797</v>
      </c>
      <c r="F2548" s="263" t="s">
        <v>4798</v>
      </c>
    </row>
    <row r="2549" spans="1:6">
      <c r="A2549" s="263">
        <v>2548</v>
      </c>
      <c r="B2549" s="263" t="s">
        <v>4818</v>
      </c>
      <c r="C2549" s="263" t="s">
        <v>1914</v>
      </c>
      <c r="D2549" s="263" t="s">
        <v>4796</v>
      </c>
      <c r="E2549" s="263" t="s">
        <v>4797</v>
      </c>
      <c r="F2549" s="263" t="s">
        <v>4798</v>
      </c>
    </row>
    <row r="2550" spans="1:6">
      <c r="A2550" s="263">
        <v>2549</v>
      </c>
      <c r="B2550" s="263" t="s">
        <v>4819</v>
      </c>
      <c r="C2550" s="263" t="s">
        <v>4820</v>
      </c>
      <c r="D2550" s="263" t="s">
        <v>4796</v>
      </c>
      <c r="E2550" s="263" t="s">
        <v>4797</v>
      </c>
      <c r="F2550" s="263" t="s">
        <v>4798</v>
      </c>
    </row>
    <row r="2551" spans="1:6">
      <c r="A2551" s="263">
        <v>2550</v>
      </c>
      <c r="B2551" s="263" t="s">
        <v>4821</v>
      </c>
      <c r="C2551" s="263" t="s">
        <v>4822</v>
      </c>
      <c r="D2551" s="263" t="s">
        <v>4823</v>
      </c>
      <c r="E2551" s="263" t="s">
        <v>4824</v>
      </c>
      <c r="F2551" s="263" t="s">
        <v>4798</v>
      </c>
    </row>
    <row r="2552" spans="1:6">
      <c r="A2552" s="263">
        <v>2551</v>
      </c>
      <c r="B2552" s="263" t="s">
        <v>4825</v>
      </c>
      <c r="C2552" s="263" t="s">
        <v>4826</v>
      </c>
      <c r="D2552" s="263" t="s">
        <v>4823</v>
      </c>
      <c r="E2552" s="263" t="s">
        <v>4824</v>
      </c>
      <c r="F2552" s="263" t="s">
        <v>4798</v>
      </c>
    </row>
    <row r="2553" spans="1:6">
      <c r="A2553" s="263">
        <v>2552</v>
      </c>
      <c r="B2553" s="263" t="s">
        <v>4827</v>
      </c>
      <c r="C2553" s="263" t="s">
        <v>4828</v>
      </c>
      <c r="D2553" s="263" t="s">
        <v>4823</v>
      </c>
      <c r="E2553" s="263" t="s">
        <v>4824</v>
      </c>
      <c r="F2553" s="263" t="s">
        <v>4798</v>
      </c>
    </row>
    <row r="2554" spans="1:6">
      <c r="A2554" s="263">
        <v>2553</v>
      </c>
      <c r="B2554" s="263" t="s">
        <v>4829</v>
      </c>
      <c r="C2554" s="263" t="s">
        <v>4830</v>
      </c>
      <c r="D2554" s="263" t="s">
        <v>4823</v>
      </c>
      <c r="E2554" s="263" t="s">
        <v>4824</v>
      </c>
      <c r="F2554" s="263" t="s">
        <v>4798</v>
      </c>
    </row>
    <row r="2555" spans="1:6">
      <c r="A2555" s="263">
        <v>2554</v>
      </c>
      <c r="B2555" s="263" t="s">
        <v>4831</v>
      </c>
      <c r="C2555" s="263" t="s">
        <v>1653</v>
      </c>
      <c r="D2555" s="263" t="s">
        <v>4823</v>
      </c>
      <c r="E2555" s="263" t="s">
        <v>4824</v>
      </c>
      <c r="F2555" s="263" t="s">
        <v>4798</v>
      </c>
    </row>
    <row r="2556" spans="1:6">
      <c r="A2556" s="263">
        <v>2555</v>
      </c>
      <c r="B2556" s="263" t="s">
        <v>4832</v>
      </c>
      <c r="C2556" s="263" t="s">
        <v>4833</v>
      </c>
      <c r="D2556" s="263" t="s">
        <v>4823</v>
      </c>
      <c r="E2556" s="263" t="s">
        <v>4824</v>
      </c>
      <c r="F2556" s="263" t="s">
        <v>4798</v>
      </c>
    </row>
    <row r="2557" spans="1:6">
      <c r="A2557" s="263">
        <v>2556</v>
      </c>
      <c r="B2557" s="263" t="s">
        <v>4834</v>
      </c>
      <c r="C2557" s="263" t="s">
        <v>1379</v>
      </c>
      <c r="D2557" s="263" t="s">
        <v>4823</v>
      </c>
      <c r="E2557" s="263" t="s">
        <v>4824</v>
      </c>
      <c r="F2557" s="263" t="s">
        <v>4798</v>
      </c>
    </row>
    <row r="2558" spans="1:6">
      <c r="A2558" s="263">
        <v>2557</v>
      </c>
      <c r="B2558" s="263" t="s">
        <v>4835</v>
      </c>
      <c r="C2558" s="263" t="s">
        <v>658</v>
      </c>
      <c r="D2558" s="263" t="s">
        <v>4823</v>
      </c>
      <c r="E2558" s="263" t="s">
        <v>4824</v>
      </c>
      <c r="F2558" s="263" t="s">
        <v>4798</v>
      </c>
    </row>
    <row r="2559" spans="1:6">
      <c r="A2559" s="263">
        <v>2558</v>
      </c>
      <c r="B2559" s="263" t="s">
        <v>4836</v>
      </c>
      <c r="C2559" s="263" t="s">
        <v>4837</v>
      </c>
      <c r="D2559" s="263" t="s">
        <v>4823</v>
      </c>
      <c r="E2559" s="263" t="s">
        <v>4824</v>
      </c>
      <c r="F2559" s="263" t="s">
        <v>4798</v>
      </c>
    </row>
    <row r="2560" spans="1:6">
      <c r="A2560" s="263">
        <v>2559</v>
      </c>
      <c r="B2560" s="263" t="s">
        <v>4838</v>
      </c>
      <c r="C2560" s="263" t="s">
        <v>1480</v>
      </c>
      <c r="D2560" s="263" t="s">
        <v>4823</v>
      </c>
      <c r="E2560" s="263" t="s">
        <v>4824</v>
      </c>
      <c r="F2560" s="263" t="s">
        <v>4798</v>
      </c>
    </row>
    <row r="2561" spans="1:6">
      <c r="A2561" s="263">
        <v>2560</v>
      </c>
      <c r="B2561" s="263" t="s">
        <v>4839</v>
      </c>
      <c r="C2561" s="263" t="s">
        <v>4840</v>
      </c>
      <c r="D2561" s="263" t="s">
        <v>4823</v>
      </c>
      <c r="E2561" s="263" t="s">
        <v>4824</v>
      </c>
      <c r="F2561" s="263" t="s">
        <v>4798</v>
      </c>
    </row>
    <row r="2562" spans="1:6">
      <c r="A2562" s="263">
        <v>2561</v>
      </c>
      <c r="B2562" s="263" t="s">
        <v>4841</v>
      </c>
      <c r="C2562" s="263" t="s">
        <v>4842</v>
      </c>
      <c r="D2562" s="263" t="s">
        <v>4843</v>
      </c>
      <c r="E2562" s="263" t="s">
        <v>4844</v>
      </c>
      <c r="F2562" s="263" t="s">
        <v>4798</v>
      </c>
    </row>
    <row r="2563" spans="1:6">
      <c r="A2563" s="263">
        <v>2562</v>
      </c>
      <c r="B2563" s="263" t="s">
        <v>4845</v>
      </c>
      <c r="C2563" s="263" t="s">
        <v>4846</v>
      </c>
      <c r="D2563" s="263" t="s">
        <v>4843</v>
      </c>
      <c r="E2563" s="263" t="s">
        <v>4844</v>
      </c>
      <c r="F2563" s="263" t="s">
        <v>4798</v>
      </c>
    </row>
    <row r="2564" spans="1:6">
      <c r="A2564" s="263">
        <v>2563</v>
      </c>
      <c r="B2564" s="263" t="s">
        <v>4847</v>
      </c>
      <c r="C2564" s="263" t="s">
        <v>2128</v>
      </c>
      <c r="D2564" s="263" t="s">
        <v>4843</v>
      </c>
      <c r="E2564" s="263" t="s">
        <v>4844</v>
      </c>
      <c r="F2564" s="263" t="s">
        <v>4798</v>
      </c>
    </row>
    <row r="2565" spans="1:6">
      <c r="A2565" s="263">
        <v>2564</v>
      </c>
      <c r="B2565" s="263" t="s">
        <v>4848</v>
      </c>
      <c r="C2565" s="263" t="s">
        <v>4849</v>
      </c>
      <c r="D2565" s="263" t="s">
        <v>4843</v>
      </c>
      <c r="E2565" s="263" t="s">
        <v>4844</v>
      </c>
      <c r="F2565" s="263" t="s">
        <v>4798</v>
      </c>
    </row>
    <row r="2566" spans="1:6">
      <c r="A2566" s="263">
        <v>2565</v>
      </c>
      <c r="B2566" s="263" t="s">
        <v>4850</v>
      </c>
      <c r="C2566" s="263" t="s">
        <v>4851</v>
      </c>
      <c r="D2566" s="263" t="s">
        <v>4843</v>
      </c>
      <c r="E2566" s="263" t="s">
        <v>4844</v>
      </c>
      <c r="F2566" s="263" t="s">
        <v>4798</v>
      </c>
    </row>
    <row r="2567" spans="1:6">
      <c r="A2567" s="263">
        <v>2566</v>
      </c>
      <c r="B2567" s="263" t="s">
        <v>4852</v>
      </c>
      <c r="C2567" s="263" t="s">
        <v>4853</v>
      </c>
      <c r="D2567" s="263" t="s">
        <v>4843</v>
      </c>
      <c r="E2567" s="263" t="s">
        <v>4844</v>
      </c>
      <c r="F2567" s="263" t="s">
        <v>4798</v>
      </c>
    </row>
    <row r="2568" spans="1:6">
      <c r="A2568" s="263">
        <v>2567</v>
      </c>
      <c r="B2568" s="263" t="s">
        <v>4854</v>
      </c>
      <c r="C2568" s="263" t="s">
        <v>3440</v>
      </c>
      <c r="D2568" s="263" t="s">
        <v>4843</v>
      </c>
      <c r="E2568" s="263" t="s">
        <v>4844</v>
      </c>
      <c r="F2568" s="263" t="s">
        <v>4798</v>
      </c>
    </row>
    <row r="2569" spans="1:6">
      <c r="A2569" s="263">
        <v>2568</v>
      </c>
      <c r="B2569" s="263" t="s">
        <v>4855</v>
      </c>
      <c r="C2569" s="263" t="s">
        <v>923</v>
      </c>
      <c r="D2569" s="263" t="s">
        <v>4843</v>
      </c>
      <c r="E2569" s="263" t="s">
        <v>4844</v>
      </c>
      <c r="F2569" s="263" t="s">
        <v>4798</v>
      </c>
    </row>
    <row r="2570" spans="1:6">
      <c r="A2570" s="263">
        <v>2569</v>
      </c>
      <c r="B2570" s="263" t="s">
        <v>4856</v>
      </c>
      <c r="C2570" s="263" t="s">
        <v>4857</v>
      </c>
      <c r="D2570" s="263" t="s">
        <v>4843</v>
      </c>
      <c r="E2570" s="263" t="s">
        <v>4844</v>
      </c>
      <c r="F2570" s="263" t="s">
        <v>4798</v>
      </c>
    </row>
    <row r="2571" spans="1:6">
      <c r="A2571" s="263">
        <v>2570</v>
      </c>
      <c r="B2571" s="263" t="s">
        <v>4858</v>
      </c>
      <c r="C2571" s="263" t="s">
        <v>4859</v>
      </c>
      <c r="D2571" s="263" t="s">
        <v>4843</v>
      </c>
      <c r="E2571" s="263" t="s">
        <v>4844</v>
      </c>
      <c r="F2571" s="263" t="s">
        <v>4798</v>
      </c>
    </row>
    <row r="2572" spans="1:6">
      <c r="A2572" s="263">
        <v>2571</v>
      </c>
      <c r="B2572" s="263" t="s">
        <v>4860</v>
      </c>
      <c r="C2572" s="263" t="s">
        <v>4861</v>
      </c>
      <c r="D2572" s="263" t="s">
        <v>4843</v>
      </c>
      <c r="E2572" s="263" t="s">
        <v>4844</v>
      </c>
      <c r="F2572" s="263" t="s">
        <v>4798</v>
      </c>
    </row>
    <row r="2573" spans="1:6">
      <c r="A2573" s="263">
        <v>2572</v>
      </c>
      <c r="B2573" s="263" t="s">
        <v>4862</v>
      </c>
      <c r="C2573" s="263" t="s">
        <v>4863</v>
      </c>
      <c r="D2573" s="263" t="s">
        <v>4843</v>
      </c>
      <c r="E2573" s="263" t="s">
        <v>4844</v>
      </c>
      <c r="F2573" s="263" t="s">
        <v>4798</v>
      </c>
    </row>
    <row r="2574" spans="1:6">
      <c r="A2574" s="263">
        <v>2573</v>
      </c>
      <c r="B2574" s="263" t="s">
        <v>4864</v>
      </c>
      <c r="C2574" s="263" t="s">
        <v>1291</v>
      </c>
      <c r="D2574" s="263" t="s">
        <v>4843</v>
      </c>
      <c r="E2574" s="263" t="s">
        <v>4844</v>
      </c>
      <c r="F2574" s="263" t="s">
        <v>4798</v>
      </c>
    </row>
    <row r="2575" spans="1:6">
      <c r="A2575" s="263">
        <v>2574</v>
      </c>
      <c r="B2575" s="263" t="s">
        <v>4865</v>
      </c>
      <c r="C2575" s="263" t="s">
        <v>4866</v>
      </c>
      <c r="D2575" s="263" t="s">
        <v>4843</v>
      </c>
      <c r="E2575" s="263" t="s">
        <v>4844</v>
      </c>
      <c r="F2575" s="263" t="s">
        <v>4798</v>
      </c>
    </row>
    <row r="2576" spans="1:6">
      <c r="A2576" s="263">
        <v>2575</v>
      </c>
      <c r="B2576" s="263" t="s">
        <v>4867</v>
      </c>
      <c r="C2576" s="263" t="s">
        <v>4442</v>
      </c>
      <c r="D2576" s="263" t="s">
        <v>4843</v>
      </c>
      <c r="E2576" s="263" t="s">
        <v>4844</v>
      </c>
      <c r="F2576" s="263" t="s">
        <v>4798</v>
      </c>
    </row>
    <row r="2577" spans="1:6">
      <c r="A2577" s="263">
        <v>2576</v>
      </c>
      <c r="B2577" s="263" t="s">
        <v>4868</v>
      </c>
      <c r="C2577" s="263" t="s">
        <v>980</v>
      </c>
      <c r="D2577" s="263" t="s">
        <v>4869</v>
      </c>
      <c r="E2577" s="263" t="s">
        <v>68</v>
      </c>
      <c r="F2577" s="263" t="s">
        <v>4798</v>
      </c>
    </row>
    <row r="2578" spans="1:6">
      <c r="A2578" s="263">
        <v>2577</v>
      </c>
      <c r="B2578" s="263" t="s">
        <v>4870</v>
      </c>
      <c r="C2578" s="263" t="s">
        <v>1161</v>
      </c>
      <c r="D2578" s="263" t="s">
        <v>4869</v>
      </c>
      <c r="E2578" s="263" t="s">
        <v>68</v>
      </c>
      <c r="F2578" s="263" t="s">
        <v>4798</v>
      </c>
    </row>
    <row r="2579" spans="1:6">
      <c r="A2579" s="263">
        <v>2578</v>
      </c>
      <c r="B2579" s="263" t="s">
        <v>4871</v>
      </c>
      <c r="C2579" s="263" t="s">
        <v>1373</v>
      </c>
      <c r="D2579" s="263" t="s">
        <v>4869</v>
      </c>
      <c r="E2579" s="263" t="s">
        <v>68</v>
      </c>
      <c r="F2579" s="263" t="s">
        <v>4798</v>
      </c>
    </row>
    <row r="2580" spans="1:6">
      <c r="A2580" s="263">
        <v>2579</v>
      </c>
      <c r="B2580" s="263" t="s">
        <v>4872</v>
      </c>
      <c r="C2580" s="263" t="s">
        <v>3161</v>
      </c>
      <c r="D2580" s="263" t="s">
        <v>4869</v>
      </c>
      <c r="E2580" s="263" t="s">
        <v>68</v>
      </c>
      <c r="F2580" s="263" t="s">
        <v>4798</v>
      </c>
    </row>
    <row r="2581" spans="1:6">
      <c r="A2581" s="263">
        <v>2580</v>
      </c>
      <c r="B2581" s="263" t="s">
        <v>4873</v>
      </c>
      <c r="C2581" s="263" t="s">
        <v>1472</v>
      </c>
      <c r="D2581" s="263" t="s">
        <v>4869</v>
      </c>
      <c r="E2581" s="263" t="s">
        <v>68</v>
      </c>
      <c r="F2581" s="263" t="s">
        <v>4798</v>
      </c>
    </row>
    <row r="2582" spans="1:6">
      <c r="A2582" s="263">
        <v>2581</v>
      </c>
      <c r="B2582" s="263" t="s">
        <v>4874</v>
      </c>
      <c r="C2582" s="263" t="s">
        <v>144</v>
      </c>
      <c r="D2582" s="263" t="s">
        <v>4869</v>
      </c>
      <c r="E2582" s="263" t="s">
        <v>68</v>
      </c>
      <c r="F2582" s="263" t="s">
        <v>4798</v>
      </c>
    </row>
    <row r="2583" spans="1:6">
      <c r="A2583" s="263">
        <v>2582</v>
      </c>
      <c r="B2583" s="263" t="s">
        <v>4875</v>
      </c>
      <c r="C2583" s="263" t="s">
        <v>1061</v>
      </c>
      <c r="D2583" s="263" t="s">
        <v>4869</v>
      </c>
      <c r="E2583" s="263" t="s">
        <v>68</v>
      </c>
      <c r="F2583" s="263" t="s">
        <v>4798</v>
      </c>
    </row>
    <row r="2584" spans="1:6">
      <c r="A2584" s="263">
        <v>2583</v>
      </c>
      <c r="B2584" s="263" t="s">
        <v>4876</v>
      </c>
      <c r="C2584" s="263" t="s">
        <v>4877</v>
      </c>
      <c r="D2584" s="263" t="s">
        <v>4869</v>
      </c>
      <c r="E2584" s="263" t="s">
        <v>68</v>
      </c>
      <c r="F2584" s="263" t="s">
        <v>4798</v>
      </c>
    </row>
    <row r="2585" spans="1:6">
      <c r="A2585" s="263">
        <v>2584</v>
      </c>
      <c r="B2585" s="263" t="s">
        <v>4878</v>
      </c>
      <c r="C2585" s="263" t="s">
        <v>921</v>
      </c>
      <c r="D2585" s="263" t="s">
        <v>4869</v>
      </c>
      <c r="E2585" s="263" t="s">
        <v>68</v>
      </c>
      <c r="F2585" s="263" t="s">
        <v>4798</v>
      </c>
    </row>
    <row r="2586" spans="1:6">
      <c r="A2586" s="263">
        <v>2585</v>
      </c>
      <c r="B2586" s="263" t="s">
        <v>4879</v>
      </c>
      <c r="C2586" s="263" t="s">
        <v>4880</v>
      </c>
      <c r="D2586" s="263" t="s">
        <v>4869</v>
      </c>
      <c r="E2586" s="263" t="s">
        <v>68</v>
      </c>
      <c r="F2586" s="263" t="s">
        <v>4798</v>
      </c>
    </row>
    <row r="2587" spans="1:6">
      <c r="A2587" s="263">
        <v>2586</v>
      </c>
      <c r="B2587" s="263" t="s">
        <v>4881</v>
      </c>
      <c r="C2587" s="263" t="s">
        <v>4882</v>
      </c>
      <c r="D2587" s="263" t="s">
        <v>4869</v>
      </c>
      <c r="E2587" s="263" t="s">
        <v>68</v>
      </c>
      <c r="F2587" s="263" t="s">
        <v>4798</v>
      </c>
    </row>
    <row r="2588" spans="1:6">
      <c r="A2588" s="263">
        <v>2587</v>
      </c>
      <c r="B2588" s="263" t="s">
        <v>4883</v>
      </c>
      <c r="C2588" s="263" t="s">
        <v>4884</v>
      </c>
      <c r="D2588" s="263" t="s">
        <v>4869</v>
      </c>
      <c r="E2588" s="263" t="s">
        <v>68</v>
      </c>
      <c r="F2588" s="263" t="s">
        <v>4798</v>
      </c>
    </row>
    <row r="2589" spans="1:6">
      <c r="A2589" s="263">
        <v>2588</v>
      </c>
      <c r="B2589" s="263" t="s">
        <v>4885</v>
      </c>
      <c r="C2589" s="263" t="s">
        <v>2365</v>
      </c>
      <c r="D2589" s="263" t="s">
        <v>4869</v>
      </c>
      <c r="E2589" s="263" t="s">
        <v>68</v>
      </c>
      <c r="F2589" s="263" t="s">
        <v>4798</v>
      </c>
    </row>
    <row r="2590" spans="1:6">
      <c r="A2590" s="263">
        <v>2589</v>
      </c>
      <c r="B2590" s="263" t="s">
        <v>4886</v>
      </c>
      <c r="C2590" s="263" t="s">
        <v>4887</v>
      </c>
      <c r="D2590" s="263" t="s">
        <v>4869</v>
      </c>
      <c r="E2590" s="263" t="s">
        <v>68</v>
      </c>
      <c r="F2590" s="263" t="s">
        <v>4798</v>
      </c>
    </row>
    <row r="2591" spans="1:6">
      <c r="A2591" s="263">
        <v>2590</v>
      </c>
      <c r="B2591" s="263" t="s">
        <v>4888</v>
      </c>
      <c r="C2591" s="263" t="s">
        <v>1870</v>
      </c>
      <c r="D2591" s="263" t="s">
        <v>4889</v>
      </c>
      <c r="E2591" s="263" t="s">
        <v>4890</v>
      </c>
      <c r="F2591" s="263" t="s">
        <v>4798</v>
      </c>
    </row>
    <row r="2592" spans="1:6">
      <c r="A2592" s="263">
        <v>2591</v>
      </c>
      <c r="B2592" s="263" t="s">
        <v>4891</v>
      </c>
      <c r="C2592" s="263" t="s">
        <v>4593</v>
      </c>
      <c r="D2592" s="263" t="s">
        <v>4889</v>
      </c>
      <c r="E2592" s="263" t="s">
        <v>4890</v>
      </c>
      <c r="F2592" s="263" t="s">
        <v>4798</v>
      </c>
    </row>
    <row r="2593" spans="1:6">
      <c r="A2593" s="263">
        <v>2592</v>
      </c>
      <c r="B2593" s="263" t="s">
        <v>4892</v>
      </c>
      <c r="C2593" s="263" t="s">
        <v>4493</v>
      </c>
      <c r="D2593" s="263" t="s">
        <v>4889</v>
      </c>
      <c r="E2593" s="263" t="s">
        <v>4890</v>
      </c>
      <c r="F2593" s="263" t="s">
        <v>4798</v>
      </c>
    </row>
    <row r="2594" spans="1:6">
      <c r="A2594" s="263">
        <v>2593</v>
      </c>
      <c r="B2594" s="263" t="s">
        <v>4893</v>
      </c>
      <c r="C2594" s="263" t="s">
        <v>4894</v>
      </c>
      <c r="D2594" s="263" t="s">
        <v>4889</v>
      </c>
      <c r="E2594" s="263" t="s">
        <v>4890</v>
      </c>
      <c r="F2594" s="263" t="s">
        <v>4798</v>
      </c>
    </row>
    <row r="2595" spans="1:6">
      <c r="A2595" s="263">
        <v>2594</v>
      </c>
      <c r="B2595" s="263" t="s">
        <v>4895</v>
      </c>
      <c r="C2595" s="263" t="s">
        <v>4896</v>
      </c>
      <c r="D2595" s="263" t="s">
        <v>4889</v>
      </c>
      <c r="E2595" s="263" t="s">
        <v>4890</v>
      </c>
      <c r="F2595" s="263" t="s">
        <v>4798</v>
      </c>
    </row>
    <row r="2596" spans="1:6">
      <c r="A2596" s="263">
        <v>2595</v>
      </c>
      <c r="B2596" s="263" t="s">
        <v>4897</v>
      </c>
      <c r="C2596" s="263" t="s">
        <v>4898</v>
      </c>
      <c r="D2596" s="263" t="s">
        <v>4889</v>
      </c>
      <c r="E2596" s="263" t="s">
        <v>4890</v>
      </c>
      <c r="F2596" s="263" t="s">
        <v>4798</v>
      </c>
    </row>
    <row r="2597" spans="1:6">
      <c r="A2597" s="263">
        <v>2596</v>
      </c>
      <c r="B2597" s="263" t="s">
        <v>4899</v>
      </c>
      <c r="C2597" s="263" t="s">
        <v>4900</v>
      </c>
      <c r="D2597" s="263" t="s">
        <v>4889</v>
      </c>
      <c r="E2597" s="263" t="s">
        <v>4890</v>
      </c>
      <c r="F2597" s="263" t="s">
        <v>4798</v>
      </c>
    </row>
    <row r="2598" spans="1:6">
      <c r="A2598" s="263">
        <v>2597</v>
      </c>
      <c r="B2598" s="263" t="s">
        <v>4901</v>
      </c>
      <c r="C2598" s="263" t="s">
        <v>4902</v>
      </c>
      <c r="D2598" s="263" t="s">
        <v>4903</v>
      </c>
      <c r="E2598" s="263" t="s">
        <v>4904</v>
      </c>
      <c r="F2598" s="263" t="s">
        <v>4798</v>
      </c>
    </row>
    <row r="2599" spans="1:6">
      <c r="A2599" s="263">
        <v>2598</v>
      </c>
      <c r="B2599" s="263" t="s">
        <v>4905</v>
      </c>
      <c r="C2599" s="263" t="s">
        <v>4906</v>
      </c>
      <c r="D2599" s="263" t="s">
        <v>4903</v>
      </c>
      <c r="E2599" s="263" t="s">
        <v>4904</v>
      </c>
      <c r="F2599" s="263" t="s">
        <v>4798</v>
      </c>
    </row>
    <row r="2600" spans="1:6">
      <c r="A2600" s="263">
        <v>2599</v>
      </c>
      <c r="B2600" s="263" t="s">
        <v>4907</v>
      </c>
      <c r="C2600" s="263" t="s">
        <v>4908</v>
      </c>
      <c r="D2600" s="263" t="s">
        <v>4903</v>
      </c>
      <c r="E2600" s="263" t="s">
        <v>4904</v>
      </c>
      <c r="F2600" s="263" t="s">
        <v>4798</v>
      </c>
    </row>
    <row r="2601" spans="1:6">
      <c r="A2601" s="263">
        <v>2600</v>
      </c>
      <c r="B2601" s="263" t="s">
        <v>4909</v>
      </c>
      <c r="C2601" s="263" t="s">
        <v>4910</v>
      </c>
      <c r="D2601" s="263" t="s">
        <v>4903</v>
      </c>
      <c r="E2601" s="263" t="s">
        <v>4904</v>
      </c>
      <c r="F2601" s="263" t="s">
        <v>4798</v>
      </c>
    </row>
    <row r="2602" spans="1:6">
      <c r="A2602" s="263">
        <v>2601</v>
      </c>
      <c r="B2602" s="263" t="s">
        <v>4911</v>
      </c>
      <c r="C2602" s="263" t="s">
        <v>4912</v>
      </c>
      <c r="D2602" s="263" t="s">
        <v>4903</v>
      </c>
      <c r="E2602" s="263" t="s">
        <v>4904</v>
      </c>
      <c r="F2602" s="263" t="s">
        <v>4798</v>
      </c>
    </row>
    <row r="2603" spans="1:6">
      <c r="A2603" s="263">
        <v>2602</v>
      </c>
      <c r="B2603" s="263" t="s">
        <v>4913</v>
      </c>
      <c r="C2603" s="263" t="s">
        <v>1031</v>
      </c>
      <c r="D2603" s="263" t="s">
        <v>4903</v>
      </c>
      <c r="E2603" s="263" t="s">
        <v>4904</v>
      </c>
      <c r="F2603" s="263" t="s">
        <v>4798</v>
      </c>
    </row>
    <row r="2604" spans="1:6">
      <c r="A2604" s="263">
        <v>2603</v>
      </c>
      <c r="B2604" s="263" t="s">
        <v>4914</v>
      </c>
      <c r="C2604" s="263" t="s">
        <v>4915</v>
      </c>
      <c r="D2604" s="263" t="s">
        <v>4903</v>
      </c>
      <c r="E2604" s="263" t="s">
        <v>4904</v>
      </c>
      <c r="F2604" s="263" t="s">
        <v>4798</v>
      </c>
    </row>
    <row r="2605" spans="1:6">
      <c r="A2605" s="263">
        <v>2604</v>
      </c>
      <c r="B2605" s="263" t="s">
        <v>4916</v>
      </c>
      <c r="C2605" s="263" t="s">
        <v>4917</v>
      </c>
      <c r="D2605" s="263" t="s">
        <v>4903</v>
      </c>
      <c r="E2605" s="263" t="s">
        <v>4904</v>
      </c>
      <c r="F2605" s="263" t="s">
        <v>4798</v>
      </c>
    </row>
    <row r="2606" spans="1:6">
      <c r="A2606" s="263">
        <v>2605</v>
      </c>
      <c r="B2606" s="263" t="s">
        <v>4918</v>
      </c>
      <c r="C2606" s="263" t="s">
        <v>164</v>
      </c>
      <c r="D2606" s="263" t="s">
        <v>4903</v>
      </c>
      <c r="E2606" s="263" t="s">
        <v>4904</v>
      </c>
      <c r="F2606" s="263" t="s">
        <v>4798</v>
      </c>
    </row>
    <row r="2607" spans="1:6">
      <c r="A2607" s="263">
        <v>2606</v>
      </c>
      <c r="B2607" s="263" t="s">
        <v>4919</v>
      </c>
      <c r="C2607" s="263" t="s">
        <v>4920</v>
      </c>
      <c r="D2607" s="263" t="s">
        <v>4903</v>
      </c>
      <c r="E2607" s="263" t="s">
        <v>4904</v>
      </c>
      <c r="F2607" s="263" t="s">
        <v>4798</v>
      </c>
    </row>
    <row r="2608" spans="1:6">
      <c r="A2608" s="263">
        <v>2607</v>
      </c>
      <c r="B2608" s="263" t="s">
        <v>4921</v>
      </c>
      <c r="C2608" s="263" t="s">
        <v>4922</v>
      </c>
      <c r="D2608" s="263" t="s">
        <v>4903</v>
      </c>
      <c r="E2608" s="263" t="s">
        <v>4904</v>
      </c>
      <c r="F2608" s="263" t="s">
        <v>4798</v>
      </c>
    </row>
    <row r="2609" spans="1:6">
      <c r="A2609" s="263">
        <v>2608</v>
      </c>
      <c r="B2609" s="263" t="s">
        <v>4923</v>
      </c>
      <c r="C2609" s="263" t="s">
        <v>4924</v>
      </c>
      <c r="D2609" s="263" t="s">
        <v>4925</v>
      </c>
      <c r="E2609" s="263" t="s">
        <v>4926</v>
      </c>
      <c r="F2609" s="263" t="s">
        <v>4798</v>
      </c>
    </row>
    <row r="2610" spans="1:6">
      <c r="A2610" s="263">
        <v>2609</v>
      </c>
      <c r="B2610" s="263" t="s">
        <v>4927</v>
      </c>
      <c r="C2610" s="263" t="s">
        <v>4928</v>
      </c>
      <c r="D2610" s="263" t="s">
        <v>4925</v>
      </c>
      <c r="E2610" s="263" t="s">
        <v>4926</v>
      </c>
      <c r="F2610" s="263" t="s">
        <v>4798</v>
      </c>
    </row>
    <row r="2611" spans="1:6">
      <c r="A2611" s="263">
        <v>2610</v>
      </c>
      <c r="B2611" s="263" t="s">
        <v>4929</v>
      </c>
      <c r="C2611" s="263" t="s">
        <v>4930</v>
      </c>
      <c r="D2611" s="263" t="s">
        <v>4925</v>
      </c>
      <c r="E2611" s="263" t="s">
        <v>4926</v>
      </c>
      <c r="F2611" s="263" t="s">
        <v>4798</v>
      </c>
    </row>
    <row r="2612" spans="1:6">
      <c r="A2612" s="263">
        <v>2611</v>
      </c>
      <c r="B2612" s="263" t="s">
        <v>4931</v>
      </c>
      <c r="C2612" s="263" t="s">
        <v>4932</v>
      </c>
      <c r="D2612" s="263" t="s">
        <v>4925</v>
      </c>
      <c r="E2612" s="263" t="s">
        <v>4926</v>
      </c>
      <c r="F2612" s="263" t="s">
        <v>4798</v>
      </c>
    </row>
    <row r="2613" spans="1:6">
      <c r="A2613" s="263">
        <v>2612</v>
      </c>
      <c r="B2613" s="263" t="s">
        <v>4933</v>
      </c>
      <c r="C2613" s="263" t="s">
        <v>4934</v>
      </c>
      <c r="D2613" s="263" t="s">
        <v>4925</v>
      </c>
      <c r="E2613" s="263" t="s">
        <v>4926</v>
      </c>
      <c r="F2613" s="263" t="s">
        <v>4798</v>
      </c>
    </row>
    <row r="2614" spans="1:6">
      <c r="A2614" s="263">
        <v>2613</v>
      </c>
      <c r="B2614" s="263" t="s">
        <v>4935</v>
      </c>
      <c r="C2614" s="263" t="s">
        <v>4420</v>
      </c>
      <c r="D2614" s="263" t="s">
        <v>4925</v>
      </c>
      <c r="E2614" s="263" t="s">
        <v>4926</v>
      </c>
      <c r="F2614" s="263" t="s">
        <v>4798</v>
      </c>
    </row>
    <row r="2615" spans="1:6">
      <c r="A2615" s="263">
        <v>2614</v>
      </c>
      <c r="B2615" s="263" t="s">
        <v>4936</v>
      </c>
      <c r="C2615" s="263" t="s">
        <v>3375</v>
      </c>
      <c r="D2615" s="263" t="s">
        <v>4925</v>
      </c>
      <c r="E2615" s="263" t="s">
        <v>4926</v>
      </c>
      <c r="F2615" s="263" t="s">
        <v>4798</v>
      </c>
    </row>
    <row r="2616" spans="1:6">
      <c r="A2616" s="263">
        <v>2615</v>
      </c>
      <c r="B2616" s="263" t="s">
        <v>4937</v>
      </c>
      <c r="C2616" s="263" t="s">
        <v>4938</v>
      </c>
      <c r="D2616" s="263" t="s">
        <v>4925</v>
      </c>
      <c r="E2616" s="263" t="s">
        <v>4926</v>
      </c>
      <c r="F2616" s="263" t="s">
        <v>4798</v>
      </c>
    </row>
    <row r="2617" spans="1:6">
      <c r="A2617" s="263">
        <v>2616</v>
      </c>
      <c r="B2617" s="263" t="s">
        <v>4939</v>
      </c>
      <c r="C2617" s="263" t="s">
        <v>4940</v>
      </c>
      <c r="D2617" s="263" t="s">
        <v>4925</v>
      </c>
      <c r="E2617" s="263" t="s">
        <v>4926</v>
      </c>
      <c r="F2617" s="263" t="s">
        <v>4798</v>
      </c>
    </row>
    <row r="2618" spans="1:6">
      <c r="A2618" s="263">
        <v>2617</v>
      </c>
      <c r="B2618" s="263" t="s">
        <v>4941</v>
      </c>
      <c r="C2618" s="263" t="s">
        <v>4942</v>
      </c>
      <c r="D2618" s="263" t="s">
        <v>4925</v>
      </c>
      <c r="E2618" s="263" t="s">
        <v>4926</v>
      </c>
      <c r="F2618" s="263" t="s">
        <v>4798</v>
      </c>
    </row>
    <row r="2619" spans="1:6">
      <c r="A2619" s="263">
        <v>2618</v>
      </c>
      <c r="B2619" s="263" t="s">
        <v>4943</v>
      </c>
      <c r="C2619" s="263" t="s">
        <v>24</v>
      </c>
      <c r="D2619" s="263" t="s">
        <v>4925</v>
      </c>
      <c r="E2619" s="263" t="s">
        <v>4926</v>
      </c>
      <c r="F2619" s="263" t="s">
        <v>4798</v>
      </c>
    </row>
    <row r="2620" spans="1:6">
      <c r="A2620" s="263">
        <v>2619</v>
      </c>
      <c r="B2620" s="263" t="s">
        <v>4944</v>
      </c>
      <c r="C2620" s="263" t="s">
        <v>418</v>
      </c>
      <c r="D2620" s="263" t="s">
        <v>4925</v>
      </c>
      <c r="E2620" s="263" t="s">
        <v>4926</v>
      </c>
      <c r="F2620" s="263" t="s">
        <v>4798</v>
      </c>
    </row>
    <row r="2621" spans="1:6">
      <c r="A2621" s="263">
        <v>2620</v>
      </c>
      <c r="B2621" s="263" t="s">
        <v>4945</v>
      </c>
      <c r="C2621" s="263" t="s">
        <v>4946</v>
      </c>
      <c r="D2621" s="263" t="s">
        <v>4925</v>
      </c>
      <c r="E2621" s="263" t="s">
        <v>4926</v>
      </c>
      <c r="F2621" s="263" t="s">
        <v>4798</v>
      </c>
    </row>
    <row r="2622" spans="1:6">
      <c r="A2622" s="263">
        <v>2621</v>
      </c>
      <c r="B2622" s="263" t="s">
        <v>4947</v>
      </c>
      <c r="C2622" s="263" t="s">
        <v>4948</v>
      </c>
      <c r="D2622" s="263" t="s">
        <v>4925</v>
      </c>
      <c r="E2622" s="263" t="s">
        <v>4926</v>
      </c>
      <c r="F2622" s="263" t="s">
        <v>4798</v>
      </c>
    </row>
    <row r="2623" spans="1:6">
      <c r="A2623" s="263">
        <v>2622</v>
      </c>
      <c r="B2623" s="263" t="s">
        <v>4949</v>
      </c>
      <c r="C2623" s="263" t="s">
        <v>1940</v>
      </c>
      <c r="D2623" s="263" t="s">
        <v>4925</v>
      </c>
      <c r="E2623" s="263" t="s">
        <v>4926</v>
      </c>
      <c r="F2623" s="263" t="s">
        <v>4798</v>
      </c>
    </row>
    <row r="2624" spans="1:6">
      <c r="A2624" s="263">
        <v>2623</v>
      </c>
      <c r="B2624" s="263" t="s">
        <v>4950</v>
      </c>
      <c r="C2624" s="263" t="s">
        <v>4951</v>
      </c>
      <c r="D2624" s="263" t="s">
        <v>4925</v>
      </c>
      <c r="E2624" s="263" t="s">
        <v>4926</v>
      </c>
      <c r="F2624" s="263" t="s">
        <v>4798</v>
      </c>
    </row>
    <row r="2625" spans="1:6">
      <c r="A2625" s="263">
        <v>2624</v>
      </c>
      <c r="B2625" s="263" t="s">
        <v>4952</v>
      </c>
      <c r="C2625" s="263" t="s">
        <v>396</v>
      </c>
      <c r="D2625" s="263" t="s">
        <v>4925</v>
      </c>
      <c r="E2625" s="263" t="s">
        <v>4926</v>
      </c>
      <c r="F2625" s="263" t="s">
        <v>4798</v>
      </c>
    </row>
    <row r="2626" spans="1:6">
      <c r="A2626" s="263">
        <v>2625</v>
      </c>
      <c r="B2626" s="263" t="s">
        <v>4953</v>
      </c>
      <c r="C2626" s="263" t="s">
        <v>628</v>
      </c>
      <c r="D2626" s="263" t="s">
        <v>4954</v>
      </c>
      <c r="E2626" s="263" t="s">
        <v>4955</v>
      </c>
      <c r="F2626" s="263" t="s">
        <v>4798</v>
      </c>
    </row>
    <row r="2627" spans="1:6">
      <c r="A2627" s="263">
        <v>2626</v>
      </c>
      <c r="B2627" s="263" t="s">
        <v>4956</v>
      </c>
      <c r="C2627" s="263" t="s">
        <v>632</v>
      </c>
      <c r="D2627" s="263" t="s">
        <v>4954</v>
      </c>
      <c r="E2627" s="263" t="s">
        <v>4955</v>
      </c>
      <c r="F2627" s="263" t="s">
        <v>4798</v>
      </c>
    </row>
    <row r="2628" spans="1:6">
      <c r="A2628" s="263">
        <v>2627</v>
      </c>
      <c r="B2628" s="263" t="s">
        <v>4957</v>
      </c>
      <c r="C2628" s="263" t="s">
        <v>634</v>
      </c>
      <c r="D2628" s="263" t="s">
        <v>4954</v>
      </c>
      <c r="E2628" s="263" t="s">
        <v>4955</v>
      </c>
      <c r="F2628" s="263" t="s">
        <v>4798</v>
      </c>
    </row>
    <row r="2629" spans="1:6">
      <c r="A2629" s="263">
        <v>2628</v>
      </c>
      <c r="B2629" s="263" t="s">
        <v>4958</v>
      </c>
      <c r="C2629" s="263" t="s">
        <v>1184</v>
      </c>
      <c r="D2629" s="263" t="s">
        <v>4954</v>
      </c>
      <c r="E2629" s="263" t="s">
        <v>4955</v>
      </c>
      <c r="F2629" s="263" t="s">
        <v>4798</v>
      </c>
    </row>
    <row r="2630" spans="1:6">
      <c r="A2630" s="263">
        <v>2629</v>
      </c>
      <c r="B2630" s="263" t="s">
        <v>4959</v>
      </c>
      <c r="C2630" s="263" t="s">
        <v>636</v>
      </c>
      <c r="D2630" s="263" t="s">
        <v>4954</v>
      </c>
      <c r="E2630" s="263" t="s">
        <v>4955</v>
      </c>
      <c r="F2630" s="263" t="s">
        <v>4798</v>
      </c>
    </row>
    <row r="2631" spans="1:6">
      <c r="A2631" s="263">
        <v>2630</v>
      </c>
      <c r="B2631" s="263" t="s">
        <v>4960</v>
      </c>
      <c r="C2631" s="263" t="s">
        <v>1187</v>
      </c>
      <c r="D2631" s="263" t="s">
        <v>4954</v>
      </c>
      <c r="E2631" s="263" t="s">
        <v>4955</v>
      </c>
      <c r="F2631" s="263" t="s">
        <v>4798</v>
      </c>
    </row>
    <row r="2632" spans="1:6">
      <c r="A2632" s="263">
        <v>2631</v>
      </c>
      <c r="B2632" s="263" t="s">
        <v>4961</v>
      </c>
      <c r="C2632" s="263" t="s">
        <v>638</v>
      </c>
      <c r="D2632" s="263" t="s">
        <v>4954</v>
      </c>
      <c r="E2632" s="263" t="s">
        <v>4955</v>
      </c>
      <c r="F2632" s="263" t="s">
        <v>4798</v>
      </c>
    </row>
    <row r="2633" spans="1:6">
      <c r="A2633" s="263">
        <v>2632</v>
      </c>
      <c r="B2633" s="263" t="s">
        <v>4962</v>
      </c>
      <c r="C2633" s="263" t="s">
        <v>640</v>
      </c>
      <c r="D2633" s="263" t="s">
        <v>4954</v>
      </c>
      <c r="E2633" s="263" t="s">
        <v>4955</v>
      </c>
      <c r="F2633" s="263" t="s">
        <v>4798</v>
      </c>
    </row>
    <row r="2634" spans="1:6">
      <c r="A2634" s="263">
        <v>2633</v>
      </c>
      <c r="B2634" s="263" t="s">
        <v>4963</v>
      </c>
      <c r="C2634" s="263" t="s">
        <v>1645</v>
      </c>
      <c r="D2634" s="263" t="s">
        <v>4954</v>
      </c>
      <c r="E2634" s="263" t="s">
        <v>4955</v>
      </c>
      <c r="F2634" s="263" t="s">
        <v>4798</v>
      </c>
    </row>
    <row r="2635" spans="1:6">
      <c r="A2635" s="263">
        <v>2634</v>
      </c>
      <c r="B2635" s="263" t="s">
        <v>4964</v>
      </c>
      <c r="C2635" s="263" t="s">
        <v>1885</v>
      </c>
      <c r="D2635" s="263" t="s">
        <v>4954</v>
      </c>
      <c r="E2635" s="263" t="s">
        <v>4955</v>
      </c>
      <c r="F2635" s="263" t="s">
        <v>4798</v>
      </c>
    </row>
    <row r="2636" spans="1:6">
      <c r="A2636" s="263">
        <v>2635</v>
      </c>
      <c r="B2636" s="263" t="s">
        <v>4965</v>
      </c>
      <c r="C2636" s="263" t="s">
        <v>628</v>
      </c>
      <c r="D2636" s="263" t="s">
        <v>4966</v>
      </c>
      <c r="E2636" s="263" t="s">
        <v>4967</v>
      </c>
      <c r="F2636" s="263" t="s">
        <v>4798</v>
      </c>
    </row>
    <row r="2637" spans="1:6">
      <c r="A2637" s="263">
        <v>2636</v>
      </c>
      <c r="B2637" s="263" t="s">
        <v>4968</v>
      </c>
      <c r="C2637" s="263" t="s">
        <v>632</v>
      </c>
      <c r="D2637" s="263" t="s">
        <v>4966</v>
      </c>
      <c r="E2637" s="263" t="s">
        <v>4967</v>
      </c>
      <c r="F2637" s="263" t="s">
        <v>4798</v>
      </c>
    </row>
    <row r="2638" spans="1:6">
      <c r="A2638" s="263">
        <v>2637</v>
      </c>
      <c r="B2638" s="263" t="s">
        <v>4969</v>
      </c>
      <c r="C2638" s="263" t="s">
        <v>4970</v>
      </c>
      <c r="D2638" s="263" t="s">
        <v>4966</v>
      </c>
      <c r="E2638" s="263" t="s">
        <v>4967</v>
      </c>
      <c r="F2638" s="263" t="s">
        <v>4798</v>
      </c>
    </row>
    <row r="2639" spans="1:6">
      <c r="A2639" s="263">
        <v>2638</v>
      </c>
      <c r="B2639" s="263" t="s">
        <v>4971</v>
      </c>
      <c r="C2639" s="263" t="s">
        <v>3468</v>
      </c>
      <c r="D2639" s="263" t="s">
        <v>4966</v>
      </c>
      <c r="E2639" s="263" t="s">
        <v>4967</v>
      </c>
      <c r="F2639" s="263" t="s">
        <v>4798</v>
      </c>
    </row>
    <row r="2640" spans="1:6">
      <c r="A2640" s="263">
        <v>2639</v>
      </c>
      <c r="B2640" s="263" t="s">
        <v>4972</v>
      </c>
      <c r="C2640" s="263" t="s">
        <v>4973</v>
      </c>
      <c r="D2640" s="263" t="s">
        <v>4966</v>
      </c>
      <c r="E2640" s="263" t="s">
        <v>4967</v>
      </c>
      <c r="F2640" s="263" t="s">
        <v>4798</v>
      </c>
    </row>
    <row r="2641" spans="1:6">
      <c r="A2641" s="263">
        <v>2640</v>
      </c>
      <c r="B2641" s="263" t="s">
        <v>4974</v>
      </c>
      <c r="C2641" s="263" t="s">
        <v>4975</v>
      </c>
      <c r="D2641" s="263" t="s">
        <v>4966</v>
      </c>
      <c r="E2641" s="263" t="s">
        <v>4967</v>
      </c>
      <c r="F2641" s="263" t="s">
        <v>4798</v>
      </c>
    </row>
    <row r="2642" spans="1:6">
      <c r="A2642" s="263">
        <v>2641</v>
      </c>
      <c r="B2642" s="263" t="s">
        <v>4976</v>
      </c>
      <c r="C2642" s="263" t="s">
        <v>4977</v>
      </c>
      <c r="D2642" s="263" t="s">
        <v>4966</v>
      </c>
      <c r="E2642" s="263" t="s">
        <v>4967</v>
      </c>
      <c r="F2642" s="263" t="s">
        <v>4798</v>
      </c>
    </row>
    <row r="2643" spans="1:6">
      <c r="A2643" s="263">
        <v>2642</v>
      </c>
      <c r="B2643" s="263" t="s">
        <v>4978</v>
      </c>
      <c r="C2643" s="263" t="s">
        <v>3222</v>
      </c>
      <c r="D2643" s="263" t="s">
        <v>4979</v>
      </c>
      <c r="E2643" s="263" t="s">
        <v>4980</v>
      </c>
      <c r="F2643" s="263" t="s">
        <v>4981</v>
      </c>
    </row>
    <row r="2644" spans="1:6">
      <c r="A2644" s="263">
        <v>2643</v>
      </c>
      <c r="B2644" s="263" t="s">
        <v>4982</v>
      </c>
      <c r="C2644" s="263" t="s">
        <v>4983</v>
      </c>
      <c r="D2644" s="263" t="s">
        <v>4979</v>
      </c>
      <c r="E2644" s="263" t="s">
        <v>4980</v>
      </c>
      <c r="F2644" s="263" t="s">
        <v>4981</v>
      </c>
    </row>
    <row r="2645" spans="1:6">
      <c r="A2645" s="263">
        <v>2644</v>
      </c>
      <c r="B2645" s="263" t="s">
        <v>4984</v>
      </c>
      <c r="C2645" s="263" t="s">
        <v>4985</v>
      </c>
      <c r="D2645" s="263" t="s">
        <v>4979</v>
      </c>
      <c r="E2645" s="263" t="s">
        <v>4980</v>
      </c>
      <c r="F2645" s="263" t="s">
        <v>4981</v>
      </c>
    </row>
    <row r="2646" spans="1:6">
      <c r="A2646" s="263">
        <v>2645</v>
      </c>
      <c r="B2646" s="263" t="s">
        <v>4986</v>
      </c>
      <c r="C2646" s="263" t="s">
        <v>348</v>
      </c>
      <c r="D2646" s="263" t="s">
        <v>4979</v>
      </c>
      <c r="E2646" s="263" t="s">
        <v>4980</v>
      </c>
      <c r="F2646" s="263" t="s">
        <v>4981</v>
      </c>
    </row>
    <row r="2647" spans="1:6">
      <c r="A2647" s="263">
        <v>2646</v>
      </c>
      <c r="B2647" s="263" t="s">
        <v>4987</v>
      </c>
      <c r="C2647" s="263" t="s">
        <v>373</v>
      </c>
      <c r="D2647" s="263" t="s">
        <v>4979</v>
      </c>
      <c r="E2647" s="263" t="s">
        <v>4980</v>
      </c>
      <c r="F2647" s="263" t="s">
        <v>4981</v>
      </c>
    </row>
    <row r="2648" spans="1:6">
      <c r="A2648" s="263">
        <v>2647</v>
      </c>
      <c r="B2648" s="263" t="s">
        <v>4988</v>
      </c>
      <c r="C2648" s="263" t="s">
        <v>4989</v>
      </c>
      <c r="D2648" s="263" t="s">
        <v>4979</v>
      </c>
      <c r="E2648" s="263" t="s">
        <v>4980</v>
      </c>
      <c r="F2648" s="263" t="s">
        <v>4981</v>
      </c>
    </row>
    <row r="2649" spans="1:6">
      <c r="A2649" s="263">
        <v>2648</v>
      </c>
      <c r="B2649" s="263" t="s">
        <v>4990</v>
      </c>
      <c r="C2649" s="263" t="s">
        <v>2344</v>
      </c>
      <c r="D2649" s="263" t="s">
        <v>4979</v>
      </c>
      <c r="E2649" s="263" t="s">
        <v>4980</v>
      </c>
      <c r="F2649" s="263" t="s">
        <v>4981</v>
      </c>
    </row>
    <row r="2650" spans="1:6">
      <c r="A2650" s="263">
        <v>2649</v>
      </c>
      <c r="B2650" s="263" t="s">
        <v>4991</v>
      </c>
      <c r="C2650" s="263" t="s">
        <v>353</v>
      </c>
      <c r="D2650" s="263" t="s">
        <v>4979</v>
      </c>
      <c r="E2650" s="263" t="s">
        <v>4980</v>
      </c>
      <c r="F2650" s="263" t="s">
        <v>4981</v>
      </c>
    </row>
    <row r="2651" spans="1:6">
      <c r="A2651" s="263">
        <v>2650</v>
      </c>
      <c r="B2651" s="263" t="s">
        <v>4992</v>
      </c>
      <c r="C2651" s="263" t="s">
        <v>4993</v>
      </c>
      <c r="D2651" s="263" t="s">
        <v>4979</v>
      </c>
      <c r="E2651" s="263" t="s">
        <v>4980</v>
      </c>
      <c r="F2651" s="263" t="s">
        <v>4981</v>
      </c>
    </row>
    <row r="2652" spans="1:6">
      <c r="A2652" s="263">
        <v>2651</v>
      </c>
      <c r="B2652" s="263" t="s">
        <v>4994</v>
      </c>
      <c r="C2652" s="263" t="s">
        <v>4995</v>
      </c>
      <c r="D2652" s="263" t="s">
        <v>4979</v>
      </c>
      <c r="E2652" s="263" t="s">
        <v>4980</v>
      </c>
      <c r="F2652" s="263" t="s">
        <v>4981</v>
      </c>
    </row>
    <row r="2653" spans="1:6">
      <c r="A2653" s="263">
        <v>2652</v>
      </c>
      <c r="B2653" s="263" t="s">
        <v>4996</v>
      </c>
      <c r="C2653" s="263" t="s">
        <v>4997</v>
      </c>
      <c r="D2653" s="263" t="s">
        <v>4979</v>
      </c>
      <c r="E2653" s="263" t="s">
        <v>4980</v>
      </c>
      <c r="F2653" s="263" t="s">
        <v>4981</v>
      </c>
    </row>
    <row r="2654" spans="1:6">
      <c r="A2654" s="263">
        <v>2653</v>
      </c>
      <c r="B2654" s="263" t="s">
        <v>4998</v>
      </c>
      <c r="C2654" s="263" t="s">
        <v>4999</v>
      </c>
      <c r="D2654" s="263" t="s">
        <v>5000</v>
      </c>
      <c r="E2654" s="263" t="s">
        <v>5001</v>
      </c>
      <c r="F2654" s="263" t="s">
        <v>4981</v>
      </c>
    </row>
    <row r="2655" spans="1:6">
      <c r="A2655" s="263">
        <v>2654</v>
      </c>
      <c r="B2655" s="263" t="s">
        <v>5002</v>
      </c>
      <c r="C2655" s="263" t="s">
        <v>176</v>
      </c>
      <c r="D2655" s="263" t="s">
        <v>5000</v>
      </c>
      <c r="E2655" s="263" t="s">
        <v>5001</v>
      </c>
      <c r="F2655" s="263" t="s">
        <v>4981</v>
      </c>
    </row>
    <row r="2656" spans="1:6">
      <c r="A2656" s="263">
        <v>2655</v>
      </c>
      <c r="B2656" s="263" t="s">
        <v>5003</v>
      </c>
      <c r="C2656" s="263" t="s">
        <v>5004</v>
      </c>
      <c r="D2656" s="263" t="s">
        <v>5000</v>
      </c>
      <c r="E2656" s="263" t="s">
        <v>5001</v>
      </c>
      <c r="F2656" s="263" t="s">
        <v>4981</v>
      </c>
    </row>
    <row r="2657" spans="1:6">
      <c r="A2657" s="263">
        <v>2656</v>
      </c>
      <c r="B2657" s="263" t="s">
        <v>5005</v>
      </c>
      <c r="C2657" s="263" t="s">
        <v>3786</v>
      </c>
      <c r="D2657" s="263" t="s">
        <v>5000</v>
      </c>
      <c r="E2657" s="263" t="s">
        <v>5001</v>
      </c>
      <c r="F2657" s="263" t="s">
        <v>4981</v>
      </c>
    </row>
    <row r="2658" spans="1:6">
      <c r="A2658" s="263">
        <v>2657</v>
      </c>
      <c r="B2658" s="263" t="s">
        <v>5006</v>
      </c>
      <c r="C2658" s="263" t="s">
        <v>1375</v>
      </c>
      <c r="D2658" s="263" t="s">
        <v>5000</v>
      </c>
      <c r="E2658" s="263" t="s">
        <v>5001</v>
      </c>
      <c r="F2658" s="263" t="s">
        <v>4981</v>
      </c>
    </row>
    <row r="2659" spans="1:6">
      <c r="A2659" s="263">
        <v>2658</v>
      </c>
      <c r="B2659" s="263" t="s">
        <v>5007</v>
      </c>
      <c r="C2659" s="263" t="s">
        <v>787</v>
      </c>
      <c r="D2659" s="263" t="s">
        <v>5000</v>
      </c>
      <c r="E2659" s="263" t="s">
        <v>5001</v>
      </c>
      <c r="F2659" s="263" t="s">
        <v>4981</v>
      </c>
    </row>
    <row r="2660" spans="1:6">
      <c r="A2660" s="263">
        <v>2659</v>
      </c>
      <c r="B2660" s="263" t="s">
        <v>5008</v>
      </c>
      <c r="C2660" s="263" t="s">
        <v>326</v>
      </c>
      <c r="D2660" s="263" t="s">
        <v>5000</v>
      </c>
      <c r="E2660" s="263" t="s">
        <v>5001</v>
      </c>
      <c r="F2660" s="263" t="s">
        <v>4981</v>
      </c>
    </row>
    <row r="2661" spans="1:6">
      <c r="A2661" s="263">
        <v>2660</v>
      </c>
      <c r="B2661" s="263" t="s">
        <v>5009</v>
      </c>
      <c r="C2661" s="263" t="s">
        <v>1883</v>
      </c>
      <c r="D2661" s="263" t="s">
        <v>5000</v>
      </c>
      <c r="E2661" s="263" t="s">
        <v>5001</v>
      </c>
      <c r="F2661" s="263" t="s">
        <v>4981</v>
      </c>
    </row>
    <row r="2662" spans="1:6">
      <c r="A2662" s="263">
        <v>2661</v>
      </c>
      <c r="B2662" s="263" t="s">
        <v>5010</v>
      </c>
      <c r="C2662" s="263" t="s">
        <v>5011</v>
      </c>
      <c r="D2662" s="263" t="s">
        <v>5000</v>
      </c>
      <c r="E2662" s="263" t="s">
        <v>5001</v>
      </c>
      <c r="F2662" s="263" t="s">
        <v>4981</v>
      </c>
    </row>
    <row r="2663" spans="1:6">
      <c r="A2663" s="263">
        <v>2662</v>
      </c>
      <c r="B2663" s="263" t="s">
        <v>5012</v>
      </c>
      <c r="C2663" s="263" t="s">
        <v>1000</v>
      </c>
      <c r="D2663" s="263" t="s">
        <v>5000</v>
      </c>
      <c r="E2663" s="263" t="s">
        <v>5001</v>
      </c>
      <c r="F2663" s="263" t="s">
        <v>4981</v>
      </c>
    </row>
    <row r="2664" spans="1:6">
      <c r="A2664" s="263">
        <v>2663</v>
      </c>
      <c r="B2664" s="263" t="s">
        <v>5013</v>
      </c>
      <c r="C2664" s="263" t="s">
        <v>3406</v>
      </c>
      <c r="D2664" s="263" t="s">
        <v>5000</v>
      </c>
      <c r="E2664" s="263" t="s">
        <v>5001</v>
      </c>
      <c r="F2664" s="263" t="s">
        <v>4981</v>
      </c>
    </row>
    <row r="2665" spans="1:6">
      <c r="A2665" s="263">
        <v>2664</v>
      </c>
      <c r="B2665" s="263" t="s">
        <v>5014</v>
      </c>
      <c r="C2665" s="263" t="s">
        <v>2135</v>
      </c>
      <c r="D2665" s="263" t="s">
        <v>5000</v>
      </c>
      <c r="E2665" s="263" t="s">
        <v>5001</v>
      </c>
      <c r="F2665" s="263" t="s">
        <v>4981</v>
      </c>
    </row>
    <row r="2666" spans="1:6">
      <c r="A2666" s="263">
        <v>2665</v>
      </c>
      <c r="B2666" s="263" t="s">
        <v>5015</v>
      </c>
      <c r="C2666" s="263" t="s">
        <v>4249</v>
      </c>
      <c r="D2666" s="263" t="s">
        <v>5000</v>
      </c>
      <c r="E2666" s="263" t="s">
        <v>5001</v>
      </c>
      <c r="F2666" s="263" t="s">
        <v>4981</v>
      </c>
    </row>
    <row r="2667" spans="1:6">
      <c r="A2667" s="263">
        <v>2666</v>
      </c>
      <c r="B2667" s="263" t="s">
        <v>5016</v>
      </c>
      <c r="C2667" s="263" t="s">
        <v>5017</v>
      </c>
      <c r="D2667" s="263" t="s">
        <v>5000</v>
      </c>
      <c r="E2667" s="263" t="s">
        <v>5001</v>
      </c>
      <c r="F2667" s="263" t="s">
        <v>4981</v>
      </c>
    </row>
    <row r="2668" spans="1:6">
      <c r="A2668" s="263">
        <v>2667</v>
      </c>
      <c r="B2668" s="263" t="s">
        <v>5018</v>
      </c>
      <c r="C2668" s="263" t="s">
        <v>5019</v>
      </c>
      <c r="D2668" s="263" t="s">
        <v>5000</v>
      </c>
      <c r="E2668" s="263" t="s">
        <v>5001</v>
      </c>
      <c r="F2668" s="263" t="s">
        <v>4981</v>
      </c>
    </row>
    <row r="2669" spans="1:6">
      <c r="A2669" s="263">
        <v>2668</v>
      </c>
      <c r="B2669" s="263" t="s">
        <v>5020</v>
      </c>
      <c r="C2669" s="263" t="s">
        <v>5021</v>
      </c>
      <c r="D2669" s="263" t="s">
        <v>5022</v>
      </c>
      <c r="E2669" s="263" t="s">
        <v>5023</v>
      </c>
      <c r="F2669" s="263" t="s">
        <v>4981</v>
      </c>
    </row>
    <row r="2670" spans="1:6">
      <c r="A2670" s="263">
        <v>2669</v>
      </c>
      <c r="B2670" s="263" t="s">
        <v>5024</v>
      </c>
      <c r="C2670" s="263" t="s">
        <v>988</v>
      </c>
      <c r="D2670" s="263" t="s">
        <v>5022</v>
      </c>
      <c r="E2670" s="263" t="s">
        <v>5023</v>
      </c>
      <c r="F2670" s="263" t="s">
        <v>4981</v>
      </c>
    </row>
    <row r="2671" spans="1:6">
      <c r="A2671" s="263">
        <v>2670</v>
      </c>
      <c r="B2671" s="263" t="s">
        <v>5025</v>
      </c>
      <c r="C2671" s="263" t="s">
        <v>5026</v>
      </c>
      <c r="D2671" s="263" t="s">
        <v>5022</v>
      </c>
      <c r="E2671" s="263" t="s">
        <v>5023</v>
      </c>
      <c r="F2671" s="263" t="s">
        <v>4981</v>
      </c>
    </row>
    <row r="2672" spans="1:6">
      <c r="A2672" s="263">
        <v>2671</v>
      </c>
      <c r="B2672" s="263" t="s">
        <v>5027</v>
      </c>
      <c r="C2672" s="263" t="s">
        <v>5028</v>
      </c>
      <c r="D2672" s="263" t="s">
        <v>5022</v>
      </c>
      <c r="E2672" s="263" t="s">
        <v>5023</v>
      </c>
      <c r="F2672" s="263" t="s">
        <v>4981</v>
      </c>
    </row>
    <row r="2673" spans="1:6">
      <c r="A2673" s="263">
        <v>2672</v>
      </c>
      <c r="B2673" s="263" t="s">
        <v>5029</v>
      </c>
      <c r="C2673" s="263" t="s">
        <v>5030</v>
      </c>
      <c r="D2673" s="263" t="s">
        <v>5022</v>
      </c>
      <c r="E2673" s="263" t="s">
        <v>5023</v>
      </c>
      <c r="F2673" s="263" t="s">
        <v>4981</v>
      </c>
    </row>
    <row r="2674" spans="1:6">
      <c r="A2674" s="263">
        <v>2673</v>
      </c>
      <c r="B2674" s="263" t="s">
        <v>5031</v>
      </c>
      <c r="C2674" s="263" t="s">
        <v>4459</v>
      </c>
      <c r="D2674" s="263" t="s">
        <v>5022</v>
      </c>
      <c r="E2674" s="263" t="s">
        <v>5023</v>
      </c>
      <c r="F2674" s="263" t="s">
        <v>4981</v>
      </c>
    </row>
    <row r="2675" spans="1:6">
      <c r="A2675" s="263">
        <v>2674</v>
      </c>
      <c r="B2675" s="263" t="s">
        <v>5032</v>
      </c>
      <c r="C2675" s="263" t="s">
        <v>1059</v>
      </c>
      <c r="D2675" s="263" t="s">
        <v>5022</v>
      </c>
      <c r="E2675" s="263" t="s">
        <v>5023</v>
      </c>
      <c r="F2675" s="263" t="s">
        <v>4981</v>
      </c>
    </row>
    <row r="2676" spans="1:6">
      <c r="A2676" s="263">
        <v>2675</v>
      </c>
      <c r="B2676" s="263" t="s">
        <v>5033</v>
      </c>
      <c r="C2676" s="263" t="s">
        <v>122</v>
      </c>
      <c r="D2676" s="263" t="s">
        <v>5022</v>
      </c>
      <c r="E2676" s="263" t="s">
        <v>5023</v>
      </c>
      <c r="F2676" s="263" t="s">
        <v>4981</v>
      </c>
    </row>
    <row r="2677" spans="1:6">
      <c r="A2677" s="263">
        <v>2676</v>
      </c>
      <c r="B2677" s="263" t="s">
        <v>5034</v>
      </c>
      <c r="C2677" s="263" t="s">
        <v>3218</v>
      </c>
      <c r="D2677" s="263" t="s">
        <v>5022</v>
      </c>
      <c r="E2677" s="263" t="s">
        <v>5023</v>
      </c>
      <c r="F2677" s="263" t="s">
        <v>4981</v>
      </c>
    </row>
    <row r="2678" spans="1:6">
      <c r="A2678" s="263">
        <v>2677</v>
      </c>
      <c r="B2678" s="263" t="s">
        <v>5035</v>
      </c>
      <c r="C2678" s="263" t="s">
        <v>5036</v>
      </c>
      <c r="D2678" s="263" t="s">
        <v>5022</v>
      </c>
      <c r="E2678" s="263" t="s">
        <v>5023</v>
      </c>
      <c r="F2678" s="263" t="s">
        <v>4981</v>
      </c>
    </row>
    <row r="2679" spans="1:6">
      <c r="A2679" s="263">
        <v>2678</v>
      </c>
      <c r="B2679" s="263" t="s">
        <v>5037</v>
      </c>
      <c r="C2679" s="263" t="s">
        <v>2487</v>
      </c>
      <c r="D2679" s="263" t="s">
        <v>5022</v>
      </c>
      <c r="E2679" s="263" t="s">
        <v>5023</v>
      </c>
      <c r="F2679" s="263" t="s">
        <v>4981</v>
      </c>
    </row>
    <row r="2680" spans="1:6">
      <c r="A2680" s="263">
        <v>2679</v>
      </c>
      <c r="B2680" s="263" t="s">
        <v>5038</v>
      </c>
      <c r="C2680" s="263" t="s">
        <v>420</v>
      </c>
      <c r="D2680" s="263" t="s">
        <v>5022</v>
      </c>
      <c r="E2680" s="263" t="s">
        <v>5023</v>
      </c>
      <c r="F2680" s="263" t="s">
        <v>4981</v>
      </c>
    </row>
    <row r="2681" spans="1:6">
      <c r="A2681" s="263">
        <v>2680</v>
      </c>
      <c r="B2681" s="263" t="s">
        <v>5039</v>
      </c>
      <c r="C2681" s="263" t="s">
        <v>5040</v>
      </c>
      <c r="D2681" s="263" t="s">
        <v>5022</v>
      </c>
      <c r="E2681" s="263" t="s">
        <v>5023</v>
      </c>
      <c r="F2681" s="263" t="s">
        <v>4981</v>
      </c>
    </row>
    <row r="2682" spans="1:6">
      <c r="A2682" s="263">
        <v>2681</v>
      </c>
      <c r="B2682" s="263" t="s">
        <v>5041</v>
      </c>
      <c r="C2682" s="263" t="s">
        <v>5042</v>
      </c>
      <c r="D2682" s="263" t="s">
        <v>5043</v>
      </c>
      <c r="E2682" s="263" t="s">
        <v>5044</v>
      </c>
      <c r="F2682" s="263" t="s">
        <v>4981</v>
      </c>
    </row>
    <row r="2683" spans="1:6">
      <c r="A2683" s="263">
        <v>2682</v>
      </c>
      <c r="B2683" s="263" t="s">
        <v>5045</v>
      </c>
      <c r="C2683" s="263" t="s">
        <v>4453</v>
      </c>
      <c r="D2683" s="263" t="s">
        <v>5043</v>
      </c>
      <c r="E2683" s="263" t="s">
        <v>5044</v>
      </c>
      <c r="F2683" s="263" t="s">
        <v>4981</v>
      </c>
    </row>
    <row r="2684" spans="1:6">
      <c r="A2684" s="263">
        <v>2683</v>
      </c>
      <c r="B2684" s="263" t="s">
        <v>5046</v>
      </c>
      <c r="C2684" s="263" t="s">
        <v>5047</v>
      </c>
      <c r="D2684" s="263" t="s">
        <v>5043</v>
      </c>
      <c r="E2684" s="263" t="s">
        <v>5044</v>
      </c>
      <c r="F2684" s="263" t="s">
        <v>4981</v>
      </c>
    </row>
    <row r="2685" spans="1:6">
      <c r="A2685" s="263">
        <v>2684</v>
      </c>
      <c r="B2685" s="263" t="s">
        <v>5048</v>
      </c>
      <c r="C2685" s="263" t="s">
        <v>4728</v>
      </c>
      <c r="D2685" s="263" t="s">
        <v>5043</v>
      </c>
      <c r="E2685" s="263" t="s">
        <v>5044</v>
      </c>
      <c r="F2685" s="263" t="s">
        <v>4981</v>
      </c>
    </row>
    <row r="2686" spans="1:6">
      <c r="A2686" s="263">
        <v>2685</v>
      </c>
      <c r="B2686" s="263" t="s">
        <v>5049</v>
      </c>
      <c r="C2686" s="263" t="s">
        <v>1085</v>
      </c>
      <c r="D2686" s="263" t="s">
        <v>5043</v>
      </c>
      <c r="E2686" s="263" t="s">
        <v>5044</v>
      </c>
      <c r="F2686" s="263" t="s">
        <v>4981</v>
      </c>
    </row>
    <row r="2687" spans="1:6">
      <c r="A2687" s="263">
        <v>2686</v>
      </c>
      <c r="B2687" s="263" t="s">
        <v>5050</v>
      </c>
      <c r="C2687" s="263" t="s">
        <v>4653</v>
      </c>
      <c r="D2687" s="263" t="s">
        <v>5043</v>
      </c>
      <c r="E2687" s="263" t="s">
        <v>5044</v>
      </c>
      <c r="F2687" s="263" t="s">
        <v>4981</v>
      </c>
    </row>
    <row r="2688" spans="1:6">
      <c r="A2688" s="263">
        <v>2687</v>
      </c>
      <c r="B2688" s="263" t="s">
        <v>5051</v>
      </c>
      <c r="C2688" s="263" t="s">
        <v>5052</v>
      </c>
      <c r="D2688" s="263" t="s">
        <v>5043</v>
      </c>
      <c r="E2688" s="263" t="s">
        <v>5044</v>
      </c>
      <c r="F2688" s="263" t="s">
        <v>4981</v>
      </c>
    </row>
    <row r="2689" spans="1:6">
      <c r="A2689" s="263">
        <v>2688</v>
      </c>
      <c r="B2689" s="263" t="s">
        <v>5053</v>
      </c>
      <c r="C2689" s="263" t="s">
        <v>3063</v>
      </c>
      <c r="D2689" s="263" t="s">
        <v>5043</v>
      </c>
      <c r="E2689" s="263" t="s">
        <v>5044</v>
      </c>
      <c r="F2689" s="263" t="s">
        <v>4981</v>
      </c>
    </row>
    <row r="2690" spans="1:6">
      <c r="A2690" s="263">
        <v>2689</v>
      </c>
      <c r="B2690" s="263" t="s">
        <v>5054</v>
      </c>
      <c r="C2690" s="263" t="s">
        <v>3404</v>
      </c>
      <c r="D2690" s="263" t="s">
        <v>5043</v>
      </c>
      <c r="E2690" s="263" t="s">
        <v>5044</v>
      </c>
      <c r="F2690" s="263" t="s">
        <v>4981</v>
      </c>
    </row>
    <row r="2691" spans="1:6">
      <c r="A2691" s="263">
        <v>2690</v>
      </c>
      <c r="B2691" s="263" t="s">
        <v>5055</v>
      </c>
      <c r="C2691" s="263" t="s">
        <v>5056</v>
      </c>
      <c r="D2691" s="263" t="s">
        <v>5043</v>
      </c>
      <c r="E2691" s="263" t="s">
        <v>5044</v>
      </c>
      <c r="F2691" s="263" t="s">
        <v>4981</v>
      </c>
    </row>
    <row r="2692" spans="1:6">
      <c r="A2692" s="263">
        <v>2691</v>
      </c>
      <c r="B2692" s="263" t="s">
        <v>5057</v>
      </c>
      <c r="C2692" s="263" t="s">
        <v>5058</v>
      </c>
      <c r="D2692" s="263" t="s">
        <v>5043</v>
      </c>
      <c r="E2692" s="263" t="s">
        <v>5044</v>
      </c>
      <c r="F2692" s="263" t="s">
        <v>4981</v>
      </c>
    </row>
    <row r="2693" spans="1:6">
      <c r="A2693" s="263">
        <v>2692</v>
      </c>
      <c r="B2693" s="263" t="s">
        <v>5059</v>
      </c>
      <c r="C2693" s="263" t="s">
        <v>328</v>
      </c>
      <c r="D2693" s="263" t="s">
        <v>5043</v>
      </c>
      <c r="E2693" s="263" t="s">
        <v>5044</v>
      </c>
      <c r="F2693" s="263" t="s">
        <v>4981</v>
      </c>
    </row>
    <row r="2694" spans="1:6">
      <c r="A2694" s="263">
        <v>2693</v>
      </c>
      <c r="B2694" s="263" t="s">
        <v>5060</v>
      </c>
      <c r="C2694" s="263" t="s">
        <v>1932</v>
      </c>
      <c r="D2694" s="263" t="s">
        <v>5043</v>
      </c>
      <c r="E2694" s="263" t="s">
        <v>5044</v>
      </c>
      <c r="F2694" s="263" t="s">
        <v>4981</v>
      </c>
    </row>
    <row r="2695" spans="1:6">
      <c r="A2695" s="263">
        <v>2694</v>
      </c>
      <c r="B2695" s="263" t="s">
        <v>5061</v>
      </c>
      <c r="C2695" s="263" t="s">
        <v>5062</v>
      </c>
      <c r="D2695" s="263" t="s">
        <v>5043</v>
      </c>
      <c r="E2695" s="263" t="s">
        <v>5044</v>
      </c>
      <c r="F2695" s="263" t="s">
        <v>4981</v>
      </c>
    </row>
    <row r="2696" spans="1:6">
      <c r="A2696" s="263">
        <v>2695</v>
      </c>
      <c r="B2696" s="263" t="s">
        <v>5063</v>
      </c>
      <c r="C2696" s="263" t="s">
        <v>1550</v>
      </c>
      <c r="D2696" s="263" t="s">
        <v>5043</v>
      </c>
      <c r="E2696" s="263" t="s">
        <v>5044</v>
      </c>
      <c r="F2696" s="263" t="s">
        <v>4981</v>
      </c>
    </row>
    <row r="2697" spans="1:6">
      <c r="A2697" s="263">
        <v>2696</v>
      </c>
      <c r="B2697" s="263" t="s">
        <v>5064</v>
      </c>
      <c r="C2697" s="263" t="s">
        <v>80</v>
      </c>
      <c r="D2697" s="263" t="s">
        <v>5043</v>
      </c>
      <c r="E2697" s="263" t="s">
        <v>5044</v>
      </c>
      <c r="F2697" s="263" t="s">
        <v>4981</v>
      </c>
    </row>
    <row r="2698" spans="1:6">
      <c r="A2698" s="263">
        <v>2697</v>
      </c>
      <c r="B2698" s="263" t="s">
        <v>5065</v>
      </c>
      <c r="C2698" s="263" t="s">
        <v>5066</v>
      </c>
      <c r="D2698" s="263" t="s">
        <v>5043</v>
      </c>
      <c r="E2698" s="263" t="s">
        <v>5044</v>
      </c>
      <c r="F2698" s="263" t="s">
        <v>4981</v>
      </c>
    </row>
    <row r="2699" spans="1:6">
      <c r="A2699" s="263">
        <v>2698</v>
      </c>
      <c r="B2699" s="263" t="s">
        <v>5067</v>
      </c>
      <c r="C2699" s="263" t="s">
        <v>5068</v>
      </c>
      <c r="D2699" s="263" t="s">
        <v>5069</v>
      </c>
      <c r="E2699" s="263" t="s">
        <v>5070</v>
      </c>
      <c r="F2699" s="263" t="s">
        <v>4981</v>
      </c>
    </row>
    <row r="2700" spans="1:6">
      <c r="A2700" s="263">
        <v>2699</v>
      </c>
      <c r="B2700" s="263" t="s">
        <v>5071</v>
      </c>
      <c r="C2700" s="263" t="s">
        <v>106</v>
      </c>
      <c r="D2700" s="263" t="s">
        <v>5069</v>
      </c>
      <c r="E2700" s="263" t="s">
        <v>5070</v>
      </c>
      <c r="F2700" s="263" t="s">
        <v>4981</v>
      </c>
    </row>
    <row r="2701" spans="1:6">
      <c r="A2701" s="263">
        <v>2700</v>
      </c>
      <c r="B2701" s="263" t="s">
        <v>5072</v>
      </c>
      <c r="C2701" s="263" t="s">
        <v>5073</v>
      </c>
      <c r="D2701" s="263" t="s">
        <v>5069</v>
      </c>
      <c r="E2701" s="263" t="s">
        <v>5070</v>
      </c>
      <c r="F2701" s="263" t="s">
        <v>4981</v>
      </c>
    </row>
    <row r="2702" spans="1:6">
      <c r="A2702" s="263">
        <v>2701</v>
      </c>
      <c r="B2702" s="263" t="s">
        <v>5074</v>
      </c>
      <c r="C2702" s="263" t="s">
        <v>5075</v>
      </c>
      <c r="D2702" s="263" t="s">
        <v>5069</v>
      </c>
      <c r="E2702" s="263" t="s">
        <v>5070</v>
      </c>
      <c r="F2702" s="263" t="s">
        <v>4981</v>
      </c>
    </row>
    <row r="2703" spans="1:6">
      <c r="A2703" s="263">
        <v>2702</v>
      </c>
      <c r="B2703" s="263" t="s">
        <v>5076</v>
      </c>
      <c r="C2703" s="263" t="s">
        <v>5077</v>
      </c>
      <c r="D2703" s="263" t="s">
        <v>5069</v>
      </c>
      <c r="E2703" s="263" t="s">
        <v>5070</v>
      </c>
      <c r="F2703" s="263" t="s">
        <v>4981</v>
      </c>
    </row>
    <row r="2704" spans="1:6">
      <c r="A2704" s="263">
        <v>2703</v>
      </c>
      <c r="B2704" s="263" t="s">
        <v>5078</v>
      </c>
      <c r="C2704" s="263" t="s">
        <v>5079</v>
      </c>
      <c r="D2704" s="263" t="s">
        <v>5069</v>
      </c>
      <c r="E2704" s="263" t="s">
        <v>5070</v>
      </c>
      <c r="F2704" s="263" t="s">
        <v>4981</v>
      </c>
    </row>
    <row r="2705" spans="1:6">
      <c r="A2705" s="263">
        <v>2704</v>
      </c>
      <c r="B2705" s="263" t="s">
        <v>5080</v>
      </c>
      <c r="C2705" s="263" t="s">
        <v>351</v>
      </c>
      <c r="D2705" s="263" t="s">
        <v>5069</v>
      </c>
      <c r="E2705" s="263" t="s">
        <v>5070</v>
      </c>
      <c r="F2705" s="263" t="s">
        <v>4981</v>
      </c>
    </row>
    <row r="2706" spans="1:6">
      <c r="A2706" s="263">
        <v>2705</v>
      </c>
      <c r="B2706" s="263" t="s">
        <v>5081</v>
      </c>
      <c r="C2706" s="263" t="s">
        <v>4151</v>
      </c>
      <c r="D2706" s="263" t="s">
        <v>5069</v>
      </c>
      <c r="E2706" s="263" t="s">
        <v>5070</v>
      </c>
      <c r="F2706" s="263" t="s">
        <v>4981</v>
      </c>
    </row>
    <row r="2707" spans="1:6">
      <c r="A2707" s="263">
        <v>2706</v>
      </c>
      <c r="B2707" s="263" t="s">
        <v>5082</v>
      </c>
      <c r="C2707" s="263" t="s">
        <v>5083</v>
      </c>
      <c r="D2707" s="263" t="s">
        <v>5069</v>
      </c>
      <c r="E2707" s="263" t="s">
        <v>5070</v>
      </c>
      <c r="F2707" s="263" t="s">
        <v>4981</v>
      </c>
    </row>
    <row r="2708" spans="1:6">
      <c r="A2708" s="263">
        <v>2707</v>
      </c>
      <c r="B2708" s="263" t="s">
        <v>5084</v>
      </c>
      <c r="C2708" s="263" t="s">
        <v>5085</v>
      </c>
      <c r="D2708" s="263" t="s">
        <v>5069</v>
      </c>
      <c r="E2708" s="263" t="s">
        <v>5070</v>
      </c>
      <c r="F2708" s="263" t="s">
        <v>4981</v>
      </c>
    </row>
    <row r="2709" spans="1:6">
      <c r="A2709" s="263">
        <v>2708</v>
      </c>
      <c r="B2709" s="263" t="s">
        <v>5086</v>
      </c>
      <c r="C2709" s="263" t="s">
        <v>5087</v>
      </c>
      <c r="D2709" s="263" t="s">
        <v>5069</v>
      </c>
      <c r="E2709" s="263" t="s">
        <v>5070</v>
      </c>
      <c r="F2709" s="263" t="s">
        <v>4981</v>
      </c>
    </row>
    <row r="2710" spans="1:6">
      <c r="A2710" s="263">
        <v>2709</v>
      </c>
      <c r="B2710" s="263" t="s">
        <v>5088</v>
      </c>
      <c r="C2710" s="263" t="s">
        <v>5089</v>
      </c>
      <c r="D2710" s="263" t="s">
        <v>5069</v>
      </c>
      <c r="E2710" s="263" t="s">
        <v>5070</v>
      </c>
      <c r="F2710" s="263" t="s">
        <v>4981</v>
      </c>
    </row>
    <row r="2711" spans="1:6">
      <c r="A2711" s="263">
        <v>2710</v>
      </c>
      <c r="B2711" s="263" t="s">
        <v>5090</v>
      </c>
      <c r="C2711" s="263" t="s">
        <v>5091</v>
      </c>
      <c r="D2711" s="263" t="s">
        <v>5069</v>
      </c>
      <c r="E2711" s="263" t="s">
        <v>5070</v>
      </c>
      <c r="F2711" s="263" t="s">
        <v>4981</v>
      </c>
    </row>
    <row r="2712" spans="1:6">
      <c r="A2712" s="263">
        <v>2711</v>
      </c>
      <c r="B2712" s="263" t="s">
        <v>5092</v>
      </c>
      <c r="C2712" s="263" t="s">
        <v>2036</v>
      </c>
      <c r="D2712" s="263" t="s">
        <v>5069</v>
      </c>
      <c r="E2712" s="263" t="s">
        <v>5070</v>
      </c>
      <c r="F2712" s="263" t="s">
        <v>4981</v>
      </c>
    </row>
    <row r="2713" spans="1:6">
      <c r="A2713" s="263">
        <v>2712</v>
      </c>
      <c r="B2713" s="263" t="s">
        <v>5093</v>
      </c>
      <c r="C2713" s="263" t="s">
        <v>5094</v>
      </c>
      <c r="D2713" s="263" t="s">
        <v>5095</v>
      </c>
      <c r="E2713" s="263" t="s">
        <v>5096</v>
      </c>
      <c r="F2713" s="263" t="s">
        <v>4981</v>
      </c>
    </row>
    <row r="2714" spans="1:6">
      <c r="A2714" s="263">
        <v>2713</v>
      </c>
      <c r="B2714" s="263" t="s">
        <v>5097</v>
      </c>
      <c r="C2714" s="263" t="s">
        <v>5098</v>
      </c>
      <c r="D2714" s="263" t="s">
        <v>5095</v>
      </c>
      <c r="E2714" s="263" t="s">
        <v>5096</v>
      </c>
      <c r="F2714" s="263" t="s">
        <v>4981</v>
      </c>
    </row>
    <row r="2715" spans="1:6">
      <c r="A2715" s="263">
        <v>2714</v>
      </c>
      <c r="B2715" s="263" t="s">
        <v>5099</v>
      </c>
      <c r="C2715" s="263" t="s">
        <v>5100</v>
      </c>
      <c r="D2715" s="263" t="s">
        <v>5095</v>
      </c>
      <c r="E2715" s="263" t="s">
        <v>5096</v>
      </c>
      <c r="F2715" s="263" t="s">
        <v>4981</v>
      </c>
    </row>
    <row r="2716" spans="1:6">
      <c r="A2716" s="263">
        <v>2715</v>
      </c>
      <c r="B2716" s="263" t="s">
        <v>5101</v>
      </c>
      <c r="C2716" s="263" t="s">
        <v>5102</v>
      </c>
      <c r="D2716" s="263" t="s">
        <v>5095</v>
      </c>
      <c r="E2716" s="263" t="s">
        <v>5096</v>
      </c>
      <c r="F2716" s="263" t="s">
        <v>4981</v>
      </c>
    </row>
    <row r="2717" spans="1:6">
      <c r="A2717" s="263">
        <v>2716</v>
      </c>
      <c r="B2717" s="263" t="s">
        <v>5103</v>
      </c>
      <c r="C2717" s="263" t="s">
        <v>5104</v>
      </c>
      <c r="D2717" s="263" t="s">
        <v>5095</v>
      </c>
      <c r="E2717" s="263" t="s">
        <v>5096</v>
      </c>
      <c r="F2717" s="263" t="s">
        <v>4981</v>
      </c>
    </row>
    <row r="2718" spans="1:6">
      <c r="A2718" s="263">
        <v>2717</v>
      </c>
      <c r="B2718" s="263" t="s">
        <v>5105</v>
      </c>
      <c r="C2718" s="263" t="s">
        <v>5106</v>
      </c>
      <c r="D2718" s="263" t="s">
        <v>5095</v>
      </c>
      <c r="E2718" s="263" t="s">
        <v>5096</v>
      </c>
      <c r="F2718" s="263" t="s">
        <v>4981</v>
      </c>
    </row>
    <row r="2719" spans="1:6">
      <c r="A2719" s="263">
        <v>2718</v>
      </c>
      <c r="B2719" s="263" t="s">
        <v>5107</v>
      </c>
      <c r="C2719" s="263" t="s">
        <v>5108</v>
      </c>
      <c r="D2719" s="263" t="s">
        <v>5095</v>
      </c>
      <c r="E2719" s="263" t="s">
        <v>5096</v>
      </c>
      <c r="F2719" s="263" t="s">
        <v>4981</v>
      </c>
    </row>
    <row r="2720" spans="1:6">
      <c r="A2720" s="263">
        <v>2719</v>
      </c>
      <c r="B2720" s="263" t="s">
        <v>5109</v>
      </c>
      <c r="C2720" s="263" t="s">
        <v>5110</v>
      </c>
      <c r="D2720" s="263" t="s">
        <v>5095</v>
      </c>
      <c r="E2720" s="263" t="s">
        <v>5096</v>
      </c>
      <c r="F2720" s="263" t="s">
        <v>4981</v>
      </c>
    </row>
    <row r="2721" spans="1:6">
      <c r="A2721" s="263">
        <v>2720</v>
      </c>
      <c r="B2721" s="263" t="s">
        <v>5111</v>
      </c>
      <c r="C2721" s="263" t="s">
        <v>5112</v>
      </c>
      <c r="D2721" s="263" t="s">
        <v>5095</v>
      </c>
      <c r="E2721" s="263" t="s">
        <v>5096</v>
      </c>
      <c r="F2721" s="263" t="s">
        <v>4981</v>
      </c>
    </row>
    <row r="2722" spans="1:6">
      <c r="A2722" s="263">
        <v>2721</v>
      </c>
      <c r="B2722" s="263" t="s">
        <v>5113</v>
      </c>
      <c r="C2722" s="263" t="s">
        <v>5114</v>
      </c>
      <c r="D2722" s="263" t="s">
        <v>5095</v>
      </c>
      <c r="E2722" s="263" t="s">
        <v>5096</v>
      </c>
      <c r="F2722" s="263" t="s">
        <v>4981</v>
      </c>
    </row>
    <row r="2723" spans="1:6">
      <c r="A2723" s="263">
        <v>2722</v>
      </c>
      <c r="B2723" s="263" t="s">
        <v>5115</v>
      </c>
      <c r="C2723" s="263" t="s">
        <v>775</v>
      </c>
      <c r="D2723" s="263" t="s">
        <v>5095</v>
      </c>
      <c r="E2723" s="263" t="s">
        <v>5096</v>
      </c>
      <c r="F2723" s="263" t="s">
        <v>4981</v>
      </c>
    </row>
    <row r="2724" spans="1:6">
      <c r="A2724" s="263">
        <v>2723</v>
      </c>
      <c r="B2724" s="263" t="s">
        <v>5116</v>
      </c>
      <c r="C2724" s="263" t="s">
        <v>1676</v>
      </c>
      <c r="D2724" s="263" t="s">
        <v>5095</v>
      </c>
      <c r="E2724" s="263" t="s">
        <v>5096</v>
      </c>
      <c r="F2724" s="263" t="s">
        <v>4981</v>
      </c>
    </row>
    <row r="2725" spans="1:6">
      <c r="A2725" s="263">
        <v>2724</v>
      </c>
      <c r="B2725" s="263" t="s">
        <v>5117</v>
      </c>
      <c r="C2725" s="263" t="s">
        <v>2517</v>
      </c>
      <c r="D2725" s="263" t="s">
        <v>5095</v>
      </c>
      <c r="E2725" s="263" t="s">
        <v>5096</v>
      </c>
      <c r="F2725" s="263" t="s">
        <v>4981</v>
      </c>
    </row>
    <row r="2726" spans="1:6">
      <c r="A2726" s="263">
        <v>2725</v>
      </c>
      <c r="B2726" s="263" t="s">
        <v>5118</v>
      </c>
      <c r="C2726" s="263" t="s">
        <v>5119</v>
      </c>
      <c r="D2726" s="263" t="s">
        <v>5095</v>
      </c>
      <c r="E2726" s="263" t="s">
        <v>5096</v>
      </c>
      <c r="F2726" s="263" t="s">
        <v>4981</v>
      </c>
    </row>
    <row r="2727" spans="1:6">
      <c r="A2727" s="263">
        <v>2726</v>
      </c>
      <c r="B2727" s="263" t="s">
        <v>5120</v>
      </c>
      <c r="C2727" s="263" t="s">
        <v>5121</v>
      </c>
      <c r="D2727" s="263" t="s">
        <v>5095</v>
      </c>
      <c r="E2727" s="263" t="s">
        <v>5096</v>
      </c>
      <c r="F2727" s="263" t="s">
        <v>4981</v>
      </c>
    </row>
    <row r="2728" spans="1:6">
      <c r="A2728" s="263">
        <v>2727</v>
      </c>
      <c r="B2728" s="263" t="s">
        <v>5122</v>
      </c>
      <c r="C2728" s="263" t="s">
        <v>5123</v>
      </c>
      <c r="D2728" s="263" t="s">
        <v>5095</v>
      </c>
      <c r="E2728" s="263" t="s">
        <v>5096</v>
      </c>
      <c r="F2728" s="263" t="s">
        <v>4981</v>
      </c>
    </row>
    <row r="2729" spans="1:6">
      <c r="A2729" s="263">
        <v>2728</v>
      </c>
      <c r="B2729" s="263" t="s">
        <v>5124</v>
      </c>
      <c r="C2729" s="263" t="s">
        <v>5125</v>
      </c>
      <c r="D2729" s="263" t="s">
        <v>5095</v>
      </c>
      <c r="E2729" s="263" t="s">
        <v>5096</v>
      </c>
      <c r="F2729" s="263" t="s">
        <v>4981</v>
      </c>
    </row>
    <row r="2730" spans="1:6">
      <c r="A2730" s="263">
        <v>2729</v>
      </c>
      <c r="B2730" s="263" t="s">
        <v>5126</v>
      </c>
      <c r="C2730" s="263" t="s">
        <v>5127</v>
      </c>
      <c r="D2730" s="263" t="s">
        <v>5095</v>
      </c>
      <c r="E2730" s="263" t="s">
        <v>5096</v>
      </c>
      <c r="F2730" s="263" t="s">
        <v>4981</v>
      </c>
    </row>
    <row r="2731" spans="1:6">
      <c r="A2731" s="263">
        <v>2730</v>
      </c>
      <c r="B2731" s="263" t="s">
        <v>5128</v>
      </c>
      <c r="C2731" s="263" t="s">
        <v>5129</v>
      </c>
      <c r="D2731" s="263" t="s">
        <v>5095</v>
      </c>
      <c r="E2731" s="263" t="s">
        <v>5096</v>
      </c>
      <c r="F2731" s="263" t="s">
        <v>4981</v>
      </c>
    </row>
    <row r="2732" spans="1:6">
      <c r="A2732" s="263">
        <v>2731</v>
      </c>
      <c r="B2732" s="263" t="s">
        <v>5130</v>
      </c>
      <c r="C2732" s="263" t="s">
        <v>5131</v>
      </c>
      <c r="D2732" s="263" t="s">
        <v>5095</v>
      </c>
      <c r="E2732" s="263" t="s">
        <v>5096</v>
      </c>
      <c r="F2732" s="263" t="s">
        <v>4981</v>
      </c>
    </row>
    <row r="2733" spans="1:6">
      <c r="A2733" s="263">
        <v>2732</v>
      </c>
      <c r="B2733" s="263" t="s">
        <v>5132</v>
      </c>
      <c r="C2733" s="263" t="s">
        <v>628</v>
      </c>
      <c r="D2733" s="263" t="s">
        <v>5133</v>
      </c>
      <c r="E2733" s="263" t="s">
        <v>5134</v>
      </c>
      <c r="F2733" s="263" t="s">
        <v>4981</v>
      </c>
    </row>
    <row r="2734" spans="1:6">
      <c r="A2734" s="263">
        <v>2733</v>
      </c>
      <c r="B2734" s="263" t="s">
        <v>5135</v>
      </c>
      <c r="C2734" s="263" t="s">
        <v>632</v>
      </c>
      <c r="D2734" s="263" t="s">
        <v>5133</v>
      </c>
      <c r="E2734" s="263" t="s">
        <v>5134</v>
      </c>
      <c r="F2734" s="263" t="s">
        <v>4981</v>
      </c>
    </row>
    <row r="2735" spans="1:6">
      <c r="A2735" s="263">
        <v>2734</v>
      </c>
      <c r="B2735" s="263" t="s">
        <v>5136</v>
      </c>
      <c r="C2735" s="263" t="s">
        <v>634</v>
      </c>
      <c r="D2735" s="263" t="s">
        <v>5133</v>
      </c>
      <c r="E2735" s="263" t="s">
        <v>5134</v>
      </c>
      <c r="F2735" s="263" t="s">
        <v>4981</v>
      </c>
    </row>
    <row r="2736" spans="1:6">
      <c r="A2736" s="263">
        <v>2735</v>
      </c>
      <c r="B2736" s="263" t="s">
        <v>5137</v>
      </c>
      <c r="C2736" s="263" t="s">
        <v>1184</v>
      </c>
      <c r="D2736" s="263" t="s">
        <v>5133</v>
      </c>
      <c r="E2736" s="263" t="s">
        <v>5134</v>
      </c>
      <c r="F2736" s="263" t="s">
        <v>4981</v>
      </c>
    </row>
    <row r="2737" spans="1:6">
      <c r="A2737" s="263">
        <v>2736</v>
      </c>
      <c r="B2737" s="263" t="s">
        <v>5138</v>
      </c>
      <c r="C2737" s="263" t="s">
        <v>636</v>
      </c>
      <c r="D2737" s="263" t="s">
        <v>5133</v>
      </c>
      <c r="E2737" s="263" t="s">
        <v>5134</v>
      </c>
      <c r="F2737" s="263" t="s">
        <v>4981</v>
      </c>
    </row>
    <row r="2738" spans="1:6">
      <c r="A2738" s="263">
        <v>2737</v>
      </c>
      <c r="B2738" s="263" t="s">
        <v>5139</v>
      </c>
      <c r="C2738" s="263" t="s">
        <v>640</v>
      </c>
      <c r="D2738" s="263" t="s">
        <v>5133</v>
      </c>
      <c r="E2738" s="263" t="s">
        <v>5134</v>
      </c>
      <c r="F2738" s="263" t="s">
        <v>4981</v>
      </c>
    </row>
    <row r="2739" spans="1:6">
      <c r="A2739" s="263">
        <v>2738</v>
      </c>
      <c r="B2739" s="263" t="s">
        <v>5140</v>
      </c>
      <c r="C2739" s="263" t="s">
        <v>1645</v>
      </c>
      <c r="D2739" s="263" t="s">
        <v>5133</v>
      </c>
      <c r="E2739" s="263" t="s">
        <v>5134</v>
      </c>
      <c r="F2739" s="263" t="s">
        <v>4981</v>
      </c>
    </row>
    <row r="2740" spans="1:6">
      <c r="A2740" s="263">
        <v>2739</v>
      </c>
      <c r="B2740" s="263" t="s">
        <v>5141</v>
      </c>
      <c r="C2740" s="263" t="s">
        <v>164</v>
      </c>
      <c r="D2740" s="263" t="s">
        <v>5133</v>
      </c>
      <c r="E2740" s="263" t="s">
        <v>5134</v>
      </c>
      <c r="F2740" s="263" t="s">
        <v>4981</v>
      </c>
    </row>
    <row r="2741" spans="1:6">
      <c r="A2741" s="263">
        <v>2740</v>
      </c>
      <c r="B2741" s="263" t="s">
        <v>5142</v>
      </c>
      <c r="C2741" s="263" t="s">
        <v>1135</v>
      </c>
      <c r="D2741" s="263" t="s">
        <v>5133</v>
      </c>
      <c r="E2741" s="263" t="s">
        <v>5134</v>
      </c>
      <c r="F2741" s="263" t="s">
        <v>4981</v>
      </c>
    </row>
    <row r="2742" spans="1:6">
      <c r="A2742" s="263">
        <v>2741</v>
      </c>
      <c r="B2742" s="263" t="s">
        <v>5143</v>
      </c>
      <c r="C2742" s="263" t="s">
        <v>5144</v>
      </c>
      <c r="D2742" s="263" t="s">
        <v>5133</v>
      </c>
      <c r="E2742" s="263" t="s">
        <v>5134</v>
      </c>
      <c r="F2742" s="263" t="s">
        <v>4981</v>
      </c>
    </row>
    <row r="2743" spans="1:6">
      <c r="A2743" s="263">
        <v>2742</v>
      </c>
      <c r="B2743" s="263" t="s">
        <v>5145</v>
      </c>
      <c r="C2743" s="263" t="s">
        <v>5146</v>
      </c>
      <c r="D2743" s="263" t="s">
        <v>5133</v>
      </c>
      <c r="E2743" s="263" t="s">
        <v>5134</v>
      </c>
      <c r="F2743" s="263" t="s">
        <v>4981</v>
      </c>
    </row>
    <row r="2744" spans="1:6">
      <c r="A2744" s="263">
        <v>2743</v>
      </c>
      <c r="B2744" s="263" t="s">
        <v>5147</v>
      </c>
      <c r="C2744" s="263" t="s">
        <v>5148</v>
      </c>
      <c r="D2744" s="263" t="s">
        <v>5149</v>
      </c>
      <c r="E2744" s="263" t="s">
        <v>5150</v>
      </c>
      <c r="F2744" s="263" t="s">
        <v>4981</v>
      </c>
    </row>
    <row r="2745" spans="1:6">
      <c r="A2745" s="263">
        <v>2744</v>
      </c>
      <c r="B2745" s="263" t="s">
        <v>5151</v>
      </c>
      <c r="C2745" s="263" t="s">
        <v>5152</v>
      </c>
      <c r="D2745" s="263" t="s">
        <v>5149</v>
      </c>
      <c r="E2745" s="263" t="s">
        <v>5150</v>
      </c>
      <c r="F2745" s="263" t="s">
        <v>4981</v>
      </c>
    </row>
    <row r="2746" spans="1:6">
      <c r="A2746" s="263">
        <v>2745</v>
      </c>
      <c r="B2746" s="263" t="s">
        <v>5153</v>
      </c>
      <c r="C2746" s="263" t="s">
        <v>5154</v>
      </c>
      <c r="D2746" s="263" t="s">
        <v>5149</v>
      </c>
      <c r="E2746" s="263" t="s">
        <v>5150</v>
      </c>
      <c r="F2746" s="263" t="s">
        <v>4981</v>
      </c>
    </row>
    <row r="2747" spans="1:6">
      <c r="A2747" s="263">
        <v>2746</v>
      </c>
      <c r="B2747" s="263" t="s">
        <v>5155</v>
      </c>
      <c r="C2747" s="263" t="s">
        <v>923</v>
      </c>
      <c r="D2747" s="263" t="s">
        <v>5149</v>
      </c>
      <c r="E2747" s="263" t="s">
        <v>5150</v>
      </c>
      <c r="F2747" s="263" t="s">
        <v>4981</v>
      </c>
    </row>
    <row r="2748" spans="1:6">
      <c r="A2748" s="263">
        <v>2747</v>
      </c>
      <c r="B2748" s="263" t="s">
        <v>5156</v>
      </c>
      <c r="C2748" s="263" t="s">
        <v>5157</v>
      </c>
      <c r="D2748" s="263" t="s">
        <v>5149</v>
      </c>
      <c r="E2748" s="263" t="s">
        <v>5150</v>
      </c>
      <c r="F2748" s="263" t="s">
        <v>4981</v>
      </c>
    </row>
    <row r="2749" spans="1:6">
      <c r="A2749" s="263">
        <v>2748</v>
      </c>
      <c r="B2749" s="263" t="s">
        <v>5158</v>
      </c>
      <c r="C2749" s="263" t="s">
        <v>1723</v>
      </c>
      <c r="D2749" s="263" t="s">
        <v>5149</v>
      </c>
      <c r="E2749" s="263" t="s">
        <v>5150</v>
      </c>
      <c r="F2749" s="263" t="s">
        <v>4981</v>
      </c>
    </row>
    <row r="2750" spans="1:6">
      <c r="A2750" s="263">
        <v>2749</v>
      </c>
      <c r="B2750" s="263" t="s">
        <v>5159</v>
      </c>
      <c r="C2750" s="263" t="s">
        <v>2525</v>
      </c>
      <c r="D2750" s="263" t="s">
        <v>5149</v>
      </c>
      <c r="E2750" s="263" t="s">
        <v>5150</v>
      </c>
      <c r="F2750" s="263" t="s">
        <v>4981</v>
      </c>
    </row>
    <row r="2751" spans="1:6">
      <c r="A2751" s="263">
        <v>2750</v>
      </c>
      <c r="B2751" s="263" t="s">
        <v>5160</v>
      </c>
      <c r="C2751" s="263" t="s">
        <v>5161</v>
      </c>
      <c r="D2751" s="263" t="s">
        <v>5162</v>
      </c>
      <c r="E2751" s="263" t="s">
        <v>5163</v>
      </c>
      <c r="F2751" s="263" t="s">
        <v>5164</v>
      </c>
    </row>
    <row r="2752" spans="1:6">
      <c r="A2752" s="263">
        <v>2751</v>
      </c>
      <c r="B2752" s="263" t="s">
        <v>5165</v>
      </c>
      <c r="C2752" s="263" t="s">
        <v>5166</v>
      </c>
      <c r="D2752" s="263" t="s">
        <v>5162</v>
      </c>
      <c r="E2752" s="263" t="s">
        <v>5163</v>
      </c>
      <c r="F2752" s="263" t="s">
        <v>5164</v>
      </c>
    </row>
    <row r="2753" spans="1:6">
      <c r="A2753" s="263">
        <v>2752</v>
      </c>
      <c r="B2753" s="263" t="s">
        <v>5167</v>
      </c>
      <c r="C2753" s="263" t="s">
        <v>5168</v>
      </c>
      <c r="D2753" s="263" t="s">
        <v>5162</v>
      </c>
      <c r="E2753" s="263" t="s">
        <v>5163</v>
      </c>
      <c r="F2753" s="263" t="s">
        <v>5164</v>
      </c>
    </row>
    <row r="2754" spans="1:6">
      <c r="A2754" s="263">
        <v>2753</v>
      </c>
      <c r="B2754" s="263" t="s">
        <v>5169</v>
      </c>
      <c r="C2754" s="263" t="s">
        <v>5170</v>
      </c>
      <c r="D2754" s="263" t="s">
        <v>5162</v>
      </c>
      <c r="E2754" s="263" t="s">
        <v>5163</v>
      </c>
      <c r="F2754" s="263" t="s">
        <v>5164</v>
      </c>
    </row>
    <row r="2755" spans="1:6">
      <c r="A2755" s="263">
        <v>2754</v>
      </c>
      <c r="B2755" s="263" t="s">
        <v>5171</v>
      </c>
      <c r="C2755" s="263" t="s">
        <v>5172</v>
      </c>
      <c r="D2755" s="263" t="s">
        <v>5162</v>
      </c>
      <c r="E2755" s="263" t="s">
        <v>5163</v>
      </c>
      <c r="F2755" s="263" t="s">
        <v>5164</v>
      </c>
    </row>
    <row r="2756" spans="1:6">
      <c r="A2756" s="263">
        <v>2755</v>
      </c>
      <c r="B2756" s="263" t="s">
        <v>5173</v>
      </c>
      <c r="C2756" s="263" t="s">
        <v>5174</v>
      </c>
      <c r="D2756" s="263" t="s">
        <v>5162</v>
      </c>
      <c r="E2756" s="263" t="s">
        <v>5163</v>
      </c>
      <c r="F2756" s="263" t="s">
        <v>5164</v>
      </c>
    </row>
    <row r="2757" spans="1:6">
      <c r="A2757" s="263">
        <v>2756</v>
      </c>
      <c r="B2757" s="263" t="s">
        <v>5175</v>
      </c>
      <c r="C2757" s="263" t="s">
        <v>5176</v>
      </c>
      <c r="D2757" s="263" t="s">
        <v>5162</v>
      </c>
      <c r="E2757" s="263" t="s">
        <v>5163</v>
      </c>
      <c r="F2757" s="263" t="s">
        <v>5164</v>
      </c>
    </row>
    <row r="2758" spans="1:6">
      <c r="A2758" s="263">
        <v>2757</v>
      </c>
      <c r="B2758" s="263" t="s">
        <v>5177</v>
      </c>
      <c r="C2758" s="263" t="s">
        <v>5178</v>
      </c>
      <c r="D2758" s="263" t="s">
        <v>5162</v>
      </c>
      <c r="E2758" s="263" t="s">
        <v>5163</v>
      </c>
      <c r="F2758" s="263" t="s">
        <v>5164</v>
      </c>
    </row>
    <row r="2759" spans="1:6">
      <c r="A2759" s="263">
        <v>2758</v>
      </c>
      <c r="B2759" s="263" t="s">
        <v>5179</v>
      </c>
      <c r="C2759" s="263" t="s">
        <v>5180</v>
      </c>
      <c r="D2759" s="263" t="s">
        <v>5162</v>
      </c>
      <c r="E2759" s="263" t="s">
        <v>5163</v>
      </c>
      <c r="F2759" s="263" t="s">
        <v>5164</v>
      </c>
    </row>
    <row r="2760" spans="1:6">
      <c r="A2760" s="263">
        <v>2759</v>
      </c>
      <c r="B2760" s="263" t="s">
        <v>5181</v>
      </c>
      <c r="C2760" s="263" t="s">
        <v>5182</v>
      </c>
      <c r="D2760" s="263" t="s">
        <v>5162</v>
      </c>
      <c r="E2760" s="263" t="s">
        <v>5163</v>
      </c>
      <c r="F2760" s="263" t="s">
        <v>5164</v>
      </c>
    </row>
    <row r="2761" spans="1:6">
      <c r="A2761" s="263">
        <v>2760</v>
      </c>
      <c r="B2761" s="263" t="s">
        <v>5183</v>
      </c>
      <c r="C2761" s="263" t="s">
        <v>3226</v>
      </c>
      <c r="D2761" s="263" t="s">
        <v>5162</v>
      </c>
      <c r="E2761" s="263" t="s">
        <v>5163</v>
      </c>
      <c r="F2761" s="263" t="s">
        <v>5164</v>
      </c>
    </row>
    <row r="2762" spans="1:6">
      <c r="A2762" s="263">
        <v>2761</v>
      </c>
      <c r="B2762" s="263" t="s">
        <v>5184</v>
      </c>
      <c r="C2762" s="263" t="s">
        <v>5185</v>
      </c>
      <c r="D2762" s="263" t="s">
        <v>5162</v>
      </c>
      <c r="E2762" s="263" t="s">
        <v>5163</v>
      </c>
      <c r="F2762" s="263" t="s">
        <v>5164</v>
      </c>
    </row>
    <row r="2763" spans="1:6">
      <c r="A2763" s="263">
        <v>2762</v>
      </c>
      <c r="B2763" s="263" t="s">
        <v>5186</v>
      </c>
      <c r="C2763" s="263" t="s">
        <v>5187</v>
      </c>
      <c r="D2763" s="263" t="s">
        <v>5162</v>
      </c>
      <c r="E2763" s="263" t="s">
        <v>5163</v>
      </c>
      <c r="F2763" s="263" t="s">
        <v>5164</v>
      </c>
    </row>
    <row r="2764" spans="1:6">
      <c r="A2764" s="263">
        <v>2763</v>
      </c>
      <c r="B2764" s="263" t="s">
        <v>5188</v>
      </c>
      <c r="C2764" s="263" t="s">
        <v>5189</v>
      </c>
      <c r="D2764" s="263" t="s">
        <v>5162</v>
      </c>
      <c r="E2764" s="263" t="s">
        <v>5163</v>
      </c>
      <c r="F2764" s="263" t="s">
        <v>5164</v>
      </c>
    </row>
    <row r="2765" spans="1:6">
      <c r="A2765" s="263">
        <v>2764</v>
      </c>
      <c r="B2765" s="263" t="s">
        <v>5190</v>
      </c>
      <c r="C2765" s="263" t="s">
        <v>5191</v>
      </c>
      <c r="D2765" s="263" t="s">
        <v>5162</v>
      </c>
      <c r="E2765" s="263" t="s">
        <v>5163</v>
      </c>
      <c r="F2765" s="263" t="s">
        <v>5164</v>
      </c>
    </row>
    <row r="2766" spans="1:6">
      <c r="A2766" s="263">
        <v>2765</v>
      </c>
      <c r="B2766" s="263" t="s">
        <v>5192</v>
      </c>
      <c r="C2766" s="263" t="s">
        <v>5193</v>
      </c>
      <c r="D2766" s="263" t="s">
        <v>5162</v>
      </c>
      <c r="E2766" s="263" t="s">
        <v>5163</v>
      </c>
      <c r="F2766" s="263" t="s">
        <v>5164</v>
      </c>
    </row>
    <row r="2767" spans="1:6">
      <c r="A2767" s="263">
        <v>2766</v>
      </c>
      <c r="B2767" s="263" t="s">
        <v>5194</v>
      </c>
      <c r="C2767" s="263" t="s">
        <v>5195</v>
      </c>
      <c r="D2767" s="263" t="s">
        <v>5196</v>
      </c>
      <c r="E2767" s="263" t="s">
        <v>5197</v>
      </c>
      <c r="F2767" s="263" t="s">
        <v>5164</v>
      </c>
    </row>
    <row r="2768" spans="1:6">
      <c r="A2768" s="263">
        <v>2767</v>
      </c>
      <c r="B2768" s="263" t="s">
        <v>5198</v>
      </c>
      <c r="C2768" s="263" t="s">
        <v>5199</v>
      </c>
      <c r="D2768" s="263" t="s">
        <v>5196</v>
      </c>
      <c r="E2768" s="263" t="s">
        <v>5197</v>
      </c>
      <c r="F2768" s="263" t="s">
        <v>5164</v>
      </c>
    </row>
    <row r="2769" spans="1:6">
      <c r="A2769" s="263">
        <v>2768</v>
      </c>
      <c r="B2769" s="263" t="s">
        <v>5200</v>
      </c>
      <c r="C2769" s="263" t="s">
        <v>5201</v>
      </c>
      <c r="D2769" s="263" t="s">
        <v>5196</v>
      </c>
      <c r="E2769" s="263" t="s">
        <v>5197</v>
      </c>
      <c r="F2769" s="263" t="s">
        <v>5164</v>
      </c>
    </row>
    <row r="2770" spans="1:6">
      <c r="A2770" s="263">
        <v>2769</v>
      </c>
      <c r="B2770" s="263" t="s">
        <v>5202</v>
      </c>
      <c r="C2770" s="263" t="s">
        <v>5203</v>
      </c>
      <c r="D2770" s="263" t="s">
        <v>5196</v>
      </c>
      <c r="E2770" s="263" t="s">
        <v>5197</v>
      </c>
      <c r="F2770" s="263" t="s">
        <v>5164</v>
      </c>
    </row>
    <row r="2771" spans="1:6">
      <c r="A2771" s="263">
        <v>2770</v>
      </c>
      <c r="B2771" s="263" t="s">
        <v>5204</v>
      </c>
      <c r="C2771" s="263" t="s">
        <v>24</v>
      </c>
      <c r="D2771" s="263" t="s">
        <v>5196</v>
      </c>
      <c r="E2771" s="263" t="s">
        <v>5197</v>
      </c>
      <c r="F2771" s="263" t="s">
        <v>5164</v>
      </c>
    </row>
    <row r="2772" spans="1:6">
      <c r="A2772" s="263">
        <v>2771</v>
      </c>
      <c r="B2772" s="263" t="s">
        <v>5205</v>
      </c>
      <c r="C2772" s="263" t="s">
        <v>5206</v>
      </c>
      <c r="D2772" s="263" t="s">
        <v>5196</v>
      </c>
      <c r="E2772" s="263" t="s">
        <v>5197</v>
      </c>
      <c r="F2772" s="263" t="s">
        <v>5164</v>
      </c>
    </row>
    <row r="2773" spans="1:6">
      <c r="A2773" s="263">
        <v>2772</v>
      </c>
      <c r="B2773" s="263" t="s">
        <v>5207</v>
      </c>
      <c r="C2773" s="263" t="s">
        <v>1010</v>
      </c>
      <c r="D2773" s="263" t="s">
        <v>5196</v>
      </c>
      <c r="E2773" s="263" t="s">
        <v>5197</v>
      </c>
      <c r="F2773" s="263" t="s">
        <v>5164</v>
      </c>
    </row>
    <row r="2774" spans="1:6">
      <c r="A2774" s="263">
        <v>2773</v>
      </c>
      <c r="B2774" s="263" t="s">
        <v>5208</v>
      </c>
      <c r="C2774" s="263" t="s">
        <v>136</v>
      </c>
      <c r="D2774" s="263" t="s">
        <v>5209</v>
      </c>
      <c r="E2774" s="263" t="s">
        <v>5210</v>
      </c>
      <c r="F2774" s="263" t="s">
        <v>5164</v>
      </c>
    </row>
    <row r="2775" spans="1:6">
      <c r="A2775" s="263">
        <v>2774</v>
      </c>
      <c r="B2775" s="263" t="s">
        <v>5211</v>
      </c>
      <c r="C2775" s="263" t="s">
        <v>5212</v>
      </c>
      <c r="D2775" s="263" t="s">
        <v>5209</v>
      </c>
      <c r="E2775" s="263" t="s">
        <v>5210</v>
      </c>
      <c r="F2775" s="263" t="s">
        <v>5164</v>
      </c>
    </row>
    <row r="2776" spans="1:6">
      <c r="A2776" s="263">
        <v>2775</v>
      </c>
      <c r="B2776" s="263" t="s">
        <v>5213</v>
      </c>
      <c r="C2776" s="263" t="s">
        <v>5214</v>
      </c>
      <c r="D2776" s="263" t="s">
        <v>5209</v>
      </c>
      <c r="E2776" s="263" t="s">
        <v>5210</v>
      </c>
      <c r="F2776" s="263" t="s">
        <v>5164</v>
      </c>
    </row>
    <row r="2777" spans="1:6">
      <c r="A2777" s="263">
        <v>2776</v>
      </c>
      <c r="B2777" s="263" t="s">
        <v>5215</v>
      </c>
      <c r="C2777" s="263" t="s">
        <v>5216</v>
      </c>
      <c r="D2777" s="263" t="s">
        <v>5209</v>
      </c>
      <c r="E2777" s="263" t="s">
        <v>5210</v>
      </c>
      <c r="F2777" s="263" t="s">
        <v>5164</v>
      </c>
    </row>
    <row r="2778" spans="1:6">
      <c r="A2778" s="263">
        <v>2777</v>
      </c>
      <c r="B2778" s="263" t="s">
        <v>5217</v>
      </c>
      <c r="C2778" s="263" t="s">
        <v>412</v>
      </c>
      <c r="D2778" s="263" t="s">
        <v>5209</v>
      </c>
      <c r="E2778" s="263" t="s">
        <v>5210</v>
      </c>
      <c r="F2778" s="263" t="s">
        <v>5164</v>
      </c>
    </row>
    <row r="2779" spans="1:6">
      <c r="A2779" s="263">
        <v>2778</v>
      </c>
      <c r="B2779" s="263" t="s">
        <v>5218</v>
      </c>
      <c r="C2779" s="263" t="s">
        <v>5219</v>
      </c>
      <c r="D2779" s="263" t="s">
        <v>5209</v>
      </c>
      <c r="E2779" s="263" t="s">
        <v>5210</v>
      </c>
      <c r="F2779" s="263" t="s">
        <v>5164</v>
      </c>
    </row>
    <row r="2780" spans="1:6">
      <c r="A2780" s="263">
        <v>2779</v>
      </c>
      <c r="B2780" s="263" t="s">
        <v>5220</v>
      </c>
      <c r="C2780" s="263" t="s">
        <v>1461</v>
      </c>
      <c r="D2780" s="263" t="s">
        <v>5209</v>
      </c>
      <c r="E2780" s="263" t="s">
        <v>5210</v>
      </c>
      <c r="F2780" s="263" t="s">
        <v>5164</v>
      </c>
    </row>
    <row r="2781" spans="1:6">
      <c r="A2781" s="263">
        <v>2780</v>
      </c>
      <c r="B2781" s="263" t="s">
        <v>5221</v>
      </c>
      <c r="C2781" s="263" t="s">
        <v>164</v>
      </c>
      <c r="D2781" s="263" t="s">
        <v>5209</v>
      </c>
      <c r="E2781" s="263" t="s">
        <v>5210</v>
      </c>
      <c r="F2781" s="263" t="s">
        <v>5164</v>
      </c>
    </row>
    <row r="2782" spans="1:6">
      <c r="A2782" s="263">
        <v>2781</v>
      </c>
      <c r="B2782" s="263" t="s">
        <v>5222</v>
      </c>
      <c r="C2782" s="263" t="s">
        <v>840</v>
      </c>
      <c r="D2782" s="263" t="s">
        <v>5209</v>
      </c>
      <c r="E2782" s="263" t="s">
        <v>5210</v>
      </c>
      <c r="F2782" s="263" t="s">
        <v>5164</v>
      </c>
    </row>
    <row r="2783" spans="1:6">
      <c r="A2783" s="263">
        <v>2782</v>
      </c>
      <c r="B2783" s="263" t="s">
        <v>5223</v>
      </c>
      <c r="C2783" s="263" t="s">
        <v>5224</v>
      </c>
      <c r="D2783" s="263" t="s">
        <v>5209</v>
      </c>
      <c r="E2783" s="263" t="s">
        <v>5210</v>
      </c>
      <c r="F2783" s="263" t="s">
        <v>5164</v>
      </c>
    </row>
    <row r="2784" spans="1:6">
      <c r="A2784" s="263">
        <v>2783</v>
      </c>
      <c r="B2784" s="263" t="s">
        <v>5225</v>
      </c>
      <c r="C2784" s="263" t="s">
        <v>5226</v>
      </c>
      <c r="D2784" s="263" t="s">
        <v>5227</v>
      </c>
      <c r="E2784" s="263" t="s">
        <v>5228</v>
      </c>
      <c r="F2784" s="263" t="s">
        <v>5164</v>
      </c>
    </row>
    <row r="2785" spans="1:6">
      <c r="A2785" s="263">
        <v>2784</v>
      </c>
      <c r="B2785" s="263" t="s">
        <v>5229</v>
      </c>
      <c r="C2785" s="263" t="s">
        <v>5230</v>
      </c>
      <c r="D2785" s="263" t="s">
        <v>5227</v>
      </c>
      <c r="E2785" s="263" t="s">
        <v>5228</v>
      </c>
      <c r="F2785" s="263" t="s">
        <v>5164</v>
      </c>
    </row>
    <row r="2786" spans="1:6">
      <c r="A2786" s="263">
        <v>2785</v>
      </c>
      <c r="B2786" s="263" t="s">
        <v>5231</v>
      </c>
      <c r="C2786" s="263" t="s">
        <v>5232</v>
      </c>
      <c r="D2786" s="263" t="s">
        <v>5227</v>
      </c>
      <c r="E2786" s="263" t="s">
        <v>5228</v>
      </c>
      <c r="F2786" s="263" t="s">
        <v>5164</v>
      </c>
    </row>
    <row r="2787" spans="1:6">
      <c r="A2787" s="263">
        <v>2786</v>
      </c>
      <c r="B2787" s="263" t="s">
        <v>5233</v>
      </c>
      <c r="C2787" s="263" t="s">
        <v>5234</v>
      </c>
      <c r="D2787" s="263" t="s">
        <v>5227</v>
      </c>
      <c r="E2787" s="263" t="s">
        <v>5228</v>
      </c>
      <c r="F2787" s="263" t="s">
        <v>5164</v>
      </c>
    </row>
    <row r="2788" spans="1:6">
      <c r="A2788" s="263">
        <v>2787</v>
      </c>
      <c r="B2788" s="263" t="s">
        <v>5235</v>
      </c>
      <c r="C2788" s="263" t="s">
        <v>5236</v>
      </c>
      <c r="D2788" s="263" t="s">
        <v>5227</v>
      </c>
      <c r="E2788" s="263" t="s">
        <v>5228</v>
      </c>
      <c r="F2788" s="263" t="s">
        <v>5164</v>
      </c>
    </row>
    <row r="2789" spans="1:6">
      <c r="A2789" s="263">
        <v>2788</v>
      </c>
      <c r="B2789" s="263" t="s">
        <v>5237</v>
      </c>
      <c r="C2789" s="263" t="s">
        <v>106</v>
      </c>
      <c r="D2789" s="263" t="s">
        <v>5227</v>
      </c>
      <c r="E2789" s="263" t="s">
        <v>5228</v>
      </c>
      <c r="F2789" s="263" t="s">
        <v>5164</v>
      </c>
    </row>
    <row r="2790" spans="1:6">
      <c r="A2790" s="263">
        <v>2789</v>
      </c>
      <c r="B2790" s="263" t="s">
        <v>5238</v>
      </c>
      <c r="C2790" s="263" t="s">
        <v>4728</v>
      </c>
      <c r="D2790" s="263" t="s">
        <v>5227</v>
      </c>
      <c r="E2790" s="263" t="s">
        <v>5228</v>
      </c>
      <c r="F2790" s="263" t="s">
        <v>5164</v>
      </c>
    </row>
    <row r="2791" spans="1:6">
      <c r="A2791" s="263">
        <v>2790</v>
      </c>
      <c r="B2791" s="263" t="s">
        <v>5239</v>
      </c>
      <c r="C2791" s="263" t="s">
        <v>4651</v>
      </c>
      <c r="D2791" s="263" t="s">
        <v>5227</v>
      </c>
      <c r="E2791" s="263" t="s">
        <v>5228</v>
      </c>
      <c r="F2791" s="263" t="s">
        <v>5164</v>
      </c>
    </row>
    <row r="2792" spans="1:6">
      <c r="A2792" s="263">
        <v>2791</v>
      </c>
      <c r="B2792" s="263" t="s">
        <v>5240</v>
      </c>
      <c r="C2792" s="263" t="s">
        <v>3158</v>
      </c>
      <c r="D2792" s="263" t="s">
        <v>5227</v>
      </c>
      <c r="E2792" s="263" t="s">
        <v>5228</v>
      </c>
      <c r="F2792" s="263" t="s">
        <v>5164</v>
      </c>
    </row>
    <row r="2793" spans="1:6">
      <c r="A2793" s="263">
        <v>2792</v>
      </c>
      <c r="B2793" s="263" t="s">
        <v>5241</v>
      </c>
      <c r="C2793" s="263" t="s">
        <v>830</v>
      </c>
      <c r="D2793" s="263" t="s">
        <v>5227</v>
      </c>
      <c r="E2793" s="263" t="s">
        <v>5228</v>
      </c>
      <c r="F2793" s="263" t="s">
        <v>5164</v>
      </c>
    </row>
    <row r="2794" spans="1:6">
      <c r="A2794" s="263">
        <v>2793</v>
      </c>
      <c r="B2794" s="263" t="s">
        <v>5242</v>
      </c>
      <c r="C2794" s="263" t="s">
        <v>4055</v>
      </c>
      <c r="D2794" s="263" t="s">
        <v>5227</v>
      </c>
      <c r="E2794" s="263" t="s">
        <v>5228</v>
      </c>
      <c r="F2794" s="263" t="s">
        <v>5164</v>
      </c>
    </row>
    <row r="2795" spans="1:6">
      <c r="A2795" s="263">
        <v>2794</v>
      </c>
      <c r="B2795" s="263" t="s">
        <v>5243</v>
      </c>
      <c r="C2795" s="263" t="s">
        <v>3798</v>
      </c>
      <c r="D2795" s="263" t="s">
        <v>5227</v>
      </c>
      <c r="E2795" s="263" t="s">
        <v>5228</v>
      </c>
      <c r="F2795" s="263" t="s">
        <v>5164</v>
      </c>
    </row>
    <row r="2796" spans="1:6">
      <c r="A2796" s="263">
        <v>2795</v>
      </c>
      <c r="B2796" s="263" t="s">
        <v>5244</v>
      </c>
      <c r="C2796" s="263" t="s">
        <v>5245</v>
      </c>
      <c r="D2796" s="263" t="s">
        <v>5227</v>
      </c>
      <c r="E2796" s="263" t="s">
        <v>5228</v>
      </c>
      <c r="F2796" s="263" t="s">
        <v>5164</v>
      </c>
    </row>
    <row r="2797" spans="1:6">
      <c r="A2797" s="263">
        <v>2796</v>
      </c>
      <c r="B2797" s="263" t="s">
        <v>5246</v>
      </c>
      <c r="C2797" s="263" t="s">
        <v>5247</v>
      </c>
      <c r="D2797" s="263" t="s">
        <v>5248</v>
      </c>
      <c r="E2797" s="263" t="s">
        <v>5249</v>
      </c>
      <c r="F2797" s="263" t="s">
        <v>5164</v>
      </c>
    </row>
    <row r="2798" spans="1:6">
      <c r="A2798" s="263">
        <v>2797</v>
      </c>
      <c r="B2798" s="263" t="s">
        <v>5250</v>
      </c>
      <c r="C2798" s="263" t="s">
        <v>5251</v>
      </c>
      <c r="D2798" s="263" t="s">
        <v>5248</v>
      </c>
      <c r="E2798" s="263" t="s">
        <v>5249</v>
      </c>
      <c r="F2798" s="263" t="s">
        <v>5164</v>
      </c>
    </row>
    <row r="2799" spans="1:6">
      <c r="A2799" s="263">
        <v>2798</v>
      </c>
      <c r="B2799" s="263" t="s">
        <v>5252</v>
      </c>
      <c r="C2799" s="263" t="s">
        <v>5253</v>
      </c>
      <c r="D2799" s="263" t="s">
        <v>5248</v>
      </c>
      <c r="E2799" s="263" t="s">
        <v>5249</v>
      </c>
      <c r="F2799" s="263" t="s">
        <v>5164</v>
      </c>
    </row>
    <row r="2800" spans="1:6">
      <c r="A2800" s="263">
        <v>2799</v>
      </c>
      <c r="B2800" s="263" t="s">
        <v>5254</v>
      </c>
      <c r="C2800" s="263" t="s">
        <v>783</v>
      </c>
      <c r="D2800" s="263" t="s">
        <v>5248</v>
      </c>
      <c r="E2800" s="263" t="s">
        <v>5249</v>
      </c>
      <c r="F2800" s="263" t="s">
        <v>5164</v>
      </c>
    </row>
    <row r="2801" spans="1:6">
      <c r="A2801" s="263">
        <v>2800</v>
      </c>
      <c r="B2801" s="263" t="s">
        <v>5255</v>
      </c>
      <c r="C2801" s="263" t="s">
        <v>1059</v>
      </c>
      <c r="D2801" s="263" t="s">
        <v>5248</v>
      </c>
      <c r="E2801" s="263" t="s">
        <v>5249</v>
      </c>
      <c r="F2801" s="263" t="s">
        <v>5164</v>
      </c>
    </row>
    <row r="2802" spans="1:6">
      <c r="A2802" s="263">
        <v>2801</v>
      </c>
      <c r="B2802" s="263" t="s">
        <v>5256</v>
      </c>
      <c r="C2802" s="263" t="s">
        <v>384</v>
      </c>
      <c r="D2802" s="263" t="s">
        <v>5248</v>
      </c>
      <c r="E2802" s="263" t="s">
        <v>5249</v>
      </c>
      <c r="F2802" s="263" t="s">
        <v>5164</v>
      </c>
    </row>
    <row r="2803" spans="1:6">
      <c r="A2803" s="263">
        <v>2802</v>
      </c>
      <c r="B2803" s="263" t="s">
        <v>5257</v>
      </c>
      <c r="C2803" s="263" t="s">
        <v>5258</v>
      </c>
      <c r="D2803" s="263" t="s">
        <v>5248</v>
      </c>
      <c r="E2803" s="263" t="s">
        <v>5249</v>
      </c>
      <c r="F2803" s="263" t="s">
        <v>5164</v>
      </c>
    </row>
    <row r="2804" spans="1:6">
      <c r="A2804" s="263">
        <v>2803</v>
      </c>
      <c r="B2804" s="263" t="s">
        <v>5259</v>
      </c>
      <c r="C2804" s="263" t="s">
        <v>5260</v>
      </c>
      <c r="D2804" s="263" t="s">
        <v>5248</v>
      </c>
      <c r="E2804" s="263" t="s">
        <v>5249</v>
      </c>
      <c r="F2804" s="263" t="s">
        <v>5164</v>
      </c>
    </row>
    <row r="2805" spans="1:6">
      <c r="A2805" s="263">
        <v>2804</v>
      </c>
      <c r="B2805" s="263" t="s">
        <v>5261</v>
      </c>
      <c r="C2805" s="263" t="s">
        <v>5262</v>
      </c>
      <c r="D2805" s="263" t="s">
        <v>5263</v>
      </c>
      <c r="E2805" s="263" t="s">
        <v>5264</v>
      </c>
      <c r="F2805" s="263" t="s">
        <v>5164</v>
      </c>
    </row>
    <row r="2806" spans="1:6">
      <c r="A2806" s="263">
        <v>2805</v>
      </c>
      <c r="B2806" s="263" t="s">
        <v>5265</v>
      </c>
      <c r="C2806" s="263" t="s">
        <v>5266</v>
      </c>
      <c r="D2806" s="263" t="s">
        <v>5263</v>
      </c>
      <c r="E2806" s="263" t="s">
        <v>5264</v>
      </c>
      <c r="F2806" s="263" t="s">
        <v>5164</v>
      </c>
    </row>
    <row r="2807" spans="1:6">
      <c r="A2807" s="263">
        <v>2806</v>
      </c>
      <c r="B2807" s="263" t="s">
        <v>5267</v>
      </c>
      <c r="C2807" s="263" t="s">
        <v>5268</v>
      </c>
      <c r="D2807" s="263" t="s">
        <v>5263</v>
      </c>
      <c r="E2807" s="263" t="s">
        <v>5264</v>
      </c>
      <c r="F2807" s="263" t="s">
        <v>5164</v>
      </c>
    </row>
    <row r="2808" spans="1:6">
      <c r="A2808" s="263">
        <v>2807</v>
      </c>
      <c r="B2808" s="263" t="s">
        <v>5269</v>
      </c>
      <c r="C2808" s="263" t="s">
        <v>5270</v>
      </c>
      <c r="D2808" s="263" t="s">
        <v>5263</v>
      </c>
      <c r="E2808" s="263" t="s">
        <v>5264</v>
      </c>
      <c r="F2808" s="263" t="s">
        <v>5164</v>
      </c>
    </row>
    <row r="2809" spans="1:6">
      <c r="A2809" s="263">
        <v>2808</v>
      </c>
      <c r="B2809" s="263" t="s">
        <v>5271</v>
      </c>
      <c r="C2809" s="263" t="s">
        <v>5272</v>
      </c>
      <c r="D2809" s="263" t="s">
        <v>5263</v>
      </c>
      <c r="E2809" s="263" t="s">
        <v>5264</v>
      </c>
      <c r="F2809" s="263" t="s">
        <v>5164</v>
      </c>
    </row>
    <row r="2810" spans="1:6">
      <c r="A2810" s="263">
        <v>2809</v>
      </c>
      <c r="B2810" s="263" t="s">
        <v>5273</v>
      </c>
      <c r="C2810" s="263" t="s">
        <v>5274</v>
      </c>
      <c r="D2810" s="263" t="s">
        <v>5263</v>
      </c>
      <c r="E2810" s="263" t="s">
        <v>5264</v>
      </c>
      <c r="F2810" s="263" t="s">
        <v>5164</v>
      </c>
    </row>
    <row r="2811" spans="1:6">
      <c r="A2811" s="263">
        <v>2810</v>
      </c>
      <c r="B2811" s="263" t="s">
        <v>5275</v>
      </c>
      <c r="C2811" s="263" t="s">
        <v>5276</v>
      </c>
      <c r="D2811" s="263" t="s">
        <v>5263</v>
      </c>
      <c r="E2811" s="263" t="s">
        <v>5264</v>
      </c>
      <c r="F2811" s="263" t="s">
        <v>5164</v>
      </c>
    </row>
    <row r="2812" spans="1:6">
      <c r="A2812" s="263">
        <v>2811</v>
      </c>
      <c r="B2812" s="263" t="s">
        <v>5277</v>
      </c>
      <c r="C2812" s="263" t="s">
        <v>5278</v>
      </c>
      <c r="D2812" s="263" t="s">
        <v>5263</v>
      </c>
      <c r="E2812" s="263" t="s">
        <v>5264</v>
      </c>
      <c r="F2812" s="263" t="s">
        <v>5164</v>
      </c>
    </row>
    <row r="2813" spans="1:6">
      <c r="A2813" s="263">
        <v>2812</v>
      </c>
      <c r="B2813" s="263" t="s">
        <v>5279</v>
      </c>
      <c r="C2813" s="263" t="s">
        <v>2249</v>
      </c>
      <c r="D2813" s="263" t="s">
        <v>5263</v>
      </c>
      <c r="E2813" s="263" t="s">
        <v>5264</v>
      </c>
      <c r="F2813" s="263" t="s">
        <v>5164</v>
      </c>
    </row>
    <row r="2814" spans="1:6">
      <c r="A2814" s="263">
        <v>2813</v>
      </c>
      <c r="B2814" s="263" t="s">
        <v>5280</v>
      </c>
      <c r="C2814" s="263" t="s">
        <v>1883</v>
      </c>
      <c r="D2814" s="263" t="s">
        <v>5263</v>
      </c>
      <c r="E2814" s="263" t="s">
        <v>5264</v>
      </c>
      <c r="F2814" s="263" t="s">
        <v>5164</v>
      </c>
    </row>
    <row r="2815" spans="1:6">
      <c r="A2815" s="263">
        <v>2814</v>
      </c>
      <c r="B2815" s="263" t="s">
        <v>5281</v>
      </c>
      <c r="C2815" s="263" t="s">
        <v>373</v>
      </c>
      <c r="D2815" s="263" t="s">
        <v>5263</v>
      </c>
      <c r="E2815" s="263" t="s">
        <v>5264</v>
      </c>
      <c r="F2815" s="263" t="s">
        <v>5164</v>
      </c>
    </row>
    <row r="2816" spans="1:6">
      <c r="A2816" s="263">
        <v>2815</v>
      </c>
      <c r="B2816" s="263" t="s">
        <v>5282</v>
      </c>
      <c r="C2816" s="263" t="s">
        <v>628</v>
      </c>
      <c r="D2816" s="263" t="s">
        <v>5283</v>
      </c>
      <c r="E2816" s="263" t="s">
        <v>5284</v>
      </c>
      <c r="F2816" s="263" t="s">
        <v>5164</v>
      </c>
    </row>
    <row r="2817" spans="1:6">
      <c r="A2817" s="263">
        <v>2816</v>
      </c>
      <c r="B2817" s="263" t="s">
        <v>5285</v>
      </c>
      <c r="C2817" s="263" t="s">
        <v>2581</v>
      </c>
      <c r="D2817" s="263" t="s">
        <v>5283</v>
      </c>
      <c r="E2817" s="263" t="s">
        <v>5284</v>
      </c>
      <c r="F2817" s="263" t="s">
        <v>5164</v>
      </c>
    </row>
    <row r="2818" spans="1:6">
      <c r="A2818" s="263">
        <v>2817</v>
      </c>
      <c r="B2818" s="263" t="s">
        <v>5286</v>
      </c>
      <c r="C2818" s="263" t="s">
        <v>2373</v>
      </c>
      <c r="D2818" s="263" t="s">
        <v>5283</v>
      </c>
      <c r="E2818" s="263" t="s">
        <v>5284</v>
      </c>
      <c r="F2818" s="263" t="s">
        <v>5164</v>
      </c>
    </row>
    <row r="2819" spans="1:6">
      <c r="A2819" s="263">
        <v>2818</v>
      </c>
      <c r="B2819" s="263" t="s">
        <v>5287</v>
      </c>
      <c r="C2819" s="263" t="s">
        <v>2584</v>
      </c>
      <c r="D2819" s="263" t="s">
        <v>5283</v>
      </c>
      <c r="E2819" s="263" t="s">
        <v>5284</v>
      </c>
      <c r="F2819" s="263" t="s">
        <v>5164</v>
      </c>
    </row>
    <row r="2820" spans="1:6">
      <c r="A2820" s="263">
        <v>2819</v>
      </c>
      <c r="B2820" s="263" t="s">
        <v>5288</v>
      </c>
      <c r="C2820" s="263" t="s">
        <v>632</v>
      </c>
      <c r="D2820" s="263" t="s">
        <v>5283</v>
      </c>
      <c r="E2820" s="263" t="s">
        <v>5284</v>
      </c>
      <c r="F2820" s="263" t="s">
        <v>5164</v>
      </c>
    </row>
    <row r="2821" spans="1:6">
      <c r="A2821" s="263">
        <v>2820</v>
      </c>
      <c r="B2821" s="263" t="s">
        <v>5289</v>
      </c>
      <c r="C2821" s="263" t="s">
        <v>634</v>
      </c>
      <c r="D2821" s="263" t="s">
        <v>5283</v>
      </c>
      <c r="E2821" s="263" t="s">
        <v>5284</v>
      </c>
      <c r="F2821" s="263" t="s">
        <v>5164</v>
      </c>
    </row>
    <row r="2822" spans="1:6">
      <c r="A2822" s="263">
        <v>2821</v>
      </c>
      <c r="B2822" s="263" t="s">
        <v>5290</v>
      </c>
      <c r="C2822" s="263" t="s">
        <v>1184</v>
      </c>
      <c r="D2822" s="263" t="s">
        <v>5283</v>
      </c>
      <c r="E2822" s="263" t="s">
        <v>5284</v>
      </c>
      <c r="F2822" s="263" t="s">
        <v>5164</v>
      </c>
    </row>
    <row r="2823" spans="1:6">
      <c r="A2823" s="263">
        <v>2822</v>
      </c>
      <c r="B2823" s="263" t="s">
        <v>5291</v>
      </c>
      <c r="C2823" s="263" t="s">
        <v>636</v>
      </c>
      <c r="D2823" s="263" t="s">
        <v>5283</v>
      </c>
      <c r="E2823" s="263" t="s">
        <v>5284</v>
      </c>
      <c r="F2823" s="263" t="s">
        <v>5164</v>
      </c>
    </row>
    <row r="2824" spans="1:6">
      <c r="A2824" s="263">
        <v>2823</v>
      </c>
      <c r="B2824" s="263" t="s">
        <v>5292</v>
      </c>
      <c r="C2824" s="263" t="s">
        <v>638</v>
      </c>
      <c r="D2824" s="263" t="s">
        <v>5283</v>
      </c>
      <c r="E2824" s="263" t="s">
        <v>5284</v>
      </c>
      <c r="F2824" s="263" t="s">
        <v>5164</v>
      </c>
    </row>
    <row r="2825" spans="1:6">
      <c r="A2825" s="263">
        <v>2824</v>
      </c>
      <c r="B2825" s="263" t="s">
        <v>5293</v>
      </c>
      <c r="C2825" s="263" t="s">
        <v>640</v>
      </c>
      <c r="D2825" s="263" t="s">
        <v>5283</v>
      </c>
      <c r="E2825" s="263" t="s">
        <v>5284</v>
      </c>
      <c r="F2825" s="263" t="s">
        <v>5164</v>
      </c>
    </row>
    <row r="2826" spans="1:6">
      <c r="A2826" s="263">
        <v>2825</v>
      </c>
      <c r="B2826" s="263" t="s">
        <v>5294</v>
      </c>
      <c r="C2826" s="263" t="s">
        <v>1645</v>
      </c>
      <c r="D2826" s="263" t="s">
        <v>5283</v>
      </c>
      <c r="E2826" s="263" t="s">
        <v>5284</v>
      </c>
      <c r="F2826" s="263" t="s">
        <v>5164</v>
      </c>
    </row>
    <row r="2827" spans="1:6">
      <c r="A2827" s="263">
        <v>2826</v>
      </c>
      <c r="B2827" s="263" t="s">
        <v>5295</v>
      </c>
      <c r="C2827" s="263" t="s">
        <v>5296</v>
      </c>
      <c r="D2827" s="263" t="s">
        <v>5283</v>
      </c>
      <c r="E2827" s="263" t="s">
        <v>5284</v>
      </c>
      <c r="F2827" s="263" t="s">
        <v>5164</v>
      </c>
    </row>
    <row r="2828" spans="1:6">
      <c r="A2828" s="263">
        <v>2827</v>
      </c>
      <c r="B2828" s="263" t="s">
        <v>5297</v>
      </c>
      <c r="C2828" s="263" t="s">
        <v>5298</v>
      </c>
      <c r="D2828" s="263" t="s">
        <v>5283</v>
      </c>
      <c r="E2828" s="263" t="s">
        <v>5284</v>
      </c>
      <c r="F2828" s="263" t="s">
        <v>5164</v>
      </c>
    </row>
    <row r="2829" spans="1:6">
      <c r="A2829" s="263">
        <v>2828</v>
      </c>
      <c r="B2829" s="263" t="s">
        <v>5299</v>
      </c>
      <c r="C2829" s="263" t="s">
        <v>5300</v>
      </c>
      <c r="D2829" s="263" t="s">
        <v>5283</v>
      </c>
      <c r="E2829" s="263" t="s">
        <v>5284</v>
      </c>
      <c r="F2829" s="263" t="s">
        <v>5164</v>
      </c>
    </row>
    <row r="2830" spans="1:6">
      <c r="A2830" s="263">
        <v>2829</v>
      </c>
      <c r="B2830" s="263" t="s">
        <v>5301</v>
      </c>
      <c r="C2830" s="263" t="s">
        <v>5302</v>
      </c>
      <c r="D2830" s="263" t="s">
        <v>5283</v>
      </c>
      <c r="E2830" s="263" t="s">
        <v>5284</v>
      </c>
      <c r="F2830" s="263" t="s">
        <v>5164</v>
      </c>
    </row>
    <row r="2831" spans="1:6">
      <c r="A2831" s="263">
        <v>2830</v>
      </c>
      <c r="B2831" s="263" t="s">
        <v>5303</v>
      </c>
      <c r="C2831" s="263" t="s">
        <v>5304</v>
      </c>
      <c r="D2831" s="263" t="s">
        <v>5283</v>
      </c>
      <c r="E2831" s="263" t="s">
        <v>5284</v>
      </c>
      <c r="F2831" s="263" t="s">
        <v>5164</v>
      </c>
    </row>
    <row r="2832" spans="1:6">
      <c r="A2832" s="263">
        <v>2831</v>
      </c>
      <c r="B2832" s="263" t="s">
        <v>5305</v>
      </c>
      <c r="C2832" s="263" t="s">
        <v>3440</v>
      </c>
      <c r="D2832" s="263" t="s">
        <v>5283</v>
      </c>
      <c r="E2832" s="263" t="s">
        <v>5284</v>
      </c>
      <c r="F2832" s="263" t="s">
        <v>5164</v>
      </c>
    </row>
  </sheetData>
  <sheetProtection formatCells="0" formatColumns="0" formatRows="0" sort="0" autoFilter="0" pivotTables="0"/>
  <autoFilter ref="A1:F2832"/>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activeCell="B20" sqref="B20"/>
    </sheetView>
  </sheetViews>
  <sheetFormatPr defaultColWidth="9.140625" defaultRowHeight="15"/>
  <cols>
    <col min="1" max="1" width="5" customWidth="1"/>
    <col min="2" max="2" width="40.42578125" customWidth="1"/>
    <col min="3" max="3" width="5" customWidth="1"/>
    <col min="4" max="4" width="15.28515625" customWidth="1"/>
    <col min="5" max="5" width="10.7109375" customWidth="1"/>
    <col min="6" max="6" width="8.42578125" customWidth="1"/>
    <col min="7" max="7" width="12.140625" customWidth="1"/>
    <col min="8" max="8" width="8.28515625" customWidth="1"/>
    <col min="9" max="9" width="8.140625" customWidth="1"/>
  </cols>
  <sheetData>
    <row r="1" spans="1:9" ht="33.75" customHeight="1">
      <c r="A1" s="264" t="s">
        <v>0</v>
      </c>
      <c r="B1" s="264" t="s">
        <v>5307</v>
      </c>
      <c r="C1" s="264" t="s">
        <v>6597</v>
      </c>
      <c r="D1" s="264" t="s">
        <v>6598</v>
      </c>
      <c r="E1" s="264" t="s">
        <v>6428</v>
      </c>
      <c r="F1" s="264" t="s">
        <v>6440</v>
      </c>
      <c r="G1" s="264" t="s">
        <v>5723</v>
      </c>
      <c r="H1" s="264" t="s">
        <v>6455</v>
      </c>
      <c r="I1" s="264" t="s">
        <v>6599</v>
      </c>
    </row>
    <row r="2" spans="1:9">
      <c r="A2" s="265">
        <v>1</v>
      </c>
      <c r="B2" s="265" t="s">
        <v>6600</v>
      </c>
      <c r="C2" s="265">
        <v>2</v>
      </c>
      <c r="D2" s="265" t="s">
        <v>6601</v>
      </c>
      <c r="E2" s="265">
        <v>60</v>
      </c>
      <c r="F2" s="265">
        <v>32.43</v>
      </c>
      <c r="G2" s="265">
        <v>0</v>
      </c>
      <c r="H2" s="265">
        <v>0</v>
      </c>
      <c r="I2" s="265">
        <v>0</v>
      </c>
    </row>
    <row r="3" spans="1:9">
      <c r="A3" s="265">
        <v>2</v>
      </c>
      <c r="B3" s="265" t="s">
        <v>6600</v>
      </c>
      <c r="C3" s="265">
        <v>3</v>
      </c>
      <c r="D3" s="265" t="s">
        <v>6601</v>
      </c>
      <c r="E3" s="265">
        <v>60</v>
      </c>
      <c r="F3" s="265">
        <v>32.43</v>
      </c>
      <c r="G3" s="265">
        <v>0</v>
      </c>
      <c r="H3" s="265">
        <v>0</v>
      </c>
      <c r="I3" s="265">
        <v>0</v>
      </c>
    </row>
    <row r="4" spans="1:9">
      <c r="A4" s="265">
        <v>3</v>
      </c>
      <c r="B4" s="265" t="s">
        <v>6600</v>
      </c>
      <c r="C4" s="265">
        <v>4</v>
      </c>
      <c r="D4" s="265" t="s">
        <v>6601</v>
      </c>
      <c r="E4" s="265">
        <v>60</v>
      </c>
      <c r="F4" s="265">
        <v>14.49</v>
      </c>
      <c r="G4" s="265">
        <v>0</v>
      </c>
      <c r="H4" s="265">
        <v>0</v>
      </c>
      <c r="I4" s="265">
        <v>0</v>
      </c>
    </row>
    <row r="5" spans="1:9">
      <c r="A5" s="265">
        <v>4</v>
      </c>
      <c r="B5" s="265" t="s">
        <v>6600</v>
      </c>
      <c r="C5" s="265">
        <v>1</v>
      </c>
      <c r="D5" s="265" t="s">
        <v>6602</v>
      </c>
      <c r="E5" s="265">
        <v>60</v>
      </c>
      <c r="F5" s="265">
        <v>27.54</v>
      </c>
      <c r="G5" s="265">
        <v>0</v>
      </c>
      <c r="H5" s="265">
        <v>0</v>
      </c>
      <c r="I5" s="265">
        <v>0</v>
      </c>
    </row>
    <row r="6" spans="1:9">
      <c r="A6" s="265">
        <v>5</v>
      </c>
      <c r="B6" s="265" t="s">
        <v>6600</v>
      </c>
      <c r="C6" s="265">
        <v>2</v>
      </c>
      <c r="D6" s="265" t="s">
        <v>6602</v>
      </c>
      <c r="E6" s="265">
        <v>60</v>
      </c>
      <c r="F6" s="265">
        <v>25.18</v>
      </c>
      <c r="G6" s="265">
        <v>0</v>
      </c>
      <c r="H6" s="265">
        <v>0</v>
      </c>
      <c r="I6" s="265">
        <v>0</v>
      </c>
    </row>
    <row r="7" spans="1:9">
      <c r="A7" s="265">
        <v>6</v>
      </c>
      <c r="B7" s="265" t="s">
        <v>6600</v>
      </c>
      <c r="C7" s="265">
        <v>3</v>
      </c>
      <c r="D7" s="265" t="s">
        <v>6602</v>
      </c>
      <c r="E7" s="265">
        <v>60</v>
      </c>
      <c r="F7" s="265">
        <v>25.18</v>
      </c>
      <c r="G7" s="265">
        <v>0</v>
      </c>
      <c r="H7" s="265">
        <v>0</v>
      </c>
      <c r="I7" s="265">
        <v>0</v>
      </c>
    </row>
    <row r="8" spans="1:9">
      <c r="A8" s="265">
        <v>7</v>
      </c>
      <c r="B8" s="265" t="s">
        <v>6600</v>
      </c>
      <c r="C8" s="265">
        <v>4</v>
      </c>
      <c r="D8" s="265" t="s">
        <v>6602</v>
      </c>
      <c r="E8" s="265">
        <v>60</v>
      </c>
      <c r="F8" s="265">
        <v>11.25</v>
      </c>
      <c r="G8" s="265">
        <v>0</v>
      </c>
      <c r="H8" s="265">
        <v>0</v>
      </c>
      <c r="I8" s="265">
        <v>0</v>
      </c>
    </row>
    <row r="9" spans="1:9">
      <c r="A9" s="265">
        <v>8</v>
      </c>
      <c r="B9" s="265" t="s">
        <v>6600</v>
      </c>
      <c r="C9" s="265">
        <v>4</v>
      </c>
      <c r="D9" s="265" t="s">
        <v>6603</v>
      </c>
      <c r="E9" s="265">
        <v>60</v>
      </c>
      <c r="F9" s="265">
        <v>0</v>
      </c>
      <c r="G9" s="265">
        <v>0</v>
      </c>
      <c r="H9" s="265">
        <v>0</v>
      </c>
      <c r="I9" s="265">
        <v>0</v>
      </c>
    </row>
    <row r="10" spans="1:9">
      <c r="A10" s="265">
        <v>9</v>
      </c>
      <c r="B10" s="265" t="s">
        <v>6600</v>
      </c>
      <c r="C10" s="265">
        <v>5</v>
      </c>
      <c r="D10" s="265" t="s">
        <v>6603</v>
      </c>
      <c r="E10" s="265">
        <v>60</v>
      </c>
      <c r="F10" s="265">
        <v>0</v>
      </c>
      <c r="G10" s="265">
        <v>0</v>
      </c>
      <c r="H10" s="265">
        <v>0</v>
      </c>
      <c r="I10" s="265">
        <v>0</v>
      </c>
    </row>
    <row r="11" spans="1:9">
      <c r="A11" s="265">
        <v>10</v>
      </c>
      <c r="B11" s="265" t="s">
        <v>6600</v>
      </c>
      <c r="C11" s="265">
        <v>6</v>
      </c>
      <c r="D11" s="265" t="s">
        <v>6603</v>
      </c>
      <c r="E11" s="265">
        <v>60</v>
      </c>
      <c r="F11" s="265">
        <v>0</v>
      </c>
      <c r="G11" s="265">
        <v>0</v>
      </c>
      <c r="H11" s="265">
        <v>0</v>
      </c>
      <c r="I11" s="265">
        <v>0</v>
      </c>
    </row>
    <row r="12" spans="1:9">
      <c r="A12" s="265">
        <v>11</v>
      </c>
      <c r="B12" s="265" t="s">
        <v>6600</v>
      </c>
      <c r="C12" s="265">
        <v>7</v>
      </c>
      <c r="D12" s="265" t="s">
        <v>6603</v>
      </c>
      <c r="E12" s="265">
        <v>60</v>
      </c>
      <c r="F12" s="265">
        <v>0</v>
      </c>
      <c r="G12" s="265">
        <v>0</v>
      </c>
      <c r="H12" s="265">
        <v>0</v>
      </c>
      <c r="I12" s="265">
        <v>0</v>
      </c>
    </row>
    <row r="13" spans="1:9">
      <c r="A13" s="265">
        <v>12</v>
      </c>
      <c r="B13" s="265" t="s">
        <v>6600</v>
      </c>
      <c r="C13" s="265">
        <v>8</v>
      </c>
      <c r="D13" s="265" t="s">
        <v>6603</v>
      </c>
      <c r="E13" s="265">
        <v>60</v>
      </c>
      <c r="F13" s="265">
        <v>0</v>
      </c>
      <c r="G13" s="265">
        <v>0</v>
      </c>
      <c r="H13" s="265">
        <v>0</v>
      </c>
      <c r="I13" s="265">
        <v>0</v>
      </c>
    </row>
    <row r="14" spans="1:9">
      <c r="A14" s="265">
        <v>13</v>
      </c>
      <c r="B14" s="265" t="s">
        <v>6604</v>
      </c>
      <c r="C14" s="265">
        <v>2</v>
      </c>
      <c r="D14" s="265" t="s">
        <v>6601</v>
      </c>
      <c r="E14" s="265">
        <v>60</v>
      </c>
      <c r="F14" s="265">
        <v>0</v>
      </c>
      <c r="G14" s="265">
        <v>0</v>
      </c>
      <c r="H14" s="265">
        <v>40</v>
      </c>
      <c r="I14" s="265">
        <v>0</v>
      </c>
    </row>
    <row r="15" spans="1:9">
      <c r="A15" s="265">
        <v>14</v>
      </c>
      <c r="B15" s="265" t="s">
        <v>6604</v>
      </c>
      <c r="C15" s="265">
        <v>4</v>
      </c>
      <c r="D15" s="265" t="s">
        <v>6601</v>
      </c>
      <c r="E15" s="265">
        <v>60</v>
      </c>
      <c r="F15" s="265">
        <v>0</v>
      </c>
      <c r="G15" s="265">
        <v>0</v>
      </c>
      <c r="H15" s="265">
        <v>0</v>
      </c>
      <c r="I15" s="265">
        <v>0</v>
      </c>
    </row>
    <row r="16" spans="1:9">
      <c r="A16" s="265">
        <v>15</v>
      </c>
      <c r="B16" s="265" t="s">
        <v>6604</v>
      </c>
      <c r="C16" s="265">
        <v>2</v>
      </c>
      <c r="D16" s="265" t="s">
        <v>6602</v>
      </c>
      <c r="E16" s="265">
        <v>60</v>
      </c>
      <c r="F16" s="265">
        <v>0</v>
      </c>
      <c r="G16" s="265">
        <v>0</v>
      </c>
      <c r="H16" s="265">
        <v>0</v>
      </c>
      <c r="I16" s="265">
        <v>0</v>
      </c>
    </row>
    <row r="17" spans="1:9">
      <c r="A17" s="265">
        <v>16</v>
      </c>
      <c r="B17" s="265" t="s">
        <v>6604</v>
      </c>
      <c r="C17" s="265">
        <v>4</v>
      </c>
      <c r="D17" s="265" t="s">
        <v>6602</v>
      </c>
      <c r="E17" s="265">
        <v>60</v>
      </c>
      <c r="F17" s="265">
        <v>0</v>
      </c>
      <c r="G17" s="265">
        <v>0</v>
      </c>
      <c r="H17" s="265">
        <v>0</v>
      </c>
      <c r="I17" s="265">
        <v>0</v>
      </c>
    </row>
    <row r="18" spans="1:9">
      <c r="A18" s="265">
        <v>17</v>
      </c>
      <c r="B18" s="265" t="s">
        <v>6605</v>
      </c>
      <c r="C18" s="265">
        <v>6</v>
      </c>
      <c r="D18" s="265" t="s">
        <v>6606</v>
      </c>
      <c r="E18" s="265">
        <v>60</v>
      </c>
      <c r="F18" s="265">
        <v>0</v>
      </c>
      <c r="G18" s="265">
        <v>0</v>
      </c>
      <c r="H18" s="265">
        <v>0</v>
      </c>
      <c r="I18" s="265">
        <v>0</v>
      </c>
    </row>
    <row r="19" spans="1:9">
      <c r="A19" s="265">
        <v>18</v>
      </c>
      <c r="B19" s="265" t="s">
        <v>6605</v>
      </c>
      <c r="C19" s="265">
        <v>7</v>
      </c>
      <c r="D19" s="265" t="s">
        <v>6606</v>
      </c>
      <c r="E19" s="265">
        <v>60</v>
      </c>
      <c r="F19" s="265">
        <v>0</v>
      </c>
      <c r="G19" s="265">
        <v>0</v>
      </c>
      <c r="H19" s="265">
        <v>0</v>
      </c>
      <c r="I19" s="265">
        <v>0</v>
      </c>
    </row>
    <row r="20" spans="1:9">
      <c r="A20" s="265">
        <v>19</v>
      </c>
      <c r="B20" s="265" t="s">
        <v>6607</v>
      </c>
      <c r="C20" s="265">
        <v>2</v>
      </c>
      <c r="D20" s="265" t="s">
        <v>6601</v>
      </c>
      <c r="E20" s="265">
        <v>60</v>
      </c>
      <c r="F20" s="265">
        <v>0</v>
      </c>
      <c r="G20" s="265">
        <v>0</v>
      </c>
      <c r="H20" s="265">
        <v>0</v>
      </c>
      <c r="I20" s="265">
        <v>0</v>
      </c>
    </row>
    <row r="21" spans="1:9">
      <c r="A21" s="265">
        <v>20</v>
      </c>
      <c r="B21" s="265" t="s">
        <v>6607</v>
      </c>
      <c r="C21" s="265">
        <v>4</v>
      </c>
      <c r="D21" s="265" t="s">
        <v>6601</v>
      </c>
      <c r="E21" s="265">
        <v>60</v>
      </c>
      <c r="F21" s="265">
        <v>0</v>
      </c>
      <c r="G21" s="265">
        <v>0</v>
      </c>
      <c r="H21" s="265">
        <v>0</v>
      </c>
      <c r="I21" s="265">
        <v>0</v>
      </c>
    </row>
    <row r="22" spans="1:9">
      <c r="A22" s="265">
        <v>21</v>
      </c>
      <c r="B22" s="265" t="s">
        <v>6607</v>
      </c>
      <c r="C22" s="265">
        <v>2</v>
      </c>
      <c r="D22" s="265" t="s">
        <v>6602</v>
      </c>
      <c r="E22" s="265">
        <v>60</v>
      </c>
      <c r="F22" s="265">
        <v>0</v>
      </c>
      <c r="G22" s="265">
        <v>0</v>
      </c>
      <c r="H22" s="265">
        <v>0</v>
      </c>
      <c r="I22" s="265">
        <v>0</v>
      </c>
    </row>
    <row r="23" spans="1:9">
      <c r="A23" s="265">
        <v>22</v>
      </c>
      <c r="B23" s="265" t="s">
        <v>6607</v>
      </c>
      <c r="C23" s="265">
        <v>4</v>
      </c>
      <c r="D23" s="265" t="s">
        <v>6602</v>
      </c>
      <c r="E23" s="265">
        <v>60</v>
      </c>
      <c r="F23" s="265">
        <v>0</v>
      </c>
      <c r="G23" s="265">
        <v>0</v>
      </c>
      <c r="H23" s="265">
        <v>0</v>
      </c>
      <c r="I23" s="265">
        <v>0</v>
      </c>
    </row>
    <row r="24" spans="1:9">
      <c r="A24" s="265">
        <v>23</v>
      </c>
      <c r="B24" s="265" t="s">
        <v>6608</v>
      </c>
      <c r="C24" s="265">
        <v>6</v>
      </c>
      <c r="D24" s="265" t="s">
        <v>6606</v>
      </c>
      <c r="E24" s="265">
        <v>60</v>
      </c>
      <c r="F24" s="265">
        <v>0</v>
      </c>
      <c r="G24" s="265">
        <v>0</v>
      </c>
      <c r="H24" s="265">
        <v>0</v>
      </c>
      <c r="I24" s="265">
        <v>0</v>
      </c>
    </row>
    <row r="25" spans="1:9">
      <c r="A25" s="265">
        <v>24</v>
      </c>
      <c r="B25" s="265" t="s">
        <v>6608</v>
      </c>
      <c r="C25" s="265">
        <v>7</v>
      </c>
      <c r="D25" s="265" t="s">
        <v>6606</v>
      </c>
      <c r="E25" s="265">
        <v>60</v>
      </c>
      <c r="F25" s="265">
        <v>0</v>
      </c>
      <c r="G25" s="265">
        <v>0</v>
      </c>
      <c r="H25" s="265">
        <v>0</v>
      </c>
      <c r="I25" s="265">
        <v>0</v>
      </c>
    </row>
    <row r="26" spans="1:9">
      <c r="A26" s="265">
        <v>25</v>
      </c>
      <c r="B26" s="265" t="s">
        <v>6609</v>
      </c>
      <c r="C26" s="265">
        <v>6</v>
      </c>
      <c r="D26" s="265" t="s">
        <v>6606</v>
      </c>
      <c r="E26" s="265">
        <v>60</v>
      </c>
      <c r="F26" s="265">
        <v>0</v>
      </c>
      <c r="G26" s="265">
        <v>0</v>
      </c>
      <c r="H26" s="265">
        <v>0</v>
      </c>
      <c r="I26" s="265">
        <v>0</v>
      </c>
    </row>
    <row r="27" spans="1:9">
      <c r="A27" s="265">
        <v>26</v>
      </c>
      <c r="B27" s="265" t="s">
        <v>6609</v>
      </c>
      <c r="C27" s="265">
        <v>7</v>
      </c>
      <c r="D27" s="265" t="s">
        <v>6606</v>
      </c>
      <c r="E27" s="265">
        <v>60</v>
      </c>
      <c r="F27" s="265">
        <v>0</v>
      </c>
      <c r="G27" s="265">
        <v>0</v>
      </c>
      <c r="H27" s="265">
        <v>0</v>
      </c>
      <c r="I27" s="265">
        <v>0</v>
      </c>
    </row>
    <row r="28" spans="1:9">
      <c r="A28" s="265">
        <v>27</v>
      </c>
      <c r="B28" s="265" t="s">
        <v>6610</v>
      </c>
      <c r="C28" s="265">
        <v>2</v>
      </c>
      <c r="D28" s="265" t="s">
        <v>6601</v>
      </c>
      <c r="E28" s="265">
        <v>60</v>
      </c>
      <c r="F28" s="265">
        <v>0</v>
      </c>
      <c r="G28" s="265">
        <v>0</v>
      </c>
      <c r="H28" s="265">
        <v>0</v>
      </c>
      <c r="I28" s="265">
        <v>0</v>
      </c>
    </row>
    <row r="29" spans="1:9">
      <c r="A29" s="265">
        <v>28</v>
      </c>
      <c r="B29" s="265" t="s">
        <v>6610</v>
      </c>
      <c r="C29" s="265">
        <v>3</v>
      </c>
      <c r="D29" s="265" t="s">
        <v>6601</v>
      </c>
      <c r="E29" s="265">
        <v>60</v>
      </c>
      <c r="F29" s="265">
        <v>0</v>
      </c>
      <c r="G29" s="265">
        <v>0</v>
      </c>
      <c r="H29" s="265">
        <v>0</v>
      </c>
      <c r="I29" s="265">
        <v>0</v>
      </c>
    </row>
    <row r="30" spans="1:9">
      <c r="A30" s="265">
        <v>29</v>
      </c>
      <c r="B30" s="265" t="s">
        <v>6610</v>
      </c>
      <c r="C30" s="265">
        <v>4</v>
      </c>
      <c r="D30" s="265" t="s">
        <v>6601</v>
      </c>
      <c r="E30" s="265">
        <v>60</v>
      </c>
      <c r="F30" s="265">
        <v>0</v>
      </c>
      <c r="G30" s="265">
        <v>0</v>
      </c>
      <c r="H30" s="265">
        <v>0</v>
      </c>
      <c r="I30" s="265">
        <v>0</v>
      </c>
    </row>
    <row r="31" spans="1:9">
      <c r="A31" s="265">
        <v>30</v>
      </c>
      <c r="B31" s="265" t="s">
        <v>6610</v>
      </c>
      <c r="C31" s="265">
        <v>1</v>
      </c>
      <c r="D31" s="265" t="s">
        <v>6602</v>
      </c>
      <c r="E31" s="265">
        <v>60</v>
      </c>
      <c r="F31" s="265">
        <v>0</v>
      </c>
      <c r="G31" s="265">
        <v>0</v>
      </c>
      <c r="H31" s="265">
        <v>0</v>
      </c>
      <c r="I31" s="265">
        <v>0</v>
      </c>
    </row>
    <row r="32" spans="1:9">
      <c r="A32" s="265">
        <v>31</v>
      </c>
      <c r="B32" s="265" t="s">
        <v>6610</v>
      </c>
      <c r="C32" s="265">
        <v>2</v>
      </c>
      <c r="D32" s="265" t="s">
        <v>6602</v>
      </c>
      <c r="E32" s="265">
        <v>60</v>
      </c>
      <c r="F32" s="265">
        <v>0</v>
      </c>
      <c r="G32" s="265">
        <v>0</v>
      </c>
      <c r="H32" s="265">
        <v>0</v>
      </c>
      <c r="I32" s="265">
        <v>0</v>
      </c>
    </row>
    <row r="33" spans="1:9">
      <c r="A33" s="265">
        <v>32</v>
      </c>
      <c r="B33" s="265" t="s">
        <v>6610</v>
      </c>
      <c r="C33" s="265">
        <v>4</v>
      </c>
      <c r="D33" s="265" t="s">
        <v>6602</v>
      </c>
      <c r="E33" s="265">
        <v>60</v>
      </c>
      <c r="F33" s="265">
        <v>0</v>
      </c>
      <c r="G33" s="265">
        <v>0</v>
      </c>
      <c r="H33" s="265">
        <v>0</v>
      </c>
      <c r="I33" s="265">
        <v>0</v>
      </c>
    </row>
    <row r="34" spans="1:9">
      <c r="A34" s="265">
        <v>33</v>
      </c>
      <c r="B34" s="265" t="s">
        <v>6610</v>
      </c>
      <c r="C34" s="265">
        <v>4</v>
      </c>
      <c r="D34" s="265" t="s">
        <v>6603</v>
      </c>
      <c r="E34" s="265">
        <v>60</v>
      </c>
      <c r="F34" s="265">
        <v>0</v>
      </c>
      <c r="G34" s="265">
        <v>0</v>
      </c>
      <c r="H34" s="265">
        <v>0</v>
      </c>
      <c r="I34" s="265">
        <v>0</v>
      </c>
    </row>
    <row r="35" spans="1:9">
      <c r="A35" s="265">
        <v>34</v>
      </c>
      <c r="B35" s="265" t="s">
        <v>6610</v>
      </c>
      <c r="C35" s="265">
        <v>6</v>
      </c>
      <c r="D35" s="265" t="s">
        <v>6603</v>
      </c>
      <c r="E35" s="265">
        <v>60</v>
      </c>
      <c r="F35" s="265">
        <v>0</v>
      </c>
      <c r="G35" s="265">
        <v>0</v>
      </c>
      <c r="H35" s="265">
        <v>0</v>
      </c>
      <c r="I35" s="265">
        <v>0</v>
      </c>
    </row>
    <row r="36" spans="1:9">
      <c r="A36" s="265">
        <v>35</v>
      </c>
      <c r="B36" s="265" t="s">
        <v>6610</v>
      </c>
      <c r="C36" s="265">
        <v>8</v>
      </c>
      <c r="D36" s="265" t="s">
        <v>6603</v>
      </c>
      <c r="E36" s="265">
        <v>60</v>
      </c>
      <c r="F36" s="265">
        <v>0</v>
      </c>
      <c r="G36" s="265">
        <v>0</v>
      </c>
      <c r="H36" s="265">
        <v>0</v>
      </c>
      <c r="I36" s="265">
        <v>0</v>
      </c>
    </row>
    <row r="37" spans="1:9">
      <c r="A37" s="265">
        <v>36</v>
      </c>
      <c r="B37" s="265" t="s">
        <v>6611</v>
      </c>
      <c r="C37" s="265">
        <v>4</v>
      </c>
      <c r="D37" s="265" t="s">
        <v>6603</v>
      </c>
      <c r="E37" s="265">
        <v>60</v>
      </c>
      <c r="F37" s="265">
        <v>0</v>
      </c>
      <c r="G37" s="265">
        <v>0</v>
      </c>
      <c r="H37" s="265">
        <v>0</v>
      </c>
      <c r="I37" s="265">
        <v>0</v>
      </c>
    </row>
    <row r="38" spans="1:9">
      <c r="A38" s="265">
        <v>37</v>
      </c>
      <c r="B38" s="265" t="s">
        <v>6611</v>
      </c>
      <c r="C38" s="265">
        <v>6</v>
      </c>
      <c r="D38" s="265" t="s">
        <v>6603</v>
      </c>
      <c r="E38" s="265">
        <v>60</v>
      </c>
      <c r="F38" s="265">
        <v>0</v>
      </c>
      <c r="G38" s="265">
        <v>0</v>
      </c>
      <c r="H38" s="265">
        <v>0</v>
      </c>
      <c r="I38" s="265">
        <v>0</v>
      </c>
    </row>
    <row r="39" spans="1:9">
      <c r="A39" s="265">
        <v>38</v>
      </c>
      <c r="B39" s="265" t="s">
        <v>6611</v>
      </c>
      <c r="C39" s="265">
        <v>8</v>
      </c>
      <c r="D39" s="265" t="s">
        <v>6603</v>
      </c>
      <c r="E39" s="265">
        <v>60</v>
      </c>
      <c r="F39" s="265">
        <v>0</v>
      </c>
      <c r="G39" s="265">
        <v>0</v>
      </c>
      <c r="H39" s="265">
        <v>0</v>
      </c>
      <c r="I39" s="265">
        <v>0</v>
      </c>
    </row>
    <row r="40" spans="1:9">
      <c r="A40" s="265">
        <v>39</v>
      </c>
      <c r="B40" s="265" t="s">
        <v>6612</v>
      </c>
      <c r="C40" s="265">
        <v>4</v>
      </c>
      <c r="D40" s="265" t="s">
        <v>6603</v>
      </c>
      <c r="E40" s="265">
        <v>60</v>
      </c>
      <c r="F40" s="265">
        <v>0</v>
      </c>
      <c r="G40" s="265">
        <v>0</v>
      </c>
      <c r="H40" s="265">
        <v>0</v>
      </c>
      <c r="I40" s="265">
        <v>0</v>
      </c>
    </row>
    <row r="41" spans="1:9">
      <c r="A41" s="265">
        <v>40</v>
      </c>
      <c r="B41" s="265" t="s">
        <v>6612</v>
      </c>
      <c r="C41" s="265">
        <v>6</v>
      </c>
      <c r="D41" s="265" t="s">
        <v>6603</v>
      </c>
      <c r="E41" s="265">
        <v>60</v>
      </c>
      <c r="F41" s="265">
        <v>0</v>
      </c>
      <c r="G41" s="265">
        <v>0</v>
      </c>
      <c r="H41" s="265">
        <v>0</v>
      </c>
      <c r="I41" s="265">
        <v>0</v>
      </c>
    </row>
    <row r="42" spans="1:9">
      <c r="A42" s="265">
        <v>41</v>
      </c>
      <c r="B42" s="265" t="s">
        <v>6612</v>
      </c>
      <c r="C42" s="265">
        <v>8</v>
      </c>
      <c r="D42" s="265" t="s">
        <v>6603</v>
      </c>
      <c r="E42" s="265">
        <v>60</v>
      </c>
      <c r="F42" s="265">
        <v>0</v>
      </c>
      <c r="G42" s="265">
        <v>0</v>
      </c>
      <c r="H42" s="265">
        <v>0</v>
      </c>
      <c r="I42" s="265">
        <v>0</v>
      </c>
    </row>
    <row r="43" spans="1:9">
      <c r="A43" s="265">
        <v>42</v>
      </c>
      <c r="B43" s="265" t="s">
        <v>6613</v>
      </c>
      <c r="C43" s="265">
        <v>2</v>
      </c>
      <c r="D43" s="265" t="s">
        <v>6601</v>
      </c>
      <c r="E43" s="265">
        <v>60</v>
      </c>
      <c r="F43" s="265">
        <v>67.599999999999994</v>
      </c>
      <c r="G43" s="265">
        <v>0</v>
      </c>
      <c r="H43" s="265">
        <v>0</v>
      </c>
      <c r="I43" s="265">
        <v>0</v>
      </c>
    </row>
    <row r="44" spans="1:9">
      <c r="A44" s="265">
        <v>43</v>
      </c>
      <c r="B44" s="265" t="s">
        <v>6613</v>
      </c>
      <c r="C44" s="265">
        <v>4</v>
      </c>
      <c r="D44" s="265" t="s">
        <v>6601</v>
      </c>
      <c r="E44" s="265">
        <v>60</v>
      </c>
      <c r="F44" s="265">
        <v>63.2</v>
      </c>
      <c r="G44" s="265">
        <v>0</v>
      </c>
      <c r="H44" s="265">
        <v>0</v>
      </c>
      <c r="I44" s="265">
        <v>0</v>
      </c>
    </row>
    <row r="45" spans="1:9">
      <c r="A45" s="265">
        <v>44</v>
      </c>
      <c r="B45" s="265" t="s">
        <v>6613</v>
      </c>
      <c r="C45" s="265">
        <v>2</v>
      </c>
      <c r="D45" s="265" t="s">
        <v>6602</v>
      </c>
      <c r="E45" s="265">
        <v>60</v>
      </c>
      <c r="F45" s="265">
        <v>47.9</v>
      </c>
      <c r="G45" s="265">
        <v>0</v>
      </c>
      <c r="H45" s="265">
        <v>0</v>
      </c>
      <c r="I45" s="265">
        <v>0</v>
      </c>
    </row>
    <row r="46" spans="1:9">
      <c r="A46" s="265">
        <v>45</v>
      </c>
      <c r="B46" s="265" t="s">
        <v>6613</v>
      </c>
      <c r="C46" s="265">
        <v>4</v>
      </c>
      <c r="D46" s="265" t="s">
        <v>6602</v>
      </c>
      <c r="E46" s="265">
        <v>60</v>
      </c>
      <c r="F46" s="265">
        <v>44.8</v>
      </c>
      <c r="G46" s="265">
        <v>0</v>
      </c>
      <c r="H46" s="265">
        <v>0</v>
      </c>
      <c r="I46" s="265">
        <v>0</v>
      </c>
    </row>
    <row r="47" spans="1:9">
      <c r="A47" s="265">
        <v>46</v>
      </c>
      <c r="B47" s="265" t="s">
        <v>6613</v>
      </c>
      <c r="C47" s="265">
        <v>4</v>
      </c>
      <c r="D47" s="265" t="s">
        <v>6603</v>
      </c>
      <c r="E47" s="265">
        <v>60</v>
      </c>
      <c r="F47" s="265">
        <v>0</v>
      </c>
      <c r="G47" s="265">
        <v>0</v>
      </c>
      <c r="H47" s="265">
        <v>0</v>
      </c>
      <c r="I47" s="265">
        <v>0</v>
      </c>
    </row>
    <row r="48" spans="1:9">
      <c r="A48" s="265">
        <v>47</v>
      </c>
      <c r="B48" s="265" t="s">
        <v>6613</v>
      </c>
      <c r="C48" s="265">
        <v>6</v>
      </c>
      <c r="D48" s="265" t="s">
        <v>6603</v>
      </c>
      <c r="E48" s="265">
        <v>60</v>
      </c>
      <c r="F48" s="265">
        <v>0</v>
      </c>
      <c r="G48" s="265">
        <v>0</v>
      </c>
      <c r="H48" s="265">
        <v>0</v>
      </c>
      <c r="I48" s="265">
        <v>0</v>
      </c>
    </row>
    <row r="49" spans="1:9">
      <c r="A49" s="265">
        <v>48</v>
      </c>
      <c r="B49" s="265" t="s">
        <v>6613</v>
      </c>
      <c r="C49" s="265">
        <v>8</v>
      </c>
      <c r="D49" s="265" t="s">
        <v>6603</v>
      </c>
      <c r="E49" s="265">
        <v>60</v>
      </c>
      <c r="F49" s="265">
        <v>0</v>
      </c>
      <c r="G49" s="265">
        <v>0</v>
      </c>
      <c r="H49" s="265">
        <v>0</v>
      </c>
      <c r="I49" s="265">
        <v>0</v>
      </c>
    </row>
    <row r="50" spans="1:9">
      <c r="A50" s="265">
        <v>49</v>
      </c>
      <c r="B50" s="265" t="s">
        <v>6614</v>
      </c>
      <c r="C50" s="265">
        <v>4</v>
      </c>
      <c r="D50" s="265" t="s">
        <v>6603</v>
      </c>
      <c r="E50" s="265">
        <v>60</v>
      </c>
      <c r="F50" s="265">
        <v>0</v>
      </c>
      <c r="G50" s="265">
        <v>0</v>
      </c>
      <c r="H50" s="265">
        <v>0</v>
      </c>
      <c r="I50" s="265">
        <v>0</v>
      </c>
    </row>
    <row r="51" spans="1:9">
      <c r="A51" s="265">
        <v>50</v>
      </c>
      <c r="B51" s="265" t="s">
        <v>6614</v>
      </c>
      <c r="C51" s="265">
        <v>6</v>
      </c>
      <c r="D51" s="265" t="s">
        <v>6603</v>
      </c>
      <c r="E51" s="265">
        <v>60</v>
      </c>
      <c r="F51" s="265">
        <v>0</v>
      </c>
      <c r="G51" s="265">
        <v>0</v>
      </c>
      <c r="H51" s="265">
        <v>0</v>
      </c>
      <c r="I51" s="265">
        <v>0</v>
      </c>
    </row>
    <row r="52" spans="1:9">
      <c r="A52" s="265">
        <v>51</v>
      </c>
      <c r="B52" s="265" t="s">
        <v>6614</v>
      </c>
      <c r="C52" s="265">
        <v>8</v>
      </c>
      <c r="D52" s="265" t="s">
        <v>6603</v>
      </c>
      <c r="E52" s="265">
        <v>60</v>
      </c>
      <c r="F52" s="265">
        <v>0</v>
      </c>
      <c r="G52" s="265">
        <v>0</v>
      </c>
      <c r="H52" s="265">
        <v>0</v>
      </c>
      <c r="I52" s="265">
        <v>0</v>
      </c>
    </row>
    <row r="53" spans="1:9">
      <c r="A53" s="265">
        <v>52</v>
      </c>
      <c r="B53" s="265" t="s">
        <v>6615</v>
      </c>
      <c r="C53" s="265">
        <v>2</v>
      </c>
      <c r="D53" s="265" t="s">
        <v>6601</v>
      </c>
      <c r="E53" s="265">
        <v>60</v>
      </c>
      <c r="F53" s="265">
        <v>39.81</v>
      </c>
      <c r="G53" s="265">
        <v>0</v>
      </c>
      <c r="H53" s="265">
        <v>40</v>
      </c>
      <c r="I53" s="265">
        <v>0</v>
      </c>
    </row>
    <row r="54" spans="1:9">
      <c r="A54" s="265">
        <v>53</v>
      </c>
      <c r="B54" s="265" t="s">
        <v>6615</v>
      </c>
      <c r="C54" s="265">
        <v>4</v>
      </c>
      <c r="D54" s="265" t="s">
        <v>6601</v>
      </c>
      <c r="E54" s="265">
        <v>60</v>
      </c>
      <c r="F54" s="265">
        <v>35.56</v>
      </c>
      <c r="G54" s="265">
        <v>0</v>
      </c>
      <c r="H54" s="265">
        <v>80</v>
      </c>
      <c r="I54" s="265">
        <v>0</v>
      </c>
    </row>
    <row r="55" spans="1:9">
      <c r="A55" s="265">
        <v>54</v>
      </c>
      <c r="B55" s="265" t="s">
        <v>6615</v>
      </c>
      <c r="C55" s="265">
        <v>2</v>
      </c>
      <c r="D55" s="265" t="s">
        <v>6602</v>
      </c>
      <c r="E55" s="265">
        <v>60</v>
      </c>
      <c r="F55" s="265">
        <v>35.479999999999997</v>
      </c>
      <c r="G55" s="265">
        <v>0</v>
      </c>
      <c r="H55" s="265">
        <v>0</v>
      </c>
      <c r="I55" s="265">
        <v>0</v>
      </c>
    </row>
    <row r="56" spans="1:9">
      <c r="A56" s="265">
        <v>55</v>
      </c>
      <c r="B56" s="265" t="s">
        <v>6615</v>
      </c>
      <c r="C56" s="265">
        <v>4</v>
      </c>
      <c r="D56" s="265" t="s">
        <v>6602</v>
      </c>
      <c r="E56" s="265">
        <v>60</v>
      </c>
      <c r="F56" s="265">
        <v>31.7</v>
      </c>
      <c r="G56" s="265">
        <v>0</v>
      </c>
      <c r="H56" s="265">
        <v>0</v>
      </c>
      <c r="I56" s="265">
        <v>0</v>
      </c>
    </row>
    <row r="57" spans="1:9">
      <c r="A57" s="265">
        <v>56</v>
      </c>
      <c r="B57" s="265" t="s">
        <v>6615</v>
      </c>
      <c r="C57" s="265">
        <v>4</v>
      </c>
      <c r="D57" s="265" t="s">
        <v>6603</v>
      </c>
      <c r="E57" s="265">
        <v>60</v>
      </c>
      <c r="F57" s="265">
        <v>0</v>
      </c>
      <c r="G57" s="265">
        <v>0</v>
      </c>
      <c r="H57" s="265">
        <v>0</v>
      </c>
      <c r="I57" s="265">
        <v>0</v>
      </c>
    </row>
    <row r="58" spans="1:9">
      <c r="A58" s="265">
        <v>57</v>
      </c>
      <c r="B58" s="265" t="s">
        <v>6615</v>
      </c>
      <c r="C58" s="265">
        <v>6</v>
      </c>
      <c r="D58" s="265" t="s">
        <v>6603</v>
      </c>
      <c r="E58" s="265">
        <v>60</v>
      </c>
      <c r="F58" s="265">
        <v>0</v>
      </c>
      <c r="G58" s="265">
        <v>0</v>
      </c>
      <c r="H58" s="265">
        <v>0</v>
      </c>
      <c r="I58" s="265">
        <v>0</v>
      </c>
    </row>
    <row r="59" spans="1:9">
      <c r="A59" s="265">
        <v>58</v>
      </c>
      <c r="B59" s="265" t="s">
        <v>6615</v>
      </c>
      <c r="C59" s="265">
        <v>8</v>
      </c>
      <c r="D59" s="265" t="s">
        <v>6603</v>
      </c>
      <c r="E59" s="265">
        <v>60</v>
      </c>
      <c r="F59" s="265">
        <v>0</v>
      </c>
      <c r="G59" s="265">
        <v>0</v>
      </c>
      <c r="H59" s="265">
        <v>0</v>
      </c>
      <c r="I59" s="265">
        <v>0</v>
      </c>
    </row>
    <row r="60" spans="1:9">
      <c r="A60" s="265">
        <v>59</v>
      </c>
      <c r="B60" s="265" t="s">
        <v>6616</v>
      </c>
      <c r="C60" s="265">
        <v>4</v>
      </c>
      <c r="D60" s="265" t="s">
        <v>6603</v>
      </c>
      <c r="E60" s="265">
        <v>60</v>
      </c>
      <c r="F60" s="265">
        <v>0</v>
      </c>
      <c r="G60" s="265">
        <v>0</v>
      </c>
      <c r="H60" s="265">
        <v>0</v>
      </c>
      <c r="I60" s="265">
        <v>0</v>
      </c>
    </row>
    <row r="61" spans="1:9">
      <c r="A61" s="265">
        <v>60</v>
      </c>
      <c r="B61" s="265" t="s">
        <v>6616</v>
      </c>
      <c r="C61" s="265">
        <v>6</v>
      </c>
      <c r="D61" s="265" t="s">
        <v>6603</v>
      </c>
      <c r="E61" s="265">
        <v>60</v>
      </c>
      <c r="F61" s="265">
        <v>0</v>
      </c>
      <c r="G61" s="265">
        <v>0</v>
      </c>
      <c r="H61" s="265">
        <v>0</v>
      </c>
      <c r="I61" s="265">
        <v>0</v>
      </c>
    </row>
    <row r="62" spans="1:9">
      <c r="A62" s="265">
        <v>61</v>
      </c>
      <c r="B62" s="265" t="s">
        <v>6616</v>
      </c>
      <c r="C62" s="265">
        <v>8</v>
      </c>
      <c r="D62" s="265" t="s">
        <v>6603</v>
      </c>
      <c r="E62" s="265">
        <v>60</v>
      </c>
      <c r="F62" s="265">
        <v>0</v>
      </c>
      <c r="G62" s="265">
        <v>0</v>
      </c>
      <c r="H62" s="265">
        <v>0</v>
      </c>
      <c r="I62" s="265">
        <v>0</v>
      </c>
    </row>
    <row r="63" spans="1:9">
      <c r="A63" s="265">
        <v>62</v>
      </c>
      <c r="B63" s="265" t="s">
        <v>6617</v>
      </c>
      <c r="C63" s="265">
        <v>6</v>
      </c>
      <c r="D63" s="265" t="s">
        <v>6606</v>
      </c>
      <c r="E63" s="265">
        <v>60</v>
      </c>
      <c r="F63" s="265">
        <v>0</v>
      </c>
      <c r="G63" s="265">
        <v>0</v>
      </c>
      <c r="H63" s="265">
        <v>0</v>
      </c>
      <c r="I63" s="265">
        <v>0</v>
      </c>
    </row>
    <row r="64" spans="1:9">
      <c r="A64" s="265">
        <v>63</v>
      </c>
      <c r="B64" s="265" t="s">
        <v>6617</v>
      </c>
      <c r="C64" s="265">
        <v>7</v>
      </c>
      <c r="D64" s="265" t="s">
        <v>6606</v>
      </c>
      <c r="E64" s="265">
        <v>60</v>
      </c>
      <c r="F64" s="265">
        <v>0</v>
      </c>
      <c r="G64" s="265">
        <v>0</v>
      </c>
      <c r="H64" s="265">
        <v>0</v>
      </c>
      <c r="I64" s="265">
        <v>0</v>
      </c>
    </row>
    <row r="65" spans="1:9">
      <c r="A65" s="265">
        <v>64</v>
      </c>
      <c r="B65" s="265" t="s">
        <v>6618</v>
      </c>
      <c r="C65" s="265">
        <v>1</v>
      </c>
      <c r="D65" s="265" t="s">
        <v>6619</v>
      </c>
      <c r="E65" s="265">
        <v>20</v>
      </c>
      <c r="F65" s="265">
        <v>0</v>
      </c>
      <c r="G65" s="265">
        <v>0</v>
      </c>
      <c r="H65" s="265">
        <v>0</v>
      </c>
      <c r="I65" s="265">
        <v>0</v>
      </c>
    </row>
    <row r="66" spans="1:9">
      <c r="A66" s="265">
        <v>65</v>
      </c>
      <c r="B66" s="265" t="s">
        <v>6618</v>
      </c>
      <c r="C66" s="265">
        <v>2</v>
      </c>
      <c r="D66" s="265" t="s">
        <v>6619</v>
      </c>
      <c r="E66" s="265">
        <v>40</v>
      </c>
      <c r="F66" s="265">
        <v>0</v>
      </c>
      <c r="G66" s="265">
        <v>0</v>
      </c>
      <c r="H66" s="265">
        <v>0</v>
      </c>
      <c r="I66" s="265">
        <v>0</v>
      </c>
    </row>
    <row r="67" spans="1:9">
      <c r="A67" s="265">
        <v>66</v>
      </c>
      <c r="B67" s="265" t="s">
        <v>6618</v>
      </c>
      <c r="C67" s="265">
        <v>3</v>
      </c>
      <c r="D67" s="265" t="s">
        <v>6619</v>
      </c>
      <c r="E67" s="265">
        <v>60</v>
      </c>
      <c r="F67" s="265">
        <v>0</v>
      </c>
      <c r="G67" s="265">
        <v>0</v>
      </c>
      <c r="H67" s="265">
        <v>0</v>
      </c>
      <c r="I67" s="265">
        <v>0</v>
      </c>
    </row>
    <row r="68" spans="1:9">
      <c r="A68" s="265">
        <v>67</v>
      </c>
      <c r="B68" s="265" t="s">
        <v>6620</v>
      </c>
      <c r="C68" s="265">
        <v>1</v>
      </c>
      <c r="D68" s="265" t="s">
        <v>6619</v>
      </c>
      <c r="E68" s="265">
        <v>20</v>
      </c>
      <c r="F68" s="265">
        <v>0</v>
      </c>
      <c r="G68" s="265">
        <v>0</v>
      </c>
      <c r="H68" s="265">
        <v>0</v>
      </c>
      <c r="I68" s="265">
        <v>0</v>
      </c>
    </row>
    <row r="69" spans="1:9">
      <c r="A69" s="265">
        <v>68</v>
      </c>
      <c r="B69" s="265" t="s">
        <v>6620</v>
      </c>
      <c r="C69" s="265">
        <v>2</v>
      </c>
      <c r="D69" s="265" t="s">
        <v>6619</v>
      </c>
      <c r="E69" s="265">
        <v>40</v>
      </c>
      <c r="F69" s="265">
        <v>0</v>
      </c>
      <c r="G69" s="265">
        <v>40</v>
      </c>
      <c r="H69" s="265">
        <v>0</v>
      </c>
      <c r="I69" s="265">
        <v>0</v>
      </c>
    </row>
    <row r="70" spans="1:9">
      <c r="A70" s="265">
        <v>69</v>
      </c>
      <c r="B70" s="265" t="s">
        <v>6621</v>
      </c>
      <c r="C70" s="265">
        <v>1</v>
      </c>
      <c r="D70" s="265" t="s">
        <v>6619</v>
      </c>
      <c r="E70" s="265">
        <v>20</v>
      </c>
      <c r="F70" s="265">
        <v>0</v>
      </c>
      <c r="G70" s="265">
        <v>30</v>
      </c>
      <c r="H70" s="265">
        <v>0</v>
      </c>
      <c r="I70" s="265">
        <v>0</v>
      </c>
    </row>
    <row r="71" spans="1:9">
      <c r="A71" s="265">
        <v>70</v>
      </c>
      <c r="B71" s="265" t="s">
        <v>6621</v>
      </c>
      <c r="C71" s="265">
        <v>2</v>
      </c>
      <c r="D71" s="265" t="s">
        <v>6619</v>
      </c>
      <c r="E71" s="265">
        <v>40</v>
      </c>
      <c r="F71" s="265">
        <v>0</v>
      </c>
      <c r="G71" s="265">
        <v>60</v>
      </c>
      <c r="H71" s="265">
        <v>0</v>
      </c>
      <c r="I71" s="265">
        <v>0</v>
      </c>
    </row>
    <row r="72" spans="1:9">
      <c r="A72" s="265">
        <v>71</v>
      </c>
      <c r="B72" s="265" t="s">
        <v>6621</v>
      </c>
      <c r="C72" s="265">
        <v>3</v>
      </c>
      <c r="D72" s="265" t="s">
        <v>6619</v>
      </c>
      <c r="E72" s="265">
        <v>60</v>
      </c>
      <c r="F72" s="265">
        <v>0</v>
      </c>
      <c r="G72" s="265">
        <v>0</v>
      </c>
      <c r="H72" s="265">
        <v>0</v>
      </c>
      <c r="I72" s="265">
        <v>0</v>
      </c>
    </row>
    <row r="73" spans="1:9">
      <c r="A73" s="265">
        <v>72</v>
      </c>
      <c r="B73" s="265" t="s">
        <v>6622</v>
      </c>
      <c r="C73" s="265">
        <v>2</v>
      </c>
      <c r="D73" s="265" t="s">
        <v>6601</v>
      </c>
      <c r="E73" s="265">
        <v>60</v>
      </c>
      <c r="F73" s="265">
        <v>0</v>
      </c>
      <c r="G73" s="265">
        <v>40</v>
      </c>
      <c r="H73" s="265">
        <v>0</v>
      </c>
      <c r="I73" s="265">
        <v>0</v>
      </c>
    </row>
    <row r="74" spans="1:9">
      <c r="A74" s="265">
        <v>73</v>
      </c>
      <c r="B74" s="265" t="s">
        <v>6622</v>
      </c>
      <c r="C74" s="265">
        <v>4</v>
      </c>
      <c r="D74" s="265" t="s">
        <v>6601</v>
      </c>
      <c r="E74" s="265">
        <v>60</v>
      </c>
      <c r="F74" s="265">
        <v>0</v>
      </c>
      <c r="G74" s="265">
        <v>80</v>
      </c>
      <c r="H74" s="265">
        <v>0</v>
      </c>
      <c r="I74" s="265">
        <v>0</v>
      </c>
    </row>
    <row r="75" spans="1:9">
      <c r="A75" s="265">
        <v>74</v>
      </c>
      <c r="B75" s="265" t="s">
        <v>6622</v>
      </c>
      <c r="C75" s="265">
        <v>2</v>
      </c>
      <c r="D75" s="265" t="s">
        <v>6602</v>
      </c>
      <c r="E75" s="265">
        <v>60</v>
      </c>
      <c r="F75" s="265">
        <v>0</v>
      </c>
      <c r="G75" s="265">
        <v>40</v>
      </c>
      <c r="H75" s="265">
        <v>0</v>
      </c>
      <c r="I75" s="265">
        <v>0</v>
      </c>
    </row>
    <row r="76" spans="1:9">
      <c r="A76" s="265">
        <v>75</v>
      </c>
      <c r="B76" s="265" t="s">
        <v>6622</v>
      </c>
      <c r="C76" s="265">
        <v>4</v>
      </c>
      <c r="D76" s="265" t="s">
        <v>6602</v>
      </c>
      <c r="E76" s="265">
        <v>60</v>
      </c>
      <c r="F76" s="265">
        <v>25.18</v>
      </c>
      <c r="G76" s="265">
        <v>80</v>
      </c>
      <c r="H76" s="265">
        <v>0</v>
      </c>
      <c r="I76" s="265">
        <v>0</v>
      </c>
    </row>
    <row r="77" spans="1:9">
      <c r="A77" s="265">
        <v>76</v>
      </c>
      <c r="B77" s="265" t="s">
        <v>6622</v>
      </c>
      <c r="C77" s="265">
        <v>1</v>
      </c>
      <c r="D77" s="265" t="s">
        <v>6619</v>
      </c>
      <c r="E77" s="265">
        <v>20</v>
      </c>
      <c r="F77" s="265">
        <v>20</v>
      </c>
      <c r="G77" s="265">
        <v>30</v>
      </c>
      <c r="H77" s="265">
        <v>0</v>
      </c>
      <c r="I77" s="265">
        <v>0</v>
      </c>
    </row>
    <row r="78" spans="1:9">
      <c r="A78" s="265">
        <v>77</v>
      </c>
      <c r="B78" s="265" t="s">
        <v>6622</v>
      </c>
      <c r="C78" s="265">
        <v>2</v>
      </c>
      <c r="D78" s="265" t="s">
        <v>6619</v>
      </c>
      <c r="E78" s="265">
        <v>40</v>
      </c>
      <c r="F78" s="265">
        <v>40</v>
      </c>
      <c r="G78" s="265">
        <v>60</v>
      </c>
      <c r="H78" s="265">
        <v>0</v>
      </c>
      <c r="I78" s="265">
        <v>0</v>
      </c>
    </row>
    <row r="79" spans="1:9">
      <c r="A79" s="265">
        <v>78</v>
      </c>
      <c r="B79" s="265" t="s">
        <v>6622</v>
      </c>
      <c r="C79" s="265">
        <v>4</v>
      </c>
      <c r="D79" s="265" t="s">
        <v>6603</v>
      </c>
      <c r="E79" s="265">
        <v>60</v>
      </c>
      <c r="F79" s="265">
        <v>0</v>
      </c>
      <c r="G79" s="265">
        <v>40</v>
      </c>
      <c r="H79" s="265">
        <v>0</v>
      </c>
      <c r="I79" s="265">
        <v>0</v>
      </c>
    </row>
    <row r="80" spans="1:9">
      <c r="A80" s="265">
        <v>79</v>
      </c>
      <c r="B80" s="265" t="s">
        <v>6622</v>
      </c>
      <c r="C80" s="265">
        <v>6</v>
      </c>
      <c r="D80" s="265" t="s">
        <v>6603</v>
      </c>
      <c r="E80" s="265">
        <v>60</v>
      </c>
      <c r="F80" s="265">
        <v>0</v>
      </c>
      <c r="G80" s="265">
        <v>60</v>
      </c>
      <c r="H80" s="265">
        <v>0</v>
      </c>
      <c r="I80" s="265">
        <v>0</v>
      </c>
    </row>
    <row r="81" spans="1:9">
      <c r="A81" s="265">
        <v>80</v>
      </c>
      <c r="B81" s="265" t="s">
        <v>6622</v>
      </c>
      <c r="C81" s="265">
        <v>8</v>
      </c>
      <c r="D81" s="265" t="s">
        <v>6603</v>
      </c>
      <c r="E81" s="265">
        <v>60</v>
      </c>
      <c r="F81" s="265">
        <v>0</v>
      </c>
      <c r="G81" s="265">
        <v>80</v>
      </c>
      <c r="H81" s="265">
        <v>0</v>
      </c>
      <c r="I81" s="265">
        <v>0</v>
      </c>
    </row>
    <row r="82" spans="1:9">
      <c r="A82" s="265">
        <v>81</v>
      </c>
      <c r="B82" s="265" t="s">
        <v>6623</v>
      </c>
      <c r="C82" s="265">
        <v>1</v>
      </c>
      <c r="D82" s="265" t="s">
        <v>6619</v>
      </c>
      <c r="E82" s="265">
        <v>20</v>
      </c>
      <c r="F82" s="265">
        <v>0</v>
      </c>
      <c r="G82" s="265">
        <v>30</v>
      </c>
      <c r="H82" s="265">
        <v>0</v>
      </c>
      <c r="I82" s="265">
        <v>0</v>
      </c>
    </row>
    <row r="83" spans="1:9">
      <c r="A83" s="265">
        <v>82</v>
      </c>
      <c r="B83" s="265" t="s">
        <v>6623</v>
      </c>
      <c r="C83" s="265">
        <v>2</v>
      </c>
      <c r="D83" s="265" t="s">
        <v>6619</v>
      </c>
      <c r="E83" s="265">
        <v>40</v>
      </c>
      <c r="F83" s="265">
        <v>0</v>
      </c>
      <c r="G83" s="265">
        <v>60</v>
      </c>
      <c r="H83" s="265">
        <v>0</v>
      </c>
      <c r="I83" s="265">
        <v>0</v>
      </c>
    </row>
    <row r="84" spans="1:9">
      <c r="A84" s="265">
        <v>83</v>
      </c>
      <c r="B84" s="265" t="s">
        <v>6623</v>
      </c>
      <c r="C84" s="265">
        <v>3</v>
      </c>
      <c r="D84" s="265" t="s">
        <v>6619</v>
      </c>
      <c r="E84" s="265">
        <v>60</v>
      </c>
      <c r="F84" s="265">
        <v>20</v>
      </c>
      <c r="G84" s="265">
        <v>80</v>
      </c>
      <c r="H84" s="265">
        <v>0</v>
      </c>
      <c r="I84" s="265">
        <v>0</v>
      </c>
    </row>
    <row r="85" spans="1:9">
      <c r="A85" s="265">
        <v>84</v>
      </c>
      <c r="B85" s="265" t="s">
        <v>6624</v>
      </c>
      <c r="C85" s="265">
        <v>2</v>
      </c>
      <c r="D85" s="265" t="s">
        <v>6601</v>
      </c>
      <c r="E85" s="265">
        <v>60</v>
      </c>
      <c r="F85" s="265">
        <v>0</v>
      </c>
      <c r="G85" s="265">
        <v>60</v>
      </c>
      <c r="H85" s="265">
        <v>0</v>
      </c>
      <c r="I85" s="265">
        <v>0</v>
      </c>
    </row>
    <row r="86" spans="1:9">
      <c r="A86" s="265">
        <v>85</v>
      </c>
      <c r="B86" s="265" t="s">
        <v>6624</v>
      </c>
      <c r="C86" s="265">
        <v>4</v>
      </c>
      <c r="D86" s="265" t="s">
        <v>6601</v>
      </c>
      <c r="E86" s="265">
        <v>60</v>
      </c>
      <c r="F86" s="265">
        <v>0</v>
      </c>
      <c r="G86" s="265">
        <v>60</v>
      </c>
      <c r="H86" s="265">
        <v>0</v>
      </c>
      <c r="I86" s="265">
        <v>0</v>
      </c>
    </row>
    <row r="87" spans="1:9">
      <c r="A87" s="265">
        <v>86</v>
      </c>
      <c r="B87" s="265" t="s">
        <v>6624</v>
      </c>
      <c r="C87" s="265">
        <v>2</v>
      </c>
      <c r="D87" s="265" t="s">
        <v>6602</v>
      </c>
      <c r="E87" s="265">
        <v>60</v>
      </c>
      <c r="F87" s="265">
        <v>0</v>
      </c>
      <c r="G87" s="265">
        <v>60</v>
      </c>
      <c r="H87" s="265">
        <v>0</v>
      </c>
      <c r="I87" s="265">
        <v>0</v>
      </c>
    </row>
    <row r="88" spans="1:9">
      <c r="A88" s="265">
        <v>87</v>
      </c>
      <c r="B88" s="265" t="s">
        <v>6624</v>
      </c>
      <c r="C88" s="265">
        <v>4</v>
      </c>
      <c r="D88" s="265" t="s">
        <v>6602</v>
      </c>
      <c r="E88" s="265">
        <v>60</v>
      </c>
      <c r="F88" s="265">
        <v>0</v>
      </c>
      <c r="G88" s="265">
        <v>60</v>
      </c>
      <c r="H88" s="265">
        <v>0</v>
      </c>
      <c r="I88" s="265">
        <v>0</v>
      </c>
    </row>
    <row r="89" spans="1:9">
      <c r="A89" s="265">
        <v>88</v>
      </c>
      <c r="B89" s="265" t="s">
        <v>6624</v>
      </c>
      <c r="C89" s="265">
        <v>4</v>
      </c>
      <c r="D89" s="265" t="s">
        <v>6603</v>
      </c>
      <c r="E89" s="265">
        <v>60</v>
      </c>
      <c r="F89" s="265">
        <v>0</v>
      </c>
      <c r="G89" s="265">
        <v>60</v>
      </c>
      <c r="H89" s="265">
        <v>0</v>
      </c>
      <c r="I89" s="265">
        <v>0</v>
      </c>
    </row>
    <row r="90" spans="1:9">
      <c r="A90" s="265">
        <v>89</v>
      </c>
      <c r="B90" s="265" t="s">
        <v>6624</v>
      </c>
      <c r="C90" s="265">
        <v>6</v>
      </c>
      <c r="D90" s="265" t="s">
        <v>6603</v>
      </c>
      <c r="E90" s="265">
        <v>60</v>
      </c>
      <c r="F90" s="265">
        <v>0</v>
      </c>
      <c r="G90" s="265">
        <v>60</v>
      </c>
      <c r="H90" s="265">
        <v>0</v>
      </c>
      <c r="I90" s="265">
        <v>0</v>
      </c>
    </row>
    <row r="91" spans="1:9">
      <c r="A91" s="265">
        <v>90</v>
      </c>
      <c r="B91" s="265" t="s">
        <v>6624</v>
      </c>
      <c r="C91" s="265">
        <v>8</v>
      </c>
      <c r="D91" s="265" t="s">
        <v>6603</v>
      </c>
      <c r="E91" s="265">
        <v>60</v>
      </c>
      <c r="F91" s="265">
        <v>0</v>
      </c>
      <c r="G91" s="265">
        <v>60</v>
      </c>
      <c r="H91" s="265">
        <v>0</v>
      </c>
      <c r="I91" s="265">
        <v>0</v>
      </c>
    </row>
    <row r="92" spans="1:9">
      <c r="A92" s="265">
        <v>91</v>
      </c>
      <c r="B92" s="265" t="s">
        <v>5798</v>
      </c>
      <c r="C92" s="265">
        <v>2</v>
      </c>
      <c r="D92" s="265" t="s">
        <v>6601</v>
      </c>
      <c r="E92" s="265">
        <v>60</v>
      </c>
      <c r="F92" s="265">
        <v>90</v>
      </c>
      <c r="G92" s="265">
        <v>71</v>
      </c>
      <c r="H92" s="265">
        <v>40</v>
      </c>
      <c r="I92" s="265">
        <v>0</v>
      </c>
    </row>
    <row r="93" spans="1:9">
      <c r="A93" s="265">
        <v>92</v>
      </c>
      <c r="B93" s="265" t="s">
        <v>5798</v>
      </c>
      <c r="C93" s="265">
        <v>4</v>
      </c>
      <c r="D93" s="265" t="s">
        <v>6601</v>
      </c>
      <c r="E93" s="265">
        <v>60</v>
      </c>
      <c r="F93" s="265">
        <v>40</v>
      </c>
      <c r="G93" s="265">
        <v>71</v>
      </c>
      <c r="H93" s="265">
        <v>80</v>
      </c>
      <c r="I93" s="265">
        <v>0</v>
      </c>
    </row>
    <row r="94" spans="1:9">
      <c r="A94" s="265">
        <v>93</v>
      </c>
      <c r="B94" s="265" t="s">
        <v>5798</v>
      </c>
      <c r="C94" s="265">
        <v>2</v>
      </c>
      <c r="D94" s="265" t="s">
        <v>6602</v>
      </c>
      <c r="E94" s="265">
        <v>60</v>
      </c>
      <c r="F94" s="265">
        <v>80</v>
      </c>
      <c r="G94" s="265">
        <v>63</v>
      </c>
      <c r="H94" s="265">
        <v>0</v>
      </c>
      <c r="I94" s="265">
        <v>40</v>
      </c>
    </row>
    <row r="95" spans="1:9">
      <c r="A95" s="265">
        <v>94</v>
      </c>
      <c r="B95" s="265" t="s">
        <v>5798</v>
      </c>
      <c r="C95" s="265">
        <v>4</v>
      </c>
      <c r="D95" s="265" t="s">
        <v>6602</v>
      </c>
      <c r="E95" s="265">
        <v>60</v>
      </c>
      <c r="F95" s="265">
        <v>36</v>
      </c>
      <c r="G95" s="265">
        <v>63</v>
      </c>
      <c r="H95" s="265">
        <v>0</v>
      </c>
      <c r="I95" s="265">
        <v>20</v>
      </c>
    </row>
    <row r="96" spans="1:9">
      <c r="A96" s="265">
        <v>95</v>
      </c>
      <c r="B96" s="265" t="s">
        <v>5798</v>
      </c>
      <c r="C96" s="265">
        <v>1</v>
      </c>
      <c r="D96" s="265" t="s">
        <v>6619</v>
      </c>
      <c r="E96" s="265">
        <v>20</v>
      </c>
      <c r="F96" s="265">
        <v>20</v>
      </c>
      <c r="G96" s="265">
        <v>0</v>
      </c>
      <c r="H96" s="265">
        <v>0</v>
      </c>
      <c r="I96" s="265">
        <v>0</v>
      </c>
    </row>
    <row r="97" spans="1:9">
      <c r="A97" s="265">
        <v>96</v>
      </c>
      <c r="B97" s="265" t="s">
        <v>5798</v>
      </c>
      <c r="C97" s="265">
        <v>2</v>
      </c>
      <c r="D97" s="265" t="s">
        <v>6619</v>
      </c>
      <c r="E97" s="265">
        <v>40</v>
      </c>
      <c r="F97" s="265">
        <v>40</v>
      </c>
      <c r="G97" s="265">
        <v>0</v>
      </c>
      <c r="H97" s="265">
        <v>0</v>
      </c>
      <c r="I97" s="265">
        <v>0</v>
      </c>
    </row>
    <row r="98" spans="1:9">
      <c r="A98" s="265">
        <v>97</v>
      </c>
      <c r="B98" s="265" t="s">
        <v>5798</v>
      </c>
      <c r="C98" s="265">
        <v>4</v>
      </c>
      <c r="D98" s="265" t="s">
        <v>6603</v>
      </c>
      <c r="E98" s="265">
        <v>60</v>
      </c>
      <c r="F98" s="265">
        <v>0</v>
      </c>
      <c r="G98" s="265">
        <v>71</v>
      </c>
      <c r="H98" s="265">
        <v>0</v>
      </c>
      <c r="I98" s="265">
        <v>0</v>
      </c>
    </row>
    <row r="99" spans="1:9">
      <c r="A99" s="265">
        <v>98</v>
      </c>
      <c r="B99" s="265" t="s">
        <v>5798</v>
      </c>
      <c r="C99" s="265">
        <v>6</v>
      </c>
      <c r="D99" s="265" t="s">
        <v>6603</v>
      </c>
      <c r="E99" s="265">
        <v>60</v>
      </c>
      <c r="F99" s="265">
        <v>0</v>
      </c>
      <c r="G99" s="265">
        <v>71</v>
      </c>
      <c r="H99" s="265">
        <v>0</v>
      </c>
      <c r="I99" s="265">
        <v>0</v>
      </c>
    </row>
    <row r="100" spans="1:9">
      <c r="A100" s="265">
        <v>99</v>
      </c>
      <c r="B100" s="265" t="s">
        <v>5798</v>
      </c>
      <c r="C100" s="265">
        <v>8</v>
      </c>
      <c r="D100" s="265" t="s">
        <v>6603</v>
      </c>
      <c r="E100" s="265">
        <v>60</v>
      </c>
      <c r="F100" s="265">
        <v>0</v>
      </c>
      <c r="G100" s="265">
        <v>71</v>
      </c>
      <c r="H100" s="265">
        <v>0</v>
      </c>
      <c r="I100" s="265">
        <v>0</v>
      </c>
    </row>
    <row r="101" spans="1:9">
      <c r="A101" s="265">
        <v>100</v>
      </c>
      <c r="B101" s="265" t="s">
        <v>6625</v>
      </c>
      <c r="C101" s="265">
        <v>2</v>
      </c>
      <c r="D101" s="265" t="s">
        <v>6601</v>
      </c>
      <c r="E101" s="265">
        <v>60</v>
      </c>
      <c r="F101" s="265">
        <v>90</v>
      </c>
      <c r="G101" s="265">
        <v>0</v>
      </c>
      <c r="H101" s="265">
        <v>40</v>
      </c>
      <c r="I101" s="265">
        <v>0</v>
      </c>
    </row>
    <row r="102" spans="1:9">
      <c r="A102" s="265">
        <v>101</v>
      </c>
      <c r="B102" s="265" t="s">
        <v>6625</v>
      </c>
      <c r="C102" s="265">
        <v>4</v>
      </c>
      <c r="D102" s="265" t="s">
        <v>6601</v>
      </c>
      <c r="E102" s="265">
        <v>60</v>
      </c>
      <c r="F102" s="265">
        <v>40</v>
      </c>
      <c r="G102" s="265">
        <v>0</v>
      </c>
      <c r="H102" s="265">
        <v>80</v>
      </c>
      <c r="I102" s="265">
        <v>0</v>
      </c>
    </row>
    <row r="103" spans="1:9">
      <c r="A103" s="265">
        <v>102</v>
      </c>
      <c r="B103" s="265" t="s">
        <v>6625</v>
      </c>
      <c r="C103" s="265">
        <v>2</v>
      </c>
      <c r="D103" s="265" t="s">
        <v>6602</v>
      </c>
      <c r="E103" s="265">
        <v>60</v>
      </c>
      <c r="F103" s="265">
        <v>0</v>
      </c>
      <c r="G103" s="265">
        <v>0</v>
      </c>
      <c r="H103" s="265">
        <v>0</v>
      </c>
      <c r="I103" s="265">
        <v>40</v>
      </c>
    </row>
    <row r="104" spans="1:9">
      <c r="A104" s="265">
        <v>103</v>
      </c>
      <c r="B104" s="265" t="s">
        <v>6625</v>
      </c>
      <c r="C104" s="265">
        <v>4</v>
      </c>
      <c r="D104" s="265" t="s">
        <v>6602</v>
      </c>
      <c r="E104" s="265">
        <v>60</v>
      </c>
      <c r="F104" s="265">
        <v>0</v>
      </c>
      <c r="G104" s="265">
        <v>0</v>
      </c>
      <c r="H104" s="265">
        <v>0</v>
      </c>
      <c r="I104" s="265">
        <v>20</v>
      </c>
    </row>
    <row r="105" spans="1:9">
      <c r="A105" s="265">
        <v>104</v>
      </c>
      <c r="B105" s="265" t="s">
        <v>6626</v>
      </c>
      <c r="C105" s="265">
        <v>2</v>
      </c>
      <c r="D105" s="265" t="s">
        <v>6601</v>
      </c>
      <c r="E105" s="265">
        <v>60</v>
      </c>
      <c r="F105" s="265">
        <v>40</v>
      </c>
      <c r="G105" s="265">
        <v>20</v>
      </c>
      <c r="H105" s="265">
        <v>0</v>
      </c>
      <c r="I105" s="265">
        <v>0</v>
      </c>
    </row>
    <row r="106" spans="1:9">
      <c r="A106" s="265">
        <v>105</v>
      </c>
      <c r="B106" s="265" t="s">
        <v>6626</v>
      </c>
      <c r="C106" s="265">
        <v>4</v>
      </c>
      <c r="D106" s="265" t="s">
        <v>6602</v>
      </c>
      <c r="E106" s="265">
        <v>60</v>
      </c>
      <c r="F106" s="265">
        <v>20</v>
      </c>
      <c r="G106" s="265">
        <v>15</v>
      </c>
      <c r="H106" s="265">
        <v>0</v>
      </c>
      <c r="I106" s="265">
        <v>20</v>
      </c>
    </row>
    <row r="107" spans="1:9">
      <c r="A107" s="265">
        <v>106</v>
      </c>
      <c r="B107" s="265" t="s">
        <v>6626</v>
      </c>
      <c r="C107" s="265">
        <v>1</v>
      </c>
      <c r="D107" s="265" t="s">
        <v>6619</v>
      </c>
      <c r="E107" s="265">
        <v>20</v>
      </c>
      <c r="F107" s="265">
        <v>20</v>
      </c>
      <c r="G107" s="265">
        <v>0</v>
      </c>
      <c r="H107" s="265">
        <v>30</v>
      </c>
      <c r="I107" s="265">
        <v>0</v>
      </c>
    </row>
    <row r="108" spans="1:9">
      <c r="A108" s="265">
        <v>107</v>
      </c>
      <c r="B108" s="265" t="s">
        <v>6626</v>
      </c>
      <c r="C108" s="265">
        <v>2</v>
      </c>
      <c r="D108" s="265" t="s">
        <v>6619</v>
      </c>
      <c r="E108" s="265">
        <v>40</v>
      </c>
      <c r="F108" s="265">
        <v>40</v>
      </c>
      <c r="G108" s="265">
        <v>0</v>
      </c>
      <c r="H108" s="265">
        <v>60</v>
      </c>
      <c r="I108" s="265">
        <v>0</v>
      </c>
    </row>
    <row r="109" spans="1:9">
      <c r="A109" s="265">
        <v>108</v>
      </c>
      <c r="B109" s="265" t="s">
        <v>6627</v>
      </c>
      <c r="C109" s="265">
        <v>2</v>
      </c>
      <c r="D109" s="265" t="s">
        <v>6601</v>
      </c>
      <c r="E109" s="265">
        <v>60</v>
      </c>
      <c r="F109" s="265">
        <v>41.7</v>
      </c>
      <c r="G109" s="265">
        <v>0</v>
      </c>
      <c r="H109" s="265">
        <v>0</v>
      </c>
      <c r="I109" s="265">
        <v>0</v>
      </c>
    </row>
    <row r="110" spans="1:9">
      <c r="A110" s="265">
        <v>109</v>
      </c>
      <c r="B110" s="265" t="s">
        <v>6628</v>
      </c>
      <c r="C110" s="265">
        <v>1</v>
      </c>
      <c r="D110" s="265" t="s">
        <v>6619</v>
      </c>
      <c r="E110" s="265">
        <v>20</v>
      </c>
      <c r="F110" s="265">
        <v>20</v>
      </c>
      <c r="G110" s="265">
        <v>0</v>
      </c>
      <c r="H110" s="265">
        <v>0</v>
      </c>
      <c r="I110" s="265">
        <v>0</v>
      </c>
    </row>
    <row r="111" spans="1:9">
      <c r="A111" s="265">
        <v>110</v>
      </c>
      <c r="B111" s="265" t="s">
        <v>6628</v>
      </c>
      <c r="C111" s="265">
        <v>2</v>
      </c>
      <c r="D111" s="265" t="s">
        <v>6619</v>
      </c>
      <c r="E111" s="265">
        <v>40</v>
      </c>
      <c r="F111" s="265">
        <v>40</v>
      </c>
      <c r="G111" s="265">
        <v>0</v>
      </c>
      <c r="H111" s="265">
        <v>0</v>
      </c>
      <c r="I111" s="265">
        <v>0</v>
      </c>
    </row>
    <row r="112" spans="1:9">
      <c r="A112" s="265">
        <v>111</v>
      </c>
      <c r="B112" s="265" t="s">
        <v>6629</v>
      </c>
      <c r="C112" s="265">
        <v>2</v>
      </c>
      <c r="D112" s="265" t="s">
        <v>6601</v>
      </c>
      <c r="E112" s="265">
        <v>60</v>
      </c>
      <c r="F112" s="265">
        <v>0</v>
      </c>
      <c r="G112" s="265">
        <v>0</v>
      </c>
      <c r="H112" s="265">
        <v>0</v>
      </c>
      <c r="I112" s="265">
        <v>0</v>
      </c>
    </row>
    <row r="113" spans="1:9">
      <c r="A113" s="265">
        <v>112</v>
      </c>
      <c r="B113" s="265" t="s">
        <v>6629</v>
      </c>
      <c r="C113" s="265">
        <v>4</v>
      </c>
      <c r="D113" s="265" t="s">
        <v>6601</v>
      </c>
      <c r="E113" s="265">
        <v>60</v>
      </c>
      <c r="F113" s="265">
        <v>0</v>
      </c>
      <c r="G113" s="265">
        <v>0</v>
      </c>
      <c r="H113" s="265">
        <v>0</v>
      </c>
      <c r="I113" s="265">
        <v>0</v>
      </c>
    </row>
    <row r="114" spans="1:9">
      <c r="A114" s="265">
        <v>113</v>
      </c>
      <c r="B114" s="265" t="s">
        <v>6629</v>
      </c>
      <c r="C114" s="265">
        <v>2</v>
      </c>
      <c r="D114" s="265" t="s">
        <v>6602</v>
      </c>
      <c r="E114" s="265">
        <v>60</v>
      </c>
      <c r="F114" s="265">
        <v>0</v>
      </c>
      <c r="G114" s="265">
        <v>0</v>
      </c>
      <c r="H114" s="265">
        <v>0</v>
      </c>
      <c r="I114" s="265">
        <v>0</v>
      </c>
    </row>
    <row r="115" spans="1:9">
      <c r="A115" s="265">
        <v>114</v>
      </c>
      <c r="B115" s="265" t="s">
        <v>6629</v>
      </c>
      <c r="C115" s="265">
        <v>4</v>
      </c>
      <c r="D115" s="265" t="s">
        <v>6602</v>
      </c>
      <c r="E115" s="265">
        <v>60</v>
      </c>
      <c r="F115" s="265">
        <v>0</v>
      </c>
      <c r="G115" s="265">
        <v>0</v>
      </c>
      <c r="H115" s="265">
        <v>0</v>
      </c>
      <c r="I115" s="265">
        <v>0</v>
      </c>
    </row>
    <row r="116" spans="1:9">
      <c r="A116" s="265">
        <v>115</v>
      </c>
      <c r="B116" s="265" t="s">
        <v>6629</v>
      </c>
      <c r="C116" s="265">
        <v>6</v>
      </c>
      <c r="D116" s="265" t="s">
        <v>6602</v>
      </c>
      <c r="E116" s="265">
        <v>60</v>
      </c>
      <c r="F116" s="265">
        <v>0</v>
      </c>
      <c r="G116" s="265">
        <v>0</v>
      </c>
      <c r="H116" s="265">
        <v>0</v>
      </c>
      <c r="I116" s="265">
        <v>0</v>
      </c>
    </row>
    <row r="117" spans="1:9">
      <c r="A117" s="265">
        <v>116</v>
      </c>
      <c r="B117" s="265" t="s">
        <v>6629</v>
      </c>
      <c r="C117" s="265">
        <v>6</v>
      </c>
      <c r="D117" s="265" t="s">
        <v>6603</v>
      </c>
      <c r="E117" s="265">
        <v>60</v>
      </c>
      <c r="F117" s="265">
        <v>0</v>
      </c>
      <c r="G117" s="265">
        <v>0</v>
      </c>
      <c r="H117" s="265">
        <v>0</v>
      </c>
      <c r="I117" s="265">
        <v>0</v>
      </c>
    </row>
    <row r="118" spans="1:9">
      <c r="A118" s="265">
        <v>117</v>
      </c>
      <c r="B118" s="265" t="s">
        <v>6629</v>
      </c>
      <c r="C118" s="265">
        <v>8</v>
      </c>
      <c r="D118" s="265" t="s">
        <v>6603</v>
      </c>
      <c r="E118" s="265">
        <v>60</v>
      </c>
      <c r="F118" s="265">
        <v>0</v>
      </c>
      <c r="G118" s="265">
        <v>0</v>
      </c>
      <c r="H118" s="265">
        <v>0</v>
      </c>
      <c r="I118" s="265">
        <v>0</v>
      </c>
    </row>
    <row r="119" spans="1:9">
      <c r="A119" s="265">
        <v>118</v>
      </c>
      <c r="B119" s="265" t="s">
        <v>6629</v>
      </c>
      <c r="C119" s="265">
        <v>10</v>
      </c>
      <c r="D119" s="265" t="s">
        <v>6603</v>
      </c>
      <c r="E119" s="265">
        <v>60</v>
      </c>
      <c r="F119" s="265">
        <v>0</v>
      </c>
      <c r="G119" s="265">
        <v>0</v>
      </c>
      <c r="H119" s="265">
        <v>0</v>
      </c>
      <c r="I119" s="265">
        <v>0</v>
      </c>
    </row>
    <row r="120" spans="1:9">
      <c r="A120" s="265">
        <v>119</v>
      </c>
      <c r="B120" s="265" t="s">
        <v>6629</v>
      </c>
      <c r="C120" s="265">
        <v>12</v>
      </c>
      <c r="D120" s="265" t="s">
        <v>6603</v>
      </c>
      <c r="E120" s="265">
        <v>60</v>
      </c>
      <c r="F120" s="265">
        <v>0</v>
      </c>
      <c r="G120" s="265">
        <v>0</v>
      </c>
      <c r="H120" s="265">
        <v>0</v>
      </c>
      <c r="I120" s="265">
        <v>0</v>
      </c>
    </row>
    <row r="121" spans="1:9" ht="30">
      <c r="A121" s="265">
        <v>120</v>
      </c>
      <c r="B121" s="265" t="s">
        <v>6630</v>
      </c>
      <c r="C121" s="265">
        <v>6</v>
      </c>
      <c r="D121" s="265" t="s">
        <v>6631</v>
      </c>
      <c r="E121" s="265">
        <v>60</v>
      </c>
      <c r="F121" s="265">
        <v>0</v>
      </c>
      <c r="G121" s="265">
        <v>0</v>
      </c>
      <c r="H121" s="265">
        <v>0</v>
      </c>
      <c r="I121" s="265">
        <v>0</v>
      </c>
    </row>
    <row r="122" spans="1:9" ht="30">
      <c r="A122" s="265">
        <v>121</v>
      </c>
      <c r="B122" s="265" t="s">
        <v>6630</v>
      </c>
      <c r="C122" s="265">
        <v>7</v>
      </c>
      <c r="D122" s="265" t="s">
        <v>6631</v>
      </c>
      <c r="E122" s="265">
        <v>60</v>
      </c>
      <c r="F122" s="265">
        <v>0</v>
      </c>
      <c r="G122" s="265">
        <v>0</v>
      </c>
      <c r="H122" s="265">
        <v>0</v>
      </c>
      <c r="I122" s="265">
        <v>0</v>
      </c>
    </row>
    <row r="123" spans="1:9">
      <c r="A123" s="265">
        <v>122</v>
      </c>
      <c r="B123" s="265" t="s">
        <v>6632</v>
      </c>
      <c r="C123" s="265">
        <v>1</v>
      </c>
      <c r="D123" s="265" t="s">
        <v>6633</v>
      </c>
      <c r="E123" s="265">
        <v>40</v>
      </c>
      <c r="F123" s="265">
        <v>0</v>
      </c>
      <c r="G123" s="265">
        <v>0</v>
      </c>
      <c r="H123" s="265">
        <v>0</v>
      </c>
      <c r="I123" s="265">
        <v>0</v>
      </c>
    </row>
    <row r="124" spans="1:9">
      <c r="A124" s="265">
        <v>123</v>
      </c>
      <c r="B124" s="265" t="s">
        <v>6634</v>
      </c>
      <c r="C124" s="265">
        <v>1</v>
      </c>
      <c r="D124" s="265" t="s">
        <v>6619</v>
      </c>
      <c r="E124" s="265">
        <v>20</v>
      </c>
      <c r="F124" s="265">
        <v>0</v>
      </c>
      <c r="G124" s="265">
        <v>0</v>
      </c>
      <c r="H124" s="265">
        <v>0</v>
      </c>
      <c r="I124" s="265">
        <v>0</v>
      </c>
    </row>
    <row r="125" spans="1:9">
      <c r="A125" s="265">
        <v>124</v>
      </c>
      <c r="B125" s="265" t="s">
        <v>6634</v>
      </c>
      <c r="C125" s="265">
        <v>2</v>
      </c>
      <c r="D125" s="265" t="s">
        <v>6619</v>
      </c>
      <c r="E125" s="265">
        <v>40</v>
      </c>
      <c r="F125" s="265">
        <v>0</v>
      </c>
      <c r="G125" s="265">
        <v>0</v>
      </c>
      <c r="H125" s="265">
        <v>0</v>
      </c>
      <c r="I125" s="265">
        <v>0</v>
      </c>
    </row>
    <row r="126" spans="1:9">
      <c r="A126" s="265">
        <v>125</v>
      </c>
      <c r="B126" s="265" t="s">
        <v>6635</v>
      </c>
      <c r="C126" s="265">
        <v>1</v>
      </c>
      <c r="D126" s="265" t="s">
        <v>6601</v>
      </c>
      <c r="E126" s="265">
        <v>40</v>
      </c>
      <c r="F126" s="265">
        <v>0</v>
      </c>
      <c r="G126" s="265">
        <v>0</v>
      </c>
      <c r="H126" s="265">
        <v>40</v>
      </c>
      <c r="I126" s="265">
        <v>0</v>
      </c>
    </row>
    <row r="127" spans="1:9">
      <c r="A127" s="265">
        <v>126</v>
      </c>
      <c r="B127" s="265" t="s">
        <v>6635</v>
      </c>
      <c r="C127" s="265">
        <v>2</v>
      </c>
      <c r="D127" s="265" t="s">
        <v>6601</v>
      </c>
      <c r="E127" s="265">
        <v>80</v>
      </c>
      <c r="F127" s="265">
        <v>0</v>
      </c>
      <c r="G127" s="265">
        <v>0</v>
      </c>
      <c r="H127" s="265">
        <v>80</v>
      </c>
      <c r="I127" s="265">
        <v>0</v>
      </c>
    </row>
    <row r="128" spans="1:9">
      <c r="A128" s="265">
        <v>127</v>
      </c>
      <c r="B128" s="265" t="s">
        <v>6635</v>
      </c>
      <c r="C128" s="265">
        <v>4</v>
      </c>
      <c r="D128" s="265" t="s">
        <v>6601</v>
      </c>
      <c r="E128" s="265">
        <v>80</v>
      </c>
      <c r="F128" s="265">
        <v>0</v>
      </c>
      <c r="G128" s="265">
        <v>0</v>
      </c>
      <c r="H128" s="265">
        <v>0</v>
      </c>
      <c r="I128" s="265">
        <v>0</v>
      </c>
    </row>
    <row r="129" spans="1:9">
      <c r="A129" s="265">
        <v>128</v>
      </c>
      <c r="B129" s="265" t="s">
        <v>6635</v>
      </c>
      <c r="C129" s="265">
        <v>2</v>
      </c>
      <c r="D129" s="265" t="s">
        <v>6602</v>
      </c>
      <c r="E129" s="265">
        <v>40</v>
      </c>
      <c r="F129" s="265">
        <v>0</v>
      </c>
      <c r="G129" s="265">
        <v>0</v>
      </c>
      <c r="H129" s="265">
        <v>0</v>
      </c>
      <c r="I129" s="265">
        <v>0</v>
      </c>
    </row>
    <row r="130" spans="1:9">
      <c r="A130" s="265">
        <v>129</v>
      </c>
      <c r="B130" s="265" t="s">
        <v>6635</v>
      </c>
      <c r="C130" s="265">
        <v>4</v>
      </c>
      <c r="D130" s="265" t="s">
        <v>6602</v>
      </c>
      <c r="E130" s="265">
        <v>40</v>
      </c>
      <c r="F130" s="265">
        <v>0</v>
      </c>
      <c r="G130" s="265">
        <v>0</v>
      </c>
      <c r="H130" s="265">
        <v>0</v>
      </c>
      <c r="I130" s="265">
        <v>0</v>
      </c>
    </row>
    <row r="131" spans="1:9">
      <c r="A131" s="265">
        <v>130</v>
      </c>
      <c r="B131" s="265" t="s">
        <v>6635</v>
      </c>
      <c r="C131" s="265">
        <v>1</v>
      </c>
      <c r="D131" s="265" t="s">
        <v>6619</v>
      </c>
      <c r="E131" s="265">
        <v>20</v>
      </c>
      <c r="F131" s="265">
        <v>0</v>
      </c>
      <c r="G131" s="265">
        <v>0</v>
      </c>
      <c r="H131" s="265">
        <v>40</v>
      </c>
      <c r="I131" s="265">
        <v>0</v>
      </c>
    </row>
    <row r="132" spans="1:9">
      <c r="A132" s="265">
        <v>131</v>
      </c>
      <c r="B132" s="265" t="s">
        <v>6635</v>
      </c>
      <c r="C132" s="265">
        <v>2</v>
      </c>
      <c r="D132" s="265" t="s">
        <v>6619</v>
      </c>
      <c r="E132" s="265">
        <v>40</v>
      </c>
      <c r="F132" s="265">
        <v>0</v>
      </c>
      <c r="G132" s="265">
        <v>0</v>
      </c>
      <c r="H132" s="265">
        <v>80</v>
      </c>
      <c r="I132" s="265">
        <v>0</v>
      </c>
    </row>
    <row r="133" spans="1:9">
      <c r="A133" s="265">
        <v>132</v>
      </c>
      <c r="B133" s="265" t="s">
        <v>6636</v>
      </c>
      <c r="C133" s="265">
        <v>1</v>
      </c>
      <c r="D133" s="265" t="s">
        <v>6601</v>
      </c>
      <c r="E133" s="265">
        <v>40</v>
      </c>
      <c r="F133" s="265">
        <v>0</v>
      </c>
      <c r="G133" s="265">
        <v>0</v>
      </c>
      <c r="H133" s="265">
        <v>0</v>
      </c>
      <c r="I133" s="265">
        <v>0</v>
      </c>
    </row>
    <row r="134" spans="1:9">
      <c r="A134" s="265">
        <v>133</v>
      </c>
      <c r="B134" s="265" t="s">
        <v>6636</v>
      </c>
      <c r="C134" s="265">
        <v>2</v>
      </c>
      <c r="D134" s="265" t="s">
        <v>6601</v>
      </c>
      <c r="E134" s="265">
        <v>80</v>
      </c>
      <c r="F134" s="265">
        <v>0</v>
      </c>
      <c r="G134" s="265">
        <v>0</v>
      </c>
      <c r="H134" s="265">
        <v>0</v>
      </c>
      <c r="I134" s="265">
        <v>0</v>
      </c>
    </row>
    <row r="135" spans="1:9">
      <c r="A135" s="265">
        <v>134</v>
      </c>
      <c r="B135" s="265" t="s">
        <v>6636</v>
      </c>
      <c r="C135" s="265">
        <v>4</v>
      </c>
      <c r="D135" s="265" t="s">
        <v>6601</v>
      </c>
      <c r="E135" s="265">
        <v>80</v>
      </c>
      <c r="F135" s="265">
        <v>0</v>
      </c>
      <c r="G135" s="265">
        <v>0</v>
      </c>
      <c r="H135" s="265">
        <v>0</v>
      </c>
      <c r="I135" s="265">
        <v>0</v>
      </c>
    </row>
    <row r="136" spans="1:9">
      <c r="A136" s="265">
        <v>135</v>
      </c>
      <c r="B136" s="265" t="s">
        <v>6636</v>
      </c>
      <c r="C136" s="265">
        <v>2</v>
      </c>
      <c r="D136" s="265" t="s">
        <v>6602</v>
      </c>
      <c r="E136" s="265">
        <v>40</v>
      </c>
      <c r="F136" s="265">
        <v>0</v>
      </c>
      <c r="G136" s="265">
        <v>0</v>
      </c>
      <c r="H136" s="265">
        <v>0</v>
      </c>
      <c r="I136" s="265">
        <v>0</v>
      </c>
    </row>
    <row r="137" spans="1:9">
      <c r="A137" s="265">
        <v>136</v>
      </c>
      <c r="B137" s="265" t="s">
        <v>6636</v>
      </c>
      <c r="C137" s="265">
        <v>4</v>
      </c>
      <c r="D137" s="265" t="s">
        <v>6602</v>
      </c>
      <c r="E137" s="265">
        <v>40</v>
      </c>
      <c r="F137" s="265">
        <v>0</v>
      </c>
      <c r="G137" s="265">
        <v>0</v>
      </c>
      <c r="H137" s="265">
        <v>0</v>
      </c>
      <c r="I137" s="265">
        <v>0</v>
      </c>
    </row>
    <row r="138" spans="1:9">
      <c r="A138" s="265">
        <v>137</v>
      </c>
      <c r="B138" s="265" t="s">
        <v>6637</v>
      </c>
      <c r="C138" s="265">
        <v>3</v>
      </c>
      <c r="D138" s="265" t="s">
        <v>6619</v>
      </c>
      <c r="E138" s="265">
        <v>60</v>
      </c>
      <c r="F138" s="265">
        <v>0</v>
      </c>
      <c r="G138" s="265">
        <v>0</v>
      </c>
      <c r="H138" s="265">
        <v>0</v>
      </c>
      <c r="I138" s="265">
        <v>0</v>
      </c>
    </row>
    <row r="139" spans="1:9">
      <c r="A139" s="265">
        <v>138</v>
      </c>
      <c r="B139" s="265" t="s">
        <v>6638</v>
      </c>
      <c r="C139" s="265">
        <v>1</v>
      </c>
      <c r="D139" s="265" t="s">
        <v>6601</v>
      </c>
      <c r="E139" s="265">
        <v>40</v>
      </c>
      <c r="F139" s="265">
        <v>0</v>
      </c>
      <c r="G139" s="265">
        <v>0</v>
      </c>
      <c r="H139" s="265">
        <v>0</v>
      </c>
      <c r="I139" s="265">
        <v>0</v>
      </c>
    </row>
    <row r="140" spans="1:9">
      <c r="A140" s="265">
        <v>139</v>
      </c>
      <c r="B140" s="265" t="s">
        <v>6638</v>
      </c>
      <c r="C140" s="265">
        <v>2</v>
      </c>
      <c r="D140" s="265" t="s">
        <v>6601</v>
      </c>
      <c r="E140" s="265">
        <v>80</v>
      </c>
      <c r="F140" s="265">
        <v>0</v>
      </c>
      <c r="G140" s="265">
        <v>0</v>
      </c>
      <c r="H140" s="265">
        <v>0</v>
      </c>
      <c r="I140" s="265">
        <v>0</v>
      </c>
    </row>
    <row r="141" spans="1:9">
      <c r="A141" s="265">
        <v>140</v>
      </c>
      <c r="B141" s="265" t="s">
        <v>6638</v>
      </c>
      <c r="C141" s="265">
        <v>4</v>
      </c>
      <c r="D141" s="265" t="s">
        <v>6601</v>
      </c>
      <c r="E141" s="265">
        <v>80</v>
      </c>
      <c r="F141" s="265">
        <v>0</v>
      </c>
      <c r="G141" s="265">
        <v>0</v>
      </c>
      <c r="H141" s="265">
        <v>0</v>
      </c>
      <c r="I141" s="265">
        <v>0</v>
      </c>
    </row>
    <row r="142" spans="1:9">
      <c r="A142" s="265">
        <v>141</v>
      </c>
      <c r="B142" s="265" t="s">
        <v>6638</v>
      </c>
      <c r="C142" s="265">
        <v>2</v>
      </c>
      <c r="D142" s="265" t="s">
        <v>6602</v>
      </c>
      <c r="E142" s="265">
        <v>40</v>
      </c>
      <c r="F142" s="265">
        <v>0</v>
      </c>
      <c r="G142" s="265">
        <v>0</v>
      </c>
      <c r="H142" s="265">
        <v>0</v>
      </c>
      <c r="I142" s="265">
        <v>0</v>
      </c>
    </row>
    <row r="143" spans="1:9">
      <c r="A143" s="265">
        <v>142</v>
      </c>
      <c r="B143" s="265" t="s">
        <v>6638</v>
      </c>
      <c r="C143" s="265">
        <v>4</v>
      </c>
      <c r="D143" s="265" t="s">
        <v>6602</v>
      </c>
      <c r="E143" s="265">
        <v>40</v>
      </c>
      <c r="F143" s="265">
        <v>0</v>
      </c>
      <c r="G143" s="265">
        <v>0</v>
      </c>
      <c r="H143" s="265">
        <v>0</v>
      </c>
      <c r="I143" s="265">
        <v>0</v>
      </c>
    </row>
    <row r="144" spans="1:9">
      <c r="A144" s="265">
        <v>143</v>
      </c>
      <c r="B144" s="265" t="s">
        <v>6600</v>
      </c>
      <c r="C144" s="265">
        <v>1</v>
      </c>
      <c r="D144" s="265" t="s">
        <v>6601</v>
      </c>
      <c r="E144" s="265">
        <v>0</v>
      </c>
      <c r="F144" s="265">
        <v>35.479999999999997</v>
      </c>
      <c r="G144" s="265">
        <v>0</v>
      </c>
      <c r="H144" s="265">
        <v>0</v>
      </c>
      <c r="I144" s="265">
        <v>0</v>
      </c>
    </row>
    <row r="145" spans="1:9">
      <c r="A145" s="265">
        <v>144</v>
      </c>
      <c r="B145" s="265" t="s">
        <v>6622</v>
      </c>
      <c r="C145" s="265">
        <v>3</v>
      </c>
      <c r="D145" s="265" t="s">
        <v>6602</v>
      </c>
      <c r="E145" s="265">
        <v>0</v>
      </c>
      <c r="F145" s="265">
        <v>27.54</v>
      </c>
      <c r="G145" s="265">
        <v>60</v>
      </c>
      <c r="H145" s="265">
        <v>0</v>
      </c>
      <c r="I145" s="265">
        <v>0</v>
      </c>
    </row>
    <row r="146" spans="1:9">
      <c r="A146" s="265">
        <v>145</v>
      </c>
      <c r="B146" s="265" t="s">
        <v>6622</v>
      </c>
      <c r="C146" s="265">
        <v>3</v>
      </c>
      <c r="D146" s="265" t="s">
        <v>6619</v>
      </c>
      <c r="E146" s="265">
        <v>0</v>
      </c>
      <c r="F146" s="265">
        <v>20</v>
      </c>
      <c r="G146" s="265">
        <v>80</v>
      </c>
      <c r="H146" s="265">
        <v>0</v>
      </c>
      <c r="I146" s="265">
        <v>0</v>
      </c>
    </row>
    <row r="147" spans="1:9">
      <c r="A147" s="265">
        <v>146</v>
      </c>
      <c r="B147" s="265" t="s">
        <v>6623</v>
      </c>
      <c r="C147" s="265">
        <v>2</v>
      </c>
      <c r="D147" s="265" t="s">
        <v>6601</v>
      </c>
      <c r="E147" s="265">
        <v>0</v>
      </c>
      <c r="F147" s="265">
        <v>40</v>
      </c>
      <c r="G147" s="265">
        <v>0</v>
      </c>
      <c r="H147" s="265">
        <v>40</v>
      </c>
      <c r="I147" s="265">
        <v>0</v>
      </c>
    </row>
    <row r="148" spans="1:9">
      <c r="A148" s="265">
        <v>147</v>
      </c>
      <c r="B148" s="265" t="s">
        <v>6623</v>
      </c>
      <c r="C148" s="265">
        <v>4</v>
      </c>
      <c r="D148" s="265" t="s">
        <v>6601</v>
      </c>
      <c r="E148" s="265">
        <v>0</v>
      </c>
      <c r="F148" s="265">
        <v>80</v>
      </c>
      <c r="G148" s="265">
        <v>0</v>
      </c>
      <c r="H148" s="265">
        <v>80</v>
      </c>
      <c r="I148" s="265">
        <v>0</v>
      </c>
    </row>
    <row r="149" spans="1:9">
      <c r="A149" s="265">
        <v>148</v>
      </c>
      <c r="B149" s="265" t="s">
        <v>6623</v>
      </c>
      <c r="C149" s="265">
        <v>2</v>
      </c>
      <c r="D149" s="265" t="s">
        <v>6602</v>
      </c>
      <c r="E149" s="265">
        <v>0</v>
      </c>
      <c r="F149" s="265">
        <v>40</v>
      </c>
      <c r="G149" s="265">
        <v>0</v>
      </c>
      <c r="H149" s="265">
        <v>0</v>
      </c>
      <c r="I149" s="265">
        <v>0</v>
      </c>
    </row>
    <row r="150" spans="1:9">
      <c r="A150" s="265">
        <v>149</v>
      </c>
      <c r="B150" s="265" t="s">
        <v>6623</v>
      </c>
      <c r="C150" s="265">
        <v>4</v>
      </c>
      <c r="D150" s="265" t="s">
        <v>6602</v>
      </c>
      <c r="E150" s="265">
        <v>0</v>
      </c>
      <c r="F150" s="265">
        <v>80</v>
      </c>
      <c r="G150" s="265">
        <v>0</v>
      </c>
      <c r="H150" s="265">
        <v>0</v>
      </c>
      <c r="I150" s="265">
        <v>0</v>
      </c>
    </row>
    <row r="151" spans="1:9">
      <c r="A151" s="265">
        <v>150</v>
      </c>
      <c r="B151" s="265" t="s">
        <v>6626</v>
      </c>
      <c r="C151" s="265">
        <v>4</v>
      </c>
      <c r="D151" s="265" t="s">
        <v>6601</v>
      </c>
      <c r="E151" s="265">
        <v>0</v>
      </c>
      <c r="F151" s="265">
        <v>20</v>
      </c>
      <c r="G151" s="265">
        <v>15</v>
      </c>
      <c r="H151" s="265">
        <v>0</v>
      </c>
      <c r="I151" s="265">
        <v>0</v>
      </c>
    </row>
    <row r="152" spans="1:9">
      <c r="A152" s="265">
        <v>151</v>
      </c>
      <c r="B152" s="265" t="s">
        <v>6626</v>
      </c>
      <c r="C152" s="265">
        <v>2</v>
      </c>
      <c r="D152" s="265" t="s">
        <v>6602</v>
      </c>
      <c r="E152" s="265">
        <v>0</v>
      </c>
      <c r="F152" s="265">
        <v>40</v>
      </c>
      <c r="G152" s="265">
        <v>20</v>
      </c>
      <c r="H152" s="265">
        <v>0</v>
      </c>
      <c r="I152" s="265">
        <v>40</v>
      </c>
    </row>
    <row r="153" spans="1:9">
      <c r="A153" s="265">
        <v>152</v>
      </c>
      <c r="B153" s="265" t="s">
        <v>6627</v>
      </c>
      <c r="C153" s="265">
        <v>4</v>
      </c>
      <c r="D153" s="265" t="s">
        <v>6601</v>
      </c>
      <c r="E153" s="265">
        <v>0</v>
      </c>
      <c r="F153" s="265">
        <v>37.24</v>
      </c>
      <c r="G153" s="265">
        <v>0</v>
      </c>
      <c r="H153" s="265">
        <v>0</v>
      </c>
      <c r="I153" s="265">
        <v>0</v>
      </c>
    </row>
    <row r="154" spans="1:9">
      <c r="A154" s="265">
        <v>153</v>
      </c>
      <c r="B154" s="265" t="s">
        <v>6627</v>
      </c>
      <c r="C154" s="265">
        <v>2</v>
      </c>
      <c r="D154" s="265" t="s">
        <v>6602</v>
      </c>
      <c r="E154" s="265">
        <v>0</v>
      </c>
      <c r="F154" s="265">
        <v>41.7</v>
      </c>
      <c r="G154" s="265">
        <v>0</v>
      </c>
      <c r="H154" s="265">
        <v>0</v>
      </c>
      <c r="I154" s="265">
        <v>0</v>
      </c>
    </row>
    <row r="155" spans="1:9">
      <c r="A155" s="265">
        <v>154</v>
      </c>
      <c r="B155" s="265" t="s">
        <v>6627</v>
      </c>
      <c r="C155" s="265">
        <v>4</v>
      </c>
      <c r="D155" s="265" t="s">
        <v>6602</v>
      </c>
      <c r="E155" s="265">
        <v>0</v>
      </c>
      <c r="F155" s="265">
        <v>37.24</v>
      </c>
      <c r="G155" s="265">
        <v>0</v>
      </c>
      <c r="H155" s="265">
        <v>0</v>
      </c>
      <c r="I155" s="265">
        <v>0</v>
      </c>
    </row>
    <row r="156" spans="1:9">
      <c r="A156" s="265">
        <v>155</v>
      </c>
      <c r="B156" s="265" t="s">
        <v>6639</v>
      </c>
      <c r="C156" s="265">
        <v>1</v>
      </c>
      <c r="D156" s="265" t="s">
        <v>6601</v>
      </c>
      <c r="E156" s="265">
        <v>0</v>
      </c>
      <c r="F156" s="265">
        <v>20</v>
      </c>
      <c r="G156" s="265">
        <v>0</v>
      </c>
      <c r="H156" s="265">
        <v>0</v>
      </c>
      <c r="I156" s="265">
        <v>0</v>
      </c>
    </row>
    <row r="157" spans="1:9">
      <c r="A157" s="265">
        <v>156</v>
      </c>
      <c r="B157" s="265" t="s">
        <v>6639</v>
      </c>
      <c r="C157" s="265">
        <v>2</v>
      </c>
      <c r="D157" s="265" t="s">
        <v>6601</v>
      </c>
      <c r="E157" s="265">
        <v>0</v>
      </c>
      <c r="F157" s="265">
        <v>40</v>
      </c>
      <c r="G157" s="265">
        <v>0</v>
      </c>
      <c r="H157" s="265">
        <v>0</v>
      </c>
      <c r="I157" s="265">
        <v>0</v>
      </c>
    </row>
    <row r="158" spans="1:9">
      <c r="A158" s="265">
        <v>157</v>
      </c>
      <c r="B158" s="265" t="s">
        <v>6639</v>
      </c>
      <c r="C158" s="265">
        <v>3</v>
      </c>
      <c r="D158" s="265" t="s">
        <v>6601</v>
      </c>
      <c r="E158" s="265">
        <v>0</v>
      </c>
      <c r="F158" s="265">
        <v>60</v>
      </c>
      <c r="G158" s="265">
        <v>0</v>
      </c>
      <c r="H158" s="265">
        <v>0</v>
      </c>
      <c r="I158" s="265">
        <v>0</v>
      </c>
    </row>
    <row r="159" spans="1:9">
      <c r="A159" s="265">
        <v>158</v>
      </c>
      <c r="B159" s="265" t="s">
        <v>6639</v>
      </c>
      <c r="C159" s="265">
        <v>4</v>
      </c>
      <c r="D159" s="265" t="s">
        <v>6601</v>
      </c>
      <c r="E159" s="265">
        <v>0</v>
      </c>
      <c r="F159" s="265">
        <v>80</v>
      </c>
      <c r="G159" s="265">
        <v>0</v>
      </c>
      <c r="H159" s="265">
        <v>0</v>
      </c>
      <c r="I159" s="265">
        <v>0</v>
      </c>
    </row>
    <row r="160" spans="1:9">
      <c r="A160" s="265">
        <v>159</v>
      </c>
      <c r="B160" s="265" t="s">
        <v>6639</v>
      </c>
      <c r="C160" s="265">
        <v>5</v>
      </c>
      <c r="D160" s="265" t="s">
        <v>6601</v>
      </c>
      <c r="E160" s="265">
        <v>0</v>
      </c>
      <c r="F160" s="265">
        <v>100</v>
      </c>
      <c r="G160" s="265">
        <v>0</v>
      </c>
      <c r="H160" s="265">
        <v>0</v>
      </c>
      <c r="I160" s="265">
        <v>0</v>
      </c>
    </row>
    <row r="161" spans="1:9">
      <c r="A161" s="265">
        <v>160</v>
      </c>
      <c r="B161" s="265" t="s">
        <v>6639</v>
      </c>
      <c r="C161" s="265">
        <v>6</v>
      </c>
      <c r="D161" s="265" t="s">
        <v>6601</v>
      </c>
      <c r="E161" s="265">
        <v>0</v>
      </c>
      <c r="F161" s="265">
        <v>120</v>
      </c>
      <c r="G161" s="265">
        <v>0</v>
      </c>
      <c r="H161" s="265">
        <v>0</v>
      </c>
      <c r="I161" s="265">
        <v>0</v>
      </c>
    </row>
    <row r="162" spans="1:9">
      <c r="A162" s="265">
        <v>161</v>
      </c>
      <c r="B162" s="265" t="s">
        <v>6639</v>
      </c>
      <c r="C162" s="265">
        <v>1</v>
      </c>
      <c r="D162" s="265" t="s">
        <v>6602</v>
      </c>
      <c r="E162" s="265">
        <v>0</v>
      </c>
      <c r="F162" s="265">
        <v>20</v>
      </c>
      <c r="G162" s="265">
        <v>0</v>
      </c>
      <c r="H162" s="265">
        <v>0</v>
      </c>
      <c r="I162" s="265">
        <v>0</v>
      </c>
    </row>
    <row r="163" spans="1:9">
      <c r="A163" s="265">
        <v>162</v>
      </c>
      <c r="B163" s="265" t="s">
        <v>6639</v>
      </c>
      <c r="C163" s="265">
        <v>2</v>
      </c>
      <c r="D163" s="265" t="s">
        <v>6602</v>
      </c>
      <c r="E163" s="265">
        <v>0</v>
      </c>
      <c r="F163" s="265">
        <v>40</v>
      </c>
      <c r="G163" s="265">
        <v>0</v>
      </c>
      <c r="H163" s="265">
        <v>0</v>
      </c>
      <c r="I163" s="265">
        <v>0</v>
      </c>
    </row>
    <row r="164" spans="1:9">
      <c r="A164" s="265">
        <v>163</v>
      </c>
      <c r="B164" s="265" t="s">
        <v>6639</v>
      </c>
      <c r="C164" s="265">
        <v>3</v>
      </c>
      <c r="D164" s="265" t="s">
        <v>6602</v>
      </c>
      <c r="E164" s="265">
        <v>0</v>
      </c>
      <c r="F164" s="265">
        <v>60</v>
      </c>
      <c r="G164" s="265">
        <v>0</v>
      </c>
      <c r="H164" s="265">
        <v>0</v>
      </c>
      <c r="I164" s="265">
        <v>0</v>
      </c>
    </row>
    <row r="165" spans="1:9">
      <c r="A165" s="265">
        <v>164</v>
      </c>
      <c r="B165" s="265" t="s">
        <v>6639</v>
      </c>
      <c r="C165" s="265">
        <v>4</v>
      </c>
      <c r="D165" s="265" t="s">
        <v>6602</v>
      </c>
      <c r="E165" s="265">
        <v>0</v>
      </c>
      <c r="F165" s="265">
        <v>80</v>
      </c>
      <c r="G165" s="265">
        <v>0</v>
      </c>
      <c r="H165" s="265">
        <v>0</v>
      </c>
      <c r="I165" s="265">
        <v>0</v>
      </c>
    </row>
    <row r="166" spans="1:9">
      <c r="A166" s="265">
        <v>165</v>
      </c>
      <c r="B166" s="265" t="s">
        <v>6639</v>
      </c>
      <c r="C166" s="265">
        <v>5</v>
      </c>
      <c r="D166" s="265" t="s">
        <v>6602</v>
      </c>
      <c r="E166" s="265">
        <v>0</v>
      </c>
      <c r="F166" s="265">
        <v>100</v>
      </c>
      <c r="G166" s="265">
        <v>0</v>
      </c>
      <c r="H166" s="265">
        <v>0</v>
      </c>
      <c r="I166" s="265">
        <v>0</v>
      </c>
    </row>
    <row r="167" spans="1:9">
      <c r="A167" s="265">
        <v>166</v>
      </c>
      <c r="B167" s="265" t="s">
        <v>6639</v>
      </c>
      <c r="C167" s="265">
        <v>6</v>
      </c>
      <c r="D167" s="265" t="s">
        <v>6602</v>
      </c>
      <c r="E167" s="265">
        <v>0</v>
      </c>
      <c r="F167" s="265">
        <v>120</v>
      </c>
      <c r="G167" s="265">
        <v>0</v>
      </c>
      <c r="H167" s="265">
        <v>0</v>
      </c>
      <c r="I167" s="265">
        <v>0</v>
      </c>
    </row>
    <row r="168" spans="1:9">
      <c r="A168" s="265">
        <v>167</v>
      </c>
      <c r="B168" s="265" t="s">
        <v>6640</v>
      </c>
      <c r="C168" s="265">
        <v>1</v>
      </c>
      <c r="D168" s="265" t="s">
        <v>6633</v>
      </c>
      <c r="E168" s="265">
        <v>0</v>
      </c>
      <c r="F168" s="265">
        <v>40</v>
      </c>
      <c r="G168" s="265">
        <v>0</v>
      </c>
      <c r="H168" s="265">
        <v>0</v>
      </c>
      <c r="I168" s="265">
        <v>0</v>
      </c>
    </row>
    <row r="169" spans="1:9">
      <c r="A169" s="265">
        <v>168</v>
      </c>
      <c r="B169" s="265" t="s">
        <v>6641</v>
      </c>
      <c r="C169" s="265">
        <v>1</v>
      </c>
      <c r="D169" s="265" t="s">
        <v>6601</v>
      </c>
      <c r="E169" s="265">
        <v>0</v>
      </c>
      <c r="F169" s="265">
        <v>20</v>
      </c>
      <c r="G169" s="265">
        <v>0</v>
      </c>
      <c r="H169" s="265">
        <v>0</v>
      </c>
      <c r="I169" s="265">
        <v>0</v>
      </c>
    </row>
    <row r="170" spans="1:9">
      <c r="A170" s="265">
        <v>169</v>
      </c>
      <c r="B170" s="265" t="s">
        <v>6641</v>
      </c>
      <c r="C170" s="265">
        <v>2</v>
      </c>
      <c r="D170" s="265" t="s">
        <v>6601</v>
      </c>
      <c r="E170" s="265">
        <v>0</v>
      </c>
      <c r="F170" s="265">
        <v>40</v>
      </c>
      <c r="G170" s="265">
        <v>0</v>
      </c>
      <c r="H170" s="265">
        <v>0</v>
      </c>
      <c r="I170" s="265">
        <v>0</v>
      </c>
    </row>
    <row r="171" spans="1:9">
      <c r="A171" s="265">
        <v>170</v>
      </c>
      <c r="B171" s="265" t="s">
        <v>6641</v>
      </c>
      <c r="C171" s="265">
        <v>3</v>
      </c>
      <c r="D171" s="265" t="s">
        <v>6601</v>
      </c>
      <c r="E171" s="265">
        <v>0</v>
      </c>
      <c r="F171" s="265">
        <v>60</v>
      </c>
      <c r="G171" s="265">
        <v>0</v>
      </c>
      <c r="H171" s="265">
        <v>0</v>
      </c>
      <c r="I171" s="265">
        <v>0</v>
      </c>
    </row>
    <row r="172" spans="1:9">
      <c r="A172" s="265">
        <v>171</v>
      </c>
      <c r="B172" s="265" t="s">
        <v>6641</v>
      </c>
      <c r="C172" s="265">
        <v>4</v>
      </c>
      <c r="D172" s="265" t="s">
        <v>6601</v>
      </c>
      <c r="E172" s="265">
        <v>0</v>
      </c>
      <c r="F172" s="265">
        <v>80</v>
      </c>
      <c r="G172" s="265">
        <v>0</v>
      </c>
      <c r="H172" s="265">
        <v>0</v>
      </c>
      <c r="I172" s="265">
        <v>0</v>
      </c>
    </row>
    <row r="173" spans="1:9">
      <c r="A173" s="265">
        <v>172</v>
      </c>
      <c r="B173" s="265" t="s">
        <v>6641</v>
      </c>
      <c r="C173" s="265">
        <v>5</v>
      </c>
      <c r="D173" s="265" t="s">
        <v>6601</v>
      </c>
      <c r="E173" s="265">
        <v>0</v>
      </c>
      <c r="F173" s="265">
        <v>80</v>
      </c>
      <c r="G173" s="265">
        <v>0</v>
      </c>
      <c r="H173" s="265">
        <v>0</v>
      </c>
      <c r="I173" s="265">
        <v>0</v>
      </c>
    </row>
    <row r="174" spans="1:9">
      <c r="A174" s="265">
        <v>173</v>
      </c>
      <c r="B174" s="265" t="s">
        <v>6641</v>
      </c>
      <c r="C174" s="265">
        <v>6</v>
      </c>
      <c r="D174" s="265" t="s">
        <v>6601</v>
      </c>
      <c r="E174" s="265">
        <v>0</v>
      </c>
      <c r="F174" s="265">
        <v>80</v>
      </c>
      <c r="G174" s="265">
        <v>0</v>
      </c>
      <c r="H174" s="265">
        <v>0</v>
      </c>
      <c r="I174" s="265">
        <v>0</v>
      </c>
    </row>
    <row r="175" spans="1:9">
      <c r="A175" s="265">
        <v>174</v>
      </c>
      <c r="B175" s="265" t="s">
        <v>6641</v>
      </c>
      <c r="C175" s="265">
        <v>1</v>
      </c>
      <c r="D175" s="265" t="s">
        <v>6602</v>
      </c>
      <c r="E175" s="265">
        <v>0</v>
      </c>
      <c r="F175" s="265">
        <v>20</v>
      </c>
      <c r="G175" s="265">
        <v>0</v>
      </c>
      <c r="H175" s="265">
        <v>0</v>
      </c>
      <c r="I175" s="265">
        <v>0</v>
      </c>
    </row>
    <row r="176" spans="1:9">
      <c r="A176" s="265">
        <v>175</v>
      </c>
      <c r="B176" s="265" t="s">
        <v>6641</v>
      </c>
      <c r="C176" s="265">
        <v>2</v>
      </c>
      <c r="D176" s="265" t="s">
        <v>6602</v>
      </c>
      <c r="E176" s="265">
        <v>0</v>
      </c>
      <c r="F176" s="265">
        <v>40</v>
      </c>
      <c r="G176" s="265">
        <v>0</v>
      </c>
      <c r="H176" s="265">
        <v>0</v>
      </c>
      <c r="I176" s="265">
        <v>0</v>
      </c>
    </row>
    <row r="177" spans="1:9">
      <c r="A177" s="265">
        <v>176</v>
      </c>
      <c r="B177" s="265" t="s">
        <v>6641</v>
      </c>
      <c r="C177" s="265">
        <v>3</v>
      </c>
      <c r="D177" s="265" t="s">
        <v>6602</v>
      </c>
      <c r="E177" s="265">
        <v>0</v>
      </c>
      <c r="F177" s="265">
        <v>60</v>
      </c>
      <c r="G177" s="265">
        <v>0</v>
      </c>
      <c r="H177" s="265">
        <v>0</v>
      </c>
      <c r="I177" s="265">
        <v>0</v>
      </c>
    </row>
    <row r="178" spans="1:9">
      <c r="A178" s="265">
        <v>177</v>
      </c>
      <c r="B178" s="265" t="s">
        <v>6641</v>
      </c>
      <c r="C178" s="265">
        <v>4</v>
      </c>
      <c r="D178" s="265" t="s">
        <v>6602</v>
      </c>
      <c r="E178" s="265">
        <v>0</v>
      </c>
      <c r="F178" s="265">
        <v>80</v>
      </c>
      <c r="G178" s="265">
        <v>0</v>
      </c>
      <c r="H178" s="265">
        <v>0</v>
      </c>
      <c r="I178" s="265">
        <v>0</v>
      </c>
    </row>
    <row r="179" spans="1:9">
      <c r="A179" s="265">
        <v>178</v>
      </c>
      <c r="B179" s="265" t="s">
        <v>6641</v>
      </c>
      <c r="C179" s="265">
        <v>5</v>
      </c>
      <c r="D179" s="265" t="s">
        <v>6602</v>
      </c>
      <c r="E179" s="265">
        <v>0</v>
      </c>
      <c r="F179" s="265">
        <v>80</v>
      </c>
      <c r="G179" s="265">
        <v>0</v>
      </c>
      <c r="H179" s="265">
        <v>0</v>
      </c>
      <c r="I179" s="265">
        <v>0</v>
      </c>
    </row>
    <row r="180" spans="1:9">
      <c r="A180" s="265">
        <v>179</v>
      </c>
      <c r="B180" s="265" t="s">
        <v>6641</v>
      </c>
      <c r="C180" s="265">
        <v>6</v>
      </c>
      <c r="D180" s="265" t="s">
        <v>6602</v>
      </c>
      <c r="E180" s="265">
        <v>0</v>
      </c>
      <c r="F180" s="265">
        <v>80</v>
      </c>
      <c r="G180" s="265">
        <v>0</v>
      </c>
      <c r="H180" s="265">
        <v>0</v>
      </c>
      <c r="I180" s="265">
        <v>0</v>
      </c>
    </row>
    <row r="181" spans="1:9">
      <c r="A181" s="265">
        <v>180</v>
      </c>
      <c r="B181" s="265" t="s">
        <v>5798</v>
      </c>
      <c r="C181" s="265">
        <v>3</v>
      </c>
      <c r="D181" s="265" t="s">
        <v>6619</v>
      </c>
      <c r="E181" s="265">
        <v>0</v>
      </c>
      <c r="F181" s="265">
        <v>60</v>
      </c>
      <c r="G181" s="265">
        <v>0</v>
      </c>
      <c r="H181" s="265">
        <v>0</v>
      </c>
      <c r="I181" s="265">
        <v>0</v>
      </c>
    </row>
    <row r="182" spans="1:9">
      <c r="A182" s="265">
        <v>181</v>
      </c>
      <c r="B182" s="265" t="s">
        <v>5798</v>
      </c>
      <c r="C182" s="265">
        <v>4</v>
      </c>
      <c r="D182" s="265" t="s">
        <v>6619</v>
      </c>
      <c r="E182" s="265">
        <v>0</v>
      </c>
      <c r="F182" s="265">
        <v>80</v>
      </c>
      <c r="G182" s="265">
        <v>0</v>
      </c>
      <c r="H182" s="265">
        <v>0</v>
      </c>
      <c r="I182" s="265">
        <v>0</v>
      </c>
    </row>
    <row r="183" spans="1:9">
      <c r="A183" s="265">
        <v>182</v>
      </c>
      <c r="B183" s="265" t="s">
        <v>6626</v>
      </c>
      <c r="C183" s="265">
        <v>3</v>
      </c>
      <c r="D183" s="265" t="s">
        <v>6619</v>
      </c>
      <c r="E183" s="265">
        <v>0</v>
      </c>
      <c r="F183" s="265">
        <v>60</v>
      </c>
      <c r="G183" s="265">
        <v>0</v>
      </c>
      <c r="H183" s="265">
        <v>0</v>
      </c>
      <c r="I183" s="265">
        <v>0</v>
      </c>
    </row>
    <row r="184" spans="1:9">
      <c r="A184" s="265">
        <v>183</v>
      </c>
      <c r="B184" s="265" t="s">
        <v>6626</v>
      </c>
      <c r="C184" s="265">
        <v>4</v>
      </c>
      <c r="D184" s="265" t="s">
        <v>6619</v>
      </c>
      <c r="E184" s="265">
        <v>0</v>
      </c>
      <c r="F184" s="265">
        <v>80</v>
      </c>
      <c r="G184" s="265">
        <v>0</v>
      </c>
      <c r="H184" s="265">
        <v>0</v>
      </c>
      <c r="I184" s="265">
        <v>0</v>
      </c>
    </row>
    <row r="185" spans="1:9">
      <c r="A185" s="265">
        <v>184</v>
      </c>
      <c r="B185" s="265" t="s">
        <v>6642</v>
      </c>
      <c r="C185" s="265">
        <v>1</v>
      </c>
      <c r="D185" s="265" t="s">
        <v>6633</v>
      </c>
      <c r="E185" s="265">
        <v>0</v>
      </c>
      <c r="F185" s="265">
        <v>40</v>
      </c>
      <c r="G185" s="265">
        <v>0</v>
      </c>
      <c r="H185" s="265">
        <v>0</v>
      </c>
      <c r="I185" s="265">
        <v>0</v>
      </c>
    </row>
    <row r="186" spans="1:9">
      <c r="A186" s="265">
        <v>185</v>
      </c>
      <c r="B186" s="265" t="s">
        <v>6643</v>
      </c>
      <c r="C186" s="265">
        <v>1</v>
      </c>
      <c r="D186" s="265" t="s">
        <v>6619</v>
      </c>
      <c r="E186" s="265">
        <v>0</v>
      </c>
      <c r="F186" s="265">
        <v>20</v>
      </c>
      <c r="G186" s="265">
        <v>0</v>
      </c>
      <c r="H186" s="265">
        <v>0</v>
      </c>
      <c r="I186" s="265">
        <v>0</v>
      </c>
    </row>
    <row r="187" spans="1:9">
      <c r="A187" s="265">
        <v>186</v>
      </c>
      <c r="B187" s="265" t="s">
        <v>6643</v>
      </c>
      <c r="C187" s="265">
        <v>2</v>
      </c>
      <c r="D187" s="265" t="s">
        <v>6619</v>
      </c>
      <c r="E187" s="265">
        <v>0</v>
      </c>
      <c r="F187" s="265">
        <v>40</v>
      </c>
      <c r="G187" s="265">
        <v>0</v>
      </c>
      <c r="H187" s="265">
        <v>0</v>
      </c>
      <c r="I187" s="265">
        <v>0</v>
      </c>
    </row>
    <row r="188" spans="1:9">
      <c r="A188" s="265">
        <v>187</v>
      </c>
      <c r="B188" s="265" t="s">
        <v>6643</v>
      </c>
      <c r="C188" s="265">
        <v>3</v>
      </c>
      <c r="D188" s="265" t="s">
        <v>6619</v>
      </c>
      <c r="E188" s="265">
        <v>0</v>
      </c>
      <c r="F188" s="265">
        <v>60</v>
      </c>
      <c r="G188" s="265">
        <v>0</v>
      </c>
      <c r="H188" s="265">
        <v>0</v>
      </c>
      <c r="I188" s="265">
        <v>0</v>
      </c>
    </row>
    <row r="189" spans="1:9">
      <c r="A189" s="265">
        <v>188</v>
      </c>
      <c r="B189" s="265" t="s">
        <v>6643</v>
      </c>
      <c r="C189" s="265">
        <v>4</v>
      </c>
      <c r="D189" s="265" t="s">
        <v>6619</v>
      </c>
      <c r="E189" s="265">
        <v>0</v>
      </c>
      <c r="F189" s="265">
        <v>80</v>
      </c>
      <c r="G189" s="265">
        <v>0</v>
      </c>
      <c r="H189" s="265">
        <v>0</v>
      </c>
      <c r="I189" s="265">
        <v>0</v>
      </c>
    </row>
    <row r="190" spans="1:9">
      <c r="A190" s="265">
        <v>189</v>
      </c>
      <c r="B190" s="265" t="s">
        <v>6644</v>
      </c>
      <c r="C190" s="265">
        <v>1</v>
      </c>
      <c r="D190" s="265" t="s">
        <v>6633</v>
      </c>
      <c r="E190" s="265">
        <v>0</v>
      </c>
      <c r="F190" s="265">
        <v>40</v>
      </c>
      <c r="G190" s="265">
        <v>0</v>
      </c>
      <c r="H190" s="265">
        <v>0</v>
      </c>
      <c r="I190" s="265">
        <v>0</v>
      </c>
    </row>
    <row r="191" spans="1:9">
      <c r="A191" s="265">
        <v>190</v>
      </c>
      <c r="B191" s="265" t="s">
        <v>6645</v>
      </c>
      <c r="C191" s="265">
        <v>2</v>
      </c>
      <c r="D191" s="265" t="s">
        <v>6619</v>
      </c>
      <c r="E191" s="265">
        <v>0</v>
      </c>
      <c r="F191" s="265">
        <v>0</v>
      </c>
      <c r="G191" s="265">
        <v>80</v>
      </c>
      <c r="H191" s="265">
        <v>0</v>
      </c>
      <c r="I191" s="265">
        <v>0</v>
      </c>
    </row>
    <row r="192" spans="1:9">
      <c r="A192" s="265">
        <v>191</v>
      </c>
      <c r="B192" s="265" t="s">
        <v>6645</v>
      </c>
      <c r="C192" s="265">
        <v>1</v>
      </c>
      <c r="D192" s="265" t="s">
        <v>6646</v>
      </c>
      <c r="E192" s="265">
        <v>0</v>
      </c>
      <c r="F192" s="265">
        <v>0</v>
      </c>
      <c r="G192" s="265">
        <v>80</v>
      </c>
      <c r="H192" s="265">
        <v>0</v>
      </c>
      <c r="I192" s="265">
        <v>0</v>
      </c>
    </row>
    <row r="193" spans="1:9">
      <c r="A193" s="265">
        <v>192</v>
      </c>
      <c r="B193" s="265" t="s">
        <v>6622</v>
      </c>
      <c r="C193" s="265">
        <v>1</v>
      </c>
      <c r="D193" s="265" t="s">
        <v>6601</v>
      </c>
      <c r="E193" s="265">
        <v>0</v>
      </c>
      <c r="F193" s="265">
        <v>0</v>
      </c>
      <c r="G193" s="265">
        <v>20</v>
      </c>
      <c r="H193" s="265">
        <v>0</v>
      </c>
      <c r="I193" s="265">
        <v>0</v>
      </c>
    </row>
    <row r="194" spans="1:9">
      <c r="A194" s="265">
        <v>193</v>
      </c>
      <c r="B194" s="265" t="s">
        <v>6622</v>
      </c>
      <c r="C194" s="265">
        <v>3</v>
      </c>
      <c r="D194" s="265" t="s">
        <v>6601</v>
      </c>
      <c r="E194" s="265">
        <v>0</v>
      </c>
      <c r="F194" s="265">
        <v>0</v>
      </c>
      <c r="G194" s="265">
        <v>60</v>
      </c>
      <c r="H194" s="265">
        <v>0</v>
      </c>
      <c r="I194" s="265">
        <v>0</v>
      </c>
    </row>
    <row r="195" spans="1:9">
      <c r="A195" s="265">
        <v>194</v>
      </c>
      <c r="B195" s="265" t="s">
        <v>6622</v>
      </c>
      <c r="C195" s="265">
        <v>1</v>
      </c>
      <c r="D195" s="265" t="s">
        <v>6602</v>
      </c>
      <c r="E195" s="265">
        <v>0</v>
      </c>
      <c r="F195" s="265">
        <v>0</v>
      </c>
      <c r="G195" s="265">
        <v>20</v>
      </c>
      <c r="H195" s="265">
        <v>0</v>
      </c>
      <c r="I195" s="265">
        <v>0</v>
      </c>
    </row>
    <row r="196" spans="1:9">
      <c r="A196" s="265">
        <v>195</v>
      </c>
      <c r="B196" s="265" t="s">
        <v>6623</v>
      </c>
      <c r="C196" s="265">
        <v>1</v>
      </c>
      <c r="D196" s="265" t="s">
        <v>6646</v>
      </c>
      <c r="E196" s="265">
        <v>0</v>
      </c>
      <c r="F196" s="265">
        <v>0</v>
      </c>
      <c r="G196" s="265">
        <v>80</v>
      </c>
      <c r="H196" s="265">
        <v>0</v>
      </c>
      <c r="I196" s="265">
        <v>0</v>
      </c>
    </row>
    <row r="197" spans="1:9">
      <c r="A197" s="265">
        <v>196</v>
      </c>
      <c r="B197" s="265" t="s">
        <v>6647</v>
      </c>
      <c r="C197" s="265">
        <v>1</v>
      </c>
      <c r="D197" s="265" t="s">
        <v>6633</v>
      </c>
      <c r="E197" s="265">
        <v>0</v>
      </c>
      <c r="F197" s="265">
        <v>0</v>
      </c>
      <c r="G197" s="265">
        <v>60</v>
      </c>
      <c r="H197" s="265">
        <v>0</v>
      </c>
      <c r="I197" s="265">
        <v>0</v>
      </c>
    </row>
    <row r="198" spans="1:9">
      <c r="A198" s="265">
        <v>197</v>
      </c>
      <c r="B198" s="265" t="s">
        <v>6648</v>
      </c>
      <c r="C198" s="265">
        <v>1</v>
      </c>
      <c r="D198" s="265" t="s">
        <v>6633</v>
      </c>
      <c r="E198" s="265">
        <v>0</v>
      </c>
      <c r="F198" s="265">
        <v>0</v>
      </c>
      <c r="G198" s="265">
        <v>120</v>
      </c>
      <c r="H198" s="265">
        <v>0</v>
      </c>
      <c r="I198" s="265">
        <v>0</v>
      </c>
    </row>
    <row r="199" spans="1:9">
      <c r="A199" s="265">
        <v>198</v>
      </c>
      <c r="B199" s="265" t="s">
        <v>5798</v>
      </c>
      <c r="C199" s="265">
        <v>3</v>
      </c>
      <c r="D199" s="265" t="s">
        <v>6601</v>
      </c>
      <c r="E199" s="265">
        <v>0</v>
      </c>
      <c r="F199" s="265">
        <v>0</v>
      </c>
      <c r="G199" s="265">
        <v>71</v>
      </c>
      <c r="H199" s="265">
        <v>60</v>
      </c>
      <c r="I199" s="265">
        <v>0</v>
      </c>
    </row>
    <row r="200" spans="1:9">
      <c r="A200" s="265">
        <v>199</v>
      </c>
      <c r="B200" s="265" t="s">
        <v>5708</v>
      </c>
      <c r="C200" s="265">
        <v>2</v>
      </c>
      <c r="D200" s="265" t="s">
        <v>6601</v>
      </c>
      <c r="E200" s="265">
        <v>0</v>
      </c>
      <c r="F200" s="265">
        <v>0</v>
      </c>
      <c r="G200" s="265">
        <v>20</v>
      </c>
      <c r="H200" s="265">
        <v>0</v>
      </c>
      <c r="I200" s="265">
        <v>0</v>
      </c>
    </row>
    <row r="201" spans="1:9">
      <c r="A201" s="265">
        <v>200</v>
      </c>
      <c r="B201" s="265" t="s">
        <v>5708</v>
      </c>
      <c r="C201" s="265">
        <v>3</v>
      </c>
      <c r="D201" s="265" t="s">
        <v>6601</v>
      </c>
      <c r="E201" s="265">
        <v>0</v>
      </c>
      <c r="F201" s="265">
        <v>0</v>
      </c>
      <c r="G201" s="265">
        <v>20</v>
      </c>
      <c r="H201" s="265">
        <v>0</v>
      </c>
      <c r="I201" s="265">
        <v>0</v>
      </c>
    </row>
    <row r="202" spans="1:9">
      <c r="A202" s="265">
        <v>201</v>
      </c>
      <c r="B202" s="265" t="s">
        <v>5708</v>
      </c>
      <c r="C202" s="265">
        <v>4</v>
      </c>
      <c r="D202" s="265" t="s">
        <v>6601</v>
      </c>
      <c r="E202" s="265">
        <v>0</v>
      </c>
      <c r="F202" s="265">
        <v>0</v>
      </c>
      <c r="G202" s="265">
        <v>20</v>
      </c>
      <c r="H202" s="265">
        <v>0</v>
      </c>
      <c r="I202" s="265">
        <v>0</v>
      </c>
    </row>
    <row r="203" spans="1:9">
      <c r="A203" s="265">
        <v>202</v>
      </c>
      <c r="B203" s="265" t="s">
        <v>5708</v>
      </c>
      <c r="C203" s="265">
        <v>2</v>
      </c>
      <c r="D203" s="265" t="s">
        <v>6602</v>
      </c>
      <c r="E203" s="265">
        <v>0</v>
      </c>
      <c r="F203" s="265">
        <v>0</v>
      </c>
      <c r="G203" s="265">
        <v>16</v>
      </c>
      <c r="H203" s="265">
        <v>0</v>
      </c>
      <c r="I203" s="265">
        <v>0</v>
      </c>
    </row>
    <row r="204" spans="1:9">
      <c r="A204" s="265">
        <v>203</v>
      </c>
      <c r="B204" s="265" t="s">
        <v>5708</v>
      </c>
      <c r="C204" s="265">
        <v>3</v>
      </c>
      <c r="D204" s="265" t="s">
        <v>6602</v>
      </c>
      <c r="E204" s="265">
        <v>0</v>
      </c>
      <c r="F204" s="265">
        <v>0</v>
      </c>
      <c r="G204" s="265">
        <v>16</v>
      </c>
      <c r="H204" s="265">
        <v>0</v>
      </c>
      <c r="I204" s="265">
        <v>0</v>
      </c>
    </row>
    <row r="205" spans="1:9">
      <c r="A205" s="265">
        <v>204</v>
      </c>
      <c r="B205" s="265" t="s">
        <v>5708</v>
      </c>
      <c r="C205" s="265">
        <v>4</v>
      </c>
      <c r="D205" s="265" t="s">
        <v>6602</v>
      </c>
      <c r="E205" s="265">
        <v>0</v>
      </c>
      <c r="F205" s="265">
        <v>0</v>
      </c>
      <c r="G205" s="265">
        <v>16</v>
      </c>
      <c r="H205" s="265">
        <v>0</v>
      </c>
      <c r="I205" s="265">
        <v>0</v>
      </c>
    </row>
    <row r="206" spans="1:9">
      <c r="A206" s="265">
        <v>205</v>
      </c>
      <c r="B206" s="265" t="s">
        <v>5708</v>
      </c>
      <c r="C206" s="265">
        <v>4</v>
      </c>
      <c r="D206" s="265" t="s">
        <v>6603</v>
      </c>
      <c r="E206" s="265">
        <v>0</v>
      </c>
      <c r="F206" s="265">
        <v>0</v>
      </c>
      <c r="G206" s="265">
        <v>20</v>
      </c>
      <c r="H206" s="265">
        <v>0</v>
      </c>
      <c r="I206" s="265">
        <v>0</v>
      </c>
    </row>
    <row r="207" spans="1:9">
      <c r="A207" s="265">
        <v>206</v>
      </c>
      <c r="B207" s="265" t="s">
        <v>5708</v>
      </c>
      <c r="C207" s="265">
        <v>6</v>
      </c>
      <c r="D207" s="265" t="s">
        <v>6603</v>
      </c>
      <c r="E207" s="265">
        <v>0</v>
      </c>
      <c r="F207" s="265">
        <v>0</v>
      </c>
      <c r="G207" s="265">
        <v>20</v>
      </c>
      <c r="H207" s="265">
        <v>0</v>
      </c>
      <c r="I207" s="265">
        <v>0</v>
      </c>
    </row>
    <row r="208" spans="1:9">
      <c r="A208" s="265">
        <v>207</v>
      </c>
      <c r="B208" s="265" t="s">
        <v>5708</v>
      </c>
      <c r="C208" s="265">
        <v>8</v>
      </c>
      <c r="D208" s="265" t="s">
        <v>6603</v>
      </c>
      <c r="E208" s="265">
        <v>0</v>
      </c>
      <c r="F208" s="265">
        <v>0</v>
      </c>
      <c r="G208" s="265">
        <v>20</v>
      </c>
      <c r="H208" s="265">
        <v>0</v>
      </c>
      <c r="I208" s="265">
        <v>0</v>
      </c>
    </row>
    <row r="209" spans="1:9">
      <c r="A209" s="265">
        <v>208</v>
      </c>
      <c r="B209" s="265" t="s">
        <v>6649</v>
      </c>
      <c r="C209" s="265">
        <v>1</v>
      </c>
      <c r="D209" s="265" t="s">
        <v>6601</v>
      </c>
      <c r="E209" s="265">
        <v>0</v>
      </c>
      <c r="F209" s="265">
        <v>0</v>
      </c>
      <c r="G209" s="265">
        <v>63</v>
      </c>
      <c r="H209" s="265">
        <v>0</v>
      </c>
      <c r="I209" s="265">
        <v>0</v>
      </c>
    </row>
    <row r="210" spans="1:9">
      <c r="A210" s="265">
        <v>209</v>
      </c>
      <c r="B210" s="265" t="s">
        <v>6649</v>
      </c>
      <c r="C210" s="265">
        <v>2</v>
      </c>
      <c r="D210" s="265" t="s">
        <v>6601</v>
      </c>
      <c r="E210" s="265">
        <v>0</v>
      </c>
      <c r="F210" s="265">
        <v>0</v>
      </c>
      <c r="G210" s="265">
        <v>63</v>
      </c>
      <c r="H210" s="265">
        <v>0</v>
      </c>
      <c r="I210" s="265">
        <v>0</v>
      </c>
    </row>
    <row r="211" spans="1:9">
      <c r="A211" s="265">
        <v>210</v>
      </c>
      <c r="B211" s="265" t="s">
        <v>6649</v>
      </c>
      <c r="C211" s="265">
        <v>1</v>
      </c>
      <c r="D211" s="265" t="s">
        <v>6602</v>
      </c>
      <c r="E211" s="265">
        <v>0</v>
      </c>
      <c r="F211" s="265">
        <v>0</v>
      </c>
      <c r="G211" s="265">
        <v>50</v>
      </c>
      <c r="H211" s="265">
        <v>0</v>
      </c>
      <c r="I211" s="265">
        <v>0</v>
      </c>
    </row>
    <row r="212" spans="1:9">
      <c r="A212" s="265">
        <v>211</v>
      </c>
      <c r="B212" s="265" t="s">
        <v>6649</v>
      </c>
      <c r="C212" s="265">
        <v>2</v>
      </c>
      <c r="D212" s="265" t="s">
        <v>6602</v>
      </c>
      <c r="E212" s="265">
        <v>0</v>
      </c>
      <c r="F212" s="265">
        <v>0</v>
      </c>
      <c r="G212" s="265">
        <v>50</v>
      </c>
      <c r="H212" s="265">
        <v>0</v>
      </c>
      <c r="I212" s="265">
        <v>0</v>
      </c>
    </row>
    <row r="213" spans="1:9">
      <c r="A213" s="265">
        <v>212</v>
      </c>
      <c r="B213" s="265" t="s">
        <v>6650</v>
      </c>
      <c r="C213" s="265">
        <v>2</v>
      </c>
      <c r="D213" s="265" t="s">
        <v>6601</v>
      </c>
      <c r="E213" s="265">
        <v>0</v>
      </c>
      <c r="F213" s="265">
        <v>0</v>
      </c>
      <c r="G213" s="265">
        <v>60</v>
      </c>
      <c r="H213" s="265">
        <v>0</v>
      </c>
      <c r="I213" s="265">
        <v>0</v>
      </c>
    </row>
    <row r="214" spans="1:9">
      <c r="A214" s="265">
        <v>213</v>
      </c>
      <c r="B214" s="265" t="s">
        <v>6651</v>
      </c>
      <c r="C214" s="265">
        <v>1</v>
      </c>
      <c r="D214" s="265" t="s">
        <v>6646</v>
      </c>
      <c r="E214" s="265">
        <v>0</v>
      </c>
      <c r="F214" s="265">
        <v>0</v>
      </c>
      <c r="G214" s="265">
        <v>60</v>
      </c>
      <c r="H214" s="265">
        <v>0</v>
      </c>
      <c r="I214" s="265">
        <v>0</v>
      </c>
    </row>
    <row r="215" spans="1:9">
      <c r="A215" s="265">
        <v>214</v>
      </c>
      <c r="B215" s="265" t="s">
        <v>6652</v>
      </c>
      <c r="C215" s="265">
        <v>1</v>
      </c>
      <c r="D215" s="265" t="s">
        <v>6633</v>
      </c>
      <c r="E215" s="265">
        <v>0</v>
      </c>
      <c r="F215" s="265">
        <v>0</v>
      </c>
      <c r="G215" s="265">
        <v>160</v>
      </c>
      <c r="H215" s="265">
        <v>0</v>
      </c>
      <c r="I215" s="265">
        <v>0</v>
      </c>
    </row>
    <row r="216" spans="1:9">
      <c r="A216" s="265">
        <v>215</v>
      </c>
      <c r="B216" s="265" t="s">
        <v>6653</v>
      </c>
      <c r="C216" s="265">
        <v>1</v>
      </c>
      <c r="D216" s="265" t="s">
        <v>6633</v>
      </c>
      <c r="E216" s="265">
        <v>0</v>
      </c>
      <c r="F216" s="265">
        <v>0</v>
      </c>
      <c r="G216" s="265">
        <v>120</v>
      </c>
      <c r="H216" s="265">
        <v>0</v>
      </c>
      <c r="I216" s="265">
        <v>0</v>
      </c>
    </row>
    <row r="217" spans="1:9">
      <c r="A217" s="265">
        <v>216</v>
      </c>
      <c r="B217" s="265" t="s">
        <v>6654</v>
      </c>
      <c r="C217" s="265">
        <v>1</v>
      </c>
      <c r="D217" s="265" t="s">
        <v>6619</v>
      </c>
      <c r="E217" s="265">
        <v>0</v>
      </c>
      <c r="F217" s="265">
        <v>0</v>
      </c>
      <c r="G217" s="265">
        <v>80</v>
      </c>
      <c r="H217" s="265">
        <v>0</v>
      </c>
      <c r="I217" s="265">
        <v>0</v>
      </c>
    </row>
    <row r="218" spans="1:9">
      <c r="A218" s="265">
        <v>217</v>
      </c>
      <c r="B218" s="265" t="s">
        <v>6654</v>
      </c>
      <c r="C218" s="265">
        <v>2</v>
      </c>
      <c r="D218" s="265" t="s">
        <v>6619</v>
      </c>
      <c r="E218" s="265">
        <v>0</v>
      </c>
      <c r="F218" s="265">
        <v>0</v>
      </c>
      <c r="G218" s="265">
        <v>80</v>
      </c>
      <c r="H218" s="265">
        <v>0</v>
      </c>
      <c r="I218" s="265">
        <v>0</v>
      </c>
    </row>
    <row r="219" spans="1:9">
      <c r="A219" s="265">
        <v>218</v>
      </c>
      <c r="B219" s="265" t="s">
        <v>6654</v>
      </c>
      <c r="C219" s="265">
        <v>3</v>
      </c>
      <c r="D219" s="265" t="s">
        <v>6619</v>
      </c>
      <c r="E219" s="265">
        <v>0</v>
      </c>
      <c r="F219" s="265">
        <v>0</v>
      </c>
      <c r="G219" s="265">
        <v>80</v>
      </c>
      <c r="H219" s="265">
        <v>0</v>
      </c>
      <c r="I219" s="265">
        <v>0</v>
      </c>
    </row>
    <row r="220" spans="1:9">
      <c r="A220" s="265">
        <v>219</v>
      </c>
      <c r="B220" s="265" t="s">
        <v>6655</v>
      </c>
      <c r="C220" s="265">
        <v>1</v>
      </c>
      <c r="D220" s="265" t="s">
        <v>6619</v>
      </c>
      <c r="E220" s="265">
        <v>0</v>
      </c>
      <c r="F220" s="265">
        <v>0</v>
      </c>
      <c r="G220" s="265">
        <v>120</v>
      </c>
      <c r="H220" s="265">
        <v>0</v>
      </c>
      <c r="I220" s="265">
        <v>0</v>
      </c>
    </row>
    <row r="221" spans="1:9">
      <c r="A221" s="265">
        <v>220</v>
      </c>
      <c r="B221" s="265" t="s">
        <v>6655</v>
      </c>
      <c r="C221" s="265">
        <v>2</v>
      </c>
      <c r="D221" s="265" t="s">
        <v>6619</v>
      </c>
      <c r="E221" s="265">
        <v>0</v>
      </c>
      <c r="F221" s="265">
        <v>0</v>
      </c>
      <c r="G221" s="265">
        <v>120</v>
      </c>
      <c r="H221" s="265">
        <v>0</v>
      </c>
      <c r="I221" s="265">
        <v>0</v>
      </c>
    </row>
    <row r="222" spans="1:9">
      <c r="A222" s="265">
        <v>221</v>
      </c>
      <c r="B222" s="265" t="s">
        <v>6655</v>
      </c>
      <c r="C222" s="265">
        <v>3</v>
      </c>
      <c r="D222" s="265" t="s">
        <v>6619</v>
      </c>
      <c r="E222" s="265">
        <v>0</v>
      </c>
      <c r="F222" s="265">
        <v>0</v>
      </c>
      <c r="G222" s="265">
        <v>120</v>
      </c>
      <c r="H222" s="265">
        <v>0</v>
      </c>
      <c r="I222" s="265">
        <v>0</v>
      </c>
    </row>
    <row r="223" spans="1:9">
      <c r="A223" s="265">
        <v>222</v>
      </c>
      <c r="B223" s="265" t="s">
        <v>6656</v>
      </c>
      <c r="C223" s="265">
        <v>1</v>
      </c>
      <c r="D223" s="265" t="s">
        <v>6646</v>
      </c>
      <c r="E223" s="265">
        <v>0</v>
      </c>
      <c r="F223" s="265">
        <v>0</v>
      </c>
      <c r="G223" s="265">
        <v>80</v>
      </c>
      <c r="H223" s="265">
        <v>0</v>
      </c>
      <c r="I223" s="265">
        <v>0</v>
      </c>
    </row>
    <row r="224" spans="1:9">
      <c r="A224" s="265">
        <v>223</v>
      </c>
      <c r="B224" s="265" t="s">
        <v>6657</v>
      </c>
      <c r="C224" s="265">
        <v>2</v>
      </c>
      <c r="D224" s="265" t="s">
        <v>6619</v>
      </c>
      <c r="E224" s="265">
        <v>0</v>
      </c>
      <c r="F224" s="265">
        <v>0</v>
      </c>
      <c r="G224" s="265">
        <v>20</v>
      </c>
      <c r="H224" s="265">
        <v>0</v>
      </c>
      <c r="I224" s="265">
        <v>0</v>
      </c>
    </row>
    <row r="225" spans="1:9">
      <c r="A225" s="265">
        <v>224</v>
      </c>
      <c r="B225" s="265" t="s">
        <v>6658</v>
      </c>
      <c r="C225" s="265">
        <v>2</v>
      </c>
      <c r="D225" s="265" t="s">
        <v>6619</v>
      </c>
      <c r="E225" s="265">
        <v>0</v>
      </c>
      <c r="F225" s="265">
        <v>0</v>
      </c>
      <c r="G225" s="265">
        <v>40</v>
      </c>
      <c r="H225" s="265">
        <v>0</v>
      </c>
      <c r="I225" s="265">
        <v>0</v>
      </c>
    </row>
    <row r="226" spans="1:9">
      <c r="A226" s="265">
        <v>225</v>
      </c>
      <c r="B226" s="265" t="s">
        <v>6650</v>
      </c>
      <c r="C226" s="265">
        <v>1</v>
      </c>
      <c r="D226" s="265" t="s">
        <v>6633</v>
      </c>
      <c r="E226" s="265">
        <v>0</v>
      </c>
      <c r="F226" s="265">
        <v>0</v>
      </c>
      <c r="G226" s="265">
        <v>120</v>
      </c>
      <c r="H226" s="265">
        <v>0</v>
      </c>
      <c r="I226" s="265">
        <v>0</v>
      </c>
    </row>
    <row r="227" spans="1:9">
      <c r="A227" s="265">
        <v>226</v>
      </c>
      <c r="B227" s="265" t="s">
        <v>6623</v>
      </c>
      <c r="C227" s="265">
        <v>1</v>
      </c>
      <c r="D227" s="265" t="s">
        <v>6633</v>
      </c>
      <c r="E227" s="265">
        <v>0</v>
      </c>
      <c r="F227" s="265">
        <v>0</v>
      </c>
      <c r="G227" s="265">
        <v>60</v>
      </c>
      <c r="H227" s="265">
        <v>0</v>
      </c>
      <c r="I227" s="265">
        <v>0</v>
      </c>
    </row>
    <row r="228" spans="1:9">
      <c r="A228" s="265">
        <v>227</v>
      </c>
      <c r="B228" s="265" t="s">
        <v>6615</v>
      </c>
      <c r="C228" s="265">
        <v>3</v>
      </c>
      <c r="D228" s="265" t="s">
        <v>6601</v>
      </c>
      <c r="E228" s="265">
        <v>0</v>
      </c>
      <c r="F228" s="265">
        <v>0</v>
      </c>
      <c r="G228" s="265">
        <v>0</v>
      </c>
      <c r="H228" s="265">
        <v>76</v>
      </c>
      <c r="I228" s="265">
        <v>0</v>
      </c>
    </row>
    <row r="229" spans="1:9">
      <c r="A229" s="265">
        <v>228</v>
      </c>
      <c r="B229" s="265" t="s">
        <v>6623</v>
      </c>
      <c r="C229" s="265">
        <v>6</v>
      </c>
      <c r="D229" s="265" t="s">
        <v>6601</v>
      </c>
      <c r="E229" s="265">
        <v>0</v>
      </c>
      <c r="F229" s="265">
        <v>0</v>
      </c>
      <c r="G229" s="265">
        <v>0</v>
      </c>
      <c r="H229" s="265">
        <v>120</v>
      </c>
      <c r="I229" s="265">
        <v>0</v>
      </c>
    </row>
    <row r="230" spans="1:9">
      <c r="A230" s="265">
        <v>229</v>
      </c>
      <c r="B230" s="265" t="s">
        <v>5798</v>
      </c>
      <c r="C230" s="265">
        <v>6</v>
      </c>
      <c r="D230" s="265" t="s">
        <v>6601</v>
      </c>
      <c r="E230" s="265">
        <v>0</v>
      </c>
      <c r="F230" s="265">
        <v>0</v>
      </c>
      <c r="G230" s="265">
        <v>0</v>
      </c>
      <c r="H230" s="265">
        <v>120</v>
      </c>
      <c r="I230" s="265">
        <v>0</v>
      </c>
    </row>
    <row r="231" spans="1:9">
      <c r="A231" s="265">
        <v>230</v>
      </c>
      <c r="B231" s="265" t="s">
        <v>6625</v>
      </c>
      <c r="C231" s="265">
        <v>3</v>
      </c>
      <c r="D231" s="265" t="s">
        <v>6601</v>
      </c>
      <c r="E231" s="265">
        <v>0</v>
      </c>
      <c r="F231" s="265">
        <v>0</v>
      </c>
      <c r="G231" s="265">
        <v>0</v>
      </c>
      <c r="H231" s="265">
        <v>60</v>
      </c>
      <c r="I231" s="265">
        <v>0</v>
      </c>
    </row>
    <row r="232" spans="1:9">
      <c r="A232" s="265">
        <v>231</v>
      </c>
      <c r="B232" s="265" t="s">
        <v>6625</v>
      </c>
      <c r="C232" s="265">
        <v>6</v>
      </c>
      <c r="D232" s="265" t="s">
        <v>6601</v>
      </c>
      <c r="E232" s="265">
        <v>0</v>
      </c>
      <c r="F232" s="265">
        <v>0</v>
      </c>
      <c r="G232" s="265">
        <v>0</v>
      </c>
      <c r="H232" s="265">
        <v>120</v>
      </c>
      <c r="I232" s="265">
        <v>0</v>
      </c>
    </row>
    <row r="233" spans="1:9">
      <c r="A233" s="265">
        <v>232</v>
      </c>
      <c r="B233" s="265" t="s">
        <v>6635</v>
      </c>
      <c r="C233" s="265">
        <v>1</v>
      </c>
      <c r="D233" s="265" t="s">
        <v>6646</v>
      </c>
      <c r="E233" s="265">
        <v>0</v>
      </c>
      <c r="F233" s="265">
        <v>0</v>
      </c>
      <c r="G233" s="265">
        <v>0</v>
      </c>
      <c r="H233" s="265">
        <v>40</v>
      </c>
      <c r="I233" s="265">
        <v>0</v>
      </c>
    </row>
    <row r="234" spans="1:9">
      <c r="A234" s="265">
        <v>233</v>
      </c>
      <c r="B234" s="265" t="s">
        <v>5798</v>
      </c>
      <c r="C234" s="265">
        <v>1</v>
      </c>
      <c r="D234" s="265" t="s">
        <v>6602</v>
      </c>
      <c r="E234" s="265">
        <v>0</v>
      </c>
      <c r="F234" s="265">
        <v>0</v>
      </c>
      <c r="G234" s="265">
        <v>0</v>
      </c>
      <c r="H234" s="265">
        <v>0</v>
      </c>
      <c r="I234" s="265">
        <v>60</v>
      </c>
    </row>
    <row r="235" spans="1:9">
      <c r="A235" s="265">
        <v>234</v>
      </c>
      <c r="B235" s="265" t="s">
        <v>6625</v>
      </c>
      <c r="C235" s="265">
        <v>1</v>
      </c>
      <c r="D235" s="265" t="s">
        <v>6602</v>
      </c>
      <c r="E235" s="265">
        <v>0</v>
      </c>
      <c r="F235" s="265">
        <v>0</v>
      </c>
      <c r="G235" s="265">
        <v>0</v>
      </c>
      <c r="H235" s="265">
        <v>0</v>
      </c>
      <c r="I235" s="265">
        <v>60</v>
      </c>
    </row>
    <row r="236" spans="1:9">
      <c r="A236" s="265">
        <v>235</v>
      </c>
      <c r="B236" s="265" t="s">
        <v>6626</v>
      </c>
      <c r="C236" s="265">
        <v>1</v>
      </c>
      <c r="D236" s="265" t="s">
        <v>6602</v>
      </c>
      <c r="E236" s="265">
        <v>0</v>
      </c>
      <c r="F236" s="265">
        <v>0</v>
      </c>
      <c r="G236" s="265">
        <v>0</v>
      </c>
      <c r="H236" s="265">
        <v>0</v>
      </c>
      <c r="I236" s="26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G4"/>
  <sheetViews>
    <sheetView workbookViewId="0">
      <pane xSplit="2" ySplit="1" topLeftCell="C2" activePane="bottomRight" state="frozen"/>
      <selection activeCell="G5" sqref="G5"/>
      <selection pane="topRight" activeCell="G5" sqref="G5"/>
      <selection pane="bottomLeft" activeCell="G5" sqref="G5"/>
      <selection pane="bottomRight" activeCell="E1" sqref="E1"/>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85546875" style="24" customWidth="1"/>
    <col min="7" max="7" width="42.140625" style="24" bestFit="1" customWidth="1"/>
    <col min="8" max="19" width="9.140625" style="14" customWidth="1"/>
    <col min="20" max="16384" width="9.140625" style="14"/>
  </cols>
  <sheetData>
    <row r="1" spans="1:7" s="225" customFormat="1" ht="33.75" customHeight="1">
      <c r="A1" s="226" t="s">
        <v>5718</v>
      </c>
      <c r="B1" s="227" t="s">
        <v>6013</v>
      </c>
      <c r="C1" s="226" t="s">
        <v>6412</v>
      </c>
      <c r="D1" s="226" t="s">
        <v>6413</v>
      </c>
      <c r="E1" s="226" t="s">
        <v>6414</v>
      </c>
      <c r="F1" s="228" t="s">
        <v>5719</v>
      </c>
      <c r="G1" s="228" t="s">
        <v>6014</v>
      </c>
    </row>
    <row r="2" spans="1:7" s="225" customFormat="1" ht="45">
      <c r="A2" s="210" t="s">
        <v>6218</v>
      </c>
      <c r="B2" s="231" t="s">
        <v>6226</v>
      </c>
      <c r="C2" s="210" t="s">
        <v>6415</v>
      </c>
      <c r="D2" s="210" t="s">
        <v>6416</v>
      </c>
      <c r="E2" s="210" t="s">
        <v>6417</v>
      </c>
      <c r="F2" s="210" t="s">
        <v>6219</v>
      </c>
      <c r="G2" s="210" t="s">
        <v>6227</v>
      </c>
    </row>
    <row r="3" spans="1:7" s="15" customFormat="1">
      <c r="A3" s="229" t="s">
        <v>5723</v>
      </c>
      <c r="B3" s="229" t="str">
        <f>INDEX(ApplicantNameList,MATCH(A3,ApplicantIDList,0))</f>
        <v>Tổng Công ty Hạ tầng mạng</v>
      </c>
      <c r="C3" s="229" t="s">
        <v>6418</v>
      </c>
      <c r="D3" s="230">
        <v>43543</v>
      </c>
      <c r="E3" s="229">
        <v>37</v>
      </c>
      <c r="F3" s="122" t="str">
        <f>INDEX(ApplicantOperatorID,MATCH(A3,ApplicantIDList,0))</f>
        <v>VINAPHONE</v>
      </c>
      <c r="G3" s="122" t="str">
        <f>INDEX(OperatorNameList,MATCH(F3,OperatorIDList,0))</f>
        <v>TỔNG CÔNG TY HẠ TẦNG MẠNG</v>
      </c>
    </row>
    <row r="4" spans="1:7">
      <c r="A4" s="15"/>
    </row>
  </sheetData>
  <sheetProtection formatCells="0" formatColumns="0" formatRows="0" sort="0" autoFilter="0" pivotTables="0"/>
  <conditionalFormatting sqref="E3">
    <cfRule type="expression" dxfId="3194" priority="10">
      <formula>NOT(ISNUMBER($E$3))</formula>
    </cfRule>
  </conditionalFormatting>
  <conditionalFormatting sqref="A3">
    <cfRule type="containsBlanks" dxfId="3193" priority="8">
      <formula>LEN(TRIM(A3))=0</formula>
    </cfRule>
  </conditionalFormatting>
  <conditionalFormatting sqref="C3">
    <cfRule type="containsBlanks" dxfId="3192" priority="7">
      <formula>LEN(TRIM(C3))=0</formula>
    </cfRule>
  </conditionalFormatting>
  <conditionalFormatting sqref="D3">
    <cfRule type="expression" dxfId="3191" priority="2">
      <formula>NOT(isdate($D$3))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
      <formula1>1</formula1>
    </dataValidation>
  </dataValidations>
  <pageMargins left="0.7" right="0.7" top="0.75" bottom="0.75" header="0.3" footer="0.3"/>
  <pageSetup paperSize="9" orientation="portrait"/>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85" zoomScaleNormal="85" workbookViewId="0">
      <pane xSplit="6" ySplit="1" topLeftCell="G32" activePane="bottomRight" state="frozen"/>
      <selection pane="topRight" activeCell="C1" sqref="C1"/>
      <selection pane="bottomLeft" activeCell="A2" sqref="A2"/>
      <selection pane="bottomRight" activeCell="K13" sqref="K13"/>
    </sheetView>
  </sheetViews>
  <sheetFormatPr defaultRowHeight="15"/>
  <cols>
    <col min="1" max="1" width="7.140625" style="136" customWidth="1"/>
    <col min="2" max="2" width="15.7109375" style="189" customWidth="1"/>
    <col min="3" max="3" width="15.7109375" style="143" customWidth="1"/>
    <col min="4" max="4" width="15.7109375" style="189" customWidth="1"/>
    <col min="5" max="5" width="15.7109375" style="143" customWidth="1"/>
    <col min="6" max="6" width="15.7109375" style="189" customWidth="1"/>
    <col min="7" max="7" width="27.42578125" style="136" customWidth="1"/>
    <col min="8" max="8" width="15.5703125" style="136" customWidth="1"/>
    <col min="9" max="9" width="14.85546875" style="143" customWidth="1"/>
    <col min="10" max="10" width="23.7109375" style="143" customWidth="1"/>
    <col min="11" max="11" width="29.140625" style="143" customWidth="1"/>
    <col min="12" max="12" width="13.7109375" style="143" customWidth="1"/>
    <col min="13" max="13" width="10.7109375" style="136" customWidth="1"/>
    <col min="14" max="14" width="10.28515625" style="136" customWidth="1"/>
    <col min="15" max="15" width="13.28515625" style="136" customWidth="1"/>
    <col min="16" max="16" width="36.85546875" style="136" customWidth="1"/>
    <col min="17" max="28" width="9.140625" style="136" customWidth="1"/>
    <col min="29" max="16384" width="9.140625" style="136"/>
  </cols>
  <sheetData>
    <row r="1" spans="1:12" ht="33.75" customHeight="1">
      <c r="A1" s="149" t="s">
        <v>0</v>
      </c>
      <c r="B1" s="134" t="s">
        <v>6686</v>
      </c>
      <c r="C1" s="134" t="s">
        <v>6687</v>
      </c>
      <c r="D1" s="134" t="s">
        <v>6688</v>
      </c>
      <c r="E1" s="134" t="s">
        <v>6689</v>
      </c>
      <c r="F1" s="135" t="s">
        <v>6690</v>
      </c>
      <c r="G1" s="134" t="s">
        <v>6691</v>
      </c>
      <c r="I1" s="273" t="s">
        <v>6692</v>
      </c>
      <c r="J1" s="273"/>
      <c r="K1" s="273"/>
      <c r="L1" s="273"/>
    </row>
    <row r="2" spans="1:12">
      <c r="A2" s="138">
        <v>1</v>
      </c>
      <c r="B2" s="187" t="s">
        <v>0</v>
      </c>
      <c r="C2" s="138" t="s">
        <v>6693</v>
      </c>
      <c r="D2" s="187" t="s">
        <v>0</v>
      </c>
      <c r="E2" s="138">
        <v>1</v>
      </c>
      <c r="F2" s="190" t="s">
        <v>0</v>
      </c>
      <c r="G2" s="139" t="s">
        <v>6694</v>
      </c>
      <c r="H2" s="140"/>
      <c r="I2" s="137" t="s">
        <v>0</v>
      </c>
      <c r="J2" s="137" t="s">
        <v>6695</v>
      </c>
      <c r="K2" s="137" t="s">
        <v>6696</v>
      </c>
      <c r="L2" s="137" t="s">
        <v>6697</v>
      </c>
    </row>
    <row r="3" spans="1:12">
      <c r="A3" s="138">
        <v>2</v>
      </c>
      <c r="B3" s="188" t="s">
        <v>6698</v>
      </c>
      <c r="C3" s="138" t="s">
        <v>6693</v>
      </c>
      <c r="D3" s="188" t="s">
        <v>5979</v>
      </c>
      <c r="E3" s="145"/>
      <c r="F3" s="191" t="s">
        <v>5979</v>
      </c>
      <c r="G3" s="142" t="s">
        <v>6699</v>
      </c>
      <c r="H3" s="140"/>
      <c r="I3" s="150">
        <v>1</v>
      </c>
      <c r="J3" s="150" t="b">
        <v>1</v>
      </c>
      <c r="K3" s="141" t="s">
        <v>6700</v>
      </c>
      <c r="L3" s="141" t="s">
        <v>6701</v>
      </c>
    </row>
    <row r="4" spans="1:12">
      <c r="A4" s="138">
        <v>3</v>
      </c>
      <c r="B4" s="188" t="s">
        <v>5980</v>
      </c>
      <c r="C4" s="138" t="s">
        <v>6693</v>
      </c>
      <c r="D4" s="188" t="s">
        <v>5980</v>
      </c>
      <c r="E4" s="144"/>
      <c r="F4" s="191" t="s">
        <v>5980</v>
      </c>
      <c r="G4" s="142" t="s">
        <v>6702</v>
      </c>
      <c r="H4" s="140"/>
      <c r="I4" s="150">
        <v>2</v>
      </c>
      <c r="J4" s="150" t="b">
        <v>0</v>
      </c>
      <c r="K4" s="141" t="s">
        <v>6703</v>
      </c>
      <c r="L4" s="141" t="s">
        <v>0</v>
      </c>
    </row>
    <row r="5" spans="1:12">
      <c r="A5" s="138">
        <v>4</v>
      </c>
      <c r="B5" s="188" t="s">
        <v>5981</v>
      </c>
      <c r="C5" s="138" t="s">
        <v>6693</v>
      </c>
      <c r="D5" s="188" t="s">
        <v>5981</v>
      </c>
      <c r="E5" s="144" t="s">
        <v>5344</v>
      </c>
      <c r="F5" s="191" t="s">
        <v>5981</v>
      </c>
      <c r="G5" s="142" t="s">
        <v>6704</v>
      </c>
      <c r="H5" s="140"/>
    </row>
    <row r="6" spans="1:12">
      <c r="A6" s="138">
        <v>5</v>
      </c>
      <c r="B6" s="187" t="s">
        <v>6019</v>
      </c>
      <c r="C6" s="138" t="s">
        <v>6693</v>
      </c>
      <c r="D6" s="187" t="s">
        <v>6019</v>
      </c>
      <c r="E6" s="144" t="s">
        <v>2425</v>
      </c>
      <c r="F6" s="190" t="s">
        <v>6019</v>
      </c>
      <c r="G6" s="142" t="s">
        <v>6705</v>
      </c>
      <c r="H6" s="140"/>
      <c r="I6" s="134" t="s">
        <v>6706</v>
      </c>
      <c r="J6" s="134" t="s">
        <v>6707</v>
      </c>
      <c r="K6" s="134" t="s">
        <v>6708</v>
      </c>
      <c r="L6" s="134" t="s">
        <v>6709</v>
      </c>
    </row>
    <row r="7" spans="1:12">
      <c r="A7" s="138">
        <v>6</v>
      </c>
      <c r="B7" s="188" t="s">
        <v>6710</v>
      </c>
      <c r="C7" s="138" t="s">
        <v>6711</v>
      </c>
      <c r="D7" s="188" t="s">
        <v>5982</v>
      </c>
      <c r="E7" s="144"/>
      <c r="F7" s="191" t="s">
        <v>5982</v>
      </c>
      <c r="G7" s="142" t="s">
        <v>6712</v>
      </c>
      <c r="H7" s="140"/>
      <c r="I7" s="151" t="s">
        <v>6713</v>
      </c>
      <c r="J7" s="138">
        <v>0</v>
      </c>
      <c r="K7" s="138" t="e">
        <f>INDEX(TrueFalseList,_xlfn.IFNA(MATCH(OptionsIsNotLogicalValue,CoKhongList,0),MATCH(OptionsIsNotLogicalValue,YesNoList,0)))</f>
        <v>#N/A</v>
      </c>
      <c r="L7" s="138" t="b">
        <v>1</v>
      </c>
    </row>
    <row r="8" spans="1:12">
      <c r="A8" s="138">
        <v>7</v>
      </c>
      <c r="B8" s="188" t="s">
        <v>6710</v>
      </c>
      <c r="C8" s="138" t="s">
        <v>6714</v>
      </c>
      <c r="D8" s="188" t="s">
        <v>5983</v>
      </c>
      <c r="E8" s="144"/>
      <c r="F8" s="191" t="s">
        <v>5983</v>
      </c>
      <c r="G8" s="142" t="s">
        <v>6715</v>
      </c>
      <c r="H8" s="140"/>
    </row>
    <row r="9" spans="1:12">
      <c r="A9" s="138">
        <v>8</v>
      </c>
      <c r="B9" s="188" t="s">
        <v>6716</v>
      </c>
      <c r="C9" s="138" t="s">
        <v>6693</v>
      </c>
      <c r="D9" s="188" t="s">
        <v>5984</v>
      </c>
      <c r="E9" s="144">
        <v>1</v>
      </c>
      <c r="F9" s="191" t="s">
        <v>5984</v>
      </c>
      <c r="G9" s="142" t="s">
        <v>6717</v>
      </c>
      <c r="H9" s="140"/>
    </row>
    <row r="10" spans="1:12">
      <c r="A10" s="138">
        <v>9</v>
      </c>
      <c r="B10" s="188" t="s">
        <v>5985</v>
      </c>
      <c r="C10" s="144" t="s">
        <v>6718</v>
      </c>
      <c r="D10" s="188" t="s">
        <v>5985</v>
      </c>
      <c r="E10" s="144"/>
      <c r="F10" s="191" t="s">
        <v>5985</v>
      </c>
      <c r="G10" s="142" t="s">
        <v>6719</v>
      </c>
      <c r="H10" s="140"/>
      <c r="I10" s="273" t="s">
        <v>6720</v>
      </c>
      <c r="J10" s="273"/>
      <c r="K10" s="273"/>
      <c r="L10" s="273"/>
    </row>
    <row r="11" spans="1:12" ht="45">
      <c r="A11" s="138">
        <v>10</v>
      </c>
      <c r="B11" s="188" t="s">
        <v>6721</v>
      </c>
      <c r="C11" s="144" t="s">
        <v>6722</v>
      </c>
      <c r="D11" s="188" t="s">
        <v>6032</v>
      </c>
      <c r="E11" s="144"/>
      <c r="F11" s="192" t="s">
        <v>6032</v>
      </c>
      <c r="G11" s="142" t="s">
        <v>6723</v>
      </c>
      <c r="H11" s="140"/>
      <c r="I11" s="134" t="s">
        <v>6724</v>
      </c>
      <c r="J11" s="134" t="s">
        <v>6689</v>
      </c>
      <c r="K11" s="134" t="s">
        <v>6691</v>
      </c>
      <c r="L11" s="149"/>
    </row>
    <row r="12" spans="1:12" ht="45">
      <c r="A12" s="138">
        <v>11</v>
      </c>
      <c r="B12" s="188" t="s">
        <v>6725</v>
      </c>
      <c r="C12" s="144" t="s">
        <v>6722</v>
      </c>
      <c r="D12" s="188" t="s">
        <v>5986</v>
      </c>
      <c r="E12" s="144"/>
      <c r="F12" s="191" t="s">
        <v>5986</v>
      </c>
      <c r="G12" s="142" t="s">
        <v>6726</v>
      </c>
      <c r="H12" s="140"/>
      <c r="I12" s="167" t="s">
        <v>6727</v>
      </c>
      <c r="J12" s="138" t="b">
        <v>1</v>
      </c>
      <c r="K12" s="138" t="s">
        <v>6890</v>
      </c>
      <c r="L12" s="138"/>
    </row>
    <row r="13" spans="1:12" ht="45">
      <c r="A13" s="138">
        <v>12</v>
      </c>
      <c r="B13" s="188" t="s">
        <v>6698</v>
      </c>
      <c r="C13" s="144" t="s">
        <v>6722</v>
      </c>
      <c r="D13" s="188" t="s">
        <v>5987</v>
      </c>
      <c r="E13" s="144"/>
      <c r="F13" s="191" t="s">
        <v>5987</v>
      </c>
      <c r="G13" s="142" t="s">
        <v>6728</v>
      </c>
      <c r="H13" s="140"/>
      <c r="I13" s="167" t="s">
        <v>5980</v>
      </c>
      <c r="J13" s="138" t="b">
        <v>0</v>
      </c>
      <c r="K13" s="138" t="s">
        <v>6729</v>
      </c>
      <c r="L13" s="138"/>
    </row>
    <row r="14" spans="1:12" ht="45">
      <c r="A14" s="138">
        <v>13</v>
      </c>
      <c r="B14" s="188" t="s">
        <v>6730</v>
      </c>
      <c r="C14" s="144" t="s">
        <v>6722</v>
      </c>
      <c r="D14" s="188" t="s">
        <v>5988</v>
      </c>
      <c r="E14" s="144"/>
      <c r="F14" s="191" t="s">
        <v>5988</v>
      </c>
      <c r="G14" s="142" t="s">
        <v>6731</v>
      </c>
      <c r="H14" s="140"/>
      <c r="I14" s="167" t="s">
        <v>6732</v>
      </c>
      <c r="J14" s="138" t="b">
        <v>0</v>
      </c>
      <c r="K14" s="138" t="s">
        <v>6733</v>
      </c>
      <c r="L14" s="138"/>
    </row>
    <row r="15" spans="1:12" ht="45">
      <c r="A15" s="138">
        <v>14</v>
      </c>
      <c r="B15" s="188" t="s">
        <v>6734</v>
      </c>
      <c r="C15" s="144" t="s">
        <v>6722</v>
      </c>
      <c r="D15" s="188" t="s">
        <v>5989</v>
      </c>
      <c r="E15" s="144"/>
      <c r="F15" s="191" t="s">
        <v>5989</v>
      </c>
      <c r="G15" s="142" t="s">
        <v>6735</v>
      </c>
      <c r="H15" s="140"/>
      <c r="I15" s="167" t="s">
        <v>6736</v>
      </c>
      <c r="J15" s="138" t="b">
        <v>0</v>
      </c>
      <c r="K15" s="138" t="s">
        <v>6737</v>
      </c>
      <c r="L15" s="138"/>
    </row>
    <row r="16" spans="1:12" ht="45">
      <c r="A16" s="138">
        <v>15</v>
      </c>
      <c r="B16" s="188" t="s">
        <v>6738</v>
      </c>
      <c r="C16" s="144" t="s">
        <v>6722</v>
      </c>
      <c r="D16" s="188" t="s">
        <v>5990</v>
      </c>
      <c r="E16" s="144"/>
      <c r="F16" s="191" t="s">
        <v>5990</v>
      </c>
      <c r="G16" s="142" t="s">
        <v>6739</v>
      </c>
      <c r="H16" s="140"/>
      <c r="I16" s="151" t="s">
        <v>6740</v>
      </c>
      <c r="J16" s="138" t="b">
        <v>1</v>
      </c>
      <c r="K16" s="138" t="s">
        <v>6741</v>
      </c>
      <c r="L16" s="138"/>
    </row>
    <row r="17" spans="1:12" ht="45">
      <c r="A17" s="138">
        <v>16</v>
      </c>
      <c r="B17" s="188" t="s">
        <v>6742</v>
      </c>
      <c r="C17" s="144" t="s">
        <v>6743</v>
      </c>
      <c r="D17" s="188" t="s">
        <v>5991</v>
      </c>
      <c r="E17" s="144"/>
      <c r="F17" s="191" t="s">
        <v>5991</v>
      </c>
      <c r="G17" s="142" t="s">
        <v>6744</v>
      </c>
      <c r="H17" s="140"/>
    </row>
    <row r="18" spans="1:12" ht="45">
      <c r="A18" s="138">
        <v>17</v>
      </c>
      <c r="B18" s="188" t="s">
        <v>6745</v>
      </c>
      <c r="C18" s="144" t="s">
        <v>6722</v>
      </c>
      <c r="D18" s="188" t="s">
        <v>5992</v>
      </c>
      <c r="E18" s="144"/>
      <c r="F18" s="191" t="s">
        <v>5992</v>
      </c>
      <c r="G18" s="142" t="s">
        <v>6746</v>
      </c>
      <c r="H18" s="140"/>
      <c r="I18" s="273" t="s">
        <v>6747</v>
      </c>
      <c r="J18" s="273"/>
      <c r="K18" s="273"/>
      <c r="L18" s="273"/>
    </row>
    <row r="19" spans="1:12" ht="45">
      <c r="A19" s="138">
        <v>18</v>
      </c>
      <c r="B19" s="188" t="s">
        <v>6748</v>
      </c>
      <c r="C19" s="144" t="s">
        <v>6743</v>
      </c>
      <c r="D19" s="188" t="s">
        <v>5993</v>
      </c>
      <c r="E19" s="144"/>
      <c r="F19" s="191" t="s">
        <v>5993</v>
      </c>
      <c r="G19" s="142" t="s">
        <v>6749</v>
      </c>
      <c r="H19" s="140"/>
      <c r="I19" s="134" t="s">
        <v>0</v>
      </c>
      <c r="J19" s="134" t="s">
        <v>6007</v>
      </c>
      <c r="K19" s="134" t="s">
        <v>6750</v>
      </c>
      <c r="L19" s="134" t="s">
        <v>6211</v>
      </c>
    </row>
    <row r="20" spans="1:12" ht="30">
      <c r="A20" s="138">
        <v>19</v>
      </c>
      <c r="B20" s="188" t="s">
        <v>5994</v>
      </c>
      <c r="C20" s="138" t="s">
        <v>6693</v>
      </c>
      <c r="D20" s="188" t="s">
        <v>5994</v>
      </c>
      <c r="E20" s="144" t="b">
        <v>1</v>
      </c>
      <c r="F20" s="191" t="s">
        <v>5994</v>
      </c>
      <c r="G20" s="142" t="s">
        <v>6751</v>
      </c>
      <c r="H20" s="140"/>
      <c r="I20" s="138">
        <v>1</v>
      </c>
      <c r="J20" s="138" t="s">
        <v>5736</v>
      </c>
      <c r="K20" s="138" t="s">
        <v>5737</v>
      </c>
      <c r="L20" s="138" t="s">
        <v>5460</v>
      </c>
    </row>
    <row r="21" spans="1:12" ht="30">
      <c r="A21" s="138">
        <v>20</v>
      </c>
      <c r="B21" s="188" t="s">
        <v>5720</v>
      </c>
      <c r="C21" s="138" t="s">
        <v>6693</v>
      </c>
      <c r="D21" s="188" t="s">
        <v>5720</v>
      </c>
      <c r="E21" s="145" t="s">
        <v>5738</v>
      </c>
      <c r="F21" s="191" t="s">
        <v>5720</v>
      </c>
      <c r="G21" s="142" t="s">
        <v>6752</v>
      </c>
      <c r="H21" s="140"/>
      <c r="I21" s="138">
        <v>2</v>
      </c>
      <c r="J21" s="138" t="s">
        <v>5450</v>
      </c>
      <c r="K21" s="138" t="s">
        <v>5484</v>
      </c>
      <c r="L21" s="138" t="s">
        <v>5461</v>
      </c>
    </row>
    <row r="22" spans="1:12" ht="30">
      <c r="A22" s="138">
        <v>21</v>
      </c>
      <c r="B22" s="188" t="s">
        <v>6716</v>
      </c>
      <c r="C22" s="138" t="s">
        <v>6716</v>
      </c>
      <c r="D22" s="188" t="s">
        <v>5995</v>
      </c>
      <c r="E22" s="144"/>
      <c r="F22" s="191" t="s">
        <v>5995</v>
      </c>
      <c r="G22" s="142" t="s">
        <v>6753</v>
      </c>
      <c r="H22" s="140"/>
      <c r="I22" s="138">
        <v>3</v>
      </c>
      <c r="J22" s="138" t="s">
        <v>6754</v>
      </c>
      <c r="K22" s="138" t="s">
        <v>6755</v>
      </c>
      <c r="L22" s="138" t="s">
        <v>5462</v>
      </c>
    </row>
    <row r="23" spans="1:12">
      <c r="A23" s="138">
        <v>22</v>
      </c>
      <c r="B23" s="188" t="s">
        <v>6716</v>
      </c>
      <c r="C23" s="138" t="s">
        <v>6716</v>
      </c>
      <c r="D23" s="188" t="s">
        <v>5996</v>
      </c>
      <c r="E23" s="144" t="s">
        <v>5732</v>
      </c>
      <c r="F23" s="191" t="s">
        <v>5996</v>
      </c>
      <c r="G23" s="142" t="s">
        <v>6756</v>
      </c>
      <c r="H23" s="140"/>
    </row>
    <row r="24" spans="1:12">
      <c r="A24" s="138">
        <v>23</v>
      </c>
      <c r="B24" s="188" t="s">
        <v>5997</v>
      </c>
      <c r="C24" s="138" t="s">
        <v>6693</v>
      </c>
      <c r="D24" s="188" t="s">
        <v>5997</v>
      </c>
      <c r="E24" s="144"/>
      <c r="F24" s="191" t="s">
        <v>5997</v>
      </c>
      <c r="G24" s="142" t="s">
        <v>5517</v>
      </c>
      <c r="H24" s="140"/>
      <c r="I24" s="134" t="s">
        <v>6757</v>
      </c>
      <c r="J24" s="134" t="s">
        <v>6689</v>
      </c>
      <c r="K24" s="134" t="s">
        <v>6691</v>
      </c>
      <c r="L24" s="134"/>
    </row>
    <row r="25" spans="1:12" ht="30">
      <c r="A25" s="138">
        <v>24</v>
      </c>
      <c r="B25" s="191" t="s">
        <v>5998</v>
      </c>
      <c r="C25" s="138" t="s">
        <v>6693</v>
      </c>
      <c r="D25" s="191" t="s">
        <v>5998</v>
      </c>
      <c r="E25" s="244"/>
      <c r="F25" s="191" t="s">
        <v>5998</v>
      </c>
      <c r="G25" s="142" t="s">
        <v>6758</v>
      </c>
      <c r="H25" s="140"/>
      <c r="I25" s="148" t="s">
        <v>6007</v>
      </c>
      <c r="J25" s="138" t="s">
        <v>5736</v>
      </c>
      <c r="K25" s="138" t="s">
        <v>6759</v>
      </c>
      <c r="L25" s="138"/>
    </row>
    <row r="26" spans="1:12" ht="30">
      <c r="A26" s="138">
        <v>25</v>
      </c>
      <c r="B26" s="188" t="s">
        <v>5999</v>
      </c>
      <c r="C26" s="138" t="s">
        <v>6693</v>
      </c>
      <c r="D26" s="188" t="s">
        <v>5999</v>
      </c>
      <c r="E26" s="144" t="b">
        <v>0</v>
      </c>
      <c r="F26" s="191" t="s">
        <v>5999</v>
      </c>
      <c r="G26" s="142" t="s">
        <v>6760</v>
      </c>
      <c r="H26" s="140"/>
      <c r="I26" s="167" t="s">
        <v>6008</v>
      </c>
      <c r="J26" s="138" t="str">
        <f>INDEX(OptionsPlaceList,MATCH(OptionsVerifyUnit,OptionsVerifyUnitList,0))</f>
        <v>TP. Hà Nội</v>
      </c>
      <c r="K26" s="138" t="s">
        <v>6761</v>
      </c>
      <c r="L26" s="138"/>
    </row>
    <row r="27" spans="1:12" ht="30">
      <c r="A27" s="138">
        <v>26</v>
      </c>
      <c r="B27" s="188" t="s">
        <v>6000</v>
      </c>
      <c r="C27" s="138" t="s">
        <v>6693</v>
      </c>
      <c r="D27" s="188" t="s">
        <v>6000</v>
      </c>
      <c r="E27" s="144" t="b">
        <v>0</v>
      </c>
      <c r="F27" s="191" t="s">
        <v>6000</v>
      </c>
      <c r="G27" s="142" t="s">
        <v>6762</v>
      </c>
      <c r="H27" s="140"/>
      <c r="I27" s="167" t="s">
        <v>6211</v>
      </c>
      <c r="J27" s="138" t="s">
        <v>5460</v>
      </c>
      <c r="K27" s="138" t="s">
        <v>6763</v>
      </c>
      <c r="L27" s="138"/>
    </row>
    <row r="28" spans="1:12" ht="30">
      <c r="A28" s="138">
        <v>27</v>
      </c>
      <c r="B28" s="188" t="s">
        <v>6001</v>
      </c>
      <c r="C28" s="138" t="s">
        <v>6693</v>
      </c>
      <c r="D28" s="188" t="s">
        <v>6001</v>
      </c>
      <c r="E28" s="144"/>
      <c r="F28" s="191" t="s">
        <v>6001</v>
      </c>
      <c r="G28" s="142" t="s">
        <v>6764</v>
      </c>
      <c r="H28" s="140"/>
      <c r="I28" s="167" t="s">
        <v>6214</v>
      </c>
      <c r="J28" s="138" t="s">
        <v>5761</v>
      </c>
      <c r="K28" s="138" t="s">
        <v>6765</v>
      </c>
      <c r="L28" s="138"/>
    </row>
    <row r="29" spans="1:12" ht="45">
      <c r="A29" s="138">
        <v>28</v>
      </c>
      <c r="B29" s="188" t="s">
        <v>6002</v>
      </c>
      <c r="C29" s="138" t="s">
        <v>6693</v>
      </c>
      <c r="D29" s="188" t="s">
        <v>6002</v>
      </c>
      <c r="E29" s="144" t="b">
        <v>1</v>
      </c>
      <c r="F29" s="191" t="s">
        <v>6002</v>
      </c>
      <c r="G29" s="142" t="s">
        <v>6766</v>
      </c>
      <c r="H29" s="140"/>
      <c r="I29" s="148" t="s">
        <v>6009</v>
      </c>
      <c r="J29" s="138" t="s">
        <v>5479</v>
      </c>
      <c r="K29" s="138" t="s">
        <v>6767</v>
      </c>
      <c r="L29" s="138"/>
    </row>
    <row r="30" spans="1:12" ht="60">
      <c r="A30" s="138">
        <v>29</v>
      </c>
      <c r="B30" s="188" t="s">
        <v>6003</v>
      </c>
      <c r="C30" s="138" t="s">
        <v>6768</v>
      </c>
      <c r="D30" s="188" t="s">
        <v>6003</v>
      </c>
      <c r="E30" s="144"/>
      <c r="F30" s="191" t="s">
        <v>6003</v>
      </c>
      <c r="G30" s="142" t="s">
        <v>6769</v>
      </c>
      <c r="I30" s="148" t="s">
        <v>6010</v>
      </c>
      <c r="J30" s="168" t="s">
        <v>5738</v>
      </c>
      <c r="K30" s="138" t="s">
        <v>6770</v>
      </c>
      <c r="L30" s="138"/>
    </row>
    <row r="31" spans="1:12" ht="45">
      <c r="A31" s="138">
        <v>30</v>
      </c>
      <c r="B31" s="188" t="s">
        <v>6004</v>
      </c>
      <c r="C31" s="138" t="s">
        <v>6693</v>
      </c>
      <c r="D31" s="188" t="s">
        <v>6004</v>
      </c>
      <c r="E31" s="144" t="b">
        <v>0</v>
      </c>
      <c r="F31" s="191" t="s">
        <v>6004</v>
      </c>
      <c r="G31" s="142" t="s">
        <v>6771</v>
      </c>
      <c r="I31" s="148" t="s">
        <v>6011</v>
      </c>
      <c r="J31" s="138" t="s">
        <v>5739</v>
      </c>
      <c r="K31" s="138" t="s">
        <v>6772</v>
      </c>
      <c r="L31" s="138"/>
    </row>
    <row r="32" spans="1:12" ht="30">
      <c r="A32" s="138">
        <v>31</v>
      </c>
      <c r="B32" s="188" t="s">
        <v>6716</v>
      </c>
      <c r="C32" s="138" t="s">
        <v>6716</v>
      </c>
      <c r="D32" s="188" t="s">
        <v>6716</v>
      </c>
      <c r="E32" s="145" t="s">
        <v>6773</v>
      </c>
      <c r="F32" s="191" t="s">
        <v>6209</v>
      </c>
      <c r="G32" s="142" t="s">
        <v>6774</v>
      </c>
      <c r="I32" s="167" t="s">
        <v>6005</v>
      </c>
      <c r="J32" s="138" t="s">
        <v>6775</v>
      </c>
      <c r="K32" s="138" t="s">
        <v>6776</v>
      </c>
      <c r="L32" s="138"/>
    </row>
    <row r="33" spans="1:12" ht="60">
      <c r="A33" s="138">
        <v>32</v>
      </c>
      <c r="B33" s="188" t="s">
        <v>6716</v>
      </c>
      <c r="C33" s="138" t="s">
        <v>6716</v>
      </c>
      <c r="D33" s="188" t="s">
        <v>6716</v>
      </c>
      <c r="E33" s="145" t="s">
        <v>6777</v>
      </c>
      <c r="F33" s="191" t="s">
        <v>6210</v>
      </c>
      <c r="G33" s="142" t="s">
        <v>6778</v>
      </c>
      <c r="I33" s="167" t="s">
        <v>6006</v>
      </c>
      <c r="J33" s="138" t="s">
        <v>6779</v>
      </c>
      <c r="K33" s="138" t="s">
        <v>6780</v>
      </c>
      <c r="L33" s="138"/>
    </row>
    <row r="34" spans="1:12">
      <c r="A34" s="138">
        <v>33</v>
      </c>
      <c r="B34" s="187" t="s">
        <v>6005</v>
      </c>
      <c r="C34" s="138" t="s">
        <v>6693</v>
      </c>
      <c r="D34" s="187" t="s">
        <v>6005</v>
      </c>
      <c r="E34" s="168" t="s">
        <v>6781</v>
      </c>
      <c r="F34" s="190" t="s">
        <v>6005</v>
      </c>
      <c r="G34" s="139" t="s">
        <v>6782</v>
      </c>
    </row>
    <row r="35" spans="1:12">
      <c r="A35" s="138">
        <v>34</v>
      </c>
      <c r="B35" s="187" t="s">
        <v>6006</v>
      </c>
      <c r="C35" s="138" t="s">
        <v>6693</v>
      </c>
      <c r="D35" s="187" t="s">
        <v>6006</v>
      </c>
      <c r="E35" s="168" t="s">
        <v>6783</v>
      </c>
      <c r="F35" s="190" t="s">
        <v>6006</v>
      </c>
      <c r="G35" s="139" t="s">
        <v>6784</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92"/>
  <sheetViews>
    <sheetView showZeros="0" zoomScaleNormal="100" workbookViewId="0">
      <pane xSplit="2" ySplit="1" topLeftCell="C2" activePane="bottomRight" state="frozen"/>
      <selection activeCell="G5" sqref="G5"/>
      <selection pane="topRight" activeCell="G5" sqref="G5"/>
      <selection pane="bottomLeft" activeCell="G5" sqref="G5"/>
      <selection pane="bottomRight" activeCell="D3" sqref="D3"/>
    </sheetView>
  </sheetViews>
  <sheetFormatPr defaultColWidth="9.140625" defaultRowHeight="12.75"/>
  <cols>
    <col min="1" max="1" width="5" style="104" bestFit="1" customWidth="1"/>
    <col min="2" max="2" width="32.7109375" style="120" customWidth="1"/>
    <col min="3" max="4" width="14" style="119" customWidth="1"/>
    <col min="5" max="5" width="20.42578125" style="80" customWidth="1"/>
    <col min="6" max="6" width="10.5703125" style="104"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0" customWidth="1"/>
    <col min="15" max="15" width="13" style="130" customWidth="1"/>
    <col min="16" max="16" width="14" style="123" customWidth="1"/>
    <col min="17" max="17" width="13.140625" style="80" customWidth="1"/>
    <col min="18" max="18" width="17" style="80" customWidth="1"/>
    <col min="19" max="19" width="18.28515625" style="245" customWidth="1"/>
    <col min="20" max="20" width="15.28515625" style="80" customWidth="1"/>
    <col min="21" max="21" width="17.7109375" style="130" customWidth="1"/>
    <col min="22" max="23" width="14.5703125" style="80" customWidth="1"/>
    <col min="24" max="24" width="12" style="80" customWidth="1"/>
    <col min="25" max="34" width="9.140625" style="80" customWidth="1"/>
    <col min="35" max="16384" width="9.140625" style="80"/>
  </cols>
  <sheetData>
    <row r="1" spans="1:26" s="232" customFormat="1" ht="42.75">
      <c r="A1" s="109" t="s">
        <v>0</v>
      </c>
      <c r="B1" s="235" t="s">
        <v>5980</v>
      </c>
      <c r="C1" s="236" t="s">
        <v>5981</v>
      </c>
      <c r="D1" s="236" t="s">
        <v>6710</v>
      </c>
      <c r="E1" s="159" t="s">
        <v>6721</v>
      </c>
      <c r="F1" s="158" t="s">
        <v>6803</v>
      </c>
      <c r="G1" s="159" t="s">
        <v>6698</v>
      </c>
      <c r="H1" s="159" t="s">
        <v>6730</v>
      </c>
      <c r="I1" s="159" t="s">
        <v>6734</v>
      </c>
      <c r="J1" s="159" t="s">
        <v>6738</v>
      </c>
      <c r="K1" s="159" t="s">
        <v>6742</v>
      </c>
      <c r="L1" s="159" t="s">
        <v>6745</v>
      </c>
      <c r="M1" s="159" t="s">
        <v>6748</v>
      </c>
      <c r="N1" s="198" t="s">
        <v>5720</v>
      </c>
      <c r="O1" s="185" t="s">
        <v>5994</v>
      </c>
      <c r="P1" s="185" t="s">
        <v>6003</v>
      </c>
      <c r="Q1" s="237" t="s">
        <v>5984</v>
      </c>
      <c r="R1" s="125" t="s">
        <v>5997</v>
      </c>
      <c r="S1" s="248" t="s">
        <v>5998</v>
      </c>
      <c r="T1" s="126" t="s">
        <v>5999</v>
      </c>
      <c r="U1" s="126" t="s">
        <v>6000</v>
      </c>
      <c r="V1" s="126" t="s">
        <v>6002</v>
      </c>
      <c r="W1" s="195" t="s">
        <v>6003</v>
      </c>
      <c r="X1" s="126" t="s">
        <v>6004</v>
      </c>
      <c r="Y1" s="195" t="s">
        <v>6005</v>
      </c>
      <c r="Z1" s="195" t="s">
        <v>6006</v>
      </c>
    </row>
    <row r="2" spans="1:26" s="241" customFormat="1" ht="75">
      <c r="A2" s="238" t="s">
        <v>5504</v>
      </c>
      <c r="B2" s="238" t="s">
        <v>5452</v>
      </c>
      <c r="C2" s="238" t="s">
        <v>5506</v>
      </c>
      <c r="D2" s="239" t="s">
        <v>5507</v>
      </c>
      <c r="E2" s="238" t="s">
        <v>6815</v>
      </c>
      <c r="F2" s="238" t="s">
        <v>6816</v>
      </c>
      <c r="G2" s="238" t="s">
        <v>5454</v>
      </c>
      <c r="H2" s="238" t="s">
        <v>5493</v>
      </c>
      <c r="I2" s="238" t="s">
        <v>5494</v>
      </c>
      <c r="J2" s="239" t="s">
        <v>6817</v>
      </c>
      <c r="K2" s="238" t="s">
        <v>6818</v>
      </c>
      <c r="L2" s="240" t="s">
        <v>6819</v>
      </c>
      <c r="M2" s="238" t="s">
        <v>6820</v>
      </c>
      <c r="N2" s="238" t="s">
        <v>6821</v>
      </c>
      <c r="O2" s="218" t="s">
        <v>6751</v>
      </c>
      <c r="P2" s="218" t="s">
        <v>6812</v>
      </c>
      <c r="Q2" s="219" t="s">
        <v>6814</v>
      </c>
      <c r="R2" s="218" t="s">
        <v>5517</v>
      </c>
      <c r="S2" s="247" t="s">
        <v>6758</v>
      </c>
      <c r="T2" s="218" t="s">
        <v>6760</v>
      </c>
      <c r="U2" s="218" t="s">
        <v>6762</v>
      </c>
      <c r="V2" s="218" t="s">
        <v>6797</v>
      </c>
      <c r="W2" s="218" t="s">
        <v>6798</v>
      </c>
      <c r="X2" s="219" t="s">
        <v>6771</v>
      </c>
      <c r="Y2" s="218" t="s">
        <v>6782</v>
      </c>
      <c r="Z2" s="218" t="s">
        <v>6784</v>
      </c>
    </row>
    <row r="3" spans="1:26" ht="63.75">
      <c r="A3" s="104">
        <v>1</v>
      </c>
      <c r="B3" s="120" t="s">
        <v>5523</v>
      </c>
      <c r="C3" s="119" t="s">
        <v>5351</v>
      </c>
      <c r="D3" s="119" t="s">
        <v>6822</v>
      </c>
      <c r="E3" s="80" t="s">
        <v>5723</v>
      </c>
      <c r="F3" s="104" t="s">
        <v>6823</v>
      </c>
      <c r="G3" s="80" t="s">
        <v>5522</v>
      </c>
      <c r="H3" s="80" t="s">
        <v>5746</v>
      </c>
      <c r="I3" s="80">
        <v>3</v>
      </c>
      <c r="J3" s="80" t="s">
        <v>5467</v>
      </c>
      <c r="K3" s="80" t="s">
        <v>5750</v>
      </c>
      <c r="L3" s="80">
        <v>900</v>
      </c>
      <c r="M3" s="80" t="s">
        <v>5756</v>
      </c>
      <c r="N3" s="130" t="s">
        <v>5524</v>
      </c>
      <c r="O3" s="130" t="b">
        <v>1</v>
      </c>
      <c r="P3" s="123">
        <v>50</v>
      </c>
      <c r="Q3" s="80">
        <v>3</v>
      </c>
      <c r="R3" s="80" t="s">
        <v>5525</v>
      </c>
      <c r="S3" s="245">
        <v>43756</v>
      </c>
      <c r="T3" s="80" t="b">
        <v>0</v>
      </c>
      <c r="U3" s="130" t="b">
        <v>0</v>
      </c>
      <c r="V3" s="80" t="b">
        <v>1</v>
      </c>
      <c r="W3" s="80">
        <v>50</v>
      </c>
      <c r="X3" s="80" t="b">
        <v>0</v>
      </c>
      <c r="Y3" s="80" t="s">
        <v>5734</v>
      </c>
      <c r="Z3" s="80" t="s">
        <v>5735</v>
      </c>
    </row>
    <row r="4" spans="1:26" ht="76.5">
      <c r="G4" s="80" t="s">
        <v>5522</v>
      </c>
      <c r="H4" s="80" t="s">
        <v>5747</v>
      </c>
      <c r="I4" s="80">
        <v>3</v>
      </c>
      <c r="J4" s="80" t="s">
        <v>5467</v>
      </c>
      <c r="K4" s="80" t="s">
        <v>5752</v>
      </c>
      <c r="L4" s="80">
        <v>2100</v>
      </c>
      <c r="M4" s="80" t="s">
        <v>5756</v>
      </c>
      <c r="O4" s="130" t="b">
        <v>1</v>
      </c>
      <c r="P4" s="123">
        <v>50</v>
      </c>
      <c r="Q4" s="80">
        <v>3</v>
      </c>
      <c r="R4" s="80" t="s">
        <v>6824</v>
      </c>
      <c r="S4" s="245">
        <v>43756</v>
      </c>
      <c r="T4" s="80" t="b">
        <v>0</v>
      </c>
      <c r="U4" s="130" t="b">
        <v>0</v>
      </c>
      <c r="V4" s="80" t="b">
        <v>1</v>
      </c>
      <c r="W4" s="80">
        <v>50</v>
      </c>
      <c r="X4" s="80" t="b">
        <v>0</v>
      </c>
      <c r="Y4" s="80" t="s">
        <v>5734</v>
      </c>
      <c r="Z4" s="80" t="s">
        <v>5735</v>
      </c>
    </row>
    <row r="5" spans="1:26" ht="76.5">
      <c r="G5" s="80" t="s">
        <v>5522</v>
      </c>
      <c r="H5" s="80" t="s">
        <v>5748</v>
      </c>
      <c r="I5" s="80">
        <v>3</v>
      </c>
      <c r="J5" s="80" t="s">
        <v>5749</v>
      </c>
      <c r="K5" s="80" t="s">
        <v>5752</v>
      </c>
      <c r="L5" s="80">
        <v>1800</v>
      </c>
      <c r="M5" s="80" t="s">
        <v>5756</v>
      </c>
      <c r="O5" s="130" t="b">
        <v>1</v>
      </c>
      <c r="P5" s="123">
        <v>50</v>
      </c>
      <c r="Q5" s="80">
        <v>3</v>
      </c>
      <c r="R5" s="80" t="s">
        <v>6824</v>
      </c>
      <c r="S5" s="245">
        <v>43756</v>
      </c>
      <c r="T5" s="80" t="b">
        <v>0</v>
      </c>
      <c r="U5" s="130" t="b">
        <v>0</v>
      </c>
      <c r="V5" s="80" t="b">
        <v>1</v>
      </c>
      <c r="W5" s="80">
        <v>50</v>
      </c>
      <c r="X5" s="80" t="b">
        <v>0</v>
      </c>
      <c r="Y5" s="80" t="s">
        <v>5734</v>
      </c>
      <c r="Z5" s="80" t="s">
        <v>5735</v>
      </c>
    </row>
    <row r="6" spans="1:26" ht="76.5">
      <c r="A6" s="104">
        <v>2</v>
      </c>
      <c r="B6" s="120" t="s">
        <v>5527</v>
      </c>
      <c r="C6" s="119" t="s">
        <v>5351</v>
      </c>
      <c r="D6" s="119" t="s">
        <v>6825</v>
      </c>
      <c r="E6" s="80" t="s">
        <v>5723</v>
      </c>
      <c r="F6" s="104" t="s">
        <v>6826</v>
      </c>
      <c r="G6" s="80" t="s">
        <v>5526</v>
      </c>
      <c r="H6" s="80" t="s">
        <v>5747</v>
      </c>
      <c r="I6" s="80">
        <v>3</v>
      </c>
      <c r="J6" s="80" t="s">
        <v>5467</v>
      </c>
      <c r="K6" s="80" t="s">
        <v>5752</v>
      </c>
      <c r="L6" s="80">
        <v>2100</v>
      </c>
      <c r="M6" s="80" t="s">
        <v>5772</v>
      </c>
      <c r="N6" s="130" t="s">
        <v>5528</v>
      </c>
      <c r="O6" s="130" t="b">
        <v>1</v>
      </c>
      <c r="P6" s="123">
        <v>36</v>
      </c>
      <c r="Q6" s="80">
        <v>3</v>
      </c>
      <c r="R6" s="80" t="s">
        <v>5529</v>
      </c>
      <c r="S6" s="245">
        <v>43756</v>
      </c>
      <c r="T6" s="80" t="b">
        <v>0</v>
      </c>
      <c r="U6" s="130" t="b">
        <v>0</v>
      </c>
      <c r="V6" s="80" t="b">
        <v>1</v>
      </c>
      <c r="W6" s="80">
        <v>36</v>
      </c>
      <c r="X6" s="80" t="b">
        <v>0</v>
      </c>
      <c r="Y6" s="80" t="s">
        <v>5734</v>
      </c>
      <c r="Z6" s="80" t="s">
        <v>5735</v>
      </c>
    </row>
    <row r="7" spans="1:26" ht="76.5">
      <c r="G7" s="80" t="s">
        <v>5526</v>
      </c>
      <c r="H7" s="80" t="s">
        <v>5748</v>
      </c>
      <c r="I7" s="80">
        <v>3</v>
      </c>
      <c r="J7" s="80" t="s">
        <v>5749</v>
      </c>
      <c r="K7" s="80" t="s">
        <v>5752</v>
      </c>
      <c r="L7" s="80">
        <v>1800</v>
      </c>
      <c r="M7" s="80" t="s">
        <v>5772</v>
      </c>
      <c r="O7" s="130" t="b">
        <v>1</v>
      </c>
      <c r="P7" s="123">
        <v>36</v>
      </c>
      <c r="Q7" s="80">
        <v>3</v>
      </c>
      <c r="R7" s="80" t="s">
        <v>6824</v>
      </c>
      <c r="S7" s="245">
        <v>43756</v>
      </c>
      <c r="T7" s="80" t="b">
        <v>0</v>
      </c>
      <c r="U7" s="130" t="b">
        <v>0</v>
      </c>
      <c r="V7" s="80" t="b">
        <v>1</v>
      </c>
      <c r="W7" s="80">
        <v>36</v>
      </c>
      <c r="X7" s="80" t="b">
        <v>0</v>
      </c>
      <c r="Y7" s="80" t="s">
        <v>5734</v>
      </c>
      <c r="Z7" s="80" t="s">
        <v>5735</v>
      </c>
    </row>
    <row r="8" spans="1:26" ht="76.5">
      <c r="A8" s="104">
        <v>3</v>
      </c>
      <c r="B8" s="120" t="s">
        <v>5531</v>
      </c>
      <c r="C8" s="119" t="s">
        <v>5351</v>
      </c>
      <c r="D8" s="119" t="s">
        <v>6827</v>
      </c>
      <c r="E8" s="80" t="s">
        <v>5723</v>
      </c>
      <c r="F8" s="104" t="s">
        <v>6826</v>
      </c>
      <c r="G8" s="80" t="s">
        <v>5530</v>
      </c>
      <c r="H8" s="80" t="s">
        <v>5747</v>
      </c>
      <c r="I8" s="80">
        <v>3</v>
      </c>
      <c r="J8" s="80" t="s">
        <v>5467</v>
      </c>
      <c r="K8" s="80" t="s">
        <v>5752</v>
      </c>
      <c r="L8" s="80">
        <v>2100</v>
      </c>
      <c r="M8" s="80" t="s">
        <v>5777</v>
      </c>
      <c r="N8" s="130" t="s">
        <v>5532</v>
      </c>
      <c r="O8" s="130" t="b">
        <v>1</v>
      </c>
      <c r="P8" s="123">
        <v>12</v>
      </c>
      <c r="Q8" s="80">
        <v>3</v>
      </c>
      <c r="R8" s="80" t="s">
        <v>5533</v>
      </c>
      <c r="S8" s="245">
        <v>43756</v>
      </c>
      <c r="T8" s="80" t="b">
        <v>0</v>
      </c>
      <c r="U8" s="130" t="b">
        <v>0</v>
      </c>
      <c r="V8" s="80" t="b">
        <v>1</v>
      </c>
      <c r="W8" s="80">
        <v>12</v>
      </c>
      <c r="X8" s="80" t="b">
        <v>0</v>
      </c>
      <c r="Y8" s="80" t="s">
        <v>5734</v>
      </c>
      <c r="Z8" s="80" t="s">
        <v>5735</v>
      </c>
    </row>
    <row r="9" spans="1:26" ht="76.5">
      <c r="G9" s="80" t="s">
        <v>5530</v>
      </c>
      <c r="H9" s="80" t="s">
        <v>5748</v>
      </c>
      <c r="I9" s="80">
        <v>3</v>
      </c>
      <c r="J9" s="80" t="s">
        <v>5749</v>
      </c>
      <c r="K9" s="80" t="s">
        <v>5752</v>
      </c>
      <c r="L9" s="80">
        <v>1800</v>
      </c>
      <c r="M9" s="80" t="s">
        <v>5777</v>
      </c>
      <c r="O9" s="130" t="b">
        <v>1</v>
      </c>
      <c r="P9" s="123">
        <v>12</v>
      </c>
      <c r="Q9" s="80">
        <v>3</v>
      </c>
      <c r="R9" s="80" t="s">
        <v>6824</v>
      </c>
      <c r="S9" s="245">
        <v>43756</v>
      </c>
      <c r="T9" s="80" t="b">
        <v>0</v>
      </c>
      <c r="U9" s="130" t="b">
        <v>0</v>
      </c>
      <c r="V9" s="80" t="b">
        <v>1</v>
      </c>
      <c r="W9" s="80">
        <v>12</v>
      </c>
      <c r="X9" s="80" t="b">
        <v>0</v>
      </c>
      <c r="Y9" s="80" t="s">
        <v>5734</v>
      </c>
      <c r="Z9" s="80" t="s">
        <v>5735</v>
      </c>
    </row>
    <row r="10" spans="1:26" ht="76.5">
      <c r="A10" s="104">
        <v>4</v>
      </c>
      <c r="B10" s="120" t="s">
        <v>5535</v>
      </c>
      <c r="C10" s="119" t="s">
        <v>5351</v>
      </c>
      <c r="D10" s="119" t="s">
        <v>6828</v>
      </c>
      <c r="E10" s="80" t="s">
        <v>5723</v>
      </c>
      <c r="F10" s="104" t="s">
        <v>6826</v>
      </c>
      <c r="G10" s="80" t="s">
        <v>5534</v>
      </c>
      <c r="H10" s="80" t="s">
        <v>5747</v>
      </c>
      <c r="I10" s="80">
        <v>3</v>
      </c>
      <c r="J10" s="80" t="s">
        <v>5467</v>
      </c>
      <c r="K10" s="80" t="s">
        <v>5752</v>
      </c>
      <c r="L10" s="80">
        <v>2100</v>
      </c>
      <c r="M10" s="80" t="s">
        <v>5783</v>
      </c>
      <c r="N10" s="130" t="s">
        <v>5536</v>
      </c>
      <c r="O10" s="130" t="b">
        <v>1</v>
      </c>
      <c r="P10" s="123">
        <v>36</v>
      </c>
      <c r="Q10" s="80">
        <v>3</v>
      </c>
      <c r="R10" s="80" t="s">
        <v>5537</v>
      </c>
      <c r="S10" s="245">
        <v>43756</v>
      </c>
      <c r="T10" s="80" t="b">
        <v>0</v>
      </c>
      <c r="U10" s="130" t="b">
        <v>0</v>
      </c>
      <c r="V10" s="80" t="b">
        <v>1</v>
      </c>
      <c r="W10" s="80">
        <v>36</v>
      </c>
      <c r="X10" s="80" t="b">
        <v>0</v>
      </c>
      <c r="Y10" s="80" t="s">
        <v>5734</v>
      </c>
      <c r="Z10" s="80" t="s">
        <v>5735</v>
      </c>
    </row>
    <row r="11" spans="1:26" ht="76.5">
      <c r="G11" s="80" t="s">
        <v>5534</v>
      </c>
      <c r="H11" s="80" t="s">
        <v>5748</v>
      </c>
      <c r="I11" s="80">
        <v>3</v>
      </c>
      <c r="J11" s="80" t="s">
        <v>5749</v>
      </c>
      <c r="K11" s="80" t="s">
        <v>5752</v>
      </c>
      <c r="L11" s="80">
        <v>1800</v>
      </c>
      <c r="M11" s="80" t="s">
        <v>5783</v>
      </c>
      <c r="O11" s="130" t="b">
        <v>1</v>
      </c>
      <c r="P11" s="123">
        <v>36</v>
      </c>
      <c r="Q11" s="80">
        <v>3</v>
      </c>
      <c r="R11" s="80" t="s">
        <v>6824</v>
      </c>
      <c r="S11" s="245">
        <v>43756</v>
      </c>
      <c r="T11" s="80" t="b">
        <v>0</v>
      </c>
      <c r="U11" s="130" t="b">
        <v>0</v>
      </c>
      <c r="V11" s="80" t="b">
        <v>1</v>
      </c>
      <c r="W11" s="80">
        <v>36</v>
      </c>
      <c r="X11" s="80" t="b">
        <v>0</v>
      </c>
      <c r="Y11" s="80" t="s">
        <v>5734</v>
      </c>
      <c r="Z11" s="80" t="s">
        <v>5735</v>
      </c>
    </row>
    <row r="12" spans="1:26" ht="76.5">
      <c r="A12" s="104">
        <v>5</v>
      </c>
      <c r="B12" s="120" t="s">
        <v>5539</v>
      </c>
      <c r="C12" s="119" t="s">
        <v>5351</v>
      </c>
      <c r="D12" s="119" t="s">
        <v>6829</v>
      </c>
      <c r="E12" s="80" t="s">
        <v>5723</v>
      </c>
      <c r="F12" s="104" t="s">
        <v>6826</v>
      </c>
      <c r="G12" s="80" t="s">
        <v>5538</v>
      </c>
      <c r="H12" s="80" t="s">
        <v>5747</v>
      </c>
      <c r="I12" s="80">
        <v>3</v>
      </c>
      <c r="J12" s="80" t="s">
        <v>5467</v>
      </c>
      <c r="K12" s="80" t="s">
        <v>5752</v>
      </c>
      <c r="L12" s="80">
        <v>2100</v>
      </c>
      <c r="M12" s="80" t="s">
        <v>5772</v>
      </c>
      <c r="N12" s="130" t="s">
        <v>5540</v>
      </c>
      <c r="O12" s="130" t="b">
        <v>1</v>
      </c>
      <c r="P12" s="123">
        <v>40</v>
      </c>
      <c r="Q12" s="80">
        <v>3</v>
      </c>
      <c r="R12" s="80" t="s">
        <v>5541</v>
      </c>
      <c r="S12" s="245">
        <v>43756</v>
      </c>
      <c r="T12" s="80" t="b">
        <v>0</v>
      </c>
      <c r="U12" s="130" t="b">
        <v>0</v>
      </c>
      <c r="V12" s="80" t="b">
        <v>1</v>
      </c>
      <c r="W12" s="80">
        <v>40</v>
      </c>
      <c r="X12" s="80" t="b">
        <v>0</v>
      </c>
      <c r="Y12" s="80" t="s">
        <v>5734</v>
      </c>
      <c r="Z12" s="80" t="s">
        <v>5735</v>
      </c>
    </row>
    <row r="13" spans="1:26" ht="76.5">
      <c r="G13" s="80" t="s">
        <v>5538</v>
      </c>
      <c r="H13" s="80" t="s">
        <v>5748</v>
      </c>
      <c r="I13" s="80">
        <v>3</v>
      </c>
      <c r="J13" s="80" t="s">
        <v>5749</v>
      </c>
      <c r="K13" s="80" t="s">
        <v>5752</v>
      </c>
      <c r="L13" s="80">
        <v>1800</v>
      </c>
      <c r="M13" s="80" t="s">
        <v>5772</v>
      </c>
      <c r="O13" s="130" t="b">
        <v>1</v>
      </c>
      <c r="P13" s="123">
        <v>40</v>
      </c>
      <c r="Q13" s="80">
        <v>3</v>
      </c>
      <c r="R13" s="80" t="s">
        <v>6824</v>
      </c>
      <c r="S13" s="245">
        <v>43756</v>
      </c>
      <c r="T13" s="80" t="b">
        <v>0</v>
      </c>
      <c r="U13" s="130" t="b">
        <v>0</v>
      </c>
      <c r="V13" s="80" t="b">
        <v>1</v>
      </c>
      <c r="W13" s="80">
        <v>40</v>
      </c>
      <c r="X13" s="80" t="b">
        <v>0</v>
      </c>
      <c r="Y13" s="80" t="s">
        <v>5734</v>
      </c>
      <c r="Z13" s="80" t="s">
        <v>5735</v>
      </c>
    </row>
    <row r="14" spans="1:26" ht="76.5">
      <c r="A14" s="104">
        <v>6</v>
      </c>
      <c r="B14" s="120" t="s">
        <v>5543</v>
      </c>
      <c r="C14" s="119" t="s">
        <v>5351</v>
      </c>
      <c r="D14" s="119" t="s">
        <v>6830</v>
      </c>
      <c r="E14" s="80" t="s">
        <v>5723</v>
      </c>
      <c r="F14" s="104" t="s">
        <v>6826</v>
      </c>
      <c r="G14" s="80" t="s">
        <v>5542</v>
      </c>
      <c r="H14" s="80" t="s">
        <v>5747</v>
      </c>
      <c r="I14" s="80">
        <v>3</v>
      </c>
      <c r="J14" s="80" t="s">
        <v>5467</v>
      </c>
      <c r="K14" s="80" t="s">
        <v>5752</v>
      </c>
      <c r="L14" s="80">
        <v>2100</v>
      </c>
      <c r="M14" s="80" t="s">
        <v>5791</v>
      </c>
      <c r="N14" s="130" t="s">
        <v>5544</v>
      </c>
      <c r="O14" s="130" t="b">
        <v>1</v>
      </c>
      <c r="P14" s="123">
        <v>36</v>
      </c>
      <c r="Q14" s="80">
        <v>3</v>
      </c>
      <c r="R14" s="80" t="s">
        <v>5545</v>
      </c>
      <c r="S14" s="245">
        <v>43756</v>
      </c>
      <c r="T14" s="80" t="b">
        <v>0</v>
      </c>
      <c r="U14" s="130" t="b">
        <v>0</v>
      </c>
      <c r="V14" s="80" t="b">
        <v>1</v>
      </c>
      <c r="W14" s="80">
        <v>36</v>
      </c>
      <c r="X14" s="80" t="b">
        <v>0</v>
      </c>
      <c r="Y14" s="80" t="s">
        <v>5734</v>
      </c>
      <c r="Z14" s="80" t="s">
        <v>5735</v>
      </c>
    </row>
    <row r="15" spans="1:26" ht="76.5">
      <c r="G15" s="80" t="s">
        <v>5542</v>
      </c>
      <c r="H15" s="80" t="s">
        <v>5748</v>
      </c>
      <c r="I15" s="80">
        <v>3</v>
      </c>
      <c r="J15" s="80" t="s">
        <v>5749</v>
      </c>
      <c r="K15" s="80" t="s">
        <v>5752</v>
      </c>
      <c r="L15" s="80">
        <v>1800</v>
      </c>
      <c r="M15" s="80" t="s">
        <v>5791</v>
      </c>
      <c r="O15" s="130" t="b">
        <v>1</v>
      </c>
      <c r="P15" s="123">
        <v>36</v>
      </c>
      <c r="Q15" s="80">
        <v>3</v>
      </c>
      <c r="R15" s="80" t="s">
        <v>6824</v>
      </c>
      <c r="S15" s="245">
        <v>43756</v>
      </c>
      <c r="T15" s="80" t="b">
        <v>0</v>
      </c>
      <c r="U15" s="130" t="b">
        <v>0</v>
      </c>
      <c r="V15" s="80" t="b">
        <v>1</v>
      </c>
      <c r="W15" s="80">
        <v>36</v>
      </c>
      <c r="X15" s="80" t="b">
        <v>0</v>
      </c>
      <c r="Y15" s="80" t="s">
        <v>5734</v>
      </c>
      <c r="Z15" s="80" t="s">
        <v>5735</v>
      </c>
    </row>
    <row r="16" spans="1:26" ht="25.5">
      <c r="A16" s="104">
        <v>7</v>
      </c>
      <c r="B16" s="120" t="s">
        <v>5547</v>
      </c>
      <c r="C16" s="119" t="s">
        <v>5351</v>
      </c>
      <c r="D16" s="119" t="s">
        <v>6831</v>
      </c>
      <c r="E16" s="80" t="s">
        <v>5723</v>
      </c>
      <c r="F16" s="104" t="s">
        <v>6823</v>
      </c>
      <c r="G16" s="80" t="s">
        <v>5546</v>
      </c>
      <c r="H16" s="80" t="s">
        <v>5798</v>
      </c>
      <c r="I16" s="80">
        <v>3</v>
      </c>
      <c r="J16" s="80" t="s">
        <v>5467</v>
      </c>
      <c r="K16" s="80" t="s">
        <v>5750</v>
      </c>
      <c r="L16" s="80">
        <v>900</v>
      </c>
      <c r="M16" s="80" t="s">
        <v>5800</v>
      </c>
      <c r="N16" s="130" t="s">
        <v>5548</v>
      </c>
      <c r="O16" s="130" t="b">
        <v>1</v>
      </c>
      <c r="P16" s="123">
        <v>24</v>
      </c>
      <c r="Q16" s="80">
        <v>3</v>
      </c>
      <c r="R16" s="80" t="s">
        <v>5549</v>
      </c>
      <c r="S16" s="245">
        <v>43756</v>
      </c>
      <c r="T16" s="80" t="b">
        <v>0</v>
      </c>
      <c r="U16" s="130" t="b">
        <v>0</v>
      </c>
      <c r="V16" s="80" t="b">
        <v>1</v>
      </c>
      <c r="W16" s="80">
        <v>24</v>
      </c>
      <c r="X16" s="80" t="b">
        <v>0</v>
      </c>
      <c r="Y16" s="80" t="s">
        <v>5734</v>
      </c>
      <c r="Z16" s="80" t="s">
        <v>5735</v>
      </c>
    </row>
    <row r="17" spans="1:26" ht="38.25">
      <c r="G17" s="80" t="s">
        <v>5546</v>
      </c>
      <c r="H17" s="80" t="s">
        <v>5799</v>
      </c>
      <c r="I17" s="80">
        <v>3</v>
      </c>
      <c r="J17" s="80" t="s">
        <v>5467</v>
      </c>
      <c r="K17" s="80" t="s">
        <v>5752</v>
      </c>
      <c r="L17" s="80">
        <v>2100</v>
      </c>
      <c r="M17" s="80" t="s">
        <v>5800</v>
      </c>
      <c r="O17" s="130" t="b">
        <v>1</v>
      </c>
      <c r="P17" s="123">
        <v>24</v>
      </c>
      <c r="Q17" s="80">
        <v>3</v>
      </c>
      <c r="R17" s="80" t="s">
        <v>6824</v>
      </c>
      <c r="S17" s="245">
        <v>43756</v>
      </c>
      <c r="T17" s="80" t="b">
        <v>0</v>
      </c>
      <c r="U17" s="130" t="b">
        <v>0</v>
      </c>
      <c r="V17" s="80" t="b">
        <v>1</v>
      </c>
      <c r="W17" s="80">
        <v>24</v>
      </c>
      <c r="X17" s="80" t="b">
        <v>0</v>
      </c>
      <c r="Y17" s="80" t="s">
        <v>5734</v>
      </c>
      <c r="Z17" s="80" t="s">
        <v>5735</v>
      </c>
    </row>
    <row r="18" spans="1:26" ht="76.5">
      <c r="G18" s="80" t="s">
        <v>5546</v>
      </c>
      <c r="H18" s="80" t="s">
        <v>5748</v>
      </c>
      <c r="I18" s="80">
        <v>3</v>
      </c>
      <c r="J18" s="80" t="s">
        <v>5749</v>
      </c>
      <c r="K18" s="80" t="s">
        <v>5752</v>
      </c>
      <c r="L18" s="80">
        <v>1800</v>
      </c>
      <c r="M18" s="80" t="s">
        <v>5800</v>
      </c>
      <c r="O18" s="130" t="b">
        <v>1</v>
      </c>
      <c r="P18" s="123">
        <v>24</v>
      </c>
      <c r="Q18" s="80">
        <v>3</v>
      </c>
      <c r="R18" s="80" t="s">
        <v>6832</v>
      </c>
      <c r="S18" s="245">
        <v>43756</v>
      </c>
      <c r="T18" s="80" t="b">
        <v>0</v>
      </c>
      <c r="U18" s="130" t="b">
        <v>0</v>
      </c>
      <c r="V18" s="80" t="b">
        <v>1</v>
      </c>
      <c r="W18" s="80">
        <v>24</v>
      </c>
      <c r="X18" s="80" t="b">
        <v>0</v>
      </c>
      <c r="Y18" s="80" t="s">
        <v>5734</v>
      </c>
      <c r="Z18" s="80" t="s">
        <v>5735</v>
      </c>
    </row>
    <row r="19" spans="1:26" ht="76.5">
      <c r="A19" s="104">
        <v>8</v>
      </c>
      <c r="B19" s="120" t="s">
        <v>5551</v>
      </c>
      <c r="C19" s="119" t="s">
        <v>5351</v>
      </c>
      <c r="D19" s="119" t="s">
        <v>6833</v>
      </c>
      <c r="E19" s="80" t="s">
        <v>5723</v>
      </c>
      <c r="F19" s="104" t="s">
        <v>6826</v>
      </c>
      <c r="G19" s="80" t="s">
        <v>5550</v>
      </c>
      <c r="H19" s="80" t="s">
        <v>5747</v>
      </c>
      <c r="I19" s="80">
        <v>3</v>
      </c>
      <c r="J19" s="80" t="s">
        <v>5467</v>
      </c>
      <c r="K19" s="80" t="s">
        <v>5752</v>
      </c>
      <c r="L19" s="80">
        <v>2100</v>
      </c>
      <c r="M19" s="80" t="s">
        <v>5805</v>
      </c>
      <c r="N19" s="130" t="s">
        <v>5552</v>
      </c>
      <c r="O19" s="130" t="b">
        <v>1</v>
      </c>
      <c r="P19" s="123">
        <v>26</v>
      </c>
      <c r="Q19" s="80">
        <v>3</v>
      </c>
      <c r="R19" s="80" t="s">
        <v>5553</v>
      </c>
      <c r="S19" s="245">
        <v>43756</v>
      </c>
      <c r="T19" s="80" t="b">
        <v>0</v>
      </c>
      <c r="U19" s="130" t="b">
        <v>0</v>
      </c>
      <c r="V19" s="80" t="b">
        <v>1</v>
      </c>
      <c r="W19" s="80">
        <v>26</v>
      </c>
      <c r="X19" s="80" t="b">
        <v>0</v>
      </c>
      <c r="Y19" s="80" t="s">
        <v>5734</v>
      </c>
      <c r="Z19" s="80" t="s">
        <v>5735</v>
      </c>
    </row>
    <row r="20" spans="1:26" ht="76.5">
      <c r="G20" s="80" t="s">
        <v>5550</v>
      </c>
      <c r="H20" s="80" t="s">
        <v>5748</v>
      </c>
      <c r="I20" s="80">
        <v>3</v>
      </c>
      <c r="J20" s="80" t="s">
        <v>5749</v>
      </c>
      <c r="K20" s="80" t="s">
        <v>5752</v>
      </c>
      <c r="L20" s="80">
        <v>1800</v>
      </c>
      <c r="M20" s="80" t="s">
        <v>5805</v>
      </c>
      <c r="O20" s="130" t="b">
        <v>1</v>
      </c>
      <c r="P20" s="123">
        <v>26</v>
      </c>
      <c r="Q20" s="80">
        <v>3</v>
      </c>
      <c r="R20" s="80" t="s">
        <v>6824</v>
      </c>
      <c r="S20" s="245">
        <v>43756</v>
      </c>
      <c r="T20" s="80" t="b">
        <v>0</v>
      </c>
      <c r="U20" s="130" t="b">
        <v>0</v>
      </c>
      <c r="V20" s="80" t="b">
        <v>1</v>
      </c>
      <c r="W20" s="80">
        <v>26</v>
      </c>
      <c r="X20" s="80" t="b">
        <v>0</v>
      </c>
      <c r="Y20" s="80" t="s">
        <v>5734</v>
      </c>
      <c r="Z20" s="80" t="s">
        <v>5735</v>
      </c>
    </row>
    <row r="21" spans="1:26" ht="25.5">
      <c r="A21" s="104">
        <v>9</v>
      </c>
      <c r="B21" s="120" t="s">
        <v>5555</v>
      </c>
      <c r="C21" s="119" t="s">
        <v>5351</v>
      </c>
      <c r="D21" s="119" t="s">
        <v>6834</v>
      </c>
      <c r="E21" s="80" t="s">
        <v>5723</v>
      </c>
      <c r="F21" s="104" t="s">
        <v>6823</v>
      </c>
      <c r="G21" s="80" t="s">
        <v>5554</v>
      </c>
      <c r="H21" s="80" t="s">
        <v>5798</v>
      </c>
      <c r="I21" s="80">
        <v>3</v>
      </c>
      <c r="J21" s="80" t="s">
        <v>5467</v>
      </c>
      <c r="K21" s="80" t="s">
        <v>5750</v>
      </c>
      <c r="L21" s="80">
        <v>900</v>
      </c>
      <c r="M21" s="80" t="s">
        <v>5814</v>
      </c>
      <c r="N21" s="130" t="s">
        <v>5556</v>
      </c>
      <c r="O21" s="130" t="b">
        <v>1</v>
      </c>
      <c r="P21" s="123">
        <v>16</v>
      </c>
      <c r="Q21" s="80">
        <v>3</v>
      </c>
      <c r="R21" s="80" t="s">
        <v>5557</v>
      </c>
      <c r="S21" s="245">
        <v>43756</v>
      </c>
      <c r="T21" s="80" t="b">
        <v>0</v>
      </c>
      <c r="U21" s="130" t="b">
        <v>0</v>
      </c>
      <c r="V21" s="80" t="b">
        <v>1</v>
      </c>
      <c r="W21" s="80">
        <v>16</v>
      </c>
      <c r="X21" s="80" t="b">
        <v>0</v>
      </c>
      <c r="Y21" s="80" t="s">
        <v>5734</v>
      </c>
      <c r="Z21" s="80" t="s">
        <v>5735</v>
      </c>
    </row>
    <row r="22" spans="1:26" ht="25.5">
      <c r="G22" s="80" t="s">
        <v>5554</v>
      </c>
      <c r="H22" s="80" t="s">
        <v>5798</v>
      </c>
      <c r="I22" s="80">
        <v>3</v>
      </c>
      <c r="J22" s="80" t="s">
        <v>5467</v>
      </c>
      <c r="K22" s="80" t="s">
        <v>5750</v>
      </c>
      <c r="L22" s="80">
        <v>1800</v>
      </c>
      <c r="M22" s="80" t="s">
        <v>5814</v>
      </c>
      <c r="O22" s="130" t="b">
        <v>1</v>
      </c>
      <c r="P22" s="123">
        <v>16</v>
      </c>
      <c r="Q22" s="80">
        <v>3</v>
      </c>
      <c r="R22" s="80" t="s">
        <v>6824</v>
      </c>
      <c r="S22" s="245">
        <v>43756</v>
      </c>
      <c r="T22" s="80" t="b">
        <v>0</v>
      </c>
      <c r="U22" s="130" t="b">
        <v>0</v>
      </c>
      <c r="V22" s="80" t="b">
        <v>1</v>
      </c>
      <c r="W22" s="80">
        <v>16</v>
      </c>
      <c r="X22" s="80" t="b">
        <v>0</v>
      </c>
      <c r="Y22" s="80" t="s">
        <v>5734</v>
      </c>
      <c r="Z22" s="80" t="s">
        <v>5735</v>
      </c>
    </row>
    <row r="23" spans="1:26" ht="76.5">
      <c r="G23" s="80" t="s">
        <v>5554</v>
      </c>
      <c r="H23" s="80" t="s">
        <v>5748</v>
      </c>
      <c r="I23" s="80">
        <v>3</v>
      </c>
      <c r="J23" s="80" t="s">
        <v>5749</v>
      </c>
      <c r="K23" s="80" t="s">
        <v>5752</v>
      </c>
      <c r="L23" s="80">
        <v>1800</v>
      </c>
      <c r="M23" s="80" t="s">
        <v>5814</v>
      </c>
      <c r="O23" s="130" t="b">
        <v>1</v>
      </c>
      <c r="P23" s="123">
        <v>16</v>
      </c>
      <c r="Q23" s="80">
        <v>3</v>
      </c>
      <c r="R23" s="80" t="s">
        <v>6824</v>
      </c>
      <c r="S23" s="245">
        <v>43756</v>
      </c>
      <c r="T23" s="80" t="b">
        <v>0</v>
      </c>
      <c r="U23" s="130" t="b">
        <v>0</v>
      </c>
      <c r="V23" s="80" t="b">
        <v>1</v>
      </c>
      <c r="W23" s="80">
        <v>16</v>
      </c>
      <c r="X23" s="80" t="b">
        <v>0</v>
      </c>
      <c r="Y23" s="80" t="s">
        <v>5734</v>
      </c>
      <c r="Z23" s="80" t="s">
        <v>5735</v>
      </c>
    </row>
    <row r="24" spans="1:26" ht="76.5">
      <c r="A24" s="104">
        <v>10</v>
      </c>
      <c r="B24" s="120" t="s">
        <v>5559</v>
      </c>
      <c r="C24" s="119" t="s">
        <v>5351</v>
      </c>
      <c r="D24" s="119" t="s">
        <v>6835</v>
      </c>
      <c r="E24" s="80" t="s">
        <v>5723</v>
      </c>
      <c r="F24" s="104" t="s">
        <v>6826</v>
      </c>
      <c r="G24" s="80" t="s">
        <v>5558</v>
      </c>
      <c r="H24" s="80" t="s">
        <v>5747</v>
      </c>
      <c r="I24" s="80">
        <v>3</v>
      </c>
      <c r="J24" s="80" t="s">
        <v>5467</v>
      </c>
      <c r="K24" s="80" t="s">
        <v>5752</v>
      </c>
      <c r="L24" s="80">
        <v>2100</v>
      </c>
      <c r="M24" s="80" t="s">
        <v>5805</v>
      </c>
      <c r="N24" s="130" t="s">
        <v>5560</v>
      </c>
      <c r="O24" s="130" t="b">
        <v>1</v>
      </c>
      <c r="P24" s="123">
        <v>26</v>
      </c>
      <c r="Q24" s="80">
        <v>3</v>
      </c>
      <c r="R24" s="80" t="s">
        <v>5561</v>
      </c>
      <c r="S24" s="245">
        <v>43756</v>
      </c>
      <c r="T24" s="80" t="b">
        <v>0</v>
      </c>
      <c r="U24" s="130" t="b">
        <v>0</v>
      </c>
      <c r="V24" s="80" t="b">
        <v>1</v>
      </c>
      <c r="W24" s="80">
        <v>26</v>
      </c>
      <c r="X24" s="80" t="b">
        <v>0</v>
      </c>
      <c r="Y24" s="80" t="s">
        <v>5734</v>
      </c>
      <c r="Z24" s="80" t="s">
        <v>5735</v>
      </c>
    </row>
    <row r="25" spans="1:26" ht="76.5">
      <c r="G25" s="80" t="s">
        <v>5558</v>
      </c>
      <c r="H25" s="80" t="s">
        <v>5748</v>
      </c>
      <c r="I25" s="80">
        <v>3</v>
      </c>
      <c r="J25" s="80" t="s">
        <v>5749</v>
      </c>
      <c r="K25" s="80" t="s">
        <v>5752</v>
      </c>
      <c r="L25" s="80">
        <v>1800</v>
      </c>
      <c r="M25" s="80" t="s">
        <v>5805</v>
      </c>
      <c r="O25" s="130" t="b">
        <v>1</v>
      </c>
      <c r="P25" s="123">
        <v>26</v>
      </c>
      <c r="Q25" s="80">
        <v>3</v>
      </c>
      <c r="R25" s="80" t="s">
        <v>6824</v>
      </c>
      <c r="S25" s="245">
        <v>43756</v>
      </c>
      <c r="T25" s="80" t="b">
        <v>0</v>
      </c>
      <c r="U25" s="130" t="b">
        <v>0</v>
      </c>
      <c r="V25" s="80" t="b">
        <v>1</v>
      </c>
      <c r="W25" s="80">
        <v>26</v>
      </c>
      <c r="X25" s="80" t="b">
        <v>0</v>
      </c>
      <c r="Y25" s="80" t="s">
        <v>5734</v>
      </c>
      <c r="Z25" s="80" t="s">
        <v>5735</v>
      </c>
    </row>
    <row r="26" spans="1:26" ht="38.25">
      <c r="A26" s="104">
        <v>11</v>
      </c>
      <c r="B26" s="120" t="s">
        <v>5563</v>
      </c>
      <c r="C26" s="119" t="s">
        <v>5351</v>
      </c>
      <c r="D26" s="119" t="s">
        <v>6836</v>
      </c>
      <c r="E26" s="80" t="s">
        <v>5723</v>
      </c>
      <c r="F26" s="104" t="s">
        <v>6823</v>
      </c>
      <c r="G26" s="80" t="s">
        <v>5562</v>
      </c>
      <c r="H26" s="80" t="s">
        <v>5798</v>
      </c>
      <c r="I26" s="80">
        <v>3</v>
      </c>
      <c r="J26" s="80" t="s">
        <v>5467</v>
      </c>
      <c r="K26" s="80" t="s">
        <v>5750</v>
      </c>
      <c r="L26" s="80">
        <v>900</v>
      </c>
      <c r="M26" s="80" t="s">
        <v>5777</v>
      </c>
      <c r="N26" s="130" t="s">
        <v>5564</v>
      </c>
      <c r="O26" s="130" t="b">
        <v>1</v>
      </c>
      <c r="P26" s="123">
        <v>12</v>
      </c>
      <c r="Q26" s="80">
        <v>3</v>
      </c>
      <c r="R26" s="80" t="s">
        <v>5565</v>
      </c>
      <c r="S26" s="245">
        <v>43756</v>
      </c>
      <c r="T26" s="80" t="b">
        <v>0</v>
      </c>
      <c r="U26" s="130" t="b">
        <v>0</v>
      </c>
      <c r="V26" s="80" t="b">
        <v>1</v>
      </c>
      <c r="W26" s="80">
        <v>12</v>
      </c>
      <c r="X26" s="80" t="b">
        <v>0</v>
      </c>
      <c r="Y26" s="80" t="s">
        <v>5734</v>
      </c>
      <c r="Z26" s="80" t="s">
        <v>5735</v>
      </c>
    </row>
    <row r="27" spans="1:26" ht="38.25">
      <c r="G27" s="80" t="s">
        <v>5562</v>
      </c>
      <c r="H27" s="80" t="s">
        <v>5799</v>
      </c>
      <c r="I27" s="80">
        <v>3</v>
      </c>
      <c r="J27" s="80" t="s">
        <v>5467</v>
      </c>
      <c r="K27" s="80" t="s">
        <v>5752</v>
      </c>
      <c r="L27" s="80">
        <v>2100</v>
      </c>
      <c r="M27" s="80" t="s">
        <v>5777</v>
      </c>
      <c r="O27" s="130" t="b">
        <v>1</v>
      </c>
      <c r="P27" s="123">
        <v>12</v>
      </c>
      <c r="Q27" s="80">
        <v>3</v>
      </c>
      <c r="R27" s="80" t="s">
        <v>6824</v>
      </c>
      <c r="S27" s="245">
        <v>43756</v>
      </c>
      <c r="T27" s="80" t="b">
        <v>0</v>
      </c>
      <c r="U27" s="130" t="b">
        <v>0</v>
      </c>
      <c r="V27" s="80" t="b">
        <v>1</v>
      </c>
      <c r="W27" s="80">
        <v>12</v>
      </c>
      <c r="X27" s="80" t="b">
        <v>0</v>
      </c>
      <c r="Y27" s="80" t="s">
        <v>5734</v>
      </c>
      <c r="Z27" s="80" t="s">
        <v>5735</v>
      </c>
    </row>
    <row r="28" spans="1:26" ht="76.5">
      <c r="G28" s="80" t="s">
        <v>5562</v>
      </c>
      <c r="H28" s="80" t="s">
        <v>5748</v>
      </c>
      <c r="I28" s="80">
        <v>3</v>
      </c>
      <c r="J28" s="80" t="s">
        <v>5749</v>
      </c>
      <c r="K28" s="80" t="s">
        <v>5752</v>
      </c>
      <c r="L28" s="80">
        <v>1800</v>
      </c>
      <c r="M28" s="80" t="s">
        <v>5777</v>
      </c>
      <c r="O28" s="130" t="b">
        <v>1</v>
      </c>
      <c r="P28" s="123">
        <v>12</v>
      </c>
      <c r="Q28" s="80">
        <v>3</v>
      </c>
      <c r="R28" s="80" t="s">
        <v>6824</v>
      </c>
      <c r="S28" s="245">
        <v>43756</v>
      </c>
      <c r="T28" s="80" t="b">
        <v>0</v>
      </c>
      <c r="U28" s="130" t="b">
        <v>0</v>
      </c>
      <c r="V28" s="80" t="b">
        <v>1</v>
      </c>
      <c r="W28" s="80">
        <v>12</v>
      </c>
      <c r="X28" s="80" t="b">
        <v>0</v>
      </c>
      <c r="Y28" s="80" t="s">
        <v>5734</v>
      </c>
      <c r="Z28" s="80" t="s">
        <v>5735</v>
      </c>
    </row>
    <row r="29" spans="1:26" ht="38.25">
      <c r="A29" s="104">
        <v>12</v>
      </c>
      <c r="B29" s="120" t="s">
        <v>5567</v>
      </c>
      <c r="C29" s="119" t="s">
        <v>5351</v>
      </c>
      <c r="D29" s="119" t="s">
        <v>6837</v>
      </c>
      <c r="E29" s="80" t="s">
        <v>5723</v>
      </c>
      <c r="F29" s="104" t="s">
        <v>6823</v>
      </c>
      <c r="G29" s="80" t="s">
        <v>5566</v>
      </c>
      <c r="H29" s="80" t="s">
        <v>5798</v>
      </c>
      <c r="I29" s="80">
        <v>3</v>
      </c>
      <c r="J29" s="80" t="s">
        <v>5467</v>
      </c>
      <c r="K29" s="80" t="s">
        <v>5750</v>
      </c>
      <c r="L29" s="80">
        <v>900</v>
      </c>
      <c r="M29" s="80" t="s">
        <v>5826</v>
      </c>
      <c r="N29" s="130" t="s">
        <v>5568</v>
      </c>
      <c r="O29" s="130" t="b">
        <v>1</v>
      </c>
      <c r="P29" s="123">
        <v>12</v>
      </c>
      <c r="Q29" s="80">
        <v>3</v>
      </c>
      <c r="R29" s="80" t="s">
        <v>5569</v>
      </c>
      <c r="S29" s="245">
        <v>43756</v>
      </c>
      <c r="T29" s="80" t="b">
        <v>0</v>
      </c>
      <c r="U29" s="130" t="b">
        <v>0</v>
      </c>
      <c r="V29" s="80" t="b">
        <v>1</v>
      </c>
      <c r="W29" s="80">
        <v>12</v>
      </c>
      <c r="X29" s="80" t="b">
        <v>0</v>
      </c>
      <c r="Y29" s="80" t="s">
        <v>5734</v>
      </c>
      <c r="Z29" s="80" t="s">
        <v>5735</v>
      </c>
    </row>
    <row r="30" spans="1:26" ht="38.25">
      <c r="G30" s="80" t="s">
        <v>5566</v>
      </c>
      <c r="H30" s="80" t="s">
        <v>5799</v>
      </c>
      <c r="I30" s="80">
        <v>3</v>
      </c>
      <c r="J30" s="80" t="s">
        <v>5467</v>
      </c>
      <c r="K30" s="80" t="s">
        <v>5752</v>
      </c>
      <c r="L30" s="80">
        <v>2100</v>
      </c>
      <c r="M30" s="80" t="s">
        <v>5826</v>
      </c>
      <c r="O30" s="130" t="b">
        <v>1</v>
      </c>
      <c r="P30" s="123">
        <v>12</v>
      </c>
      <c r="Q30" s="80">
        <v>3</v>
      </c>
      <c r="R30" s="80" t="s">
        <v>6824</v>
      </c>
      <c r="S30" s="245">
        <v>43756</v>
      </c>
      <c r="T30" s="80" t="b">
        <v>0</v>
      </c>
      <c r="U30" s="130" t="b">
        <v>0</v>
      </c>
      <c r="V30" s="80" t="b">
        <v>1</v>
      </c>
      <c r="W30" s="80">
        <v>12</v>
      </c>
      <c r="X30" s="80" t="b">
        <v>0</v>
      </c>
      <c r="Y30" s="80" t="s">
        <v>5734</v>
      </c>
      <c r="Z30" s="80" t="s">
        <v>5735</v>
      </c>
    </row>
    <row r="31" spans="1:26" ht="76.5">
      <c r="G31" s="80" t="s">
        <v>5566</v>
      </c>
      <c r="H31" s="80" t="s">
        <v>5748</v>
      </c>
      <c r="I31" s="80">
        <v>3</v>
      </c>
      <c r="J31" s="80" t="s">
        <v>5749</v>
      </c>
      <c r="K31" s="80" t="s">
        <v>5752</v>
      </c>
      <c r="L31" s="80">
        <v>1800</v>
      </c>
      <c r="M31" s="80" t="s">
        <v>5826</v>
      </c>
      <c r="O31" s="130" t="b">
        <v>1</v>
      </c>
      <c r="P31" s="123">
        <v>12</v>
      </c>
      <c r="Q31" s="80">
        <v>3</v>
      </c>
      <c r="R31" s="80" t="s">
        <v>6824</v>
      </c>
      <c r="S31" s="245">
        <v>43756</v>
      </c>
      <c r="T31" s="80" t="b">
        <v>0</v>
      </c>
      <c r="U31" s="130" t="b">
        <v>0</v>
      </c>
      <c r="V31" s="80" t="b">
        <v>1</v>
      </c>
      <c r="W31" s="80">
        <v>12</v>
      </c>
      <c r="X31" s="80" t="b">
        <v>0</v>
      </c>
      <c r="Y31" s="80" t="s">
        <v>5734</v>
      </c>
      <c r="Z31" s="80" t="s">
        <v>5735</v>
      </c>
    </row>
    <row r="32" spans="1:26" ht="38.25">
      <c r="A32" s="104">
        <v>13</v>
      </c>
      <c r="B32" s="120" t="s">
        <v>5571</v>
      </c>
      <c r="C32" s="119" t="s">
        <v>5351</v>
      </c>
      <c r="D32" s="119" t="s">
        <v>6838</v>
      </c>
      <c r="E32" s="80" t="s">
        <v>5723</v>
      </c>
      <c r="F32" s="104" t="s">
        <v>6826</v>
      </c>
      <c r="G32" s="80" t="s">
        <v>5570</v>
      </c>
      <c r="H32" s="80" t="s">
        <v>5798</v>
      </c>
      <c r="I32" s="80">
        <v>3</v>
      </c>
      <c r="J32" s="80" t="s">
        <v>5467</v>
      </c>
      <c r="K32" s="80" t="s">
        <v>5750</v>
      </c>
      <c r="L32" s="80">
        <v>1800</v>
      </c>
      <c r="M32" s="80" t="s">
        <v>5837</v>
      </c>
      <c r="N32" s="130" t="s">
        <v>5572</v>
      </c>
      <c r="O32" s="130" t="b">
        <v>1</v>
      </c>
      <c r="P32" s="123">
        <v>30</v>
      </c>
      <c r="Q32" s="80">
        <v>1</v>
      </c>
      <c r="R32" s="80" t="s">
        <v>5573</v>
      </c>
      <c r="S32" s="245">
        <v>43756</v>
      </c>
      <c r="T32" s="80" t="b">
        <v>0</v>
      </c>
      <c r="U32" s="130" t="b">
        <v>0</v>
      </c>
      <c r="V32" s="80" t="b">
        <v>1</v>
      </c>
      <c r="W32" s="80">
        <v>30</v>
      </c>
      <c r="X32" s="80" t="b">
        <v>0</v>
      </c>
      <c r="Y32" s="80" t="s">
        <v>5734</v>
      </c>
      <c r="Z32" s="80" t="s">
        <v>5735</v>
      </c>
    </row>
    <row r="33" spans="1:26" ht="38.25">
      <c r="G33" s="80" t="s">
        <v>5570</v>
      </c>
      <c r="H33" s="80" t="s">
        <v>5799</v>
      </c>
      <c r="I33" s="80">
        <v>3</v>
      </c>
      <c r="J33" s="80" t="s">
        <v>5467</v>
      </c>
      <c r="K33" s="80" t="s">
        <v>5752</v>
      </c>
      <c r="L33" s="80">
        <v>2100</v>
      </c>
      <c r="M33" s="80" t="s">
        <v>5837</v>
      </c>
      <c r="O33" s="130" t="b">
        <v>1</v>
      </c>
      <c r="P33" s="123">
        <v>30</v>
      </c>
      <c r="Q33" s="80">
        <v>1</v>
      </c>
      <c r="R33" s="80" t="s">
        <v>6824</v>
      </c>
      <c r="S33" s="245">
        <v>43756</v>
      </c>
      <c r="T33" s="80" t="b">
        <v>0</v>
      </c>
      <c r="U33" s="130" t="b">
        <v>0</v>
      </c>
      <c r="V33" s="80" t="b">
        <v>1</v>
      </c>
      <c r="W33" s="80">
        <v>30</v>
      </c>
      <c r="X33" s="80" t="b">
        <v>0</v>
      </c>
      <c r="Y33" s="80" t="s">
        <v>5734</v>
      </c>
      <c r="Z33" s="80" t="s">
        <v>5735</v>
      </c>
    </row>
    <row r="34" spans="1:26" ht="76.5">
      <c r="A34" s="104">
        <v>14</v>
      </c>
      <c r="B34" s="120" t="s">
        <v>5575</v>
      </c>
      <c r="C34" s="119" t="s">
        <v>5351</v>
      </c>
      <c r="D34" s="119" t="s">
        <v>6839</v>
      </c>
      <c r="E34" s="80" t="s">
        <v>5723</v>
      </c>
      <c r="F34" s="104" t="s">
        <v>6826</v>
      </c>
      <c r="G34" s="80" t="s">
        <v>5574</v>
      </c>
      <c r="H34" s="80" t="s">
        <v>5747</v>
      </c>
      <c r="I34" s="80">
        <v>3</v>
      </c>
      <c r="J34" s="80" t="s">
        <v>5467</v>
      </c>
      <c r="K34" s="80" t="s">
        <v>5752</v>
      </c>
      <c r="L34" s="80">
        <v>2100</v>
      </c>
      <c r="M34" s="80" t="s">
        <v>5843</v>
      </c>
      <c r="N34" s="130" t="s">
        <v>5576</v>
      </c>
      <c r="O34" s="130" t="b">
        <v>1</v>
      </c>
      <c r="P34" s="123">
        <v>20</v>
      </c>
      <c r="Q34" s="80">
        <v>1</v>
      </c>
      <c r="R34" s="80" t="s">
        <v>5577</v>
      </c>
      <c r="S34" s="245">
        <v>43756</v>
      </c>
      <c r="T34" s="80" t="b">
        <v>0</v>
      </c>
      <c r="U34" s="130" t="b">
        <v>0</v>
      </c>
      <c r="V34" s="80" t="b">
        <v>1</v>
      </c>
      <c r="W34" s="80">
        <v>20</v>
      </c>
      <c r="X34" s="80" t="b">
        <v>0</v>
      </c>
      <c r="Y34" s="80" t="s">
        <v>5734</v>
      </c>
      <c r="Z34" s="80" t="s">
        <v>5735</v>
      </c>
    </row>
    <row r="35" spans="1:26" ht="76.5">
      <c r="G35" s="80" t="s">
        <v>5574</v>
      </c>
      <c r="H35" s="80" t="s">
        <v>5748</v>
      </c>
      <c r="I35" s="80">
        <v>3</v>
      </c>
      <c r="J35" s="80" t="s">
        <v>5749</v>
      </c>
      <c r="K35" s="80" t="s">
        <v>5752</v>
      </c>
      <c r="L35" s="80">
        <v>1800</v>
      </c>
      <c r="M35" s="80" t="s">
        <v>5843</v>
      </c>
      <c r="O35" s="130" t="b">
        <v>1</v>
      </c>
      <c r="P35" s="123">
        <v>20</v>
      </c>
      <c r="Q35" s="80">
        <v>1</v>
      </c>
      <c r="R35" s="80" t="s">
        <v>6824</v>
      </c>
      <c r="S35" s="245">
        <v>43756</v>
      </c>
      <c r="T35" s="80" t="b">
        <v>0</v>
      </c>
      <c r="U35" s="130" t="b">
        <v>0</v>
      </c>
      <c r="V35" s="80" t="b">
        <v>1</v>
      </c>
      <c r="W35" s="80">
        <v>20</v>
      </c>
      <c r="X35" s="80" t="b">
        <v>0</v>
      </c>
      <c r="Y35" s="80" t="s">
        <v>5734</v>
      </c>
      <c r="Z35" s="80" t="s">
        <v>5735</v>
      </c>
    </row>
    <row r="36" spans="1:26" ht="76.5">
      <c r="A36" s="104">
        <v>15</v>
      </c>
      <c r="B36" s="120" t="s">
        <v>5579</v>
      </c>
      <c r="C36" s="119" t="s">
        <v>5351</v>
      </c>
      <c r="D36" s="119" t="s">
        <v>6840</v>
      </c>
      <c r="E36" s="80" t="s">
        <v>5723</v>
      </c>
      <c r="F36" s="104" t="s">
        <v>6826</v>
      </c>
      <c r="G36" s="80" t="s">
        <v>5578</v>
      </c>
      <c r="H36" s="80" t="s">
        <v>5747</v>
      </c>
      <c r="I36" s="80">
        <v>1</v>
      </c>
      <c r="J36" s="80" t="s">
        <v>5851</v>
      </c>
      <c r="K36" s="80" t="s">
        <v>5853</v>
      </c>
      <c r="L36" s="80">
        <v>2100</v>
      </c>
      <c r="M36" s="80" t="s">
        <v>5855</v>
      </c>
      <c r="N36" s="130" t="s">
        <v>5580</v>
      </c>
      <c r="O36" s="130" t="b">
        <v>1</v>
      </c>
      <c r="P36" s="123">
        <v>50</v>
      </c>
      <c r="Q36" s="80">
        <v>1</v>
      </c>
      <c r="R36" s="80" t="s">
        <v>5581</v>
      </c>
      <c r="S36" s="245">
        <v>43756</v>
      </c>
      <c r="T36" s="80" t="b">
        <v>0</v>
      </c>
      <c r="U36" s="130" t="b">
        <v>0</v>
      </c>
      <c r="V36" s="80" t="b">
        <v>1</v>
      </c>
      <c r="W36" s="80">
        <v>50</v>
      </c>
      <c r="X36" s="80" t="b">
        <v>0</v>
      </c>
      <c r="Y36" s="80" t="s">
        <v>5734</v>
      </c>
      <c r="Z36" s="80" t="s">
        <v>5735</v>
      </c>
    </row>
    <row r="37" spans="1:26" ht="76.5">
      <c r="G37" s="80" t="s">
        <v>5578</v>
      </c>
      <c r="H37" s="80" t="s">
        <v>5748</v>
      </c>
      <c r="I37" s="80">
        <v>1</v>
      </c>
      <c r="J37" s="80" t="s">
        <v>5852</v>
      </c>
      <c r="K37" s="80" t="s">
        <v>5853</v>
      </c>
      <c r="L37" s="80">
        <v>1800</v>
      </c>
      <c r="M37" s="80" t="s">
        <v>5855</v>
      </c>
      <c r="O37" s="130" t="b">
        <v>1</v>
      </c>
      <c r="P37" s="123">
        <v>50</v>
      </c>
      <c r="Q37" s="80">
        <v>1</v>
      </c>
      <c r="R37" s="80" t="s">
        <v>6824</v>
      </c>
      <c r="S37" s="245">
        <v>43756</v>
      </c>
      <c r="T37" s="80" t="b">
        <v>0</v>
      </c>
      <c r="U37" s="130" t="b">
        <v>0</v>
      </c>
      <c r="V37" s="80" t="b">
        <v>1</v>
      </c>
      <c r="W37" s="80">
        <v>50</v>
      </c>
      <c r="X37" s="80" t="b">
        <v>0</v>
      </c>
      <c r="Y37" s="80" t="s">
        <v>5734</v>
      </c>
      <c r="Z37" s="80" t="s">
        <v>5735</v>
      </c>
    </row>
    <row r="38" spans="1:26" ht="76.5">
      <c r="A38" s="104">
        <v>16</v>
      </c>
      <c r="B38" s="120" t="s">
        <v>5583</v>
      </c>
      <c r="C38" s="119" t="s">
        <v>5351</v>
      </c>
      <c r="D38" s="119" t="s">
        <v>6841</v>
      </c>
      <c r="E38" s="80" t="s">
        <v>5723</v>
      </c>
      <c r="F38" s="104" t="s">
        <v>6826</v>
      </c>
      <c r="G38" s="80" t="s">
        <v>5582</v>
      </c>
      <c r="H38" s="80" t="s">
        <v>5747</v>
      </c>
      <c r="I38" s="80">
        <v>3</v>
      </c>
      <c r="J38" s="80" t="s">
        <v>5467</v>
      </c>
      <c r="K38" s="80" t="s">
        <v>5752</v>
      </c>
      <c r="L38" s="80">
        <v>2100</v>
      </c>
      <c r="M38" s="80" t="s">
        <v>5861</v>
      </c>
      <c r="N38" s="130" t="s">
        <v>5584</v>
      </c>
      <c r="O38" s="130" t="b">
        <v>1</v>
      </c>
      <c r="P38" s="123">
        <v>12</v>
      </c>
      <c r="Q38" s="80">
        <v>1</v>
      </c>
      <c r="R38" s="80" t="s">
        <v>5585</v>
      </c>
      <c r="S38" s="245">
        <v>43756</v>
      </c>
      <c r="T38" s="80" t="b">
        <v>0</v>
      </c>
      <c r="U38" s="130" t="b">
        <v>0</v>
      </c>
      <c r="V38" s="80" t="b">
        <v>1</v>
      </c>
      <c r="W38" s="80">
        <v>12</v>
      </c>
      <c r="X38" s="80" t="b">
        <v>0</v>
      </c>
      <c r="Y38" s="80" t="s">
        <v>5734</v>
      </c>
      <c r="Z38" s="80" t="s">
        <v>5735</v>
      </c>
    </row>
    <row r="39" spans="1:26" ht="76.5">
      <c r="G39" s="80" t="s">
        <v>5582</v>
      </c>
      <c r="H39" s="80" t="s">
        <v>5748</v>
      </c>
      <c r="I39" s="80">
        <v>3</v>
      </c>
      <c r="J39" s="80" t="s">
        <v>5749</v>
      </c>
      <c r="K39" s="80" t="s">
        <v>5752</v>
      </c>
      <c r="L39" s="80">
        <v>1800</v>
      </c>
      <c r="M39" s="80" t="s">
        <v>5861</v>
      </c>
      <c r="O39" s="130" t="b">
        <v>1</v>
      </c>
      <c r="P39" s="123">
        <v>12</v>
      </c>
      <c r="Q39" s="80">
        <v>1</v>
      </c>
      <c r="R39" s="80" t="s">
        <v>6824</v>
      </c>
      <c r="S39" s="245">
        <v>43756</v>
      </c>
      <c r="T39" s="80" t="b">
        <v>0</v>
      </c>
      <c r="U39" s="130" t="b">
        <v>0</v>
      </c>
      <c r="V39" s="80" t="b">
        <v>1</v>
      </c>
      <c r="W39" s="80">
        <v>12</v>
      </c>
      <c r="X39" s="80" t="b">
        <v>0</v>
      </c>
      <c r="Y39" s="80" t="s">
        <v>5734</v>
      </c>
      <c r="Z39" s="80" t="s">
        <v>5735</v>
      </c>
    </row>
    <row r="40" spans="1:26" ht="76.5">
      <c r="A40" s="104">
        <v>17</v>
      </c>
      <c r="B40" s="120" t="s">
        <v>5587</v>
      </c>
      <c r="C40" s="119" t="s">
        <v>5351</v>
      </c>
      <c r="D40" s="119" t="s">
        <v>6842</v>
      </c>
      <c r="E40" s="80" t="s">
        <v>5723</v>
      </c>
      <c r="F40" s="104" t="s">
        <v>6826</v>
      </c>
      <c r="G40" s="80" t="s">
        <v>5586</v>
      </c>
      <c r="H40" s="80" t="s">
        <v>5747</v>
      </c>
      <c r="I40" s="80">
        <v>3</v>
      </c>
      <c r="J40" s="80" t="s">
        <v>5467</v>
      </c>
      <c r="K40" s="80" t="s">
        <v>5752</v>
      </c>
      <c r="L40" s="80">
        <v>2100</v>
      </c>
      <c r="M40" s="80" t="s">
        <v>5867</v>
      </c>
      <c r="N40" s="130" t="s">
        <v>5588</v>
      </c>
      <c r="O40" s="130" t="b">
        <v>1</v>
      </c>
      <c r="P40" s="123">
        <v>24</v>
      </c>
      <c r="Q40" s="80">
        <v>1</v>
      </c>
      <c r="R40" s="80" t="s">
        <v>5589</v>
      </c>
      <c r="S40" s="245">
        <v>43756</v>
      </c>
      <c r="T40" s="80" t="b">
        <v>0</v>
      </c>
      <c r="U40" s="130" t="b">
        <v>0</v>
      </c>
      <c r="V40" s="80" t="b">
        <v>1</v>
      </c>
      <c r="W40" s="80">
        <v>24</v>
      </c>
      <c r="X40" s="80" t="b">
        <v>0</v>
      </c>
      <c r="Y40" s="80" t="s">
        <v>5734</v>
      </c>
      <c r="Z40" s="80" t="s">
        <v>5735</v>
      </c>
    </row>
    <row r="41" spans="1:26" ht="76.5">
      <c r="G41" s="80" t="s">
        <v>5586</v>
      </c>
      <c r="H41" s="80" t="s">
        <v>5748</v>
      </c>
      <c r="I41" s="80">
        <v>3</v>
      </c>
      <c r="J41" s="80" t="s">
        <v>5749</v>
      </c>
      <c r="K41" s="80" t="s">
        <v>5752</v>
      </c>
      <c r="L41" s="80">
        <v>1800</v>
      </c>
      <c r="M41" s="80" t="s">
        <v>5867</v>
      </c>
      <c r="O41" s="130" t="b">
        <v>1</v>
      </c>
      <c r="P41" s="123">
        <v>24</v>
      </c>
      <c r="Q41" s="80">
        <v>1</v>
      </c>
      <c r="R41" s="80" t="s">
        <v>6824</v>
      </c>
      <c r="S41" s="245">
        <v>43756</v>
      </c>
      <c r="T41" s="80" t="b">
        <v>0</v>
      </c>
      <c r="U41" s="130" t="b">
        <v>0</v>
      </c>
      <c r="V41" s="80" t="b">
        <v>1</v>
      </c>
      <c r="W41" s="80">
        <v>24</v>
      </c>
      <c r="X41" s="80" t="b">
        <v>0</v>
      </c>
      <c r="Y41" s="80" t="s">
        <v>5734</v>
      </c>
      <c r="Z41" s="80" t="s">
        <v>5735</v>
      </c>
    </row>
    <row r="42" spans="1:26" ht="76.5">
      <c r="A42" s="104">
        <v>18</v>
      </c>
      <c r="B42" s="120" t="s">
        <v>5591</v>
      </c>
      <c r="C42" s="119" t="s">
        <v>5351</v>
      </c>
      <c r="D42" s="119" t="s">
        <v>6843</v>
      </c>
      <c r="E42" s="80" t="s">
        <v>5723</v>
      </c>
      <c r="F42" s="104" t="s">
        <v>6826</v>
      </c>
      <c r="G42" s="80" t="s">
        <v>5590</v>
      </c>
      <c r="H42" s="80" t="s">
        <v>5747</v>
      </c>
      <c r="I42" s="80">
        <v>3</v>
      </c>
      <c r="J42" s="80" t="s">
        <v>5467</v>
      </c>
      <c r="K42" s="80" t="s">
        <v>5752</v>
      </c>
      <c r="L42" s="80">
        <v>2100</v>
      </c>
      <c r="M42" s="80" t="s">
        <v>5872</v>
      </c>
      <c r="N42" s="130" t="s">
        <v>5592</v>
      </c>
      <c r="O42" s="130" t="b">
        <v>1</v>
      </c>
      <c r="P42" s="123">
        <v>12</v>
      </c>
      <c r="Q42" s="80">
        <v>1</v>
      </c>
      <c r="R42" s="80" t="s">
        <v>5593</v>
      </c>
      <c r="S42" s="245">
        <v>43756</v>
      </c>
      <c r="T42" s="80" t="b">
        <v>0</v>
      </c>
      <c r="U42" s="130" t="b">
        <v>0</v>
      </c>
      <c r="V42" s="80" t="b">
        <v>1</v>
      </c>
      <c r="W42" s="80">
        <v>12</v>
      </c>
      <c r="X42" s="80" t="b">
        <v>0</v>
      </c>
      <c r="Y42" s="80" t="s">
        <v>5734</v>
      </c>
      <c r="Z42" s="80" t="s">
        <v>5735</v>
      </c>
    </row>
    <row r="43" spans="1:26" ht="76.5">
      <c r="G43" s="80" t="s">
        <v>5590</v>
      </c>
      <c r="H43" s="80" t="s">
        <v>5748</v>
      </c>
      <c r="I43" s="80">
        <v>3</v>
      </c>
      <c r="J43" s="80" t="s">
        <v>5749</v>
      </c>
      <c r="K43" s="80" t="s">
        <v>5752</v>
      </c>
      <c r="L43" s="80">
        <v>1800</v>
      </c>
      <c r="M43" s="80" t="s">
        <v>5872</v>
      </c>
      <c r="O43" s="130" t="b">
        <v>1</v>
      </c>
      <c r="P43" s="123">
        <v>12</v>
      </c>
      <c r="Q43" s="80">
        <v>1</v>
      </c>
      <c r="R43" s="80" t="s">
        <v>6824</v>
      </c>
      <c r="S43" s="245">
        <v>43756</v>
      </c>
      <c r="T43" s="80" t="b">
        <v>0</v>
      </c>
      <c r="U43" s="130" t="b">
        <v>0</v>
      </c>
      <c r="V43" s="80" t="b">
        <v>1</v>
      </c>
      <c r="W43" s="80">
        <v>12</v>
      </c>
      <c r="X43" s="80" t="b">
        <v>0</v>
      </c>
      <c r="Y43" s="80" t="s">
        <v>5734</v>
      </c>
      <c r="Z43" s="80" t="s">
        <v>5735</v>
      </c>
    </row>
    <row r="44" spans="1:26" ht="76.5">
      <c r="A44" s="104">
        <v>19</v>
      </c>
      <c r="B44" s="120" t="s">
        <v>5595</v>
      </c>
      <c r="C44" s="119" t="s">
        <v>5351</v>
      </c>
      <c r="D44" s="119" t="s">
        <v>6844</v>
      </c>
      <c r="E44" s="80" t="s">
        <v>5723</v>
      </c>
      <c r="F44" s="104" t="s">
        <v>6826</v>
      </c>
      <c r="G44" s="80" t="s">
        <v>5594</v>
      </c>
      <c r="H44" s="80" t="s">
        <v>5747</v>
      </c>
      <c r="I44" s="80">
        <v>3</v>
      </c>
      <c r="J44" s="80" t="s">
        <v>5467</v>
      </c>
      <c r="K44" s="80" t="s">
        <v>5752</v>
      </c>
      <c r="L44" s="80">
        <v>2100</v>
      </c>
      <c r="M44" s="80" t="s">
        <v>5843</v>
      </c>
      <c r="N44" s="130" t="s">
        <v>5596</v>
      </c>
      <c r="O44" s="130" t="b">
        <v>1</v>
      </c>
      <c r="P44" s="123">
        <v>20</v>
      </c>
      <c r="Q44" s="80">
        <v>1</v>
      </c>
      <c r="R44" s="80" t="s">
        <v>5597</v>
      </c>
      <c r="S44" s="245">
        <v>43756</v>
      </c>
      <c r="T44" s="80" t="b">
        <v>0</v>
      </c>
      <c r="U44" s="130" t="b">
        <v>0</v>
      </c>
      <c r="V44" s="80" t="b">
        <v>1</v>
      </c>
      <c r="W44" s="80">
        <v>20</v>
      </c>
      <c r="X44" s="80" t="b">
        <v>0</v>
      </c>
      <c r="Y44" s="80" t="s">
        <v>5734</v>
      </c>
      <c r="Z44" s="80" t="s">
        <v>5735</v>
      </c>
    </row>
    <row r="45" spans="1:26" ht="76.5">
      <c r="G45" s="80" t="s">
        <v>5594</v>
      </c>
      <c r="H45" s="80" t="s">
        <v>5748</v>
      </c>
      <c r="I45" s="80">
        <v>3</v>
      </c>
      <c r="J45" s="80" t="s">
        <v>5749</v>
      </c>
      <c r="K45" s="80" t="s">
        <v>5752</v>
      </c>
      <c r="L45" s="80">
        <v>1800</v>
      </c>
      <c r="M45" s="80" t="s">
        <v>5843</v>
      </c>
      <c r="O45" s="130" t="b">
        <v>1</v>
      </c>
      <c r="P45" s="123">
        <v>20</v>
      </c>
      <c r="Q45" s="80">
        <v>1</v>
      </c>
      <c r="R45" s="80" t="s">
        <v>6824</v>
      </c>
      <c r="S45" s="245">
        <v>43756</v>
      </c>
      <c r="T45" s="80" t="b">
        <v>0</v>
      </c>
      <c r="U45" s="130" t="b">
        <v>0</v>
      </c>
      <c r="V45" s="80" t="b">
        <v>1</v>
      </c>
      <c r="W45" s="80">
        <v>20</v>
      </c>
      <c r="X45" s="80" t="b">
        <v>0</v>
      </c>
      <c r="Y45" s="80" t="s">
        <v>5734</v>
      </c>
      <c r="Z45" s="80" t="s">
        <v>5735</v>
      </c>
    </row>
    <row r="46" spans="1:26" ht="38.25">
      <c r="A46" s="104">
        <v>20</v>
      </c>
      <c r="B46" s="120" t="s">
        <v>5599</v>
      </c>
      <c r="C46" s="119" t="s">
        <v>5351</v>
      </c>
      <c r="D46" s="119" t="s">
        <v>6845</v>
      </c>
      <c r="E46" s="80" t="s">
        <v>5723</v>
      </c>
      <c r="F46" s="104" t="s">
        <v>6826</v>
      </c>
      <c r="G46" s="80" t="s">
        <v>5598</v>
      </c>
      <c r="H46" s="80" t="s">
        <v>5798</v>
      </c>
      <c r="I46" s="80">
        <v>3</v>
      </c>
      <c r="J46" s="80" t="s">
        <v>5467</v>
      </c>
      <c r="K46" s="80" t="s">
        <v>5750</v>
      </c>
      <c r="L46" s="80">
        <v>900</v>
      </c>
      <c r="M46" s="80" t="s">
        <v>5882</v>
      </c>
      <c r="N46" s="130" t="s">
        <v>5600</v>
      </c>
      <c r="O46" s="130" t="b">
        <v>1</v>
      </c>
      <c r="P46" s="123">
        <v>12</v>
      </c>
      <c r="Q46" s="80">
        <v>3</v>
      </c>
      <c r="R46" s="80" t="s">
        <v>5601</v>
      </c>
      <c r="S46" s="245">
        <v>43756</v>
      </c>
      <c r="T46" s="80" t="b">
        <v>0</v>
      </c>
      <c r="U46" s="130" t="b">
        <v>0</v>
      </c>
      <c r="V46" s="80" t="b">
        <v>1</v>
      </c>
      <c r="W46" s="80">
        <v>12</v>
      </c>
      <c r="X46" s="80" t="b">
        <v>0</v>
      </c>
      <c r="Y46" s="80" t="s">
        <v>5734</v>
      </c>
      <c r="Z46" s="80" t="s">
        <v>5735</v>
      </c>
    </row>
    <row r="47" spans="1:26" ht="38.25">
      <c r="G47" s="80" t="s">
        <v>5598</v>
      </c>
      <c r="H47" s="80" t="s">
        <v>5799</v>
      </c>
      <c r="I47" s="80">
        <v>3</v>
      </c>
      <c r="J47" s="80" t="s">
        <v>5467</v>
      </c>
      <c r="K47" s="80" t="s">
        <v>5752</v>
      </c>
      <c r="L47" s="80">
        <v>2100</v>
      </c>
      <c r="M47" s="80" t="s">
        <v>5882</v>
      </c>
      <c r="O47" s="130" t="b">
        <v>1</v>
      </c>
      <c r="P47" s="123">
        <v>12</v>
      </c>
      <c r="Q47" s="80">
        <v>3</v>
      </c>
      <c r="R47" s="80" t="s">
        <v>6824</v>
      </c>
      <c r="S47" s="245">
        <v>43756</v>
      </c>
      <c r="T47" s="80" t="b">
        <v>0</v>
      </c>
      <c r="U47" s="130" t="b">
        <v>0</v>
      </c>
      <c r="V47" s="80" t="b">
        <v>1</v>
      </c>
      <c r="W47" s="80">
        <v>12</v>
      </c>
      <c r="X47" s="80" t="b">
        <v>0</v>
      </c>
      <c r="Y47" s="80" t="s">
        <v>5734</v>
      </c>
      <c r="Z47" s="80" t="s">
        <v>5735</v>
      </c>
    </row>
    <row r="48" spans="1:26" ht="25.5">
      <c r="A48" s="104">
        <v>21</v>
      </c>
      <c r="B48" s="120" t="s">
        <v>5603</v>
      </c>
      <c r="C48" s="119" t="s">
        <v>5351</v>
      </c>
      <c r="D48" s="119" t="s">
        <v>6846</v>
      </c>
      <c r="E48" s="80" t="s">
        <v>5723</v>
      </c>
      <c r="F48" s="104" t="s">
        <v>6823</v>
      </c>
      <c r="G48" s="80" t="s">
        <v>5602</v>
      </c>
      <c r="H48" s="80" t="s">
        <v>5798</v>
      </c>
      <c r="I48" s="80">
        <v>3</v>
      </c>
      <c r="J48" s="80" t="s">
        <v>5467</v>
      </c>
      <c r="K48" s="80" t="s">
        <v>5750</v>
      </c>
      <c r="L48" s="80">
        <v>900</v>
      </c>
      <c r="M48" s="80" t="s">
        <v>5887</v>
      </c>
      <c r="N48" s="130" t="s">
        <v>5604</v>
      </c>
      <c r="O48" s="130" t="b">
        <v>1</v>
      </c>
      <c r="P48" s="123">
        <v>12</v>
      </c>
      <c r="Q48" s="80">
        <v>3</v>
      </c>
      <c r="R48" s="80" t="s">
        <v>5605</v>
      </c>
      <c r="S48" s="245">
        <v>43756</v>
      </c>
      <c r="T48" s="80" t="b">
        <v>0</v>
      </c>
      <c r="U48" s="130" t="b">
        <v>0</v>
      </c>
      <c r="V48" s="80" t="b">
        <v>1</v>
      </c>
      <c r="W48" s="80">
        <v>12</v>
      </c>
      <c r="X48" s="80" t="b">
        <v>0</v>
      </c>
      <c r="Y48" s="80" t="s">
        <v>5734</v>
      </c>
      <c r="Z48" s="80" t="s">
        <v>5735</v>
      </c>
    </row>
    <row r="49" spans="1:26" ht="38.25">
      <c r="G49" s="80" t="s">
        <v>5602</v>
      </c>
      <c r="H49" s="80" t="s">
        <v>5799</v>
      </c>
      <c r="I49" s="80">
        <v>3</v>
      </c>
      <c r="J49" s="80" t="s">
        <v>5467</v>
      </c>
      <c r="K49" s="80" t="s">
        <v>5752</v>
      </c>
      <c r="L49" s="80">
        <v>2100</v>
      </c>
      <c r="M49" s="80" t="s">
        <v>5889</v>
      </c>
      <c r="O49" s="130" t="b">
        <v>1</v>
      </c>
      <c r="P49" s="123">
        <v>12</v>
      </c>
      <c r="Q49" s="80">
        <v>3</v>
      </c>
      <c r="R49" s="80" t="s">
        <v>6824</v>
      </c>
      <c r="S49" s="245">
        <v>43756</v>
      </c>
      <c r="T49" s="80" t="b">
        <v>0</v>
      </c>
      <c r="U49" s="130" t="b">
        <v>0</v>
      </c>
      <c r="V49" s="80" t="b">
        <v>1</v>
      </c>
      <c r="W49" s="80">
        <v>12</v>
      </c>
      <c r="X49" s="80" t="b">
        <v>0</v>
      </c>
      <c r="Y49" s="80" t="s">
        <v>5734</v>
      </c>
      <c r="Z49" s="80" t="s">
        <v>5735</v>
      </c>
    </row>
    <row r="50" spans="1:26" ht="76.5">
      <c r="G50" s="80" t="s">
        <v>5602</v>
      </c>
      <c r="H50" s="80" t="s">
        <v>5748</v>
      </c>
      <c r="I50" s="80">
        <v>3</v>
      </c>
      <c r="J50" s="80" t="s">
        <v>5749</v>
      </c>
      <c r="K50" s="80" t="s">
        <v>5752</v>
      </c>
      <c r="L50" s="80">
        <v>1800</v>
      </c>
      <c r="M50" s="80" t="s">
        <v>5887</v>
      </c>
      <c r="O50" s="130" t="b">
        <v>1</v>
      </c>
      <c r="P50" s="123">
        <v>12</v>
      </c>
      <c r="Q50" s="80">
        <v>3</v>
      </c>
      <c r="R50" s="80" t="s">
        <v>6824</v>
      </c>
      <c r="S50" s="245">
        <v>43756</v>
      </c>
      <c r="T50" s="80" t="b">
        <v>0</v>
      </c>
      <c r="U50" s="130" t="b">
        <v>0</v>
      </c>
      <c r="V50" s="80" t="b">
        <v>1</v>
      </c>
      <c r="W50" s="80">
        <v>12</v>
      </c>
      <c r="X50" s="80" t="b">
        <v>0</v>
      </c>
      <c r="Y50" s="80" t="s">
        <v>5734</v>
      </c>
      <c r="Z50" s="80" t="s">
        <v>5735</v>
      </c>
    </row>
    <row r="51" spans="1:26" ht="38.25">
      <c r="A51" s="104">
        <v>22</v>
      </c>
      <c r="B51" s="120" t="s">
        <v>5607</v>
      </c>
      <c r="C51" s="119" t="s">
        <v>5351</v>
      </c>
      <c r="D51" s="119" t="s">
        <v>6847</v>
      </c>
      <c r="E51" s="80" t="s">
        <v>5723</v>
      </c>
      <c r="F51" s="104" t="s">
        <v>6848</v>
      </c>
      <c r="G51" s="80" t="s">
        <v>5606</v>
      </c>
      <c r="H51" s="80" t="s">
        <v>5798</v>
      </c>
      <c r="I51" s="80">
        <v>3</v>
      </c>
      <c r="J51" s="80" t="s">
        <v>5467</v>
      </c>
      <c r="K51" s="80" t="s">
        <v>5750</v>
      </c>
      <c r="L51" s="80">
        <v>900</v>
      </c>
      <c r="M51" s="80" t="s">
        <v>5800</v>
      </c>
      <c r="N51" s="130" t="s">
        <v>5608</v>
      </c>
      <c r="O51" s="130" t="b">
        <v>1</v>
      </c>
      <c r="P51" s="123">
        <v>8</v>
      </c>
      <c r="Q51" s="80">
        <v>3</v>
      </c>
      <c r="R51" s="80" t="s">
        <v>5609</v>
      </c>
      <c r="S51" s="245">
        <v>43756</v>
      </c>
      <c r="T51" s="80" t="b">
        <v>0</v>
      </c>
      <c r="U51" s="130" t="b">
        <v>0</v>
      </c>
      <c r="V51" s="80" t="b">
        <v>1</v>
      </c>
      <c r="W51" s="80">
        <v>8</v>
      </c>
      <c r="X51" s="80" t="b">
        <v>0</v>
      </c>
      <c r="Y51" s="80" t="s">
        <v>5734</v>
      </c>
      <c r="Z51" s="80" t="s">
        <v>5735</v>
      </c>
    </row>
    <row r="52" spans="1:26" ht="25.5">
      <c r="G52" s="80" t="s">
        <v>5606</v>
      </c>
      <c r="H52" s="80" t="s">
        <v>5798</v>
      </c>
      <c r="I52" s="80">
        <v>3</v>
      </c>
      <c r="J52" s="80" t="s">
        <v>5467</v>
      </c>
      <c r="K52" s="80" t="s">
        <v>5750</v>
      </c>
      <c r="L52" s="80">
        <v>1800</v>
      </c>
      <c r="M52" s="80" t="s">
        <v>5800</v>
      </c>
      <c r="O52" s="130" t="b">
        <v>1</v>
      </c>
      <c r="P52" s="123">
        <v>8</v>
      </c>
      <c r="Q52" s="80">
        <v>3</v>
      </c>
      <c r="R52" s="80" t="s">
        <v>6824</v>
      </c>
      <c r="S52" s="245">
        <v>43756</v>
      </c>
      <c r="T52" s="80" t="b">
        <v>0</v>
      </c>
      <c r="U52" s="130" t="b">
        <v>0</v>
      </c>
      <c r="V52" s="80" t="b">
        <v>1</v>
      </c>
      <c r="W52" s="80">
        <v>8</v>
      </c>
      <c r="X52" s="80" t="b">
        <v>0</v>
      </c>
      <c r="Y52" s="80" t="s">
        <v>5734</v>
      </c>
      <c r="Z52" s="80" t="s">
        <v>5735</v>
      </c>
    </row>
    <row r="53" spans="1:26" ht="38.25">
      <c r="G53" s="80" t="s">
        <v>5606</v>
      </c>
      <c r="H53" s="80" t="s">
        <v>5799</v>
      </c>
      <c r="I53" s="80">
        <v>3</v>
      </c>
      <c r="J53" s="80" t="s">
        <v>5467</v>
      </c>
      <c r="K53" s="80" t="s">
        <v>5752</v>
      </c>
      <c r="L53" s="80">
        <v>2100</v>
      </c>
      <c r="M53" s="80" t="s">
        <v>5800</v>
      </c>
      <c r="O53" s="130" t="b">
        <v>1</v>
      </c>
      <c r="P53" s="123">
        <v>8</v>
      </c>
      <c r="Q53" s="80">
        <v>3</v>
      </c>
      <c r="R53" s="80" t="s">
        <v>6824</v>
      </c>
      <c r="S53" s="245">
        <v>43756</v>
      </c>
      <c r="T53" s="80" t="b">
        <v>0</v>
      </c>
      <c r="U53" s="130" t="b">
        <v>0</v>
      </c>
      <c r="V53" s="80" t="b">
        <v>1</v>
      </c>
      <c r="W53" s="80">
        <v>8</v>
      </c>
      <c r="X53" s="80" t="b">
        <v>0</v>
      </c>
      <c r="Y53" s="80" t="s">
        <v>5734</v>
      </c>
      <c r="Z53" s="80" t="s">
        <v>5735</v>
      </c>
    </row>
    <row r="54" spans="1:26" ht="76.5">
      <c r="G54" s="80" t="s">
        <v>5606</v>
      </c>
      <c r="H54" s="80" t="s">
        <v>5748</v>
      </c>
      <c r="I54" s="80">
        <v>3</v>
      </c>
      <c r="J54" s="80" t="s">
        <v>5749</v>
      </c>
      <c r="K54" s="80" t="s">
        <v>5752</v>
      </c>
      <c r="L54" s="80">
        <v>1800</v>
      </c>
      <c r="M54" s="80" t="s">
        <v>5800</v>
      </c>
      <c r="O54" s="130" t="b">
        <v>1</v>
      </c>
      <c r="P54" s="123">
        <v>8</v>
      </c>
      <c r="Q54" s="80">
        <v>3</v>
      </c>
      <c r="R54" s="80" t="s">
        <v>6824</v>
      </c>
      <c r="S54" s="245">
        <v>43756</v>
      </c>
      <c r="T54" s="80" t="b">
        <v>0</v>
      </c>
      <c r="U54" s="130" t="b">
        <v>0</v>
      </c>
      <c r="V54" s="80" t="b">
        <v>1</v>
      </c>
      <c r="W54" s="80">
        <v>8</v>
      </c>
      <c r="X54" s="80" t="b">
        <v>0</v>
      </c>
      <c r="Y54" s="80" t="s">
        <v>5734</v>
      </c>
      <c r="Z54" s="80" t="s">
        <v>5735</v>
      </c>
    </row>
    <row r="55" spans="1:26" ht="76.5">
      <c r="A55" s="104">
        <v>23</v>
      </c>
      <c r="B55" s="120" t="s">
        <v>5611</v>
      </c>
      <c r="C55" s="119" t="s">
        <v>5351</v>
      </c>
      <c r="D55" s="119" t="s">
        <v>6849</v>
      </c>
      <c r="E55" s="80" t="s">
        <v>5723</v>
      </c>
      <c r="F55" s="104" t="s">
        <v>6826</v>
      </c>
      <c r="G55" s="80" t="s">
        <v>5610</v>
      </c>
      <c r="H55" s="80" t="s">
        <v>5747</v>
      </c>
      <c r="I55" s="80">
        <v>3</v>
      </c>
      <c r="J55" s="80" t="s">
        <v>5467</v>
      </c>
      <c r="K55" s="80" t="s">
        <v>5752</v>
      </c>
      <c r="L55" s="80">
        <v>2100</v>
      </c>
      <c r="M55" s="80" t="s">
        <v>5907</v>
      </c>
      <c r="N55" s="130" t="s">
        <v>5612</v>
      </c>
      <c r="O55" s="130" t="b">
        <v>1</v>
      </c>
      <c r="P55" s="123">
        <v>5</v>
      </c>
      <c r="Q55" s="80">
        <v>1</v>
      </c>
      <c r="R55" s="80" t="s">
        <v>5613</v>
      </c>
      <c r="S55" s="245">
        <v>43756</v>
      </c>
      <c r="T55" s="80" t="b">
        <v>1</v>
      </c>
      <c r="U55" s="130" t="b">
        <v>1</v>
      </c>
      <c r="V55" s="80" t="b">
        <v>1</v>
      </c>
      <c r="W55" s="80">
        <v>5</v>
      </c>
      <c r="X55" s="80" t="b">
        <v>0</v>
      </c>
      <c r="Y55" s="80" t="s">
        <v>5734</v>
      </c>
      <c r="Z55" s="80" t="s">
        <v>5735</v>
      </c>
    </row>
    <row r="56" spans="1:26" ht="76.5">
      <c r="G56" s="80" t="s">
        <v>5610</v>
      </c>
      <c r="H56" s="80" t="s">
        <v>5748</v>
      </c>
      <c r="I56" s="80">
        <v>3</v>
      </c>
      <c r="J56" s="80" t="s">
        <v>5749</v>
      </c>
      <c r="K56" s="80" t="s">
        <v>5752</v>
      </c>
      <c r="L56" s="80">
        <v>1800</v>
      </c>
      <c r="M56" s="80" t="s">
        <v>5907</v>
      </c>
      <c r="O56" s="130" t="b">
        <v>1</v>
      </c>
      <c r="P56" s="123">
        <v>5</v>
      </c>
      <c r="Q56" s="80">
        <v>1</v>
      </c>
      <c r="R56" s="80" t="s">
        <v>6824</v>
      </c>
      <c r="S56" s="245">
        <v>43756</v>
      </c>
      <c r="T56" s="80" t="b">
        <v>1</v>
      </c>
      <c r="U56" s="130" t="b">
        <v>0</v>
      </c>
      <c r="V56" s="80" t="b">
        <v>1</v>
      </c>
      <c r="W56" s="80">
        <v>5</v>
      </c>
      <c r="X56" s="80" t="b">
        <v>0</v>
      </c>
      <c r="Y56" s="80" t="s">
        <v>5734</v>
      </c>
      <c r="Z56" s="80" t="s">
        <v>5735</v>
      </c>
    </row>
    <row r="57" spans="1:26" ht="76.5">
      <c r="A57" s="104">
        <v>24</v>
      </c>
      <c r="B57" s="120" t="s">
        <v>5615</v>
      </c>
      <c r="C57" s="119" t="s">
        <v>5351</v>
      </c>
      <c r="D57" s="119" t="s">
        <v>6850</v>
      </c>
      <c r="E57" s="80" t="s">
        <v>5723</v>
      </c>
      <c r="F57" s="104" t="s">
        <v>6826</v>
      </c>
      <c r="G57" s="80" t="s">
        <v>5614</v>
      </c>
      <c r="H57" s="80" t="s">
        <v>5747</v>
      </c>
      <c r="I57" s="80">
        <v>3</v>
      </c>
      <c r="J57" s="80" t="s">
        <v>5467</v>
      </c>
      <c r="K57" s="80" t="s">
        <v>5752</v>
      </c>
      <c r="L57" s="80">
        <v>2100</v>
      </c>
      <c r="M57" s="80" t="s">
        <v>5913</v>
      </c>
      <c r="N57" s="130" t="s">
        <v>5616</v>
      </c>
      <c r="O57" s="130" t="b">
        <v>1</v>
      </c>
      <c r="P57" s="123">
        <v>0</v>
      </c>
      <c r="Q57" s="80">
        <v>1</v>
      </c>
      <c r="R57" s="80" t="s">
        <v>5617</v>
      </c>
      <c r="S57" s="245">
        <v>43756</v>
      </c>
      <c r="T57" s="80" t="b">
        <v>1</v>
      </c>
      <c r="U57" s="130" t="b">
        <v>0</v>
      </c>
      <c r="V57" s="80" t="b">
        <v>0</v>
      </c>
      <c r="W57" s="80">
        <v>0</v>
      </c>
      <c r="X57" s="80" t="b">
        <v>0</v>
      </c>
      <c r="Y57" s="80" t="s">
        <v>5734</v>
      </c>
      <c r="Z57" s="80" t="s">
        <v>5735</v>
      </c>
    </row>
    <row r="58" spans="1:26" ht="76.5">
      <c r="G58" s="80" t="s">
        <v>5614</v>
      </c>
      <c r="H58" s="80" t="s">
        <v>5748</v>
      </c>
      <c r="I58" s="80">
        <v>3</v>
      </c>
      <c r="J58" s="80" t="s">
        <v>5749</v>
      </c>
      <c r="K58" s="80" t="s">
        <v>5752</v>
      </c>
      <c r="L58" s="80">
        <v>1800</v>
      </c>
      <c r="M58" s="80" t="s">
        <v>5913</v>
      </c>
      <c r="O58" s="130" t="b">
        <v>1</v>
      </c>
      <c r="P58" s="123">
        <v>0</v>
      </c>
      <c r="Q58" s="80">
        <v>1</v>
      </c>
      <c r="R58" s="80" t="s">
        <v>6824</v>
      </c>
      <c r="S58" s="245">
        <v>43756</v>
      </c>
      <c r="T58" s="80" t="b">
        <v>1</v>
      </c>
      <c r="U58" s="130" t="b">
        <v>0</v>
      </c>
      <c r="V58" s="80" t="b">
        <v>0</v>
      </c>
      <c r="W58" s="80">
        <v>0</v>
      </c>
      <c r="X58" s="80" t="b">
        <v>0</v>
      </c>
      <c r="Y58" s="80" t="s">
        <v>5734</v>
      </c>
      <c r="Z58" s="80" t="s">
        <v>5735</v>
      </c>
    </row>
    <row r="59" spans="1:26" ht="63.75">
      <c r="A59" s="104">
        <v>25</v>
      </c>
      <c r="B59" s="120" t="s">
        <v>5619</v>
      </c>
      <c r="C59" s="119" t="s">
        <v>5351</v>
      </c>
      <c r="D59" s="119" t="s">
        <v>6851</v>
      </c>
      <c r="E59" s="80" t="s">
        <v>5723</v>
      </c>
      <c r="F59" s="104" t="s">
        <v>6823</v>
      </c>
      <c r="G59" s="80" t="s">
        <v>5618</v>
      </c>
      <c r="H59" s="80" t="s">
        <v>5746</v>
      </c>
      <c r="I59" s="80">
        <v>3</v>
      </c>
      <c r="J59" s="80" t="s">
        <v>5467</v>
      </c>
      <c r="K59" s="80" t="s">
        <v>5750</v>
      </c>
      <c r="L59" s="80">
        <v>900</v>
      </c>
      <c r="M59" s="80" t="s">
        <v>5920</v>
      </c>
      <c r="N59" s="130" t="s">
        <v>5620</v>
      </c>
      <c r="O59" s="130" t="b">
        <v>1</v>
      </c>
      <c r="P59" s="123">
        <v>50</v>
      </c>
      <c r="Q59" s="80">
        <v>3</v>
      </c>
      <c r="R59" s="80" t="s">
        <v>5621</v>
      </c>
      <c r="S59" s="245">
        <v>43756</v>
      </c>
      <c r="T59" s="80" t="b">
        <v>0</v>
      </c>
      <c r="U59" s="130" t="b">
        <v>0</v>
      </c>
      <c r="V59" s="80" t="b">
        <v>1</v>
      </c>
      <c r="W59" s="80">
        <v>50</v>
      </c>
      <c r="X59" s="80" t="b">
        <v>0</v>
      </c>
      <c r="Y59" s="80" t="s">
        <v>5734</v>
      </c>
      <c r="Z59" s="80" t="s">
        <v>5735</v>
      </c>
    </row>
    <row r="60" spans="1:26" ht="76.5">
      <c r="G60" s="80" t="s">
        <v>5618</v>
      </c>
      <c r="H60" s="80" t="s">
        <v>5747</v>
      </c>
      <c r="I60" s="80">
        <v>3</v>
      </c>
      <c r="J60" s="80" t="s">
        <v>5467</v>
      </c>
      <c r="K60" s="80" t="s">
        <v>5752</v>
      </c>
      <c r="L60" s="80">
        <v>2100</v>
      </c>
      <c r="M60" s="80" t="s">
        <v>5920</v>
      </c>
      <c r="O60" s="130" t="b">
        <v>1</v>
      </c>
      <c r="P60" s="123">
        <v>50</v>
      </c>
      <c r="Q60" s="80">
        <v>3</v>
      </c>
      <c r="R60" s="80" t="s">
        <v>6824</v>
      </c>
      <c r="S60" s="245">
        <v>43756</v>
      </c>
      <c r="T60" s="80" t="b">
        <v>0</v>
      </c>
      <c r="U60" s="130" t="b">
        <v>0</v>
      </c>
      <c r="V60" s="80" t="b">
        <v>1</v>
      </c>
      <c r="W60" s="80">
        <v>50</v>
      </c>
      <c r="X60" s="80" t="b">
        <v>0</v>
      </c>
      <c r="Y60" s="80" t="s">
        <v>5734</v>
      </c>
      <c r="Z60" s="80" t="s">
        <v>5735</v>
      </c>
    </row>
    <row r="61" spans="1:26" ht="76.5">
      <c r="G61" s="80" t="s">
        <v>5618</v>
      </c>
      <c r="H61" s="80" t="s">
        <v>5748</v>
      </c>
      <c r="I61" s="80">
        <v>3</v>
      </c>
      <c r="J61" s="80" t="s">
        <v>5749</v>
      </c>
      <c r="K61" s="80" t="s">
        <v>5752</v>
      </c>
      <c r="L61" s="80">
        <v>1800</v>
      </c>
      <c r="M61" s="80" t="s">
        <v>5920</v>
      </c>
      <c r="O61" s="130" t="b">
        <v>1</v>
      </c>
      <c r="P61" s="123">
        <v>50</v>
      </c>
      <c r="Q61" s="80">
        <v>3</v>
      </c>
      <c r="R61" s="80" t="s">
        <v>6824</v>
      </c>
      <c r="S61" s="245">
        <v>43756</v>
      </c>
      <c r="T61" s="80" t="b">
        <v>0</v>
      </c>
      <c r="U61" s="130" t="b">
        <v>0</v>
      </c>
      <c r="V61" s="80" t="b">
        <v>1</v>
      </c>
      <c r="W61" s="80">
        <v>50</v>
      </c>
      <c r="X61" s="80" t="b">
        <v>0</v>
      </c>
      <c r="Y61" s="80" t="s">
        <v>5734</v>
      </c>
      <c r="Z61" s="80" t="s">
        <v>5735</v>
      </c>
    </row>
    <row r="62" spans="1:26" ht="76.5">
      <c r="A62" s="104">
        <v>26</v>
      </c>
      <c r="B62" s="120" t="s">
        <v>5623</v>
      </c>
      <c r="C62" s="119" t="s">
        <v>5351</v>
      </c>
      <c r="D62" s="119" t="s">
        <v>6852</v>
      </c>
      <c r="E62" s="80" t="s">
        <v>5723</v>
      </c>
      <c r="F62" s="104" t="s">
        <v>6826</v>
      </c>
      <c r="G62" s="80" t="s">
        <v>5622</v>
      </c>
      <c r="H62" s="80" t="s">
        <v>5747</v>
      </c>
      <c r="I62" s="80">
        <v>3</v>
      </c>
      <c r="J62" s="80" t="s">
        <v>5467</v>
      </c>
      <c r="K62" s="80" t="s">
        <v>5752</v>
      </c>
      <c r="L62" s="80">
        <v>2100</v>
      </c>
      <c r="M62" s="80" t="s">
        <v>5872</v>
      </c>
      <c r="N62" s="130" t="s">
        <v>5624</v>
      </c>
      <c r="O62" s="130" t="b">
        <v>1</v>
      </c>
      <c r="P62" s="123">
        <v>20</v>
      </c>
      <c r="Q62" s="80">
        <v>3</v>
      </c>
      <c r="R62" s="80" t="s">
        <v>5625</v>
      </c>
      <c r="S62" s="245">
        <v>43756</v>
      </c>
      <c r="T62" s="80" t="b">
        <v>0</v>
      </c>
      <c r="U62" s="130" t="b">
        <v>0</v>
      </c>
      <c r="V62" s="80" t="b">
        <v>1</v>
      </c>
      <c r="W62" s="80">
        <v>20</v>
      </c>
      <c r="X62" s="80" t="b">
        <v>0</v>
      </c>
      <c r="Y62" s="80" t="s">
        <v>5734</v>
      </c>
      <c r="Z62" s="80" t="s">
        <v>5735</v>
      </c>
    </row>
    <row r="63" spans="1:26" ht="76.5">
      <c r="G63" s="80" t="s">
        <v>5622</v>
      </c>
      <c r="H63" s="80" t="s">
        <v>5748</v>
      </c>
      <c r="I63" s="80">
        <v>3</v>
      </c>
      <c r="J63" s="80" t="s">
        <v>5749</v>
      </c>
      <c r="K63" s="80" t="s">
        <v>5752</v>
      </c>
      <c r="L63" s="80">
        <v>1800</v>
      </c>
      <c r="M63" s="80" t="s">
        <v>5872</v>
      </c>
      <c r="O63" s="130" t="b">
        <v>1</v>
      </c>
      <c r="P63" s="123">
        <v>20</v>
      </c>
      <c r="Q63" s="80">
        <v>3</v>
      </c>
      <c r="R63" s="80" t="s">
        <v>6824</v>
      </c>
      <c r="S63" s="245">
        <v>43756</v>
      </c>
      <c r="T63" s="80" t="b">
        <v>0</v>
      </c>
      <c r="U63" s="130" t="b">
        <v>0</v>
      </c>
      <c r="V63" s="80" t="b">
        <v>1</v>
      </c>
      <c r="W63" s="80">
        <v>20</v>
      </c>
      <c r="X63" s="80" t="b">
        <v>0</v>
      </c>
      <c r="Y63" s="80" t="s">
        <v>5734</v>
      </c>
      <c r="Z63" s="80" t="s">
        <v>5735</v>
      </c>
    </row>
    <row r="64" spans="1:26" ht="76.5">
      <c r="A64" s="104">
        <v>27</v>
      </c>
      <c r="B64" s="120" t="s">
        <v>5627</v>
      </c>
      <c r="C64" s="119" t="s">
        <v>5351</v>
      </c>
      <c r="D64" s="119" t="s">
        <v>6853</v>
      </c>
      <c r="E64" s="80" t="s">
        <v>5723</v>
      </c>
      <c r="F64" s="104" t="s">
        <v>6826</v>
      </c>
      <c r="G64" s="80" t="s">
        <v>5626</v>
      </c>
      <c r="H64" s="80" t="s">
        <v>5747</v>
      </c>
      <c r="I64" s="80">
        <v>3</v>
      </c>
      <c r="J64" s="80" t="s">
        <v>5467</v>
      </c>
      <c r="K64" s="80" t="s">
        <v>5752</v>
      </c>
      <c r="L64" s="80">
        <v>2100</v>
      </c>
      <c r="M64" s="80" t="s">
        <v>5889</v>
      </c>
      <c r="N64" s="130" t="s">
        <v>5628</v>
      </c>
      <c r="O64" s="130" t="b">
        <v>1</v>
      </c>
      <c r="P64" s="123">
        <v>16</v>
      </c>
      <c r="Q64" s="80">
        <v>3</v>
      </c>
      <c r="R64" s="80" t="s">
        <v>5629</v>
      </c>
      <c r="S64" s="245">
        <v>43756</v>
      </c>
      <c r="T64" s="80" t="b">
        <v>0</v>
      </c>
      <c r="U64" s="130" t="b">
        <v>0</v>
      </c>
      <c r="V64" s="80" t="b">
        <v>1</v>
      </c>
      <c r="W64" s="80">
        <v>16</v>
      </c>
      <c r="X64" s="80" t="b">
        <v>0</v>
      </c>
      <c r="Y64" s="80" t="s">
        <v>5734</v>
      </c>
      <c r="Z64" s="80" t="s">
        <v>5735</v>
      </c>
    </row>
    <row r="65" spans="1:26" ht="76.5">
      <c r="G65" s="80" t="s">
        <v>5626</v>
      </c>
      <c r="H65" s="80" t="s">
        <v>5748</v>
      </c>
      <c r="I65" s="80">
        <v>3</v>
      </c>
      <c r="J65" s="80" t="s">
        <v>5749</v>
      </c>
      <c r="K65" s="80" t="s">
        <v>5752</v>
      </c>
      <c r="L65" s="80">
        <v>1800</v>
      </c>
      <c r="M65" s="80" t="s">
        <v>5889</v>
      </c>
      <c r="O65" s="130" t="b">
        <v>1</v>
      </c>
      <c r="P65" s="123">
        <v>16</v>
      </c>
      <c r="Q65" s="80">
        <v>3</v>
      </c>
      <c r="R65" s="80" t="s">
        <v>6824</v>
      </c>
      <c r="S65" s="245">
        <v>43756</v>
      </c>
      <c r="T65" s="80" t="b">
        <v>0</v>
      </c>
      <c r="U65" s="130" t="b">
        <v>0</v>
      </c>
      <c r="V65" s="80" t="b">
        <v>1</v>
      </c>
      <c r="W65" s="80">
        <v>16</v>
      </c>
      <c r="X65" s="80" t="b">
        <v>0</v>
      </c>
      <c r="Y65" s="80" t="s">
        <v>5734</v>
      </c>
      <c r="Z65" s="80" t="s">
        <v>5735</v>
      </c>
    </row>
    <row r="66" spans="1:26" ht="76.5">
      <c r="A66" s="104">
        <v>28</v>
      </c>
      <c r="B66" s="120" t="s">
        <v>5631</v>
      </c>
      <c r="C66" s="119" t="s">
        <v>5351</v>
      </c>
      <c r="D66" s="119" t="s">
        <v>6854</v>
      </c>
      <c r="E66" s="80" t="s">
        <v>5723</v>
      </c>
      <c r="F66" s="104" t="s">
        <v>6826</v>
      </c>
      <c r="G66" s="80" t="s">
        <v>5630</v>
      </c>
      <c r="H66" s="80" t="s">
        <v>5747</v>
      </c>
      <c r="I66" s="80">
        <v>3</v>
      </c>
      <c r="J66" s="80" t="s">
        <v>5467</v>
      </c>
      <c r="K66" s="80" t="s">
        <v>5752</v>
      </c>
      <c r="L66" s="80">
        <v>2100</v>
      </c>
      <c r="M66" s="80" t="s">
        <v>5882</v>
      </c>
      <c r="N66" s="130" t="s">
        <v>5632</v>
      </c>
      <c r="O66" s="130" t="b">
        <v>1</v>
      </c>
      <c r="P66" s="123">
        <v>25</v>
      </c>
      <c r="Q66" s="80">
        <v>1</v>
      </c>
      <c r="R66" s="80" t="s">
        <v>5633</v>
      </c>
      <c r="S66" s="245">
        <v>43756</v>
      </c>
      <c r="T66" s="80" t="b">
        <v>0</v>
      </c>
      <c r="U66" s="130" t="b">
        <v>0</v>
      </c>
      <c r="V66" s="80" t="b">
        <v>1</v>
      </c>
      <c r="W66" s="80">
        <v>25</v>
      </c>
      <c r="X66" s="80" t="b">
        <v>0</v>
      </c>
      <c r="Y66" s="80" t="s">
        <v>5734</v>
      </c>
      <c r="Z66" s="80" t="s">
        <v>5735</v>
      </c>
    </row>
    <row r="67" spans="1:26" ht="76.5">
      <c r="G67" s="80" t="s">
        <v>5630</v>
      </c>
      <c r="H67" s="80" t="s">
        <v>5748</v>
      </c>
      <c r="I67" s="80">
        <v>3</v>
      </c>
      <c r="J67" s="80" t="s">
        <v>5749</v>
      </c>
      <c r="K67" s="80" t="s">
        <v>5752</v>
      </c>
      <c r="L67" s="80">
        <v>1800</v>
      </c>
      <c r="M67" s="80" t="s">
        <v>5882</v>
      </c>
      <c r="O67" s="130" t="b">
        <v>1</v>
      </c>
      <c r="P67" s="123">
        <v>25</v>
      </c>
      <c r="Q67" s="80">
        <v>1</v>
      </c>
      <c r="R67" s="80" t="s">
        <v>6824</v>
      </c>
      <c r="S67" s="245">
        <v>43756</v>
      </c>
      <c r="T67" s="80" t="b">
        <v>0</v>
      </c>
      <c r="U67" s="130" t="b">
        <v>0</v>
      </c>
      <c r="V67" s="80" t="b">
        <v>1</v>
      </c>
      <c r="W67" s="80">
        <v>25</v>
      </c>
      <c r="X67" s="80" t="b">
        <v>0</v>
      </c>
      <c r="Y67" s="80" t="s">
        <v>5734</v>
      </c>
      <c r="Z67" s="80" t="s">
        <v>5735</v>
      </c>
    </row>
    <row r="68" spans="1:26" ht="76.5">
      <c r="A68" s="104">
        <v>29</v>
      </c>
      <c r="B68" s="120" t="s">
        <v>5635</v>
      </c>
      <c r="C68" s="119" t="s">
        <v>5351</v>
      </c>
      <c r="D68" s="119" t="s">
        <v>6855</v>
      </c>
      <c r="E68" s="80" t="s">
        <v>5723</v>
      </c>
      <c r="F68" s="104" t="s">
        <v>6826</v>
      </c>
      <c r="G68" s="80" t="s">
        <v>5634</v>
      </c>
      <c r="H68" s="80" t="s">
        <v>5747</v>
      </c>
      <c r="I68" s="80">
        <v>3</v>
      </c>
      <c r="J68" s="80" t="s">
        <v>5467</v>
      </c>
      <c r="K68" s="80" t="s">
        <v>5752</v>
      </c>
      <c r="L68" s="80">
        <v>2100</v>
      </c>
      <c r="M68" s="80" t="s">
        <v>5913</v>
      </c>
      <c r="N68" s="130" t="s">
        <v>5636</v>
      </c>
      <c r="O68" s="130" t="b">
        <v>1</v>
      </c>
      <c r="P68" s="123">
        <v>0</v>
      </c>
      <c r="Q68" s="80">
        <v>3</v>
      </c>
      <c r="R68" s="80" t="s">
        <v>5637</v>
      </c>
      <c r="S68" s="245">
        <v>43756</v>
      </c>
      <c r="T68" s="80" t="b">
        <v>1</v>
      </c>
      <c r="U68" s="130" t="b">
        <v>0</v>
      </c>
      <c r="V68" s="80" t="b">
        <v>0</v>
      </c>
      <c r="W68" s="80">
        <v>0</v>
      </c>
      <c r="X68" s="80" t="b">
        <v>0</v>
      </c>
      <c r="Y68" s="80" t="s">
        <v>5734</v>
      </c>
      <c r="Z68" s="80" t="s">
        <v>5735</v>
      </c>
    </row>
    <row r="69" spans="1:26" ht="76.5">
      <c r="G69" s="80" t="s">
        <v>5634</v>
      </c>
      <c r="H69" s="80" t="s">
        <v>5748</v>
      </c>
      <c r="I69" s="80">
        <v>3</v>
      </c>
      <c r="J69" s="80" t="s">
        <v>5749</v>
      </c>
      <c r="K69" s="80" t="s">
        <v>5752</v>
      </c>
      <c r="L69" s="80">
        <v>1800</v>
      </c>
      <c r="M69" s="80" t="s">
        <v>5913</v>
      </c>
      <c r="O69" s="130" t="b">
        <v>1</v>
      </c>
      <c r="P69" s="123">
        <v>0</v>
      </c>
      <c r="Q69" s="80">
        <v>3</v>
      </c>
      <c r="R69" s="80" t="s">
        <v>6824</v>
      </c>
      <c r="S69" s="245">
        <v>43756</v>
      </c>
      <c r="T69" s="80" t="b">
        <v>1</v>
      </c>
      <c r="U69" s="130" t="b">
        <v>0</v>
      </c>
      <c r="V69" s="80" t="b">
        <v>0</v>
      </c>
      <c r="W69" s="80">
        <v>0</v>
      </c>
      <c r="X69" s="80" t="b">
        <v>0</v>
      </c>
      <c r="Y69" s="80" t="s">
        <v>5734</v>
      </c>
      <c r="Z69" s="80" t="s">
        <v>5735</v>
      </c>
    </row>
    <row r="70" spans="1:26" ht="76.5">
      <c r="A70" s="104">
        <v>30</v>
      </c>
      <c r="B70" s="120" t="s">
        <v>5639</v>
      </c>
      <c r="C70" s="119" t="s">
        <v>5351</v>
      </c>
      <c r="D70" s="119" t="s">
        <v>6856</v>
      </c>
      <c r="E70" s="80" t="s">
        <v>5723</v>
      </c>
      <c r="F70" s="104" t="s">
        <v>6826</v>
      </c>
      <c r="G70" s="80" t="s">
        <v>5638</v>
      </c>
      <c r="H70" s="80" t="s">
        <v>5747</v>
      </c>
      <c r="I70" s="80">
        <v>3</v>
      </c>
      <c r="J70" s="80" t="s">
        <v>5467</v>
      </c>
      <c r="K70" s="80" t="s">
        <v>5752</v>
      </c>
      <c r="L70" s="80">
        <v>2100</v>
      </c>
      <c r="M70" s="80" t="s">
        <v>5882</v>
      </c>
      <c r="N70" s="130" t="s">
        <v>5640</v>
      </c>
      <c r="O70" s="130" t="b">
        <v>1</v>
      </c>
      <c r="P70" s="123">
        <v>24</v>
      </c>
      <c r="Q70" s="80">
        <v>1</v>
      </c>
      <c r="R70" s="80" t="s">
        <v>5641</v>
      </c>
      <c r="S70" s="245">
        <v>43756</v>
      </c>
      <c r="T70" s="80" t="b">
        <v>0</v>
      </c>
      <c r="U70" s="130" t="b">
        <v>0</v>
      </c>
      <c r="V70" s="80" t="b">
        <v>1</v>
      </c>
      <c r="W70" s="80">
        <v>24</v>
      </c>
      <c r="X70" s="80" t="b">
        <v>0</v>
      </c>
      <c r="Y70" s="80" t="s">
        <v>5734</v>
      </c>
      <c r="Z70" s="80" t="s">
        <v>5735</v>
      </c>
    </row>
    <row r="71" spans="1:26" ht="76.5">
      <c r="G71" s="80" t="s">
        <v>5638</v>
      </c>
      <c r="H71" s="80" t="s">
        <v>5748</v>
      </c>
      <c r="I71" s="80">
        <v>3</v>
      </c>
      <c r="J71" s="80" t="s">
        <v>5749</v>
      </c>
      <c r="K71" s="80" t="s">
        <v>5752</v>
      </c>
      <c r="L71" s="80">
        <v>1800</v>
      </c>
      <c r="M71" s="80" t="s">
        <v>5882</v>
      </c>
      <c r="O71" s="130" t="b">
        <v>1</v>
      </c>
      <c r="P71" s="123">
        <v>24</v>
      </c>
      <c r="Q71" s="80">
        <v>1</v>
      </c>
      <c r="R71" s="80" t="s">
        <v>6824</v>
      </c>
      <c r="S71" s="245">
        <v>43756</v>
      </c>
      <c r="T71" s="80" t="b">
        <v>0</v>
      </c>
      <c r="U71" s="130" t="b">
        <v>0</v>
      </c>
      <c r="V71" s="80" t="b">
        <v>1</v>
      </c>
      <c r="W71" s="80">
        <v>24</v>
      </c>
      <c r="X71" s="80" t="b">
        <v>0</v>
      </c>
      <c r="Y71" s="80" t="s">
        <v>5734</v>
      </c>
      <c r="Z71" s="80" t="s">
        <v>5735</v>
      </c>
    </row>
    <row r="72" spans="1:26" ht="76.5">
      <c r="A72" s="104">
        <v>31</v>
      </c>
      <c r="B72" s="120" t="s">
        <v>5643</v>
      </c>
      <c r="C72" s="119" t="s">
        <v>5351</v>
      </c>
      <c r="D72" s="119" t="s">
        <v>6857</v>
      </c>
      <c r="E72" s="80" t="s">
        <v>5723</v>
      </c>
      <c r="F72" s="104" t="s">
        <v>6826</v>
      </c>
      <c r="G72" s="80" t="s">
        <v>5642</v>
      </c>
      <c r="H72" s="80" t="s">
        <v>5747</v>
      </c>
      <c r="I72" s="80">
        <v>3</v>
      </c>
      <c r="J72" s="80" t="s">
        <v>5467</v>
      </c>
      <c r="K72" s="80" t="s">
        <v>5752</v>
      </c>
      <c r="L72" s="80">
        <v>2100</v>
      </c>
      <c r="M72" s="80" t="s">
        <v>5882</v>
      </c>
      <c r="N72" s="130" t="s">
        <v>5644</v>
      </c>
      <c r="O72" s="130" t="b">
        <v>1</v>
      </c>
      <c r="P72" s="123">
        <v>20</v>
      </c>
      <c r="Q72" s="80">
        <v>1</v>
      </c>
      <c r="R72" s="80" t="s">
        <v>5645</v>
      </c>
      <c r="S72" s="245">
        <v>43756</v>
      </c>
      <c r="T72" s="80" t="b">
        <v>0</v>
      </c>
      <c r="U72" s="130" t="b">
        <v>0</v>
      </c>
      <c r="V72" s="80" t="b">
        <v>1</v>
      </c>
      <c r="W72" s="80">
        <v>20</v>
      </c>
      <c r="X72" s="80" t="b">
        <v>0</v>
      </c>
      <c r="Y72" s="80" t="s">
        <v>5734</v>
      </c>
      <c r="Z72" s="80" t="s">
        <v>5735</v>
      </c>
    </row>
    <row r="73" spans="1:26" ht="76.5">
      <c r="G73" s="80" t="s">
        <v>5642</v>
      </c>
      <c r="H73" s="80" t="s">
        <v>5748</v>
      </c>
      <c r="I73" s="80">
        <v>3</v>
      </c>
      <c r="J73" s="80" t="s">
        <v>5749</v>
      </c>
      <c r="K73" s="80" t="s">
        <v>5752</v>
      </c>
      <c r="L73" s="80">
        <v>1800</v>
      </c>
      <c r="M73" s="80" t="s">
        <v>5882</v>
      </c>
      <c r="O73" s="130" t="b">
        <v>1</v>
      </c>
      <c r="P73" s="123">
        <v>20</v>
      </c>
      <c r="Q73" s="80">
        <v>1</v>
      </c>
      <c r="R73" s="80" t="s">
        <v>6824</v>
      </c>
      <c r="S73" s="245">
        <v>43756</v>
      </c>
      <c r="T73" s="80" t="b">
        <v>0</v>
      </c>
      <c r="U73" s="130" t="b">
        <v>0</v>
      </c>
      <c r="V73" s="80" t="b">
        <v>1</v>
      </c>
      <c r="W73" s="80">
        <v>20</v>
      </c>
      <c r="X73" s="80" t="b">
        <v>0</v>
      </c>
      <c r="Y73" s="80" t="s">
        <v>5734</v>
      </c>
      <c r="Z73" s="80" t="s">
        <v>5735</v>
      </c>
    </row>
    <row r="74" spans="1:26" ht="76.5">
      <c r="A74" s="104">
        <v>32</v>
      </c>
      <c r="B74" s="120" t="s">
        <v>5647</v>
      </c>
      <c r="C74" s="119" t="s">
        <v>5351</v>
      </c>
      <c r="D74" s="119" t="s">
        <v>6858</v>
      </c>
      <c r="E74" s="80" t="s">
        <v>5723</v>
      </c>
      <c r="F74" s="104" t="s">
        <v>6826</v>
      </c>
      <c r="G74" s="80" t="s">
        <v>5646</v>
      </c>
      <c r="H74" s="80" t="s">
        <v>5747</v>
      </c>
      <c r="I74" s="80">
        <v>3</v>
      </c>
      <c r="J74" s="80" t="s">
        <v>5467</v>
      </c>
      <c r="K74" s="80" t="s">
        <v>5752</v>
      </c>
      <c r="L74" s="80">
        <v>2100</v>
      </c>
      <c r="M74" s="80" t="s">
        <v>5947</v>
      </c>
      <c r="N74" s="130" t="s">
        <v>5648</v>
      </c>
      <c r="O74" s="130" t="b">
        <v>1</v>
      </c>
      <c r="P74" s="123">
        <v>12</v>
      </c>
      <c r="Q74" s="80">
        <v>1</v>
      </c>
      <c r="R74" s="80" t="s">
        <v>5649</v>
      </c>
      <c r="S74" s="245">
        <v>43756</v>
      </c>
      <c r="T74" s="80" t="b">
        <v>0</v>
      </c>
      <c r="U74" s="130" t="b">
        <v>0</v>
      </c>
      <c r="V74" s="80" t="b">
        <v>1</v>
      </c>
      <c r="W74" s="80">
        <v>12</v>
      </c>
      <c r="X74" s="80" t="b">
        <v>0</v>
      </c>
      <c r="Y74" s="80" t="s">
        <v>5734</v>
      </c>
      <c r="Z74" s="80" t="s">
        <v>5735</v>
      </c>
    </row>
    <row r="75" spans="1:26" ht="76.5">
      <c r="G75" s="80" t="s">
        <v>5646</v>
      </c>
      <c r="H75" s="80" t="s">
        <v>5748</v>
      </c>
      <c r="I75" s="80">
        <v>3</v>
      </c>
      <c r="J75" s="80" t="s">
        <v>5749</v>
      </c>
      <c r="K75" s="80" t="s">
        <v>5752</v>
      </c>
      <c r="L75" s="80">
        <v>1800</v>
      </c>
      <c r="M75" s="80" t="s">
        <v>5947</v>
      </c>
      <c r="O75" s="130" t="b">
        <v>1</v>
      </c>
      <c r="P75" s="123">
        <v>12</v>
      </c>
      <c r="Q75" s="80">
        <v>1</v>
      </c>
      <c r="R75" s="80" t="s">
        <v>6824</v>
      </c>
      <c r="S75" s="245">
        <v>43756</v>
      </c>
      <c r="T75" s="80" t="b">
        <v>0</v>
      </c>
      <c r="U75" s="130" t="b">
        <v>0</v>
      </c>
      <c r="V75" s="80" t="b">
        <v>1</v>
      </c>
      <c r="W75" s="80">
        <v>12</v>
      </c>
      <c r="X75" s="80" t="b">
        <v>0</v>
      </c>
      <c r="Y75" s="80" t="s">
        <v>5734</v>
      </c>
      <c r="Z75" s="80" t="s">
        <v>5735</v>
      </c>
    </row>
    <row r="76" spans="1:26" ht="76.5">
      <c r="A76" s="104">
        <v>33</v>
      </c>
      <c r="B76" s="120" t="s">
        <v>5651</v>
      </c>
      <c r="C76" s="119" t="s">
        <v>5351</v>
      </c>
      <c r="D76" s="119" t="s">
        <v>6859</v>
      </c>
      <c r="E76" s="80" t="s">
        <v>5723</v>
      </c>
      <c r="F76" s="104" t="s">
        <v>6826</v>
      </c>
      <c r="G76" s="80" t="s">
        <v>5650</v>
      </c>
      <c r="H76" s="80" t="s">
        <v>5747</v>
      </c>
      <c r="I76" s="80">
        <v>3</v>
      </c>
      <c r="J76" s="80" t="s">
        <v>5467</v>
      </c>
      <c r="K76" s="80" t="s">
        <v>5752</v>
      </c>
      <c r="L76" s="80">
        <v>2100</v>
      </c>
      <c r="M76" s="80" t="s">
        <v>5777</v>
      </c>
      <c r="N76" s="130" t="s">
        <v>5652</v>
      </c>
      <c r="O76" s="130" t="b">
        <v>1</v>
      </c>
      <c r="P76" s="123">
        <v>12</v>
      </c>
      <c r="Q76" s="80">
        <v>1</v>
      </c>
      <c r="R76" s="80" t="s">
        <v>5653</v>
      </c>
      <c r="S76" s="245">
        <v>43756</v>
      </c>
      <c r="T76" s="80" t="b">
        <v>0</v>
      </c>
      <c r="U76" s="130" t="b">
        <v>0</v>
      </c>
      <c r="V76" s="80" t="b">
        <v>1</v>
      </c>
      <c r="W76" s="80">
        <v>12</v>
      </c>
      <c r="X76" s="80" t="b">
        <v>0</v>
      </c>
      <c r="Y76" s="80" t="s">
        <v>5734</v>
      </c>
      <c r="Z76" s="80" t="s">
        <v>5735</v>
      </c>
    </row>
    <row r="77" spans="1:26" ht="76.5">
      <c r="G77" s="80" t="s">
        <v>5650</v>
      </c>
      <c r="H77" s="80" t="s">
        <v>5748</v>
      </c>
      <c r="I77" s="80">
        <v>3</v>
      </c>
      <c r="J77" s="80" t="s">
        <v>5749</v>
      </c>
      <c r="K77" s="80" t="s">
        <v>5752</v>
      </c>
      <c r="L77" s="80">
        <v>1800</v>
      </c>
      <c r="M77" s="80" t="s">
        <v>5777</v>
      </c>
      <c r="O77" s="130" t="b">
        <v>1</v>
      </c>
      <c r="P77" s="123">
        <v>12</v>
      </c>
      <c r="Q77" s="80">
        <v>1</v>
      </c>
      <c r="R77" s="80" t="s">
        <v>6824</v>
      </c>
      <c r="S77" s="245">
        <v>43756</v>
      </c>
      <c r="T77" s="80" t="b">
        <v>0</v>
      </c>
      <c r="U77" s="130" t="b">
        <v>0</v>
      </c>
      <c r="V77" s="80" t="b">
        <v>1</v>
      </c>
      <c r="W77" s="80">
        <v>12</v>
      </c>
      <c r="X77" s="80" t="b">
        <v>0</v>
      </c>
      <c r="Y77" s="80" t="s">
        <v>5734</v>
      </c>
      <c r="Z77" s="80" t="s">
        <v>5735</v>
      </c>
    </row>
    <row r="78" spans="1:26" ht="76.5">
      <c r="A78" s="104">
        <v>34</v>
      </c>
      <c r="B78" s="120" t="s">
        <v>5655</v>
      </c>
      <c r="C78" s="119" t="s">
        <v>5351</v>
      </c>
      <c r="D78" s="119" t="s">
        <v>6860</v>
      </c>
      <c r="E78" s="80" t="s">
        <v>5723</v>
      </c>
      <c r="F78" s="104" t="s">
        <v>6826</v>
      </c>
      <c r="G78" s="80" t="s">
        <v>5654</v>
      </c>
      <c r="H78" s="80" t="s">
        <v>5747</v>
      </c>
      <c r="I78" s="80">
        <v>3</v>
      </c>
      <c r="J78" s="80" t="s">
        <v>5467</v>
      </c>
      <c r="K78" s="80" t="s">
        <v>5752</v>
      </c>
      <c r="L78" s="80">
        <v>2100</v>
      </c>
      <c r="M78" s="80" t="s">
        <v>5947</v>
      </c>
      <c r="N78" s="130" t="s">
        <v>5656</v>
      </c>
      <c r="O78" s="130" t="b">
        <v>1</v>
      </c>
      <c r="P78" s="123">
        <v>12</v>
      </c>
      <c r="Q78" s="80">
        <v>1</v>
      </c>
      <c r="R78" s="80" t="s">
        <v>5657</v>
      </c>
      <c r="S78" s="245">
        <v>43756</v>
      </c>
      <c r="T78" s="80" t="b">
        <v>0</v>
      </c>
      <c r="U78" s="130" t="b">
        <v>0</v>
      </c>
      <c r="V78" s="80" t="b">
        <v>1</v>
      </c>
      <c r="W78" s="80">
        <v>12</v>
      </c>
      <c r="X78" s="80" t="b">
        <v>0</v>
      </c>
      <c r="Y78" s="80" t="s">
        <v>5734</v>
      </c>
      <c r="Z78" s="80" t="s">
        <v>5735</v>
      </c>
    </row>
    <row r="79" spans="1:26" ht="76.5">
      <c r="G79" s="80" t="s">
        <v>5654</v>
      </c>
      <c r="H79" s="80" t="s">
        <v>5748</v>
      </c>
      <c r="I79" s="80">
        <v>3</v>
      </c>
      <c r="J79" s="80" t="s">
        <v>5749</v>
      </c>
      <c r="K79" s="80" t="s">
        <v>5752</v>
      </c>
      <c r="L79" s="80">
        <v>1800</v>
      </c>
      <c r="M79" s="80" t="s">
        <v>5947</v>
      </c>
      <c r="O79" s="130" t="b">
        <v>1</v>
      </c>
      <c r="P79" s="123">
        <v>12</v>
      </c>
      <c r="Q79" s="80">
        <v>1</v>
      </c>
      <c r="R79" s="80" t="s">
        <v>6824</v>
      </c>
      <c r="S79" s="245">
        <v>43756</v>
      </c>
      <c r="T79" s="80" t="b">
        <v>0</v>
      </c>
      <c r="U79" s="130" t="b">
        <v>0</v>
      </c>
      <c r="V79" s="80" t="b">
        <v>1</v>
      </c>
      <c r="W79" s="80">
        <v>12</v>
      </c>
      <c r="X79" s="80" t="b">
        <v>0</v>
      </c>
      <c r="Y79" s="80" t="s">
        <v>5734</v>
      </c>
      <c r="Z79" s="80" t="s">
        <v>5735</v>
      </c>
    </row>
    <row r="80" spans="1:26" ht="76.5">
      <c r="A80" s="104">
        <v>35</v>
      </c>
      <c r="B80" s="120" t="s">
        <v>5659</v>
      </c>
      <c r="C80" s="119" t="s">
        <v>5351</v>
      </c>
      <c r="D80" s="119" t="s">
        <v>6861</v>
      </c>
      <c r="E80" s="80" t="s">
        <v>5723</v>
      </c>
      <c r="F80" s="104" t="s">
        <v>6826</v>
      </c>
      <c r="G80" s="80" t="s">
        <v>5658</v>
      </c>
      <c r="H80" s="80" t="s">
        <v>5747</v>
      </c>
      <c r="I80" s="80">
        <v>3</v>
      </c>
      <c r="J80" s="80" t="s">
        <v>5467</v>
      </c>
      <c r="K80" s="80" t="s">
        <v>5752</v>
      </c>
      <c r="L80" s="80">
        <v>2100</v>
      </c>
      <c r="M80" s="80" t="s">
        <v>5959</v>
      </c>
      <c r="N80" s="130" t="s">
        <v>5660</v>
      </c>
      <c r="O80" s="130" t="b">
        <v>1</v>
      </c>
      <c r="P80" s="123">
        <v>0</v>
      </c>
      <c r="Q80" s="80">
        <v>1</v>
      </c>
      <c r="R80" s="80" t="s">
        <v>5661</v>
      </c>
      <c r="S80" s="245">
        <v>43756</v>
      </c>
      <c r="T80" s="80" t="b">
        <v>1</v>
      </c>
      <c r="U80" s="130" t="b">
        <v>1</v>
      </c>
      <c r="V80" s="80" t="b">
        <v>0</v>
      </c>
      <c r="W80" s="80">
        <v>0</v>
      </c>
      <c r="X80" s="80" t="b">
        <v>0</v>
      </c>
      <c r="Y80" s="80" t="s">
        <v>5734</v>
      </c>
      <c r="Z80" s="80" t="s">
        <v>5735</v>
      </c>
    </row>
    <row r="81" spans="1:26" ht="76.5">
      <c r="G81" s="80" t="s">
        <v>5658</v>
      </c>
      <c r="H81" s="80" t="s">
        <v>5748</v>
      </c>
      <c r="I81" s="80">
        <v>3</v>
      </c>
      <c r="J81" s="80" t="s">
        <v>5749</v>
      </c>
      <c r="K81" s="80" t="s">
        <v>5752</v>
      </c>
      <c r="L81" s="80">
        <v>1800</v>
      </c>
      <c r="M81" s="80" t="s">
        <v>5959</v>
      </c>
      <c r="O81" s="130" t="b">
        <v>1</v>
      </c>
      <c r="P81" s="123">
        <v>0</v>
      </c>
      <c r="Q81" s="80">
        <v>1</v>
      </c>
      <c r="R81" s="80" t="s">
        <v>6824</v>
      </c>
      <c r="S81" s="245">
        <v>43756</v>
      </c>
      <c r="T81" s="80" t="b">
        <v>1</v>
      </c>
      <c r="U81" s="130" t="b">
        <v>0</v>
      </c>
      <c r="V81" s="80" t="b">
        <v>0</v>
      </c>
      <c r="W81" s="80">
        <v>0</v>
      </c>
      <c r="X81" s="80" t="b">
        <v>0</v>
      </c>
      <c r="Y81" s="80" t="s">
        <v>5734</v>
      </c>
      <c r="Z81" s="80" t="s">
        <v>5735</v>
      </c>
    </row>
    <row r="82" spans="1:26" ht="76.5">
      <c r="A82" s="104">
        <v>36</v>
      </c>
      <c r="B82" s="120" t="s">
        <v>5663</v>
      </c>
      <c r="C82" s="119" t="s">
        <v>5351</v>
      </c>
      <c r="D82" s="119" t="s">
        <v>6862</v>
      </c>
      <c r="E82" s="80" t="s">
        <v>5723</v>
      </c>
      <c r="F82" s="104" t="s">
        <v>6826</v>
      </c>
      <c r="G82" s="80" t="s">
        <v>5662</v>
      </c>
      <c r="H82" s="80" t="s">
        <v>5747</v>
      </c>
      <c r="I82" s="80">
        <v>3</v>
      </c>
      <c r="J82" s="80" t="s">
        <v>5467</v>
      </c>
      <c r="K82" s="80" t="s">
        <v>5752</v>
      </c>
      <c r="L82" s="80">
        <v>2100</v>
      </c>
      <c r="M82" s="80" t="s">
        <v>5800</v>
      </c>
      <c r="N82" s="130" t="s">
        <v>5664</v>
      </c>
      <c r="O82" s="130" t="b">
        <v>1</v>
      </c>
      <c r="P82" s="123">
        <v>16</v>
      </c>
      <c r="Q82" s="80">
        <v>1</v>
      </c>
      <c r="R82" s="80" t="s">
        <v>5665</v>
      </c>
      <c r="S82" s="245">
        <v>43756</v>
      </c>
      <c r="T82" s="80" t="b">
        <v>0</v>
      </c>
      <c r="U82" s="130" t="b">
        <v>0</v>
      </c>
      <c r="V82" s="80" t="b">
        <v>1</v>
      </c>
      <c r="W82" s="80">
        <v>16</v>
      </c>
      <c r="X82" s="80" t="b">
        <v>0</v>
      </c>
      <c r="Y82" s="80" t="s">
        <v>5734</v>
      </c>
      <c r="Z82" s="80" t="s">
        <v>5735</v>
      </c>
    </row>
    <row r="83" spans="1:26" ht="76.5">
      <c r="G83" s="80" t="s">
        <v>5662</v>
      </c>
      <c r="H83" s="80" t="s">
        <v>5748</v>
      </c>
      <c r="I83" s="80">
        <v>3</v>
      </c>
      <c r="J83" s="80" t="s">
        <v>5749</v>
      </c>
      <c r="K83" s="80" t="s">
        <v>5752</v>
      </c>
      <c r="L83" s="80">
        <v>1800</v>
      </c>
      <c r="M83" s="80" t="s">
        <v>5800</v>
      </c>
      <c r="O83" s="130" t="b">
        <v>1</v>
      </c>
      <c r="P83" s="123">
        <v>16</v>
      </c>
      <c r="Q83" s="80">
        <v>1</v>
      </c>
      <c r="R83" s="80" t="s">
        <v>6824</v>
      </c>
      <c r="S83" s="245">
        <v>43756</v>
      </c>
      <c r="T83" s="80" t="b">
        <v>0</v>
      </c>
      <c r="U83" s="130" t="b">
        <v>0</v>
      </c>
      <c r="V83" s="80" t="b">
        <v>1</v>
      </c>
      <c r="W83" s="80">
        <v>16</v>
      </c>
      <c r="X83" s="80" t="b">
        <v>0</v>
      </c>
      <c r="Y83" s="80" t="s">
        <v>5734</v>
      </c>
      <c r="Z83" s="80" t="s">
        <v>5735</v>
      </c>
    </row>
    <row r="84" spans="1:26" ht="25.5">
      <c r="A84" s="104">
        <v>37</v>
      </c>
      <c r="B84" s="120" t="s">
        <v>5667</v>
      </c>
      <c r="C84" s="119" t="s">
        <v>5351</v>
      </c>
      <c r="D84" s="119" t="s">
        <v>6863</v>
      </c>
      <c r="E84" s="80" t="s">
        <v>5723</v>
      </c>
      <c r="F84" s="104" t="s">
        <v>6823</v>
      </c>
      <c r="G84" s="80" t="s">
        <v>5666</v>
      </c>
      <c r="H84" s="80" t="s">
        <v>5798</v>
      </c>
      <c r="I84" s="80">
        <v>3</v>
      </c>
      <c r="J84" s="80" t="s">
        <v>5467</v>
      </c>
      <c r="K84" s="80" t="s">
        <v>5750</v>
      </c>
      <c r="L84" s="80">
        <v>900</v>
      </c>
      <c r="M84" s="80" t="s">
        <v>5976</v>
      </c>
      <c r="N84" s="130" t="s">
        <v>5668</v>
      </c>
      <c r="O84" s="130" t="b">
        <v>1</v>
      </c>
      <c r="P84" s="123">
        <v>12</v>
      </c>
      <c r="Q84" s="80">
        <v>3</v>
      </c>
      <c r="R84" s="80" t="s">
        <v>5669</v>
      </c>
      <c r="S84" s="245">
        <v>43756</v>
      </c>
      <c r="T84" s="80" t="b">
        <v>1</v>
      </c>
      <c r="U84" s="130" t="b">
        <v>0</v>
      </c>
      <c r="V84" s="80" t="b">
        <v>1</v>
      </c>
      <c r="W84" s="80">
        <v>12</v>
      </c>
      <c r="X84" s="80" t="b">
        <v>0</v>
      </c>
      <c r="Y84" s="80" t="s">
        <v>5734</v>
      </c>
      <c r="Z84" s="80" t="s">
        <v>5735</v>
      </c>
    </row>
    <row r="85" spans="1:26" ht="38.25">
      <c r="G85" s="80" t="s">
        <v>5666</v>
      </c>
      <c r="H85" s="80" t="s">
        <v>5799</v>
      </c>
      <c r="I85" s="80">
        <v>3</v>
      </c>
      <c r="J85" s="80" t="s">
        <v>5467</v>
      </c>
      <c r="K85" s="80" t="s">
        <v>5752</v>
      </c>
      <c r="L85" s="80">
        <v>2100</v>
      </c>
      <c r="M85" s="80" t="s">
        <v>5976</v>
      </c>
      <c r="O85" s="130" t="b">
        <v>1</v>
      </c>
      <c r="P85" s="123">
        <v>12</v>
      </c>
      <c r="Q85" s="80">
        <v>3</v>
      </c>
      <c r="R85" s="80" t="s">
        <v>6824</v>
      </c>
      <c r="S85" s="245">
        <v>43756</v>
      </c>
      <c r="T85" s="80" t="b">
        <v>1</v>
      </c>
      <c r="U85" s="130" t="b">
        <v>0</v>
      </c>
      <c r="V85" s="80" t="b">
        <v>1</v>
      </c>
      <c r="W85" s="80">
        <v>12</v>
      </c>
      <c r="X85" s="80" t="b">
        <v>0</v>
      </c>
      <c r="Y85" s="80" t="s">
        <v>5734</v>
      </c>
      <c r="Z85" s="80" t="s">
        <v>5735</v>
      </c>
    </row>
    <row r="86" spans="1:26" ht="76.5">
      <c r="G86" s="80" t="s">
        <v>5666</v>
      </c>
      <c r="H86" s="80" t="s">
        <v>5748</v>
      </c>
      <c r="I86" s="80">
        <v>3</v>
      </c>
      <c r="J86" s="80" t="s">
        <v>5749</v>
      </c>
      <c r="K86" s="80" t="s">
        <v>5752</v>
      </c>
      <c r="L86" s="80">
        <v>1800</v>
      </c>
      <c r="M86" s="80" t="s">
        <v>5976</v>
      </c>
      <c r="O86" s="130" t="b">
        <v>1</v>
      </c>
      <c r="P86" s="123">
        <v>12</v>
      </c>
      <c r="Q86" s="80">
        <v>3</v>
      </c>
      <c r="R86" s="80" t="s">
        <v>6824</v>
      </c>
      <c r="S86" s="245">
        <v>43756</v>
      </c>
      <c r="T86" s="80" t="b">
        <v>1</v>
      </c>
      <c r="U86" s="130" t="b">
        <v>0</v>
      </c>
      <c r="V86" s="80" t="b">
        <v>1</v>
      </c>
      <c r="W86" s="80">
        <v>12</v>
      </c>
      <c r="X86" s="80" t="b">
        <v>0</v>
      </c>
      <c r="Y86" s="80" t="s">
        <v>5734</v>
      </c>
      <c r="Z86" s="80" t="s">
        <v>5735</v>
      </c>
    </row>
    <row r="87" spans="1:26" ht="38.25">
      <c r="E87" s="80" t="s">
        <v>5723</v>
      </c>
      <c r="G87" s="80" t="s">
        <v>6864</v>
      </c>
      <c r="H87" s="80" t="s">
        <v>5799</v>
      </c>
      <c r="I87" s="80">
        <v>3</v>
      </c>
      <c r="J87" s="80" t="s">
        <v>5467</v>
      </c>
      <c r="K87" s="80" t="s">
        <v>5752</v>
      </c>
      <c r="L87" s="80">
        <v>2100</v>
      </c>
      <c r="M87" s="80" t="s">
        <v>6865</v>
      </c>
      <c r="O87" s="130" t="b">
        <v>0</v>
      </c>
      <c r="P87" s="123">
        <v>20</v>
      </c>
      <c r="Q87" s="80">
        <v>1</v>
      </c>
      <c r="R87" s="80" t="s">
        <v>6866</v>
      </c>
      <c r="S87" s="245">
        <v>43756</v>
      </c>
      <c r="T87" s="80" t="b">
        <v>0</v>
      </c>
      <c r="U87" s="130" t="b">
        <v>0</v>
      </c>
      <c r="V87" s="80" t="b">
        <v>1</v>
      </c>
      <c r="W87" s="80">
        <v>20</v>
      </c>
      <c r="X87" s="80" t="b">
        <v>0</v>
      </c>
      <c r="Y87" s="80" t="s">
        <v>5734</v>
      </c>
      <c r="Z87" s="80" t="s">
        <v>5735</v>
      </c>
    </row>
    <row r="88" spans="1:26" ht="76.5">
      <c r="E88" s="80" t="s">
        <v>5723</v>
      </c>
      <c r="G88" s="80" t="s">
        <v>6864</v>
      </c>
      <c r="H88" s="80" t="s">
        <v>5748</v>
      </c>
      <c r="I88" s="80">
        <v>3</v>
      </c>
      <c r="J88" s="80" t="s">
        <v>5749</v>
      </c>
      <c r="K88" s="80" t="s">
        <v>5752</v>
      </c>
      <c r="L88" s="80">
        <v>1800</v>
      </c>
      <c r="M88" s="80" t="s">
        <v>6865</v>
      </c>
      <c r="O88" s="130" t="b">
        <v>1</v>
      </c>
      <c r="P88" s="123">
        <v>20</v>
      </c>
      <c r="Q88" s="80">
        <v>1</v>
      </c>
      <c r="R88" s="80" t="s">
        <v>6824</v>
      </c>
      <c r="S88" s="245">
        <v>43756</v>
      </c>
      <c r="T88" s="80" t="b">
        <v>0</v>
      </c>
      <c r="U88" s="130" t="b">
        <v>0</v>
      </c>
      <c r="V88" s="80" t="b">
        <v>1</v>
      </c>
      <c r="W88" s="80">
        <v>20</v>
      </c>
      <c r="X88" s="80" t="b">
        <v>0</v>
      </c>
      <c r="Y88" s="80" t="s">
        <v>5734</v>
      </c>
      <c r="Z88" s="80" t="s">
        <v>5735</v>
      </c>
    </row>
    <row r="89" spans="1:26" ht="38.25">
      <c r="E89" s="80" t="s">
        <v>5723</v>
      </c>
      <c r="G89" s="80" t="s">
        <v>6867</v>
      </c>
      <c r="H89" s="80" t="s">
        <v>5799</v>
      </c>
      <c r="I89" s="80">
        <v>3</v>
      </c>
      <c r="J89" s="80" t="s">
        <v>5467</v>
      </c>
      <c r="K89" s="80" t="s">
        <v>5752</v>
      </c>
      <c r="L89" s="80">
        <v>2100</v>
      </c>
      <c r="M89" s="80" t="s">
        <v>6868</v>
      </c>
      <c r="O89" s="130" t="b">
        <v>1</v>
      </c>
      <c r="P89" s="123">
        <v>20</v>
      </c>
      <c r="Q89" s="80">
        <v>1</v>
      </c>
      <c r="R89" s="80" t="s">
        <v>6824</v>
      </c>
      <c r="S89" s="245">
        <v>43756</v>
      </c>
      <c r="T89" s="80" t="b">
        <v>0</v>
      </c>
      <c r="U89" s="130" t="b">
        <v>0</v>
      </c>
      <c r="V89" s="80" t="b">
        <v>1</v>
      </c>
      <c r="W89" s="80">
        <v>20</v>
      </c>
      <c r="X89" s="80" t="b">
        <v>0</v>
      </c>
      <c r="Y89" s="80" t="s">
        <v>5734</v>
      </c>
      <c r="Z89" s="80" t="s">
        <v>5735</v>
      </c>
    </row>
    <row r="90" spans="1:26" ht="76.5">
      <c r="E90" s="80" t="s">
        <v>5723</v>
      </c>
      <c r="G90" s="80" t="s">
        <v>6867</v>
      </c>
      <c r="H90" s="80" t="s">
        <v>5748</v>
      </c>
      <c r="I90" s="80">
        <v>3</v>
      </c>
      <c r="J90" s="80" t="s">
        <v>5749</v>
      </c>
      <c r="K90" s="80" t="s">
        <v>5752</v>
      </c>
      <c r="L90" s="80">
        <v>1800</v>
      </c>
      <c r="M90" s="80" t="s">
        <v>6868</v>
      </c>
      <c r="O90" s="130" t="b">
        <v>0</v>
      </c>
      <c r="P90" s="123">
        <v>14</v>
      </c>
      <c r="Q90" s="80">
        <v>3</v>
      </c>
      <c r="R90" s="80" t="s">
        <v>6869</v>
      </c>
      <c r="S90" s="245">
        <v>43756</v>
      </c>
      <c r="T90" s="80" t="b">
        <v>0</v>
      </c>
      <c r="U90" s="130" t="b">
        <v>0</v>
      </c>
      <c r="V90" s="80" t="b">
        <v>1</v>
      </c>
      <c r="W90" s="80">
        <v>14</v>
      </c>
      <c r="X90" s="80" t="b">
        <v>0</v>
      </c>
      <c r="Y90" s="80" t="s">
        <v>5734</v>
      </c>
      <c r="Z90" s="80" t="s">
        <v>5735</v>
      </c>
    </row>
    <row r="91" spans="1:26" ht="76.5">
      <c r="C91" s="119" t="s">
        <v>5351</v>
      </c>
      <c r="E91" s="80" t="s">
        <v>5723</v>
      </c>
      <c r="G91" s="80" t="s">
        <v>6870</v>
      </c>
      <c r="H91" s="80" t="s">
        <v>5747</v>
      </c>
      <c r="I91" s="80">
        <v>3</v>
      </c>
      <c r="J91" s="80" t="s">
        <v>5467</v>
      </c>
      <c r="K91" s="80" t="s">
        <v>5752</v>
      </c>
      <c r="L91" s="80">
        <v>2100</v>
      </c>
      <c r="M91" s="80" t="s">
        <v>6871</v>
      </c>
      <c r="O91" s="130" t="b">
        <v>1</v>
      </c>
      <c r="P91" s="123">
        <v>14</v>
      </c>
      <c r="Q91" s="80">
        <v>3</v>
      </c>
      <c r="R91" s="80" t="s">
        <v>6824</v>
      </c>
      <c r="S91" s="245">
        <v>43756</v>
      </c>
      <c r="T91" s="80" t="b">
        <v>0</v>
      </c>
      <c r="U91" s="130" t="b">
        <v>0</v>
      </c>
      <c r="V91" s="80" t="b">
        <v>1</v>
      </c>
      <c r="W91" s="80">
        <v>14</v>
      </c>
      <c r="X91" s="80" t="b">
        <v>0</v>
      </c>
      <c r="Y91" s="80" t="s">
        <v>5734</v>
      </c>
      <c r="Z91" s="80" t="s">
        <v>5735</v>
      </c>
    </row>
    <row r="92" spans="1:26" ht="76.5">
      <c r="C92" s="119" t="s">
        <v>5351</v>
      </c>
      <c r="E92" s="80" t="s">
        <v>5723</v>
      </c>
      <c r="G92" s="80" t="s">
        <v>6870</v>
      </c>
      <c r="H92" s="80" t="s">
        <v>5748</v>
      </c>
      <c r="I92" s="80">
        <v>3</v>
      </c>
      <c r="J92" s="80" t="s">
        <v>5749</v>
      </c>
      <c r="K92" s="80" t="s">
        <v>5752</v>
      </c>
      <c r="L92" s="80">
        <v>1800</v>
      </c>
      <c r="M92" s="80" t="s">
        <v>6871</v>
      </c>
      <c r="O92" s="130" t="b">
        <v>1</v>
      </c>
      <c r="P92" s="123">
        <v>14</v>
      </c>
      <c r="Q92" s="80">
        <v>3</v>
      </c>
      <c r="R92" s="80" t="s">
        <v>6824</v>
      </c>
      <c r="S92" s="245">
        <v>43756</v>
      </c>
      <c r="T92" s="80" t="b">
        <v>0</v>
      </c>
      <c r="U92" s="130" t="b">
        <v>0</v>
      </c>
      <c r="V92" s="80" t="b">
        <v>1</v>
      </c>
      <c r="W92" s="80">
        <v>14</v>
      </c>
      <c r="X92" s="80" t="b">
        <v>0</v>
      </c>
      <c r="Y92" s="80" t="s">
        <v>5734</v>
      </c>
      <c r="Z92" s="80" t="s">
        <v>5735</v>
      </c>
    </row>
  </sheetData>
  <sheetProtection formatCells="0" formatColumns="0" formatRows="0" sort="0" autoFilter="0" pivotTables="0"/>
  <autoFilter ref="A1:V2"/>
  <dataValidations count="1">
    <dataValidation type="list" allowBlank="1" showInputMessage="1" showErrorMessage="1" sqref="S2">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width="5" style="104" bestFit="1" customWidth="1"/>
    <col min="2" max="2" width="9" style="104" customWidth="1"/>
    <col min="3" max="3" width="32.7109375" style="120" customWidth="1"/>
    <col min="4" max="6" width="14" style="119" customWidth="1"/>
    <col min="7" max="7" width="33.28515625" style="80" customWidth="1"/>
    <col min="8" max="8" width="12.7109375" style="104" customWidth="1"/>
    <col min="9" max="10" width="15.28515625" style="80" customWidth="1"/>
    <col min="11" max="11" width="15.42578125" style="186" bestFit="1" customWidth="1"/>
    <col min="12" max="12" width="42.140625" style="80" customWidth="1"/>
    <col min="13" max="13" width="9.140625" style="80" customWidth="1"/>
    <col min="14" max="14" width="27.28515625" style="80" customWidth="1"/>
    <col min="15" max="15" width="14.28515625" style="80" customWidth="1"/>
    <col min="16" max="17" width="13" style="130" customWidth="1"/>
    <col min="18" max="18" width="14" style="123"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45" customWidth="1"/>
    <col min="25" max="25" width="18.28515625" style="80" customWidth="1"/>
    <col min="26" max="26" width="13" style="80" customWidth="1"/>
    <col min="27" max="27" width="17.7109375" style="130" customWidth="1"/>
    <col min="28" max="28" width="14.7109375" style="80" customWidth="1"/>
    <col min="29" max="29" width="14.5703125" style="80" customWidth="1"/>
    <col min="30" max="30" width="13" style="80" customWidth="1"/>
    <col min="31" max="41" width="9.140625" style="80" customWidth="1"/>
    <col min="42" max="16384" width="9.140625" style="80"/>
  </cols>
  <sheetData>
    <row r="1" spans="1:32" s="104" customFormat="1" ht="42.75">
      <c r="A1" s="109" t="s">
        <v>0</v>
      </c>
      <c r="B1" s="197" t="s">
        <v>5979</v>
      </c>
      <c r="C1" s="165" t="s">
        <v>5980</v>
      </c>
      <c r="D1" s="156" t="s">
        <v>5981</v>
      </c>
      <c r="E1" s="156" t="s">
        <v>5982</v>
      </c>
      <c r="F1" s="156" t="s">
        <v>5983</v>
      </c>
      <c r="G1" s="158" t="s">
        <v>6032</v>
      </c>
      <c r="H1" s="158" t="s">
        <v>6803</v>
      </c>
      <c r="I1" s="158" t="s">
        <v>5987</v>
      </c>
      <c r="J1" s="158" t="s">
        <v>5988</v>
      </c>
      <c r="K1" s="201" t="s">
        <v>5990</v>
      </c>
      <c r="L1" s="158" t="s">
        <v>5991</v>
      </c>
      <c r="M1" s="158" t="s">
        <v>5989</v>
      </c>
      <c r="N1" s="158" t="s">
        <v>5992</v>
      </c>
      <c r="O1" s="158" t="s">
        <v>5993</v>
      </c>
      <c r="P1" s="196" t="s">
        <v>6003</v>
      </c>
      <c r="Q1" s="197" t="s">
        <v>6804</v>
      </c>
      <c r="R1" s="157" t="s">
        <v>5984</v>
      </c>
      <c r="S1" s="195" t="s">
        <v>5994</v>
      </c>
      <c r="T1" s="198" t="s">
        <v>5720</v>
      </c>
      <c r="U1" s="198" t="s">
        <v>5995</v>
      </c>
      <c r="V1" s="198" t="s">
        <v>5996</v>
      </c>
      <c r="W1" s="199" t="s">
        <v>5997</v>
      </c>
      <c r="X1" s="246" t="s">
        <v>5998</v>
      </c>
      <c r="Y1" s="195" t="s">
        <v>5999</v>
      </c>
      <c r="Z1" s="195" t="s">
        <v>6000</v>
      </c>
      <c r="AA1" s="200" t="s">
        <v>6001</v>
      </c>
      <c r="AB1" s="195" t="s">
        <v>6002</v>
      </c>
      <c r="AC1" s="195" t="s">
        <v>6003</v>
      </c>
      <c r="AD1" s="195" t="s">
        <v>6004</v>
      </c>
      <c r="AE1" s="195" t="s">
        <v>6005</v>
      </c>
      <c r="AF1" s="195" t="s">
        <v>6006</v>
      </c>
    </row>
    <row r="2" spans="1:32" s="104" customFormat="1" ht="90">
      <c r="A2" s="218" t="s">
        <v>5417</v>
      </c>
      <c r="B2" s="218" t="s">
        <v>6699</v>
      </c>
      <c r="C2" s="218" t="s">
        <v>5452</v>
      </c>
      <c r="D2" s="223" t="s">
        <v>6805</v>
      </c>
      <c r="E2" s="223" t="s">
        <v>6712</v>
      </c>
      <c r="F2" s="223" t="s">
        <v>6715</v>
      </c>
      <c r="G2" s="218" t="s">
        <v>6789</v>
      </c>
      <c r="H2" s="218" t="s">
        <v>6788</v>
      </c>
      <c r="I2" s="218" t="s">
        <v>6806</v>
      </c>
      <c r="J2" s="218" t="s">
        <v>6807</v>
      </c>
      <c r="K2" s="218" t="s">
        <v>6808</v>
      </c>
      <c r="L2" s="218" t="s">
        <v>6809</v>
      </c>
      <c r="M2" s="224" t="s">
        <v>6810</v>
      </c>
      <c r="N2" s="218" t="s">
        <v>5497</v>
      </c>
      <c r="O2" s="218" t="s">
        <v>6811</v>
      </c>
      <c r="P2" s="218" t="s">
        <v>6812</v>
      </c>
      <c r="Q2" s="218" t="s">
        <v>6813</v>
      </c>
      <c r="R2" s="219" t="s">
        <v>6814</v>
      </c>
      <c r="S2" s="218" t="s">
        <v>6751</v>
      </c>
      <c r="T2" s="223" t="s">
        <v>6752</v>
      </c>
      <c r="U2" s="218" t="s">
        <v>6753</v>
      </c>
      <c r="V2" s="218" t="s">
        <v>6756</v>
      </c>
      <c r="W2" s="218" t="s">
        <v>5517</v>
      </c>
      <c r="X2" s="247" t="s">
        <v>6758</v>
      </c>
      <c r="Y2" s="218" t="s">
        <v>6760</v>
      </c>
      <c r="Z2" s="218" t="s">
        <v>6762</v>
      </c>
      <c r="AA2" s="218" t="s">
        <v>6764</v>
      </c>
      <c r="AB2" s="218" t="s">
        <v>6797</v>
      </c>
      <c r="AC2" s="218" t="s">
        <v>6798</v>
      </c>
      <c r="AD2" s="219" t="s">
        <v>6771</v>
      </c>
      <c r="AE2" s="218" t="s">
        <v>6782</v>
      </c>
      <c r="AF2" s="218" t="s">
        <v>6784</v>
      </c>
    </row>
    <row r="3" spans="1:32" ht="229.5">
      <c r="A3" s="104">
        <v>1</v>
      </c>
      <c r="B3" s="104" t="s">
        <v>5522</v>
      </c>
      <c r="C3" s="120" t="s">
        <v>5523</v>
      </c>
      <c r="D3" s="119" t="s">
        <v>5351</v>
      </c>
      <c r="E3" s="119">
        <v>105.76466000000001</v>
      </c>
      <c r="F3" s="119">
        <v>21.029509000000001</v>
      </c>
      <c r="G3" s="80" t="s">
        <v>5745</v>
      </c>
      <c r="H3" s="104">
        <v>3</v>
      </c>
      <c r="I3" s="80" t="s">
        <v>5725</v>
      </c>
      <c r="J3" s="80" t="s">
        <v>5726</v>
      </c>
      <c r="K3" s="186" t="s">
        <v>5728</v>
      </c>
      <c r="L3" s="80" t="s">
        <v>5729</v>
      </c>
      <c r="M3" s="80" t="s">
        <v>5727</v>
      </c>
      <c r="N3" s="80" t="s">
        <v>5730</v>
      </c>
      <c r="O3" s="80" t="s">
        <v>5731</v>
      </c>
      <c r="P3" s="130">
        <v>50</v>
      </c>
      <c r="R3" s="123">
        <v>1</v>
      </c>
      <c r="S3" s="80" t="b">
        <v>1</v>
      </c>
      <c r="T3" s="80" t="s">
        <v>5524</v>
      </c>
      <c r="V3" s="80" t="s">
        <v>5732</v>
      </c>
      <c r="W3" s="80" t="s">
        <v>5525</v>
      </c>
      <c r="X3" s="245">
        <v>43756</v>
      </c>
      <c r="Y3" s="80" t="b">
        <v>0</v>
      </c>
      <c r="Z3" s="80" t="b">
        <v>0</v>
      </c>
      <c r="AB3" s="80" t="b">
        <v>1</v>
      </c>
      <c r="AC3" s="80">
        <v>50</v>
      </c>
      <c r="AD3" s="80" t="b">
        <v>0</v>
      </c>
      <c r="AE3" s="80" t="s">
        <v>5734</v>
      </c>
      <c r="AF3" s="80" t="s">
        <v>5735</v>
      </c>
    </row>
    <row r="4" spans="1:32" ht="153">
      <c r="A4" s="104">
        <v>2</v>
      </c>
      <c r="B4" s="104" t="s">
        <v>5526</v>
      </c>
      <c r="C4" s="120" t="s">
        <v>5527</v>
      </c>
      <c r="D4" s="119" t="s">
        <v>5351</v>
      </c>
      <c r="E4" s="119">
        <v>105.762325</v>
      </c>
      <c r="F4" s="119">
        <v>21.030860000000001</v>
      </c>
      <c r="G4" s="80" t="s">
        <v>5771</v>
      </c>
      <c r="H4" s="104">
        <v>2</v>
      </c>
      <c r="I4" s="80" t="s">
        <v>5763</v>
      </c>
      <c r="J4" s="80" t="s">
        <v>5764</v>
      </c>
      <c r="K4" s="186" t="s">
        <v>5766</v>
      </c>
      <c r="L4" s="80" t="s">
        <v>5767</v>
      </c>
      <c r="M4" s="80" t="s">
        <v>5765</v>
      </c>
      <c r="N4" s="80" t="s">
        <v>5768</v>
      </c>
      <c r="O4" s="80" t="s">
        <v>5769</v>
      </c>
      <c r="P4" s="130">
        <v>36</v>
      </c>
      <c r="R4" s="123">
        <v>1</v>
      </c>
      <c r="S4" s="80" t="b">
        <v>1</v>
      </c>
      <c r="T4" s="80" t="s">
        <v>5528</v>
      </c>
      <c r="V4" s="80" t="s">
        <v>5732</v>
      </c>
      <c r="W4" s="80" t="s">
        <v>5529</v>
      </c>
      <c r="X4" s="245">
        <v>43756</v>
      </c>
      <c r="Y4" s="80" t="b">
        <v>0</v>
      </c>
      <c r="Z4" s="80" t="b">
        <v>0</v>
      </c>
      <c r="AB4" s="80" t="b">
        <v>1</v>
      </c>
      <c r="AC4" s="80">
        <v>36</v>
      </c>
      <c r="AD4" s="80" t="b">
        <v>0</v>
      </c>
      <c r="AE4" s="80" t="s">
        <v>5734</v>
      </c>
      <c r="AF4" s="80" t="s">
        <v>5735</v>
      </c>
    </row>
    <row r="5" spans="1:32" ht="153">
      <c r="A5" s="104">
        <v>3</v>
      </c>
      <c r="B5" s="104" t="s">
        <v>5530</v>
      </c>
      <c r="C5" s="120" t="s">
        <v>5531</v>
      </c>
      <c r="D5" s="119" t="s">
        <v>5351</v>
      </c>
      <c r="E5" s="119">
        <v>105.759331</v>
      </c>
      <c r="F5" s="119">
        <v>21.030373999999998</v>
      </c>
      <c r="G5" s="80" t="s">
        <v>5771</v>
      </c>
      <c r="H5" s="104">
        <v>2</v>
      </c>
      <c r="I5" s="80" t="s">
        <v>5775</v>
      </c>
      <c r="J5" s="80" t="s">
        <v>5764</v>
      </c>
      <c r="K5" s="186" t="s">
        <v>5766</v>
      </c>
      <c r="L5" s="80" t="s">
        <v>5767</v>
      </c>
      <c r="M5" s="80" t="s">
        <v>5765</v>
      </c>
      <c r="N5" s="80" t="s">
        <v>5768</v>
      </c>
      <c r="O5" s="80" t="s">
        <v>5776</v>
      </c>
      <c r="P5" s="130">
        <v>12</v>
      </c>
      <c r="R5" s="123">
        <v>1</v>
      </c>
      <c r="S5" s="80" t="b">
        <v>1</v>
      </c>
      <c r="T5" s="80" t="s">
        <v>5532</v>
      </c>
      <c r="V5" s="80" t="s">
        <v>5732</v>
      </c>
      <c r="W5" s="80" t="s">
        <v>5533</v>
      </c>
      <c r="X5" s="245">
        <v>43756</v>
      </c>
      <c r="Y5" s="80" t="b">
        <v>0</v>
      </c>
      <c r="Z5" s="80" t="b">
        <v>0</v>
      </c>
      <c r="AB5" s="80" t="b">
        <v>1</v>
      </c>
      <c r="AC5" s="80">
        <v>12</v>
      </c>
      <c r="AD5" s="80" t="b">
        <v>0</v>
      </c>
      <c r="AE5" s="80" t="s">
        <v>5734</v>
      </c>
      <c r="AF5" s="80" t="s">
        <v>5735</v>
      </c>
    </row>
    <row r="6" spans="1:32" ht="153">
      <c r="A6" s="104">
        <v>4</v>
      </c>
      <c r="B6" s="104" t="s">
        <v>5534</v>
      </c>
      <c r="C6" s="120" t="s">
        <v>5535</v>
      </c>
      <c r="D6" s="119" t="s">
        <v>5351</v>
      </c>
      <c r="E6" s="119">
        <v>105.77749</v>
      </c>
      <c r="F6" s="119">
        <v>21.019984000000001</v>
      </c>
      <c r="G6" s="80" t="s">
        <v>5771</v>
      </c>
      <c r="H6" s="104">
        <v>2</v>
      </c>
      <c r="I6" s="80" t="s">
        <v>5780</v>
      </c>
      <c r="J6" s="80" t="s">
        <v>5764</v>
      </c>
      <c r="K6" s="186" t="s">
        <v>5766</v>
      </c>
      <c r="L6" s="80" t="s">
        <v>5767</v>
      </c>
      <c r="M6" s="80" t="s">
        <v>5765</v>
      </c>
      <c r="N6" s="80" t="s">
        <v>5768</v>
      </c>
      <c r="O6" s="80" t="s">
        <v>5781</v>
      </c>
      <c r="P6" s="130">
        <v>36</v>
      </c>
      <c r="R6" s="123">
        <v>1</v>
      </c>
      <c r="S6" s="80" t="b">
        <v>1</v>
      </c>
      <c r="T6" s="80" t="s">
        <v>5536</v>
      </c>
      <c r="V6" s="80" t="s">
        <v>5732</v>
      </c>
      <c r="W6" s="80" t="s">
        <v>5537</v>
      </c>
      <c r="X6" s="245">
        <v>43756</v>
      </c>
      <c r="Y6" s="80" t="b">
        <v>0</v>
      </c>
      <c r="Z6" s="80" t="b">
        <v>0</v>
      </c>
      <c r="AB6" s="80" t="b">
        <v>1</v>
      </c>
      <c r="AC6" s="80">
        <v>36</v>
      </c>
      <c r="AD6" s="80" t="b">
        <v>0</v>
      </c>
      <c r="AE6" s="80" t="s">
        <v>5734</v>
      </c>
      <c r="AF6" s="80" t="s">
        <v>5735</v>
      </c>
    </row>
    <row r="7" spans="1:32" ht="153">
      <c r="A7" s="104">
        <v>5</v>
      </c>
      <c r="B7" s="104" t="s">
        <v>5538</v>
      </c>
      <c r="C7" s="120" t="s">
        <v>5539</v>
      </c>
      <c r="D7" s="119" t="s">
        <v>5351</v>
      </c>
      <c r="E7" s="119">
        <v>105.775795</v>
      </c>
      <c r="F7" s="119">
        <v>21.017797000000002</v>
      </c>
      <c r="G7" s="80" t="s">
        <v>5771</v>
      </c>
      <c r="H7" s="104">
        <v>2</v>
      </c>
      <c r="I7" s="80" t="s">
        <v>5786</v>
      </c>
      <c r="J7" s="80" t="s">
        <v>5764</v>
      </c>
      <c r="K7" s="186" t="s">
        <v>5766</v>
      </c>
      <c r="L7" s="80" t="s">
        <v>5767</v>
      </c>
      <c r="M7" s="80" t="s">
        <v>5765</v>
      </c>
      <c r="N7" s="80" t="s">
        <v>5768</v>
      </c>
      <c r="O7" s="80" t="s">
        <v>5769</v>
      </c>
      <c r="P7" s="130">
        <v>40</v>
      </c>
      <c r="R7" s="123">
        <v>1</v>
      </c>
      <c r="S7" s="80" t="b">
        <v>1</v>
      </c>
      <c r="T7" s="80" t="s">
        <v>5540</v>
      </c>
      <c r="V7" s="80" t="s">
        <v>5732</v>
      </c>
      <c r="W7" s="80" t="s">
        <v>5541</v>
      </c>
      <c r="X7" s="245">
        <v>43756</v>
      </c>
      <c r="Y7" s="80" t="b">
        <v>0</v>
      </c>
      <c r="Z7" s="80" t="b">
        <v>0</v>
      </c>
      <c r="AB7" s="80" t="b">
        <v>1</v>
      </c>
      <c r="AC7" s="80">
        <v>40</v>
      </c>
      <c r="AD7" s="80" t="b">
        <v>0</v>
      </c>
      <c r="AE7" s="80" t="s">
        <v>5734</v>
      </c>
      <c r="AF7" s="80" t="s">
        <v>5735</v>
      </c>
    </row>
    <row r="8" spans="1:32" ht="153">
      <c r="A8" s="104">
        <v>6</v>
      </c>
      <c r="B8" s="104" t="s">
        <v>5542</v>
      </c>
      <c r="C8" s="120" t="s">
        <v>5543</v>
      </c>
      <c r="D8" s="119" t="s">
        <v>5351</v>
      </c>
      <c r="E8" s="119">
        <v>105.779681</v>
      </c>
      <c r="F8" s="119">
        <v>21.011955</v>
      </c>
      <c r="G8" s="80" t="s">
        <v>5771</v>
      </c>
      <c r="H8" s="104">
        <v>2</v>
      </c>
      <c r="I8" s="80" t="s">
        <v>5788</v>
      </c>
      <c r="J8" s="80" t="s">
        <v>5764</v>
      </c>
      <c r="K8" s="186" t="s">
        <v>5766</v>
      </c>
      <c r="L8" s="80" t="s">
        <v>5767</v>
      </c>
      <c r="M8" s="80" t="s">
        <v>5765</v>
      </c>
      <c r="N8" s="80" t="s">
        <v>5768</v>
      </c>
      <c r="O8" s="80" t="s">
        <v>5789</v>
      </c>
      <c r="P8" s="130">
        <v>36</v>
      </c>
      <c r="R8" s="123">
        <v>1</v>
      </c>
      <c r="S8" s="80" t="b">
        <v>1</v>
      </c>
      <c r="T8" s="80" t="s">
        <v>5544</v>
      </c>
      <c r="V8" s="80" t="s">
        <v>5732</v>
      </c>
      <c r="W8" s="80" t="s">
        <v>5545</v>
      </c>
      <c r="X8" s="245">
        <v>43756</v>
      </c>
      <c r="Y8" s="80" t="b">
        <v>0</v>
      </c>
      <c r="Z8" s="80" t="b">
        <v>0</v>
      </c>
      <c r="AB8" s="80" t="b">
        <v>1</v>
      </c>
      <c r="AC8" s="80">
        <v>36</v>
      </c>
      <c r="AD8" s="80" t="b">
        <v>0</v>
      </c>
      <c r="AE8" s="80" t="s">
        <v>5734</v>
      </c>
      <c r="AF8" s="80" t="s">
        <v>5735</v>
      </c>
    </row>
    <row r="9" spans="1:32" ht="127.5">
      <c r="A9" s="104">
        <v>7</v>
      </c>
      <c r="B9" s="104" t="s">
        <v>5546</v>
      </c>
      <c r="C9" s="120" t="s">
        <v>5547</v>
      </c>
      <c r="D9" s="119" t="s">
        <v>5351</v>
      </c>
      <c r="E9" s="119">
        <v>105.765581</v>
      </c>
      <c r="F9" s="119">
        <v>21.013064</v>
      </c>
      <c r="G9" s="80" t="s">
        <v>5745</v>
      </c>
      <c r="H9" s="104">
        <v>3</v>
      </c>
      <c r="I9" s="80" t="s">
        <v>5794</v>
      </c>
      <c r="J9" s="80" t="s">
        <v>5795</v>
      </c>
      <c r="K9" s="186" t="s">
        <v>5728</v>
      </c>
      <c r="L9" s="80" t="s">
        <v>5729</v>
      </c>
      <c r="M9" s="80" t="s">
        <v>5727</v>
      </c>
      <c r="N9" s="80" t="s">
        <v>5730</v>
      </c>
      <c r="O9" s="80" t="s">
        <v>5796</v>
      </c>
      <c r="P9" s="130">
        <v>24</v>
      </c>
      <c r="R9" s="123">
        <v>1</v>
      </c>
      <c r="S9" s="80" t="b">
        <v>1</v>
      </c>
      <c r="T9" s="80" t="s">
        <v>5548</v>
      </c>
      <c r="V9" s="80" t="s">
        <v>5732</v>
      </c>
      <c r="W9" s="80" t="s">
        <v>5549</v>
      </c>
      <c r="X9" s="245">
        <v>43756</v>
      </c>
      <c r="Y9" s="80" t="b">
        <v>0</v>
      </c>
      <c r="Z9" s="80" t="b">
        <v>0</v>
      </c>
      <c r="AB9" s="80" t="b">
        <v>1</v>
      </c>
      <c r="AC9" s="80">
        <v>24</v>
      </c>
      <c r="AD9" s="80" t="b">
        <v>0</v>
      </c>
      <c r="AE9" s="80" t="s">
        <v>5734</v>
      </c>
      <c r="AF9" s="80" t="s">
        <v>5735</v>
      </c>
    </row>
    <row r="10" spans="1:32" ht="153">
      <c r="A10" s="104">
        <v>8</v>
      </c>
      <c r="B10" s="104" t="s">
        <v>5550</v>
      </c>
      <c r="C10" s="120" t="s">
        <v>5551</v>
      </c>
      <c r="D10" s="119" t="s">
        <v>5351</v>
      </c>
      <c r="E10" s="119">
        <v>105.782861</v>
      </c>
      <c r="F10" s="119">
        <v>21.012195999999999</v>
      </c>
      <c r="G10" s="80" t="s">
        <v>5771</v>
      </c>
      <c r="H10" s="104">
        <v>2</v>
      </c>
      <c r="I10" s="80" t="s">
        <v>5803</v>
      </c>
      <c r="J10" s="80" t="s">
        <v>5764</v>
      </c>
      <c r="K10" s="186" t="s">
        <v>5766</v>
      </c>
      <c r="L10" s="80" t="s">
        <v>5767</v>
      </c>
      <c r="M10" s="80" t="s">
        <v>5765</v>
      </c>
      <c r="N10" s="80" t="s">
        <v>5768</v>
      </c>
      <c r="O10" s="80" t="s">
        <v>5804</v>
      </c>
      <c r="P10" s="130">
        <v>26</v>
      </c>
      <c r="R10" s="123">
        <v>1</v>
      </c>
      <c r="S10" s="80" t="b">
        <v>1</v>
      </c>
      <c r="T10" s="80" t="s">
        <v>5552</v>
      </c>
      <c r="V10" s="80" t="s">
        <v>5732</v>
      </c>
      <c r="W10" s="80" t="s">
        <v>5553</v>
      </c>
      <c r="X10" s="245">
        <v>43756</v>
      </c>
      <c r="Y10" s="80" t="b">
        <v>0</v>
      </c>
      <c r="Z10" s="80" t="b">
        <v>0</v>
      </c>
      <c r="AB10" s="80" t="b">
        <v>1</v>
      </c>
      <c r="AC10" s="80">
        <v>26</v>
      </c>
      <c r="AD10" s="80" t="b">
        <v>0</v>
      </c>
      <c r="AE10" s="80" t="s">
        <v>5734</v>
      </c>
      <c r="AF10" s="80" t="s">
        <v>5735</v>
      </c>
    </row>
    <row r="11" spans="1:32" ht="127.5">
      <c r="A11" s="104">
        <v>9</v>
      </c>
      <c r="B11" s="104" t="s">
        <v>5554</v>
      </c>
      <c r="C11" s="120" t="s">
        <v>5555</v>
      </c>
      <c r="D11" s="119" t="s">
        <v>5351</v>
      </c>
      <c r="E11" s="119">
        <v>105.753192</v>
      </c>
      <c r="F11" s="119">
        <v>20.995712000000001</v>
      </c>
      <c r="G11" s="80" t="s">
        <v>5745</v>
      </c>
      <c r="H11" s="104">
        <v>3</v>
      </c>
      <c r="I11" s="80" t="s">
        <v>5808</v>
      </c>
      <c r="J11" s="80" t="s">
        <v>5809</v>
      </c>
      <c r="K11" s="186" t="s">
        <v>5728</v>
      </c>
      <c r="L11" s="80" t="s">
        <v>5810</v>
      </c>
      <c r="M11" s="80" t="s">
        <v>5727</v>
      </c>
      <c r="N11" s="80" t="s">
        <v>5811</v>
      </c>
      <c r="O11" s="80" t="s">
        <v>5812</v>
      </c>
      <c r="P11" s="130">
        <v>16</v>
      </c>
      <c r="R11" s="123">
        <v>1</v>
      </c>
      <c r="S11" s="80" t="b">
        <v>1</v>
      </c>
      <c r="T11" s="80" t="s">
        <v>5556</v>
      </c>
      <c r="V11" s="80" t="s">
        <v>5732</v>
      </c>
      <c r="W11" s="80" t="s">
        <v>5557</v>
      </c>
      <c r="X11" s="245">
        <v>43756</v>
      </c>
      <c r="Y11" s="80" t="b">
        <v>0</v>
      </c>
      <c r="Z11" s="80" t="b">
        <v>0</v>
      </c>
      <c r="AB11" s="80" t="b">
        <v>1</v>
      </c>
      <c r="AC11" s="80">
        <v>16</v>
      </c>
      <c r="AD11" s="80" t="b">
        <v>0</v>
      </c>
      <c r="AE11" s="80" t="s">
        <v>5734</v>
      </c>
      <c r="AF11" s="80" t="s">
        <v>5735</v>
      </c>
    </row>
    <row r="12" spans="1:32" ht="153">
      <c r="A12" s="104">
        <v>10</v>
      </c>
      <c r="B12" s="104" t="s">
        <v>5558</v>
      </c>
      <c r="C12" s="120" t="s">
        <v>5559</v>
      </c>
      <c r="D12" s="119" t="s">
        <v>5351</v>
      </c>
      <c r="E12" s="119">
        <v>105.76770999999999</v>
      </c>
      <c r="F12" s="119">
        <v>21.013743999999999</v>
      </c>
      <c r="G12" s="80" t="s">
        <v>5771</v>
      </c>
      <c r="H12" s="104">
        <v>2</v>
      </c>
      <c r="I12" s="80" t="s">
        <v>5817</v>
      </c>
      <c r="J12" s="80" t="s">
        <v>5764</v>
      </c>
      <c r="K12" s="186" t="s">
        <v>5766</v>
      </c>
      <c r="L12" s="80" t="s">
        <v>5767</v>
      </c>
      <c r="M12" s="80" t="s">
        <v>5765</v>
      </c>
      <c r="N12" s="80" t="s">
        <v>5768</v>
      </c>
      <c r="O12" s="80" t="s">
        <v>5804</v>
      </c>
      <c r="P12" s="130">
        <v>26</v>
      </c>
      <c r="R12" s="123">
        <v>1</v>
      </c>
      <c r="S12" s="80" t="b">
        <v>1</v>
      </c>
      <c r="T12" s="80" t="s">
        <v>5560</v>
      </c>
      <c r="V12" s="80" t="s">
        <v>5732</v>
      </c>
      <c r="W12" s="80" t="s">
        <v>5561</v>
      </c>
      <c r="X12" s="245">
        <v>43756</v>
      </c>
      <c r="Y12" s="80" t="b">
        <v>0</v>
      </c>
      <c r="Z12" s="80" t="b">
        <v>0</v>
      </c>
      <c r="AB12" s="80" t="b">
        <v>1</v>
      </c>
      <c r="AC12" s="80">
        <v>26</v>
      </c>
      <c r="AD12" s="80" t="b">
        <v>0</v>
      </c>
      <c r="AE12" s="80" t="s">
        <v>5734</v>
      </c>
      <c r="AF12" s="80" t="s">
        <v>5735</v>
      </c>
    </row>
    <row r="13" spans="1:32" ht="127.5">
      <c r="A13" s="104">
        <v>11</v>
      </c>
      <c r="B13" s="104" t="s">
        <v>5562</v>
      </c>
      <c r="C13" s="120" t="s">
        <v>5563</v>
      </c>
      <c r="D13" s="119" t="s">
        <v>5351</v>
      </c>
      <c r="E13" s="119">
        <v>105.744625</v>
      </c>
      <c r="F13" s="119">
        <v>21.002666999999999</v>
      </c>
      <c r="G13" s="80" t="s">
        <v>5745</v>
      </c>
      <c r="H13" s="104">
        <v>3</v>
      </c>
      <c r="I13" s="80" t="s">
        <v>5819</v>
      </c>
      <c r="J13" s="80" t="s">
        <v>5795</v>
      </c>
      <c r="K13" s="186" t="s">
        <v>5728</v>
      </c>
      <c r="L13" s="80" t="s">
        <v>5729</v>
      </c>
      <c r="M13" s="80" t="s">
        <v>5727</v>
      </c>
      <c r="N13" s="80" t="s">
        <v>5730</v>
      </c>
      <c r="O13" s="80" t="s">
        <v>5820</v>
      </c>
      <c r="P13" s="130">
        <v>12</v>
      </c>
      <c r="R13" s="123">
        <v>1</v>
      </c>
      <c r="S13" s="80" t="b">
        <v>1</v>
      </c>
      <c r="T13" s="80" t="s">
        <v>5564</v>
      </c>
      <c r="V13" s="80" t="s">
        <v>5732</v>
      </c>
      <c r="W13" s="80" t="s">
        <v>5565</v>
      </c>
      <c r="X13" s="245">
        <v>43756</v>
      </c>
      <c r="Y13" s="80" t="b">
        <v>0</v>
      </c>
      <c r="Z13" s="80" t="b">
        <v>0</v>
      </c>
      <c r="AB13" s="80" t="b">
        <v>1</v>
      </c>
      <c r="AC13" s="80">
        <v>12</v>
      </c>
      <c r="AD13" s="80" t="b">
        <v>0</v>
      </c>
      <c r="AE13" s="80" t="s">
        <v>5734</v>
      </c>
      <c r="AF13" s="80" t="s">
        <v>5735</v>
      </c>
    </row>
    <row r="14" spans="1:32" ht="127.5">
      <c r="A14" s="104">
        <v>12</v>
      </c>
      <c r="B14" s="104" t="s">
        <v>5566</v>
      </c>
      <c r="C14" s="120" t="s">
        <v>5567</v>
      </c>
      <c r="D14" s="119" t="s">
        <v>5351</v>
      </c>
      <c r="E14" s="119">
        <v>105.73210400000001</v>
      </c>
      <c r="F14" s="119">
        <v>21.050927999999999</v>
      </c>
      <c r="G14" s="80" t="s">
        <v>5745</v>
      </c>
      <c r="H14" s="104">
        <v>3</v>
      </c>
      <c r="I14" s="80" t="s">
        <v>5823</v>
      </c>
      <c r="J14" s="80" t="s">
        <v>5795</v>
      </c>
      <c r="K14" s="186" t="s">
        <v>5728</v>
      </c>
      <c r="L14" s="80" t="s">
        <v>5729</v>
      </c>
      <c r="M14" s="80" t="s">
        <v>5727</v>
      </c>
      <c r="N14" s="80" t="s">
        <v>5730</v>
      </c>
      <c r="O14" s="80" t="s">
        <v>5824</v>
      </c>
      <c r="P14" s="130">
        <v>12</v>
      </c>
      <c r="R14" s="123">
        <v>1</v>
      </c>
      <c r="S14" s="80" t="b">
        <v>1</v>
      </c>
      <c r="T14" s="80" t="s">
        <v>5568</v>
      </c>
      <c r="V14" s="80" t="s">
        <v>5732</v>
      </c>
      <c r="W14" s="80" t="s">
        <v>5569</v>
      </c>
      <c r="X14" s="245">
        <v>43756</v>
      </c>
      <c r="Y14" s="80" t="b">
        <v>0</v>
      </c>
      <c r="Z14" s="80" t="b">
        <v>0</v>
      </c>
      <c r="AB14" s="80" t="b">
        <v>1</v>
      </c>
      <c r="AC14" s="80">
        <v>12</v>
      </c>
      <c r="AD14" s="80" t="b">
        <v>0</v>
      </c>
      <c r="AE14" s="80" t="s">
        <v>5734</v>
      </c>
      <c r="AF14" s="80" t="s">
        <v>5735</v>
      </c>
    </row>
    <row r="15" spans="1:32" ht="63.75">
      <c r="A15" s="104">
        <v>13</v>
      </c>
      <c r="B15" s="104" t="s">
        <v>5570</v>
      </c>
      <c r="C15" s="120" t="s">
        <v>5571</v>
      </c>
      <c r="D15" s="119" t="s">
        <v>5351</v>
      </c>
      <c r="E15" s="119">
        <v>105.847146</v>
      </c>
      <c r="F15" s="119">
        <v>20.960182</v>
      </c>
      <c r="G15" s="80" t="s">
        <v>5771</v>
      </c>
      <c r="H15" s="104">
        <v>2</v>
      </c>
      <c r="I15" s="80" t="s">
        <v>5829</v>
      </c>
      <c r="J15" s="80" t="s">
        <v>5830</v>
      </c>
      <c r="K15" s="186" t="s">
        <v>5831</v>
      </c>
      <c r="L15" s="80" t="s">
        <v>5832</v>
      </c>
      <c r="M15" s="80" t="s">
        <v>5765</v>
      </c>
      <c r="N15" s="80" t="s">
        <v>5833</v>
      </c>
      <c r="O15" s="80" t="s">
        <v>5834</v>
      </c>
      <c r="P15" s="130">
        <v>30</v>
      </c>
      <c r="R15" s="123">
        <v>1</v>
      </c>
      <c r="S15" s="80" t="b">
        <v>1</v>
      </c>
      <c r="T15" s="80" t="s">
        <v>5572</v>
      </c>
      <c r="V15" s="80" t="s">
        <v>5732</v>
      </c>
      <c r="W15" s="80" t="s">
        <v>5573</v>
      </c>
      <c r="X15" s="245">
        <v>43756</v>
      </c>
      <c r="Y15" s="80" t="b">
        <v>0</v>
      </c>
      <c r="Z15" s="80" t="b">
        <v>0</v>
      </c>
      <c r="AB15" s="80" t="b">
        <v>1</v>
      </c>
      <c r="AC15" s="80">
        <v>30</v>
      </c>
      <c r="AD15" s="80" t="b">
        <v>0</v>
      </c>
      <c r="AE15" s="80" t="s">
        <v>5734</v>
      </c>
      <c r="AF15" s="80" t="s">
        <v>5735</v>
      </c>
    </row>
    <row r="16" spans="1:32" ht="153">
      <c r="A16" s="104">
        <v>14</v>
      </c>
      <c r="B16" s="104" t="s">
        <v>5574</v>
      </c>
      <c r="C16" s="120" t="s">
        <v>5575</v>
      </c>
      <c r="D16" s="119" t="s">
        <v>5351</v>
      </c>
      <c r="E16" s="119">
        <v>105.89388599999999</v>
      </c>
      <c r="F16" s="119">
        <v>20.975974000000001</v>
      </c>
      <c r="G16" s="80" t="s">
        <v>5771</v>
      </c>
      <c r="H16" s="104">
        <v>2</v>
      </c>
      <c r="I16" s="80" t="s">
        <v>5840</v>
      </c>
      <c r="J16" s="80" t="s">
        <v>5764</v>
      </c>
      <c r="K16" s="186" t="s">
        <v>5766</v>
      </c>
      <c r="L16" s="80" t="s">
        <v>5767</v>
      </c>
      <c r="M16" s="80" t="s">
        <v>5765</v>
      </c>
      <c r="N16" s="80" t="s">
        <v>5768</v>
      </c>
      <c r="O16" s="80" t="s">
        <v>5841</v>
      </c>
      <c r="P16" s="130">
        <v>20</v>
      </c>
      <c r="R16" s="123">
        <v>1</v>
      </c>
      <c r="S16" s="80" t="b">
        <v>1</v>
      </c>
      <c r="T16" s="80" t="s">
        <v>5576</v>
      </c>
      <c r="V16" s="80" t="s">
        <v>5732</v>
      </c>
      <c r="W16" s="80" t="s">
        <v>5577</v>
      </c>
      <c r="X16" s="245">
        <v>43756</v>
      </c>
      <c r="Y16" s="80" t="b">
        <v>0</v>
      </c>
      <c r="Z16" s="80" t="b">
        <v>0</v>
      </c>
      <c r="AB16" s="80" t="b">
        <v>1</v>
      </c>
      <c r="AC16" s="80">
        <v>20</v>
      </c>
      <c r="AD16" s="80" t="b">
        <v>0</v>
      </c>
      <c r="AE16" s="80" t="s">
        <v>5734</v>
      </c>
      <c r="AF16" s="80" t="s">
        <v>5735</v>
      </c>
    </row>
    <row r="17" spans="1:32" ht="153">
      <c r="A17" s="104">
        <v>15</v>
      </c>
      <c r="B17" s="104" t="s">
        <v>5578</v>
      </c>
      <c r="C17" s="120" t="s">
        <v>5579</v>
      </c>
      <c r="D17" s="119" t="s">
        <v>5351</v>
      </c>
      <c r="E17" s="119">
        <v>105.878833</v>
      </c>
      <c r="F17" s="119">
        <v>20.981013000000001</v>
      </c>
      <c r="G17" s="80" t="s">
        <v>5771</v>
      </c>
      <c r="H17" s="104">
        <v>2</v>
      </c>
      <c r="I17" s="80" t="s">
        <v>5846</v>
      </c>
      <c r="J17" s="80" t="s">
        <v>5764</v>
      </c>
      <c r="K17" s="186" t="s">
        <v>5848</v>
      </c>
      <c r="L17" s="80" t="s">
        <v>5849</v>
      </c>
      <c r="M17" s="80" t="s">
        <v>5847</v>
      </c>
      <c r="N17" s="80" t="s">
        <v>5768</v>
      </c>
      <c r="O17" s="80" t="s">
        <v>5850</v>
      </c>
      <c r="P17" s="130">
        <v>50</v>
      </c>
      <c r="R17" s="123">
        <v>1</v>
      </c>
      <c r="S17" s="80" t="b">
        <v>1</v>
      </c>
      <c r="T17" s="80" t="s">
        <v>5580</v>
      </c>
      <c r="V17" s="80" t="s">
        <v>5732</v>
      </c>
      <c r="W17" s="80" t="s">
        <v>5581</v>
      </c>
      <c r="X17" s="245">
        <v>43756</v>
      </c>
      <c r="Y17" s="80" t="b">
        <v>0</v>
      </c>
      <c r="Z17" s="80" t="b">
        <v>0</v>
      </c>
      <c r="AB17" s="80" t="b">
        <v>1</v>
      </c>
      <c r="AC17" s="80">
        <v>50</v>
      </c>
      <c r="AD17" s="80" t="b">
        <v>0</v>
      </c>
      <c r="AE17" s="80" t="s">
        <v>5734</v>
      </c>
      <c r="AF17" s="80" t="s">
        <v>5735</v>
      </c>
    </row>
    <row r="18" spans="1:32" ht="153">
      <c r="A18" s="104">
        <v>16</v>
      </c>
      <c r="B18" s="104" t="s">
        <v>5582</v>
      </c>
      <c r="C18" s="120" t="s">
        <v>5583</v>
      </c>
      <c r="D18" s="119" t="s">
        <v>5351</v>
      </c>
      <c r="E18" s="119">
        <v>105.850808</v>
      </c>
      <c r="F18" s="119">
        <v>20.971896999999998</v>
      </c>
      <c r="G18" s="80" t="s">
        <v>5771</v>
      </c>
      <c r="H18" s="104">
        <v>2</v>
      </c>
      <c r="I18" s="80" t="s">
        <v>5858</v>
      </c>
      <c r="J18" s="80" t="s">
        <v>5764</v>
      </c>
      <c r="K18" s="186" t="s">
        <v>5766</v>
      </c>
      <c r="L18" s="80" t="s">
        <v>5767</v>
      </c>
      <c r="M18" s="80" t="s">
        <v>5765</v>
      </c>
      <c r="N18" s="80" t="s">
        <v>5768</v>
      </c>
      <c r="O18" s="80" t="s">
        <v>5859</v>
      </c>
      <c r="P18" s="130">
        <v>12</v>
      </c>
      <c r="R18" s="123">
        <v>1</v>
      </c>
      <c r="S18" s="80" t="b">
        <v>1</v>
      </c>
      <c r="T18" s="80" t="s">
        <v>5584</v>
      </c>
      <c r="V18" s="80" t="s">
        <v>5732</v>
      </c>
      <c r="W18" s="80" t="s">
        <v>5585</v>
      </c>
      <c r="X18" s="245">
        <v>43756</v>
      </c>
      <c r="Y18" s="80" t="b">
        <v>0</v>
      </c>
      <c r="Z18" s="80" t="b">
        <v>0</v>
      </c>
      <c r="AB18" s="80" t="b">
        <v>1</v>
      </c>
      <c r="AC18" s="80">
        <v>12</v>
      </c>
      <c r="AD18" s="80" t="b">
        <v>0</v>
      </c>
      <c r="AE18" s="80" t="s">
        <v>5734</v>
      </c>
      <c r="AF18" s="80" t="s">
        <v>5735</v>
      </c>
    </row>
    <row r="19" spans="1:32" ht="153">
      <c r="A19" s="104">
        <v>17</v>
      </c>
      <c r="B19" s="104" t="s">
        <v>5586</v>
      </c>
      <c r="C19" s="120" t="s">
        <v>5587</v>
      </c>
      <c r="D19" s="119" t="s">
        <v>5351</v>
      </c>
      <c r="E19" s="119">
        <v>105.851466</v>
      </c>
      <c r="F19" s="119">
        <v>20.985776999999999</v>
      </c>
      <c r="G19" s="80" t="s">
        <v>5771</v>
      </c>
      <c r="H19" s="104">
        <v>2</v>
      </c>
      <c r="I19" s="80" t="s">
        <v>5864</v>
      </c>
      <c r="J19" s="80" t="s">
        <v>5764</v>
      </c>
      <c r="K19" s="186" t="s">
        <v>5766</v>
      </c>
      <c r="L19" s="80" t="s">
        <v>5767</v>
      </c>
      <c r="M19" s="80" t="s">
        <v>5765</v>
      </c>
      <c r="N19" s="80" t="s">
        <v>5768</v>
      </c>
      <c r="O19" s="80" t="s">
        <v>5865</v>
      </c>
      <c r="P19" s="130">
        <v>24</v>
      </c>
      <c r="R19" s="123">
        <v>1</v>
      </c>
      <c r="S19" s="80" t="b">
        <v>1</v>
      </c>
      <c r="T19" s="80" t="s">
        <v>5588</v>
      </c>
      <c r="V19" s="80" t="s">
        <v>5732</v>
      </c>
      <c r="W19" s="80" t="s">
        <v>5589</v>
      </c>
      <c r="X19" s="245">
        <v>43756</v>
      </c>
      <c r="Y19" s="80" t="b">
        <v>0</v>
      </c>
      <c r="Z19" s="80" t="b">
        <v>0</v>
      </c>
      <c r="AB19" s="80" t="b">
        <v>1</v>
      </c>
      <c r="AC19" s="80">
        <v>24</v>
      </c>
      <c r="AD19" s="80" t="b">
        <v>0</v>
      </c>
      <c r="AE19" s="80" t="s">
        <v>5734</v>
      </c>
      <c r="AF19" s="80" t="s">
        <v>5735</v>
      </c>
    </row>
    <row r="20" spans="1:32" ht="153">
      <c r="A20" s="104">
        <v>18</v>
      </c>
      <c r="B20" s="104" t="s">
        <v>5590</v>
      </c>
      <c r="C20" s="120" t="s">
        <v>5591</v>
      </c>
      <c r="D20" s="119" t="s">
        <v>5351</v>
      </c>
      <c r="E20" s="119">
        <v>105.840384</v>
      </c>
      <c r="F20" s="119">
        <v>20.962544999999999</v>
      </c>
      <c r="G20" s="80" t="s">
        <v>5771</v>
      </c>
      <c r="H20" s="104">
        <v>2</v>
      </c>
      <c r="I20" s="80" t="s">
        <v>5870</v>
      </c>
      <c r="J20" s="80" t="s">
        <v>5764</v>
      </c>
      <c r="K20" s="186" t="s">
        <v>5766</v>
      </c>
      <c r="L20" s="80" t="s">
        <v>5767</v>
      </c>
      <c r="M20" s="80" t="s">
        <v>5765</v>
      </c>
      <c r="N20" s="80" t="s">
        <v>5768</v>
      </c>
      <c r="O20" s="80" t="s">
        <v>5871</v>
      </c>
      <c r="P20" s="130">
        <v>12</v>
      </c>
      <c r="R20" s="123">
        <v>1</v>
      </c>
      <c r="S20" s="80" t="b">
        <v>1</v>
      </c>
      <c r="T20" s="80" t="s">
        <v>5592</v>
      </c>
      <c r="V20" s="80" t="s">
        <v>5732</v>
      </c>
      <c r="W20" s="80" t="s">
        <v>5593</v>
      </c>
      <c r="X20" s="245">
        <v>43756</v>
      </c>
      <c r="Y20" s="80" t="b">
        <v>0</v>
      </c>
      <c r="Z20" s="80" t="b">
        <v>0</v>
      </c>
      <c r="AB20" s="80" t="b">
        <v>1</v>
      </c>
      <c r="AC20" s="80">
        <v>12</v>
      </c>
      <c r="AD20" s="80" t="b">
        <v>0</v>
      </c>
      <c r="AE20" s="80" t="s">
        <v>5734</v>
      </c>
      <c r="AF20" s="80" t="s">
        <v>5735</v>
      </c>
    </row>
    <row r="21" spans="1:32" ht="153">
      <c r="A21" s="104">
        <v>19</v>
      </c>
      <c r="B21" s="104" t="s">
        <v>5594</v>
      </c>
      <c r="C21" s="120" t="s">
        <v>5595</v>
      </c>
      <c r="D21" s="119" t="s">
        <v>5351</v>
      </c>
      <c r="E21" s="119">
        <v>105.844472</v>
      </c>
      <c r="F21" s="119">
        <v>20.955057</v>
      </c>
      <c r="G21" s="80" t="s">
        <v>5771</v>
      </c>
      <c r="H21" s="104">
        <v>2</v>
      </c>
      <c r="I21" s="80" t="s">
        <v>5875</v>
      </c>
      <c r="J21" s="80" t="s">
        <v>5764</v>
      </c>
      <c r="K21" s="186" t="s">
        <v>5766</v>
      </c>
      <c r="L21" s="80" t="s">
        <v>5767</v>
      </c>
      <c r="M21" s="80" t="s">
        <v>5765</v>
      </c>
      <c r="N21" s="80" t="s">
        <v>5768</v>
      </c>
      <c r="O21" s="80" t="s">
        <v>5841</v>
      </c>
      <c r="P21" s="130">
        <v>20</v>
      </c>
      <c r="R21" s="123">
        <v>1</v>
      </c>
      <c r="S21" s="80" t="b">
        <v>1</v>
      </c>
      <c r="T21" s="80" t="s">
        <v>5596</v>
      </c>
      <c r="V21" s="80" t="s">
        <v>5732</v>
      </c>
      <c r="W21" s="80" t="s">
        <v>5597</v>
      </c>
      <c r="X21" s="245">
        <v>43756</v>
      </c>
      <c r="Y21" s="80" t="b">
        <v>0</v>
      </c>
      <c r="Z21" s="80" t="b">
        <v>0</v>
      </c>
      <c r="AB21" s="80" t="b">
        <v>1</v>
      </c>
      <c r="AC21" s="80">
        <v>20</v>
      </c>
      <c r="AD21" s="80" t="b">
        <v>0</v>
      </c>
      <c r="AE21" s="80" t="s">
        <v>5734</v>
      </c>
      <c r="AF21" s="80" t="s">
        <v>5735</v>
      </c>
    </row>
    <row r="22" spans="1:32" ht="63.75">
      <c r="A22" s="104">
        <v>20</v>
      </c>
      <c r="B22" s="104" t="s">
        <v>5598</v>
      </c>
      <c r="C22" s="120" t="s">
        <v>5599</v>
      </c>
      <c r="D22" s="119" t="s">
        <v>5351</v>
      </c>
      <c r="E22" s="119">
        <v>105.84561100000001</v>
      </c>
      <c r="F22" s="119">
        <v>20.936084999999999</v>
      </c>
      <c r="G22" s="80" t="s">
        <v>5771</v>
      </c>
      <c r="H22" s="104">
        <v>2</v>
      </c>
      <c r="I22" s="80" t="s">
        <v>5877</v>
      </c>
      <c r="J22" s="80" t="s">
        <v>5830</v>
      </c>
      <c r="K22" s="186" t="s">
        <v>5831</v>
      </c>
      <c r="L22" s="80" t="s">
        <v>5832</v>
      </c>
      <c r="M22" s="80" t="s">
        <v>5765</v>
      </c>
      <c r="N22" s="80" t="s">
        <v>5878</v>
      </c>
      <c r="O22" s="80" t="s">
        <v>5879</v>
      </c>
      <c r="P22" s="130">
        <v>12</v>
      </c>
      <c r="R22" s="123">
        <v>1</v>
      </c>
      <c r="S22" s="80" t="b">
        <v>1</v>
      </c>
      <c r="T22" s="80" t="s">
        <v>5600</v>
      </c>
      <c r="V22" s="80" t="s">
        <v>5732</v>
      </c>
      <c r="W22" s="80" t="s">
        <v>5601</v>
      </c>
      <c r="X22" s="245">
        <v>43756</v>
      </c>
      <c r="Y22" s="80" t="b">
        <v>0</v>
      </c>
      <c r="Z22" s="80" t="b">
        <v>0</v>
      </c>
      <c r="AB22" s="80" t="b">
        <v>1</v>
      </c>
      <c r="AC22" s="80">
        <v>12</v>
      </c>
      <c r="AD22" s="80" t="b">
        <v>0</v>
      </c>
      <c r="AE22" s="80" t="s">
        <v>5734</v>
      </c>
      <c r="AF22" s="80" t="s">
        <v>5735</v>
      </c>
    </row>
    <row r="23" spans="1:32" ht="127.5">
      <c r="A23" s="104">
        <v>21</v>
      </c>
      <c r="B23" s="104" t="s">
        <v>5602</v>
      </c>
      <c r="C23" s="120" t="s">
        <v>5603</v>
      </c>
      <c r="D23" s="119" t="s">
        <v>5351</v>
      </c>
      <c r="E23" s="119">
        <v>105.84544</v>
      </c>
      <c r="F23" s="119">
        <v>20.940650000000002</v>
      </c>
      <c r="G23" s="80" t="s">
        <v>5745</v>
      </c>
      <c r="H23" s="104">
        <v>3</v>
      </c>
      <c r="I23" s="80" t="s">
        <v>5885</v>
      </c>
      <c r="J23" s="80" t="s">
        <v>5795</v>
      </c>
      <c r="K23" s="186" t="s">
        <v>5728</v>
      </c>
      <c r="L23" s="80" t="s">
        <v>5729</v>
      </c>
      <c r="M23" s="80" t="s">
        <v>5727</v>
      </c>
      <c r="N23" s="80" t="s">
        <v>5730</v>
      </c>
      <c r="O23" s="80" t="s">
        <v>5886</v>
      </c>
      <c r="P23" s="130">
        <v>12</v>
      </c>
      <c r="R23" s="123">
        <v>1</v>
      </c>
      <c r="S23" s="80" t="b">
        <v>1</v>
      </c>
      <c r="T23" s="80" t="s">
        <v>5604</v>
      </c>
      <c r="V23" s="80" t="s">
        <v>5732</v>
      </c>
      <c r="W23" s="80" t="s">
        <v>5605</v>
      </c>
      <c r="X23" s="245">
        <v>43756</v>
      </c>
      <c r="Y23" s="80" t="b">
        <v>0</v>
      </c>
      <c r="Z23" s="80" t="b">
        <v>0</v>
      </c>
      <c r="AB23" s="80" t="b">
        <v>1</v>
      </c>
      <c r="AC23" s="80">
        <v>12</v>
      </c>
      <c r="AD23" s="80" t="b">
        <v>0</v>
      </c>
      <c r="AE23" s="80" t="s">
        <v>5734</v>
      </c>
      <c r="AF23" s="80" t="s">
        <v>5735</v>
      </c>
    </row>
    <row r="24" spans="1:32" ht="153">
      <c r="A24" s="104">
        <v>22</v>
      </c>
      <c r="B24" s="104" t="s">
        <v>5606</v>
      </c>
      <c r="C24" s="120" t="s">
        <v>5607</v>
      </c>
      <c r="D24" s="119" t="s">
        <v>5351</v>
      </c>
      <c r="E24" s="119">
        <v>105.830701</v>
      </c>
      <c r="F24" s="119">
        <v>20.936440000000001</v>
      </c>
      <c r="G24" s="80" t="s">
        <v>5901</v>
      </c>
      <c r="H24" s="104">
        <v>4</v>
      </c>
      <c r="I24" s="80" t="s">
        <v>5893</v>
      </c>
      <c r="J24" s="80" t="s">
        <v>5894</v>
      </c>
      <c r="K24" s="186" t="s">
        <v>5896</v>
      </c>
      <c r="L24" s="80" t="s">
        <v>5897</v>
      </c>
      <c r="M24" s="80" t="s">
        <v>5895</v>
      </c>
      <c r="N24" s="80" t="s">
        <v>5898</v>
      </c>
      <c r="O24" s="80" t="s">
        <v>5899</v>
      </c>
      <c r="P24" s="130">
        <v>8</v>
      </c>
      <c r="R24" s="123">
        <v>1</v>
      </c>
      <c r="S24" s="80" t="b">
        <v>1</v>
      </c>
      <c r="T24" s="80" t="s">
        <v>5608</v>
      </c>
      <c r="V24" s="80" t="s">
        <v>5732</v>
      </c>
      <c r="W24" s="80" t="s">
        <v>5609</v>
      </c>
      <c r="X24" s="245">
        <v>43756</v>
      </c>
      <c r="Y24" s="80" t="b">
        <v>0</v>
      </c>
      <c r="Z24" s="80" t="b">
        <v>0</v>
      </c>
      <c r="AB24" s="80" t="b">
        <v>1</v>
      </c>
      <c r="AC24" s="80">
        <v>8</v>
      </c>
      <c r="AD24" s="80" t="b">
        <v>0</v>
      </c>
      <c r="AE24" s="80" t="s">
        <v>5734</v>
      </c>
      <c r="AF24" s="80" t="s">
        <v>5735</v>
      </c>
    </row>
    <row r="25" spans="1:32" ht="153">
      <c r="A25" s="104">
        <v>23</v>
      </c>
      <c r="B25" s="104" t="s">
        <v>5610</v>
      </c>
      <c r="C25" s="120" t="s">
        <v>5611</v>
      </c>
      <c r="D25" s="119" t="s">
        <v>5351</v>
      </c>
      <c r="E25" s="119">
        <v>105.735023</v>
      </c>
      <c r="F25" s="119">
        <v>20.964811000000001</v>
      </c>
      <c r="G25" s="80" t="s">
        <v>5771</v>
      </c>
      <c r="H25" s="104">
        <v>2</v>
      </c>
      <c r="I25" s="80" t="s">
        <v>5903</v>
      </c>
      <c r="J25" s="80" t="s">
        <v>5764</v>
      </c>
      <c r="K25" s="186" t="s">
        <v>5766</v>
      </c>
      <c r="L25" s="80" t="s">
        <v>5767</v>
      </c>
      <c r="M25" s="80" t="s">
        <v>5765</v>
      </c>
      <c r="N25" s="80" t="s">
        <v>5768</v>
      </c>
      <c r="O25" s="80" t="s">
        <v>5904</v>
      </c>
      <c r="P25" s="130">
        <v>5</v>
      </c>
      <c r="R25" s="123">
        <v>1</v>
      </c>
      <c r="S25" s="80" t="b">
        <v>1</v>
      </c>
      <c r="T25" s="80" t="s">
        <v>5612</v>
      </c>
      <c r="V25" s="80" t="s">
        <v>5732</v>
      </c>
      <c r="W25" s="80" t="s">
        <v>5613</v>
      </c>
      <c r="X25" s="245">
        <v>43756</v>
      </c>
      <c r="Y25" s="80" t="b">
        <v>1</v>
      </c>
      <c r="Z25" s="80" t="b">
        <v>1</v>
      </c>
      <c r="AB25" s="80" t="b">
        <v>1</v>
      </c>
      <c r="AC25" s="80">
        <v>5</v>
      </c>
      <c r="AD25" s="80" t="b">
        <v>0</v>
      </c>
      <c r="AE25" s="80" t="s">
        <v>5734</v>
      </c>
      <c r="AF25" s="80" t="s">
        <v>5735</v>
      </c>
    </row>
    <row r="26" spans="1:32" ht="153">
      <c r="A26" s="104">
        <v>24</v>
      </c>
      <c r="B26" s="104" t="s">
        <v>5614</v>
      </c>
      <c r="C26" s="120" t="s">
        <v>5615</v>
      </c>
      <c r="D26" s="119" t="s">
        <v>5351</v>
      </c>
      <c r="E26" s="119">
        <v>105.713595</v>
      </c>
      <c r="F26" s="119">
        <v>20.997391</v>
      </c>
      <c r="G26" s="80" t="s">
        <v>5771</v>
      </c>
      <c r="H26" s="104">
        <v>2</v>
      </c>
      <c r="I26" s="80" t="s">
        <v>5910</v>
      </c>
      <c r="J26" s="80" t="s">
        <v>5764</v>
      </c>
      <c r="K26" s="186" t="s">
        <v>5766</v>
      </c>
      <c r="L26" s="80" t="s">
        <v>5767</v>
      </c>
      <c r="M26" s="80" t="s">
        <v>5765</v>
      </c>
      <c r="N26" s="80" t="s">
        <v>5768</v>
      </c>
      <c r="O26" s="80" t="s">
        <v>5911</v>
      </c>
      <c r="P26" s="130">
        <v>0</v>
      </c>
      <c r="R26" s="123">
        <v>1</v>
      </c>
      <c r="S26" s="80" t="b">
        <v>1</v>
      </c>
      <c r="T26" s="80" t="s">
        <v>5616</v>
      </c>
      <c r="V26" s="80" t="s">
        <v>5732</v>
      </c>
      <c r="W26" s="80" t="s">
        <v>5617</v>
      </c>
      <c r="X26" s="245">
        <v>43756</v>
      </c>
      <c r="Y26" s="80" t="b">
        <v>1</v>
      </c>
      <c r="Z26" s="80" t="b">
        <v>0</v>
      </c>
      <c r="AB26" s="80" t="b">
        <v>0</v>
      </c>
      <c r="AC26" s="80">
        <v>0</v>
      </c>
      <c r="AD26" s="80" t="b">
        <v>0</v>
      </c>
      <c r="AE26" s="80" t="s">
        <v>5734</v>
      </c>
      <c r="AF26" s="80" t="s">
        <v>5735</v>
      </c>
    </row>
    <row r="27" spans="1:32" ht="229.5">
      <c r="A27" s="104">
        <v>25</v>
      </c>
      <c r="B27" s="104" t="s">
        <v>5618</v>
      </c>
      <c r="C27" s="120" t="s">
        <v>5619</v>
      </c>
      <c r="D27" s="119" t="s">
        <v>5351</v>
      </c>
      <c r="E27" s="119">
        <v>105.79898799999999</v>
      </c>
      <c r="F27" s="119">
        <v>20.999661</v>
      </c>
      <c r="G27" s="80" t="s">
        <v>5745</v>
      </c>
      <c r="H27" s="104">
        <v>3</v>
      </c>
      <c r="I27" s="80" t="s">
        <v>5916</v>
      </c>
      <c r="J27" s="80" t="s">
        <v>5726</v>
      </c>
      <c r="K27" s="186" t="s">
        <v>5728</v>
      </c>
      <c r="L27" s="80" t="s">
        <v>5729</v>
      </c>
      <c r="M27" s="80" t="s">
        <v>5727</v>
      </c>
      <c r="N27" s="80" t="s">
        <v>5730</v>
      </c>
      <c r="O27" s="80" t="s">
        <v>5917</v>
      </c>
      <c r="P27" s="130">
        <v>50</v>
      </c>
      <c r="R27" s="123">
        <v>1</v>
      </c>
      <c r="S27" s="80" t="b">
        <v>1</v>
      </c>
      <c r="T27" s="80" t="s">
        <v>5620</v>
      </c>
      <c r="V27" s="80" t="s">
        <v>5732</v>
      </c>
      <c r="W27" s="80" t="s">
        <v>5621</v>
      </c>
      <c r="X27" s="245">
        <v>43756</v>
      </c>
      <c r="Y27" s="80" t="b">
        <v>0</v>
      </c>
      <c r="Z27" s="80" t="b">
        <v>0</v>
      </c>
      <c r="AB27" s="80" t="b">
        <v>1</v>
      </c>
      <c r="AC27" s="80">
        <v>50</v>
      </c>
      <c r="AD27" s="80" t="b">
        <v>0</v>
      </c>
      <c r="AE27" s="80" t="s">
        <v>5734</v>
      </c>
      <c r="AF27" s="80" t="s">
        <v>5735</v>
      </c>
    </row>
    <row r="28" spans="1:32" ht="153">
      <c r="A28" s="104">
        <v>26</v>
      </c>
      <c r="B28" s="104" t="s">
        <v>5622</v>
      </c>
      <c r="C28" s="120" t="s">
        <v>5623</v>
      </c>
      <c r="D28" s="119" t="s">
        <v>5351</v>
      </c>
      <c r="E28" s="119">
        <v>105.81394299999999</v>
      </c>
      <c r="F28" s="119">
        <v>20.996428999999999</v>
      </c>
      <c r="G28" s="80" t="s">
        <v>5771</v>
      </c>
      <c r="H28" s="104">
        <v>2</v>
      </c>
      <c r="I28" s="80" t="s">
        <v>5923</v>
      </c>
      <c r="J28" s="80" t="s">
        <v>5764</v>
      </c>
      <c r="K28" s="186" t="s">
        <v>5766</v>
      </c>
      <c r="L28" s="80" t="s">
        <v>5767</v>
      </c>
      <c r="M28" s="80" t="s">
        <v>5765</v>
      </c>
      <c r="N28" s="80" t="s">
        <v>5768</v>
      </c>
      <c r="O28" s="80" t="s">
        <v>5871</v>
      </c>
      <c r="P28" s="130">
        <v>20</v>
      </c>
      <c r="R28" s="123">
        <v>1</v>
      </c>
      <c r="S28" s="80" t="b">
        <v>1</v>
      </c>
      <c r="T28" s="80" t="s">
        <v>5624</v>
      </c>
      <c r="V28" s="80" t="s">
        <v>5732</v>
      </c>
      <c r="W28" s="80" t="s">
        <v>5625</v>
      </c>
      <c r="X28" s="245">
        <v>43756</v>
      </c>
      <c r="Y28" s="80" t="b">
        <v>0</v>
      </c>
      <c r="Z28" s="80" t="b">
        <v>0</v>
      </c>
      <c r="AB28" s="80" t="b">
        <v>1</v>
      </c>
      <c r="AC28" s="80">
        <v>20</v>
      </c>
      <c r="AD28" s="80" t="b">
        <v>0</v>
      </c>
      <c r="AE28" s="80" t="s">
        <v>5734</v>
      </c>
      <c r="AF28" s="80" t="s">
        <v>5735</v>
      </c>
    </row>
    <row r="29" spans="1:32" ht="153">
      <c r="A29" s="104">
        <v>27</v>
      </c>
      <c r="B29" s="104" t="s">
        <v>5626</v>
      </c>
      <c r="C29" s="120" t="s">
        <v>5627</v>
      </c>
      <c r="D29" s="119" t="s">
        <v>5351</v>
      </c>
      <c r="E29" s="119">
        <v>105.830771</v>
      </c>
      <c r="F29" s="119">
        <v>20.993583000000001</v>
      </c>
      <c r="G29" s="80" t="s">
        <v>5771</v>
      </c>
      <c r="H29" s="104">
        <v>2</v>
      </c>
      <c r="I29" s="80" t="s">
        <v>5926</v>
      </c>
      <c r="J29" s="80" t="s">
        <v>5764</v>
      </c>
      <c r="K29" s="186" t="s">
        <v>5766</v>
      </c>
      <c r="L29" s="80" t="s">
        <v>5767</v>
      </c>
      <c r="M29" s="80" t="s">
        <v>5765</v>
      </c>
      <c r="N29" s="80" t="s">
        <v>5768</v>
      </c>
      <c r="O29" s="80" t="s">
        <v>5927</v>
      </c>
      <c r="P29" s="130">
        <v>16</v>
      </c>
      <c r="R29" s="123">
        <v>1</v>
      </c>
      <c r="S29" s="80" t="b">
        <v>1</v>
      </c>
      <c r="T29" s="80" t="s">
        <v>5628</v>
      </c>
      <c r="V29" s="80" t="s">
        <v>5732</v>
      </c>
      <c r="W29" s="80" t="s">
        <v>5629</v>
      </c>
      <c r="X29" s="245">
        <v>43756</v>
      </c>
      <c r="Y29" s="80" t="b">
        <v>0</v>
      </c>
      <c r="Z29" s="80" t="b">
        <v>0</v>
      </c>
      <c r="AB29" s="80" t="b">
        <v>1</v>
      </c>
      <c r="AC29" s="80">
        <v>16</v>
      </c>
      <c r="AD29" s="80" t="b">
        <v>0</v>
      </c>
      <c r="AE29" s="80" t="s">
        <v>5734</v>
      </c>
      <c r="AF29" s="80" t="s">
        <v>5735</v>
      </c>
    </row>
    <row r="30" spans="1:32" ht="153">
      <c r="A30" s="104">
        <v>28</v>
      </c>
      <c r="B30" s="104" t="s">
        <v>5630</v>
      </c>
      <c r="C30" s="120" t="s">
        <v>5631</v>
      </c>
      <c r="D30" s="119" t="s">
        <v>5351</v>
      </c>
      <c r="E30" s="119">
        <v>105.81142199999999</v>
      </c>
      <c r="F30" s="119">
        <v>21.047256000000001</v>
      </c>
      <c r="G30" s="80" t="s">
        <v>5771</v>
      </c>
      <c r="H30" s="104">
        <v>2</v>
      </c>
      <c r="I30" s="80" t="s">
        <v>5930</v>
      </c>
      <c r="J30" s="80" t="s">
        <v>5764</v>
      </c>
      <c r="K30" s="186" t="s">
        <v>5766</v>
      </c>
      <c r="L30" s="80" t="s">
        <v>5767</v>
      </c>
      <c r="M30" s="80" t="s">
        <v>5765</v>
      </c>
      <c r="N30" s="80" t="s">
        <v>5768</v>
      </c>
      <c r="O30" s="80" t="s">
        <v>5879</v>
      </c>
      <c r="P30" s="130">
        <v>25</v>
      </c>
      <c r="R30" s="123">
        <v>1</v>
      </c>
      <c r="S30" s="80" t="b">
        <v>1</v>
      </c>
      <c r="T30" s="80" t="s">
        <v>5632</v>
      </c>
      <c r="V30" s="80" t="s">
        <v>5732</v>
      </c>
      <c r="W30" s="80" t="s">
        <v>5633</v>
      </c>
      <c r="X30" s="245">
        <v>43756</v>
      </c>
      <c r="Y30" s="80" t="b">
        <v>0</v>
      </c>
      <c r="Z30" s="80" t="b">
        <v>0</v>
      </c>
      <c r="AB30" s="80" t="b">
        <v>1</v>
      </c>
      <c r="AC30" s="80">
        <v>25</v>
      </c>
      <c r="AD30" s="80" t="b">
        <v>0</v>
      </c>
      <c r="AE30" s="80" t="s">
        <v>5734</v>
      </c>
      <c r="AF30" s="80" t="s">
        <v>5735</v>
      </c>
    </row>
    <row r="31" spans="1:32" ht="153">
      <c r="A31" s="104">
        <v>29</v>
      </c>
      <c r="B31" s="104" t="s">
        <v>5634</v>
      </c>
      <c r="C31" s="120" t="s">
        <v>5635</v>
      </c>
      <c r="D31" s="119" t="s">
        <v>5351</v>
      </c>
      <c r="E31" s="119">
        <v>105.787131</v>
      </c>
      <c r="F31" s="119">
        <v>21.001691000000001</v>
      </c>
      <c r="G31" s="80" t="s">
        <v>5771</v>
      </c>
      <c r="H31" s="104">
        <v>2</v>
      </c>
      <c r="I31" s="80" t="s">
        <v>5934</v>
      </c>
      <c r="J31" s="80" t="s">
        <v>5764</v>
      </c>
      <c r="K31" s="186" t="s">
        <v>5766</v>
      </c>
      <c r="L31" s="80" t="s">
        <v>5767</v>
      </c>
      <c r="M31" s="80" t="s">
        <v>5765</v>
      </c>
      <c r="N31" s="80" t="s">
        <v>5768</v>
      </c>
      <c r="O31" s="80" t="s">
        <v>5911</v>
      </c>
      <c r="P31" s="130">
        <v>0</v>
      </c>
      <c r="R31" s="123">
        <v>1</v>
      </c>
      <c r="S31" s="80" t="b">
        <v>1</v>
      </c>
      <c r="T31" s="80" t="s">
        <v>5636</v>
      </c>
      <c r="V31" s="80" t="s">
        <v>5732</v>
      </c>
      <c r="W31" s="80" t="s">
        <v>5637</v>
      </c>
      <c r="X31" s="245">
        <v>43756</v>
      </c>
      <c r="Y31" s="80" t="b">
        <v>1</v>
      </c>
      <c r="Z31" s="80" t="b">
        <v>0</v>
      </c>
      <c r="AB31" s="80" t="b">
        <v>0</v>
      </c>
      <c r="AC31" s="80">
        <v>0</v>
      </c>
      <c r="AD31" s="80" t="b">
        <v>0</v>
      </c>
      <c r="AE31" s="80" t="s">
        <v>5734</v>
      </c>
      <c r="AF31" s="80" t="s">
        <v>5735</v>
      </c>
    </row>
    <row r="32" spans="1:32" ht="153">
      <c r="A32" s="104">
        <v>30</v>
      </c>
      <c r="B32" s="104" t="s">
        <v>5638</v>
      </c>
      <c r="C32" s="120" t="s">
        <v>5639</v>
      </c>
      <c r="D32" s="119" t="s">
        <v>5351</v>
      </c>
      <c r="E32" s="119">
        <v>105.85398499999999</v>
      </c>
      <c r="F32" s="119">
        <v>21.026803000000001</v>
      </c>
      <c r="G32" s="80" t="s">
        <v>5771</v>
      </c>
      <c r="H32" s="104">
        <v>2</v>
      </c>
      <c r="I32" s="80" t="s">
        <v>5936</v>
      </c>
      <c r="J32" s="80" t="s">
        <v>5764</v>
      </c>
      <c r="K32" s="186" t="s">
        <v>5766</v>
      </c>
      <c r="L32" s="80" t="s">
        <v>5767</v>
      </c>
      <c r="M32" s="80" t="s">
        <v>5765</v>
      </c>
      <c r="N32" s="80" t="s">
        <v>5768</v>
      </c>
      <c r="O32" s="80" t="s">
        <v>5879</v>
      </c>
      <c r="P32" s="130">
        <v>24</v>
      </c>
      <c r="R32" s="123">
        <v>1</v>
      </c>
      <c r="S32" s="80" t="b">
        <v>1</v>
      </c>
      <c r="T32" s="80" t="s">
        <v>5640</v>
      </c>
      <c r="V32" s="80" t="s">
        <v>5732</v>
      </c>
      <c r="W32" s="80" t="s">
        <v>5641</v>
      </c>
      <c r="X32" s="245">
        <v>43756</v>
      </c>
      <c r="Y32" s="80" t="b">
        <v>0</v>
      </c>
      <c r="Z32" s="80" t="b">
        <v>0</v>
      </c>
      <c r="AB32" s="80" t="b">
        <v>1</v>
      </c>
      <c r="AC32" s="80">
        <v>24</v>
      </c>
      <c r="AD32" s="80" t="b">
        <v>0</v>
      </c>
      <c r="AE32" s="80" t="s">
        <v>5734</v>
      </c>
      <c r="AF32" s="80" t="s">
        <v>5735</v>
      </c>
    </row>
    <row r="33" spans="1:32" ht="153">
      <c r="A33" s="104">
        <v>31</v>
      </c>
      <c r="B33" s="104" t="s">
        <v>5642</v>
      </c>
      <c r="C33" s="120" t="s">
        <v>5643</v>
      </c>
      <c r="D33" s="119" t="s">
        <v>5351</v>
      </c>
      <c r="E33" s="119">
        <v>105.876561</v>
      </c>
      <c r="F33" s="119">
        <v>21.049645000000002</v>
      </c>
      <c r="G33" s="80" t="s">
        <v>5771</v>
      </c>
      <c r="H33" s="104">
        <v>2</v>
      </c>
      <c r="I33" s="80" t="s">
        <v>5940</v>
      </c>
      <c r="J33" s="80" t="s">
        <v>5764</v>
      </c>
      <c r="K33" s="186" t="s">
        <v>5766</v>
      </c>
      <c r="L33" s="80" t="s">
        <v>5767</v>
      </c>
      <c r="M33" s="80" t="s">
        <v>5765</v>
      </c>
      <c r="N33" s="80" t="s">
        <v>5768</v>
      </c>
      <c r="O33" s="80" t="s">
        <v>5879</v>
      </c>
      <c r="P33" s="130">
        <v>20</v>
      </c>
      <c r="R33" s="123">
        <v>1</v>
      </c>
      <c r="S33" s="80" t="b">
        <v>1</v>
      </c>
      <c r="T33" s="80" t="s">
        <v>5644</v>
      </c>
      <c r="V33" s="80" t="s">
        <v>5732</v>
      </c>
      <c r="W33" s="80" t="s">
        <v>5645</v>
      </c>
      <c r="X33" s="245">
        <v>43756</v>
      </c>
      <c r="Y33" s="80" t="b">
        <v>0</v>
      </c>
      <c r="Z33" s="80" t="b">
        <v>0</v>
      </c>
      <c r="AB33" s="80" t="b">
        <v>1</v>
      </c>
      <c r="AC33" s="80">
        <v>20</v>
      </c>
      <c r="AD33" s="80" t="b">
        <v>0</v>
      </c>
      <c r="AE33" s="80" t="s">
        <v>5734</v>
      </c>
      <c r="AF33" s="80" t="s">
        <v>5735</v>
      </c>
    </row>
    <row r="34" spans="1:32" ht="153">
      <c r="A34" s="104">
        <v>32</v>
      </c>
      <c r="B34" s="104" t="s">
        <v>5646</v>
      </c>
      <c r="C34" s="120" t="s">
        <v>5647</v>
      </c>
      <c r="D34" s="119" t="s">
        <v>5351</v>
      </c>
      <c r="E34" s="119">
        <v>105.937558</v>
      </c>
      <c r="F34" s="119">
        <v>21.021868000000001</v>
      </c>
      <c r="G34" s="80" t="s">
        <v>5771</v>
      </c>
      <c r="H34" s="104">
        <v>2</v>
      </c>
      <c r="I34" s="80" t="s">
        <v>5943</v>
      </c>
      <c r="J34" s="80" t="s">
        <v>5764</v>
      </c>
      <c r="K34" s="186" t="s">
        <v>5766</v>
      </c>
      <c r="L34" s="80" t="s">
        <v>5767</v>
      </c>
      <c r="M34" s="80" t="s">
        <v>5765</v>
      </c>
      <c r="N34" s="80" t="s">
        <v>5768</v>
      </c>
      <c r="O34" s="80" t="s">
        <v>5944</v>
      </c>
      <c r="P34" s="130">
        <v>12</v>
      </c>
      <c r="R34" s="123">
        <v>1</v>
      </c>
      <c r="S34" s="80" t="b">
        <v>1</v>
      </c>
      <c r="T34" s="80" t="s">
        <v>5648</v>
      </c>
      <c r="V34" s="80" t="s">
        <v>5732</v>
      </c>
      <c r="W34" s="80" t="s">
        <v>5649</v>
      </c>
      <c r="X34" s="245">
        <v>43756</v>
      </c>
      <c r="Y34" s="80" t="b">
        <v>0</v>
      </c>
      <c r="Z34" s="80" t="b">
        <v>0</v>
      </c>
      <c r="AB34" s="80" t="b">
        <v>1</v>
      </c>
      <c r="AC34" s="80">
        <v>12</v>
      </c>
      <c r="AD34" s="80" t="b">
        <v>0</v>
      </c>
      <c r="AE34" s="80" t="s">
        <v>5734</v>
      </c>
      <c r="AF34" s="80" t="s">
        <v>5735</v>
      </c>
    </row>
    <row r="35" spans="1:32" ht="153">
      <c r="A35" s="104">
        <v>33</v>
      </c>
      <c r="B35" s="104" t="s">
        <v>5650</v>
      </c>
      <c r="C35" s="120" t="s">
        <v>5651</v>
      </c>
      <c r="D35" s="119" t="s">
        <v>5351</v>
      </c>
      <c r="E35" s="119">
        <v>105.916195</v>
      </c>
      <c r="F35" s="119">
        <v>21.057921</v>
      </c>
      <c r="G35" s="80" t="s">
        <v>5771</v>
      </c>
      <c r="H35" s="104">
        <v>2</v>
      </c>
      <c r="I35" s="80" t="s">
        <v>5950</v>
      </c>
      <c r="J35" s="80" t="s">
        <v>5764</v>
      </c>
      <c r="K35" s="186" t="s">
        <v>5766</v>
      </c>
      <c r="L35" s="80" t="s">
        <v>5767</v>
      </c>
      <c r="M35" s="80" t="s">
        <v>5765</v>
      </c>
      <c r="N35" s="80" t="s">
        <v>5768</v>
      </c>
      <c r="O35" s="80" t="s">
        <v>5776</v>
      </c>
      <c r="P35" s="130">
        <v>12</v>
      </c>
      <c r="R35" s="123">
        <v>1</v>
      </c>
      <c r="S35" s="80" t="b">
        <v>1</v>
      </c>
      <c r="T35" s="80" t="s">
        <v>5652</v>
      </c>
      <c r="V35" s="80" t="s">
        <v>5732</v>
      </c>
      <c r="W35" s="80" t="s">
        <v>5653</v>
      </c>
      <c r="X35" s="245">
        <v>43756</v>
      </c>
      <c r="Y35" s="80" t="b">
        <v>0</v>
      </c>
      <c r="Z35" s="80" t="b">
        <v>0</v>
      </c>
      <c r="AB35" s="80" t="b">
        <v>1</v>
      </c>
      <c r="AC35" s="80">
        <v>12</v>
      </c>
      <c r="AD35" s="80" t="b">
        <v>0</v>
      </c>
      <c r="AE35" s="80" t="s">
        <v>5734</v>
      </c>
      <c r="AF35" s="80" t="s">
        <v>5735</v>
      </c>
    </row>
    <row r="36" spans="1:32" ht="153">
      <c r="A36" s="104">
        <v>34</v>
      </c>
      <c r="B36" s="104" t="s">
        <v>5654</v>
      </c>
      <c r="C36" s="120" t="s">
        <v>5655</v>
      </c>
      <c r="D36" s="119" t="s">
        <v>5351</v>
      </c>
      <c r="E36" s="119">
        <v>105.776841</v>
      </c>
      <c r="F36" s="119">
        <v>21.110002000000001</v>
      </c>
      <c r="G36" s="80" t="s">
        <v>5771</v>
      </c>
      <c r="H36" s="104">
        <v>2</v>
      </c>
      <c r="I36" s="80" t="s">
        <v>5953</v>
      </c>
      <c r="J36" s="80" t="s">
        <v>5764</v>
      </c>
      <c r="K36" s="186" t="s">
        <v>5766</v>
      </c>
      <c r="L36" s="80" t="s">
        <v>5767</v>
      </c>
      <c r="M36" s="80" t="s">
        <v>5765</v>
      </c>
      <c r="N36" s="80" t="s">
        <v>5768</v>
      </c>
      <c r="O36" s="80" t="s">
        <v>5944</v>
      </c>
      <c r="P36" s="130">
        <v>12</v>
      </c>
      <c r="R36" s="123">
        <v>1</v>
      </c>
      <c r="S36" s="80" t="b">
        <v>1</v>
      </c>
      <c r="T36" s="80" t="s">
        <v>5656</v>
      </c>
      <c r="V36" s="80" t="s">
        <v>5732</v>
      </c>
      <c r="W36" s="80" t="s">
        <v>5657</v>
      </c>
      <c r="X36" s="245">
        <v>43756</v>
      </c>
      <c r="Y36" s="80" t="b">
        <v>0</v>
      </c>
      <c r="Z36" s="80" t="b">
        <v>0</v>
      </c>
      <c r="AB36" s="80" t="b">
        <v>1</v>
      </c>
      <c r="AC36" s="80">
        <v>12</v>
      </c>
      <c r="AD36" s="80" t="b">
        <v>0</v>
      </c>
      <c r="AE36" s="80" t="s">
        <v>5734</v>
      </c>
      <c r="AF36" s="80" t="s">
        <v>5735</v>
      </c>
    </row>
    <row r="37" spans="1:32" ht="153">
      <c r="A37" s="104">
        <v>35</v>
      </c>
      <c r="B37" s="104" t="s">
        <v>5658</v>
      </c>
      <c r="C37" s="120" t="s">
        <v>5659</v>
      </c>
      <c r="D37" s="119" t="s">
        <v>5351</v>
      </c>
      <c r="E37" s="119">
        <v>105.755618</v>
      </c>
      <c r="F37" s="119">
        <v>21.110651000000001</v>
      </c>
      <c r="G37" s="80" t="s">
        <v>5771</v>
      </c>
      <c r="H37" s="104">
        <v>2</v>
      </c>
      <c r="I37" s="80" t="s">
        <v>5957</v>
      </c>
      <c r="J37" s="80" t="s">
        <v>5764</v>
      </c>
      <c r="K37" s="186" t="s">
        <v>5766</v>
      </c>
      <c r="L37" s="80" t="s">
        <v>5767</v>
      </c>
      <c r="M37" s="80" t="s">
        <v>5765</v>
      </c>
      <c r="N37" s="80" t="s">
        <v>5768</v>
      </c>
      <c r="O37" s="80" t="s">
        <v>5958</v>
      </c>
      <c r="P37" s="130">
        <v>0</v>
      </c>
      <c r="R37" s="123">
        <v>1</v>
      </c>
      <c r="S37" s="80" t="b">
        <v>1</v>
      </c>
      <c r="T37" s="80" t="s">
        <v>5660</v>
      </c>
      <c r="V37" s="80" t="s">
        <v>5732</v>
      </c>
      <c r="W37" s="80" t="s">
        <v>5661</v>
      </c>
      <c r="X37" s="245">
        <v>43756</v>
      </c>
      <c r="Y37" s="80" t="b">
        <v>1</v>
      </c>
      <c r="Z37" s="80" t="b">
        <v>1</v>
      </c>
      <c r="AB37" s="80" t="b">
        <v>0</v>
      </c>
      <c r="AC37" s="80">
        <v>0</v>
      </c>
      <c r="AD37" s="80" t="b">
        <v>0</v>
      </c>
      <c r="AE37" s="80" t="s">
        <v>5734</v>
      </c>
      <c r="AF37" s="80" t="s">
        <v>5735</v>
      </c>
    </row>
    <row r="38" spans="1:32" ht="153">
      <c r="A38" s="104">
        <v>36</v>
      </c>
      <c r="B38" s="104" t="s">
        <v>5662</v>
      </c>
      <c r="C38" s="120" t="s">
        <v>5663</v>
      </c>
      <c r="D38" s="119" t="s">
        <v>5351</v>
      </c>
      <c r="E38" s="119">
        <v>105.768676</v>
      </c>
      <c r="F38" s="119">
        <v>21.195115999999999</v>
      </c>
      <c r="G38" s="80" t="s">
        <v>5771</v>
      </c>
      <c r="H38" s="104">
        <v>2</v>
      </c>
      <c r="I38" s="80" t="s">
        <v>5962</v>
      </c>
      <c r="J38" s="80" t="s">
        <v>5764</v>
      </c>
      <c r="K38" s="186" t="s">
        <v>5766</v>
      </c>
      <c r="L38" s="80" t="s">
        <v>5767</v>
      </c>
      <c r="M38" s="80" t="s">
        <v>5765</v>
      </c>
      <c r="N38" s="80" t="s">
        <v>5768</v>
      </c>
      <c r="O38" s="80" t="s">
        <v>5963</v>
      </c>
      <c r="P38" s="130">
        <v>16</v>
      </c>
      <c r="R38" s="123">
        <v>1</v>
      </c>
      <c r="S38" s="80" t="b">
        <v>1</v>
      </c>
      <c r="T38" s="80" t="s">
        <v>5664</v>
      </c>
      <c r="V38" s="80" t="s">
        <v>5732</v>
      </c>
      <c r="W38" s="80" t="s">
        <v>5665</v>
      </c>
      <c r="X38" s="245">
        <v>43756</v>
      </c>
      <c r="Y38" s="80" t="b">
        <v>0</v>
      </c>
      <c r="Z38" s="80" t="b">
        <v>0</v>
      </c>
      <c r="AB38" s="80" t="b">
        <v>1</v>
      </c>
      <c r="AC38" s="80">
        <v>16</v>
      </c>
      <c r="AD38" s="80" t="b">
        <v>0</v>
      </c>
      <c r="AE38" s="80" t="s">
        <v>5734</v>
      </c>
      <c r="AF38" s="80" t="s">
        <v>5735</v>
      </c>
    </row>
    <row r="39" spans="1:32" ht="409.5">
      <c r="A39" s="104">
        <v>37</v>
      </c>
      <c r="B39" s="104" t="s">
        <v>5666</v>
      </c>
      <c r="C39" s="120" t="s">
        <v>5667</v>
      </c>
      <c r="D39" s="119" t="s">
        <v>5351</v>
      </c>
      <c r="E39" s="119">
        <v>105.723142</v>
      </c>
      <c r="F39" s="119">
        <v>21.184450999999999</v>
      </c>
      <c r="G39" s="80" t="s">
        <v>5975</v>
      </c>
      <c r="H39" s="104">
        <v>3</v>
      </c>
      <c r="I39" s="80" t="s">
        <v>5967</v>
      </c>
      <c r="J39" s="80" t="s">
        <v>5968</v>
      </c>
      <c r="K39" s="186" t="s">
        <v>5970</v>
      </c>
      <c r="L39" s="80" t="s">
        <v>5971</v>
      </c>
      <c r="M39" s="80" t="s">
        <v>5969</v>
      </c>
      <c r="N39" s="80" t="s">
        <v>5972</v>
      </c>
      <c r="O39" s="80" t="s">
        <v>5973</v>
      </c>
      <c r="P39" s="130">
        <v>20</v>
      </c>
      <c r="R39" s="123">
        <v>1</v>
      </c>
      <c r="S39" s="80" t="b">
        <v>1</v>
      </c>
      <c r="T39" s="80" t="s">
        <v>5668</v>
      </c>
      <c r="V39" s="80" t="s">
        <v>5732</v>
      </c>
      <c r="W39" s="80" t="s">
        <v>5669</v>
      </c>
      <c r="X39" s="245">
        <v>43756</v>
      </c>
      <c r="Y39" s="80" t="b">
        <v>1</v>
      </c>
      <c r="Z39" s="80" t="b">
        <v>0</v>
      </c>
      <c r="AB39" s="80" t="b">
        <v>1</v>
      </c>
      <c r="AC39" s="80">
        <v>20</v>
      </c>
      <c r="AD39" s="80" t="b">
        <v>0</v>
      </c>
      <c r="AE39" s="80" t="s">
        <v>5734</v>
      </c>
      <c r="AF39" s="80" t="s">
        <v>5735</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19" customWidth="1"/>
    <col min="2" max="2" width="11.140625" style="118" customWidth="1"/>
    <col min="3" max="3" width="32.7109375" style="120" customWidth="1"/>
    <col min="4" max="4" width="14" style="119" customWidth="1"/>
    <col min="5" max="8" width="14" style="118" customWidth="1"/>
    <col min="9" max="10" width="12.140625" style="118" customWidth="1"/>
    <col min="11" max="11" width="12.42578125" style="118" customWidth="1"/>
    <col min="12" max="12" width="14.5703125" style="118" customWidth="1"/>
    <col min="13" max="13" width="12" style="118" customWidth="1"/>
    <col min="14" max="25" width="9" style="118" customWidth="1"/>
    <col min="26" max="16384" width="9" style="118"/>
  </cols>
  <sheetData>
    <row r="1" spans="1:10" s="114" customFormat="1" ht="33.75" customHeight="1">
      <c r="A1" s="112" t="s">
        <v>0</v>
      </c>
      <c r="B1" s="124" t="s">
        <v>5979</v>
      </c>
      <c r="C1" s="124" t="s">
        <v>5980</v>
      </c>
      <c r="D1" s="124" t="s">
        <v>5981</v>
      </c>
      <c r="E1" s="111" t="s">
        <v>5982</v>
      </c>
      <c r="F1" s="111" t="s">
        <v>5983</v>
      </c>
      <c r="G1" s="111" t="s">
        <v>5984</v>
      </c>
      <c r="H1" s="112" t="s">
        <v>6019</v>
      </c>
      <c r="I1" s="113"/>
      <c r="J1" s="113"/>
    </row>
    <row r="2" spans="1:10" ht="30">
      <c r="A2" s="115">
        <v>1</v>
      </c>
      <c r="B2" s="15">
        <v>359018</v>
      </c>
      <c r="C2" s="116" t="s">
        <v>6799</v>
      </c>
      <c r="D2" s="115" t="s">
        <v>5344</v>
      </c>
      <c r="E2" s="117">
        <v>106.69888899999999</v>
      </c>
      <c r="F2" s="15">
        <v>10.759444</v>
      </c>
      <c r="G2" s="15">
        <v>1</v>
      </c>
      <c r="H2" s="115" t="str">
        <f>INDEX(CityIDList,MATCH(D2,CityNameList,0))</f>
        <v>HCM</v>
      </c>
    </row>
    <row r="3" spans="1:10" ht="45">
      <c r="A3" s="115">
        <v>2</v>
      </c>
      <c r="B3" s="15">
        <v>359184</v>
      </c>
      <c r="C3" s="116" t="s">
        <v>6800</v>
      </c>
      <c r="D3" s="115" t="s">
        <v>5344</v>
      </c>
      <c r="E3" s="117">
        <v>106.6932</v>
      </c>
      <c r="F3" s="15">
        <v>10.772119999999999</v>
      </c>
      <c r="G3" s="15">
        <v>1</v>
      </c>
      <c r="H3" s="115" t="str">
        <f>INDEX(CityIDList,MATCH(D3,CityNameList,0))</f>
        <v>HCM</v>
      </c>
    </row>
    <row r="4" spans="1:10" ht="45">
      <c r="A4" s="115">
        <v>3</v>
      </c>
      <c r="B4" s="15">
        <v>359356</v>
      </c>
      <c r="C4" s="116" t="s">
        <v>6801</v>
      </c>
      <c r="D4" s="115" t="s">
        <v>5344</v>
      </c>
      <c r="E4" s="117">
        <v>106.68680999999999</v>
      </c>
      <c r="F4" s="15">
        <v>10.76398</v>
      </c>
      <c r="G4" s="15">
        <v>1</v>
      </c>
      <c r="H4" s="115" t="str">
        <f>INDEX(CityIDList,MATCH(D4,CityNameList,0))</f>
        <v>HCM</v>
      </c>
    </row>
    <row r="5" spans="1:10" ht="30">
      <c r="A5" s="115">
        <v>5</v>
      </c>
      <c r="B5" s="15">
        <v>359389</v>
      </c>
      <c r="C5" s="116" t="s">
        <v>6802</v>
      </c>
      <c r="D5" s="115" t="s">
        <v>5344</v>
      </c>
      <c r="E5" s="117">
        <v>106.702</v>
      </c>
      <c r="F5" s="15">
        <v>10.777200000000001</v>
      </c>
      <c r="G5" s="15">
        <v>1</v>
      </c>
      <c r="H5" s="115" t="str">
        <f>INDEX(CityIDList,MATCH(D5,CityNameList,0))</f>
        <v>HCM</v>
      </c>
    </row>
    <row r="6" spans="1:10" ht="18.75" customHeight="1">
      <c r="G6" s="119"/>
      <c r="H6" s="119"/>
    </row>
    <row r="7" spans="1:10" ht="18.75" customHeight="1">
      <c r="G7" s="119"/>
      <c r="H7" s="119"/>
    </row>
    <row r="8" spans="1:10" ht="18.75" customHeight="1">
      <c r="G8" s="119"/>
      <c r="H8" s="119"/>
    </row>
    <row r="9" spans="1:10" ht="18.75" customHeight="1">
      <c r="G9" s="119"/>
      <c r="H9" s="119"/>
    </row>
    <row r="10" spans="1:10" ht="18.75" customHeight="1">
      <c r="C10" s="116"/>
      <c r="G10" s="119"/>
      <c r="H10" s="119"/>
    </row>
    <row r="11" spans="1:10" ht="18.75" customHeight="1">
      <c r="G11" s="119"/>
      <c r="H11" s="119"/>
    </row>
    <row r="12" spans="1:10" ht="18.75" customHeight="1">
      <c r="G12" s="119"/>
      <c r="H12" s="119"/>
    </row>
    <row r="13" spans="1:10" ht="18.75" customHeight="1">
      <c r="G13" s="119"/>
      <c r="H13" s="119"/>
    </row>
    <row r="14" spans="1:10" ht="18.75" customHeight="1">
      <c r="G14" s="119"/>
      <c r="H14" s="119"/>
    </row>
    <row r="15" spans="1:10" ht="18.75" customHeight="1">
      <c r="G15" s="119"/>
      <c r="H15" s="119"/>
    </row>
    <row r="16" spans="1:10" ht="18.75" customHeight="1">
      <c r="G16" s="119"/>
      <c r="H16" s="119"/>
    </row>
    <row r="17" spans="7:8" ht="18.75" customHeight="1">
      <c r="G17" s="119"/>
      <c r="H17" s="119"/>
    </row>
    <row r="18" spans="7:8" ht="18.75" customHeight="1">
      <c r="G18" s="119"/>
      <c r="H18" s="119"/>
    </row>
    <row r="19" spans="7:8" ht="18.75" customHeight="1">
      <c r="G19" s="119"/>
      <c r="H19" s="119"/>
    </row>
    <row r="20" spans="7:8" ht="18.75" customHeight="1">
      <c r="G20" s="119"/>
      <c r="H20" s="119"/>
    </row>
    <row r="21" spans="7:8" ht="18.75" customHeight="1">
      <c r="G21" s="119"/>
      <c r="H21" s="119"/>
    </row>
    <row r="22" spans="7:8" ht="18.75" customHeight="1">
      <c r="G22" s="119"/>
      <c r="H22" s="119"/>
    </row>
    <row r="23" spans="7:8" ht="18.75" customHeight="1">
      <c r="G23" s="119"/>
      <c r="H23" s="119"/>
    </row>
    <row r="24" spans="7:8" ht="18.75" customHeight="1">
      <c r="G24" s="119"/>
      <c r="H24" s="119"/>
    </row>
    <row r="25" spans="7:8" ht="18.75" customHeight="1">
      <c r="G25" s="119"/>
      <c r="H25" s="119"/>
    </row>
    <row r="26" spans="7:8" ht="18.75" customHeight="1">
      <c r="G26" s="119"/>
      <c r="H26" s="119"/>
    </row>
    <row r="27" spans="7:8" ht="18.75" customHeight="1">
      <c r="G27" s="119"/>
      <c r="H27" s="119"/>
    </row>
    <row r="28" spans="7:8" ht="18.75" customHeight="1">
      <c r="G28" s="119"/>
      <c r="H28" s="119"/>
    </row>
    <row r="29" spans="7:8" ht="18.75" customHeight="1">
      <c r="G29" s="119"/>
      <c r="H29" s="119"/>
    </row>
    <row r="30" spans="7:8" ht="18.75" customHeight="1">
      <c r="G30" s="119"/>
      <c r="H30" s="119"/>
    </row>
    <row r="31" spans="7:8" ht="18.75" customHeight="1">
      <c r="G31" s="119"/>
      <c r="H31" s="119"/>
    </row>
    <row r="32" spans="7:8" ht="18.75" customHeight="1">
      <c r="G32" s="119"/>
      <c r="H32" s="119"/>
    </row>
    <row r="33" spans="7:8" ht="18.75" customHeight="1">
      <c r="G33" s="119"/>
      <c r="H33" s="119"/>
    </row>
    <row r="34" spans="7:8" ht="18.75" customHeight="1">
      <c r="G34" s="119"/>
      <c r="H34" s="119"/>
    </row>
    <row r="35" spans="7:8" ht="18.75" customHeight="1">
      <c r="G35" s="119"/>
      <c r="H35" s="119"/>
    </row>
    <row r="36" spans="7:8" ht="18.75" customHeight="1">
      <c r="G36" s="119"/>
      <c r="H36" s="119"/>
    </row>
    <row r="37" spans="7:8" ht="18.75" customHeight="1">
      <c r="G37" s="119"/>
      <c r="H37" s="119"/>
    </row>
    <row r="38" spans="7:8" ht="18.75" customHeight="1">
      <c r="G38" s="119"/>
      <c r="H38" s="119"/>
    </row>
    <row r="39" spans="7:8" ht="18.75" customHeight="1">
      <c r="G39" s="119"/>
      <c r="H39" s="119"/>
    </row>
    <row r="40" spans="7:8" ht="18.75" customHeight="1">
      <c r="G40" s="119"/>
      <c r="H40" s="119"/>
    </row>
    <row r="41" spans="7:8" ht="18.75" customHeight="1">
      <c r="G41" s="119"/>
      <c r="H41" s="119"/>
    </row>
    <row r="42" spans="7:8" ht="18.75" customHeight="1">
      <c r="G42" s="119"/>
      <c r="H42" s="119"/>
    </row>
    <row r="43" spans="7:8" ht="18.75" customHeight="1">
      <c r="G43" s="119"/>
      <c r="H43" s="119"/>
    </row>
    <row r="44" spans="7:8" ht="18.75" customHeight="1">
      <c r="G44" s="119"/>
      <c r="H44" s="119"/>
    </row>
    <row r="45" spans="7:8" ht="18.75" customHeight="1">
      <c r="G45" s="119"/>
      <c r="H45" s="119"/>
    </row>
    <row r="46" spans="7:8" ht="18.75" customHeight="1">
      <c r="G46" s="119"/>
      <c r="H46" s="119"/>
    </row>
    <row r="47" spans="7:8" ht="18.75" customHeight="1">
      <c r="G47" s="119"/>
      <c r="H47" s="119"/>
    </row>
    <row r="48" spans="7:8" ht="18.75" customHeight="1">
      <c r="G48" s="119"/>
      <c r="H48" s="119"/>
    </row>
    <row r="49" spans="7:8" ht="18.75" customHeight="1">
      <c r="G49" s="119"/>
      <c r="H49" s="119"/>
    </row>
    <row r="50" spans="7:8" ht="18.75" customHeight="1">
      <c r="G50" s="119"/>
      <c r="H50" s="119"/>
    </row>
    <row r="51" spans="7:8" ht="18.75" customHeight="1">
      <c r="G51" s="119"/>
      <c r="H51" s="119"/>
    </row>
    <row r="52" spans="7:8" ht="18.75" customHeight="1">
      <c r="G52" s="119"/>
      <c r="H52" s="119"/>
    </row>
    <row r="53" spans="7:8" ht="18.75" customHeight="1">
      <c r="G53" s="119"/>
      <c r="H53" s="119"/>
    </row>
    <row r="54" spans="7:8" ht="18.75" customHeight="1">
      <c r="G54" s="119"/>
      <c r="H54" s="119"/>
    </row>
    <row r="55" spans="7:8" ht="18.75" customHeight="1">
      <c r="G55" s="119"/>
      <c r="H55" s="119"/>
    </row>
    <row r="56" spans="7:8" ht="18.75" customHeight="1">
      <c r="G56" s="119"/>
      <c r="H56" s="119"/>
    </row>
    <row r="57" spans="7:8" ht="18.75" customHeight="1">
      <c r="G57" s="119"/>
      <c r="H57" s="119"/>
    </row>
    <row r="58" spans="7:8" ht="18.75" customHeight="1">
      <c r="G58" s="119"/>
      <c r="H58" s="119"/>
    </row>
    <row r="59" spans="7:8" ht="18.75" customHeight="1">
      <c r="G59" s="119"/>
      <c r="H59" s="119"/>
    </row>
    <row r="60" spans="7:8" ht="18.75" customHeight="1">
      <c r="G60" s="119"/>
      <c r="H60" s="119"/>
    </row>
    <row r="61" spans="7:8" ht="18.75" customHeight="1">
      <c r="G61" s="119"/>
      <c r="H61" s="119"/>
    </row>
    <row r="62" spans="7:8" ht="18.75" customHeight="1">
      <c r="G62" s="119"/>
      <c r="H62" s="119"/>
    </row>
    <row r="63" spans="7:8" ht="18.75" customHeight="1">
      <c r="G63" s="119"/>
      <c r="H63" s="119"/>
    </row>
    <row r="64" spans="7:8" ht="18.75" customHeight="1">
      <c r="G64" s="119"/>
      <c r="H64" s="119"/>
    </row>
    <row r="65" spans="7:8" ht="18.75" customHeight="1">
      <c r="G65" s="119"/>
      <c r="H65" s="119"/>
    </row>
    <row r="66" spans="7:8" ht="18.75" customHeight="1">
      <c r="G66" s="119"/>
      <c r="H66" s="119"/>
    </row>
    <row r="67" spans="7:8" ht="18.75" customHeight="1">
      <c r="G67" s="119"/>
      <c r="H67" s="119"/>
    </row>
    <row r="68" spans="7:8" ht="18.75" customHeight="1">
      <c r="G68" s="119"/>
      <c r="H68" s="119"/>
    </row>
    <row r="69" spans="7:8" ht="18.75" customHeight="1">
      <c r="G69" s="119"/>
      <c r="H69" s="119"/>
    </row>
    <row r="70" spans="7:8" ht="18.75" customHeight="1">
      <c r="G70" s="119"/>
      <c r="H70" s="119"/>
    </row>
    <row r="71" spans="7:8" ht="18.75" customHeight="1">
      <c r="G71" s="119"/>
      <c r="H71" s="119"/>
    </row>
    <row r="72" spans="7:8" ht="18.75" customHeight="1">
      <c r="G72" s="119"/>
      <c r="H72" s="119"/>
    </row>
    <row r="73" spans="7:8" ht="18.75" customHeight="1">
      <c r="G73" s="119"/>
      <c r="H73" s="119"/>
    </row>
    <row r="74" spans="7:8" ht="18.75" customHeight="1">
      <c r="G74" s="119"/>
      <c r="H74" s="119"/>
    </row>
    <row r="75" spans="7:8" ht="18.75" customHeight="1">
      <c r="G75" s="119"/>
      <c r="H75" s="119"/>
    </row>
    <row r="76" spans="7:8" ht="18.75" customHeight="1">
      <c r="G76" s="119"/>
      <c r="H76" s="119"/>
    </row>
    <row r="77" spans="7:8" ht="18.75" customHeight="1">
      <c r="G77" s="119"/>
      <c r="H77" s="119"/>
    </row>
    <row r="78" spans="7:8" ht="18.75" customHeight="1">
      <c r="G78" s="119"/>
      <c r="H78" s="119"/>
    </row>
    <row r="79" spans="7:8" ht="18.75" customHeight="1">
      <c r="G79" s="119"/>
      <c r="H79" s="119"/>
    </row>
    <row r="80" spans="7:8" ht="18.75" customHeight="1">
      <c r="G80" s="119"/>
      <c r="H80" s="119"/>
    </row>
    <row r="81" spans="7:8" ht="18.75" customHeight="1">
      <c r="G81" s="119"/>
      <c r="H81" s="119"/>
    </row>
    <row r="82" spans="7:8" ht="18.75" customHeight="1">
      <c r="G82" s="119"/>
      <c r="H82" s="119"/>
    </row>
    <row r="83" spans="7:8" ht="18.75" customHeight="1">
      <c r="G83" s="119"/>
      <c r="H83" s="119"/>
    </row>
    <row r="84" spans="7:8" ht="18.75" customHeight="1">
      <c r="G84" s="119"/>
      <c r="H84" s="119"/>
    </row>
    <row r="85" spans="7:8" ht="18.75" customHeight="1">
      <c r="G85" s="119"/>
      <c r="H85" s="119"/>
    </row>
    <row r="86" spans="7:8" ht="18.75" customHeight="1">
      <c r="G86" s="119"/>
      <c r="H86" s="119"/>
    </row>
    <row r="87" spans="7:8" ht="18.75" customHeight="1">
      <c r="G87" s="119"/>
      <c r="H87" s="119"/>
    </row>
    <row r="88" spans="7:8" ht="18.75" customHeight="1">
      <c r="G88" s="119"/>
      <c r="H88" s="119"/>
    </row>
    <row r="89" spans="7:8" ht="18.75" customHeight="1">
      <c r="G89" s="119"/>
      <c r="H89" s="119"/>
    </row>
    <row r="90" spans="7:8" ht="18.75" customHeight="1">
      <c r="G90" s="119"/>
      <c r="H90" s="119"/>
    </row>
    <row r="91" spans="7:8" ht="18.75" customHeight="1">
      <c r="G91" s="119"/>
      <c r="H91" s="119"/>
    </row>
    <row r="92" spans="7:8" ht="18.75" customHeight="1">
      <c r="G92" s="119"/>
      <c r="H92" s="119"/>
    </row>
    <row r="93" spans="7:8" ht="18.75" customHeight="1">
      <c r="G93" s="119"/>
      <c r="H93" s="119"/>
    </row>
    <row r="94" spans="7:8" ht="18.75" customHeight="1">
      <c r="G94" s="119"/>
      <c r="H94" s="119"/>
    </row>
    <row r="95" spans="7:8" ht="18.75" customHeight="1">
      <c r="G95" s="119"/>
      <c r="H95" s="119"/>
    </row>
    <row r="96" spans="7:8" ht="18.75" customHeight="1">
      <c r="G96" s="119"/>
      <c r="H96" s="119"/>
    </row>
    <row r="97" spans="7:8" ht="18.75" customHeight="1">
      <c r="G97" s="119"/>
      <c r="H97" s="119"/>
    </row>
    <row r="98" spans="7:8" ht="18.75" customHeight="1">
      <c r="G98" s="119"/>
      <c r="H98" s="119"/>
    </row>
    <row r="99" spans="7:8" ht="18.75" customHeight="1">
      <c r="G99" s="119"/>
      <c r="H99" s="119"/>
    </row>
    <row r="100" spans="7:8" ht="18.75" customHeight="1">
      <c r="G100" s="119"/>
      <c r="H100" s="119"/>
    </row>
    <row r="101" spans="7:8" ht="18.75" customHeight="1">
      <c r="G101" s="119"/>
      <c r="H101" s="119"/>
    </row>
    <row r="102" spans="7:8" ht="18.75" customHeight="1">
      <c r="G102" s="119"/>
      <c r="H102" s="119"/>
    </row>
    <row r="103" spans="7:8" ht="18.75" customHeight="1">
      <c r="G103" s="119"/>
      <c r="H103" s="119"/>
    </row>
    <row r="104" spans="7:8" ht="18.75" customHeight="1">
      <c r="G104" s="119"/>
      <c r="H104" s="119"/>
    </row>
    <row r="105" spans="7:8" ht="18.75" customHeight="1">
      <c r="G105" s="119"/>
      <c r="H105" s="119"/>
    </row>
    <row r="106" spans="7:8" ht="18.75" customHeight="1">
      <c r="G106" s="119"/>
      <c r="H106" s="119"/>
    </row>
    <row r="107" spans="7:8" ht="18.75" customHeight="1">
      <c r="G107" s="119"/>
      <c r="H107" s="119"/>
    </row>
    <row r="108" spans="7:8" ht="18.75" customHeight="1">
      <c r="G108" s="119"/>
      <c r="H108" s="119"/>
    </row>
    <row r="109" spans="7:8" ht="18.75" customHeight="1">
      <c r="G109" s="119"/>
      <c r="H109" s="119"/>
    </row>
    <row r="110" spans="7:8" ht="18.75" customHeight="1">
      <c r="G110" s="119"/>
      <c r="H110" s="119"/>
    </row>
    <row r="111" spans="7:8" ht="18.75" customHeight="1">
      <c r="G111" s="119"/>
      <c r="H111" s="119"/>
    </row>
    <row r="112" spans="7:8" ht="18.75" customHeight="1">
      <c r="G112" s="119"/>
      <c r="H112" s="119"/>
    </row>
    <row r="113" spans="7:8" ht="18.75" customHeight="1">
      <c r="G113" s="119"/>
      <c r="H113" s="119"/>
    </row>
    <row r="114" spans="7:8" ht="18.75" customHeight="1">
      <c r="G114" s="119"/>
      <c r="H114" s="119"/>
    </row>
    <row r="115" spans="7:8" ht="18.75" customHeight="1">
      <c r="G115" s="119"/>
      <c r="H115" s="119"/>
    </row>
    <row r="116" spans="7:8" ht="18.75" customHeight="1">
      <c r="G116" s="119"/>
      <c r="H116" s="119"/>
    </row>
    <row r="117" spans="7:8" ht="18.75" customHeight="1">
      <c r="G117" s="119"/>
      <c r="H117" s="119"/>
    </row>
    <row r="118" spans="7:8" ht="18.75" customHeight="1">
      <c r="G118" s="119"/>
      <c r="H118" s="119"/>
    </row>
    <row r="119" spans="7:8" ht="18.75" customHeight="1">
      <c r="G119" s="119"/>
      <c r="H119" s="119"/>
    </row>
    <row r="120" spans="7:8" ht="18.75" customHeight="1">
      <c r="G120" s="119"/>
      <c r="H120" s="119"/>
    </row>
    <row r="121" spans="7:8" ht="18.75" customHeight="1">
      <c r="G121" s="119"/>
      <c r="H121" s="119"/>
    </row>
    <row r="122" spans="7:8" ht="18.75" customHeight="1">
      <c r="G122" s="119"/>
      <c r="H122" s="119"/>
    </row>
    <row r="123" spans="7:8" ht="18.75" customHeight="1">
      <c r="G123" s="119"/>
      <c r="H123" s="119"/>
    </row>
    <row r="124" spans="7:8" ht="18.75" customHeight="1">
      <c r="G124" s="119"/>
      <c r="H124" s="119"/>
    </row>
    <row r="125" spans="7:8" ht="18.75" customHeight="1">
      <c r="G125" s="119"/>
      <c r="H125" s="119"/>
    </row>
    <row r="126" spans="7:8" ht="18.75" customHeight="1">
      <c r="G126" s="119"/>
      <c r="H126" s="119"/>
    </row>
    <row r="127" spans="7:8" ht="18.75" customHeight="1">
      <c r="G127" s="119"/>
      <c r="H127" s="119"/>
    </row>
    <row r="128" spans="7:8" ht="18.75" customHeight="1">
      <c r="G128" s="119"/>
      <c r="H128" s="119"/>
    </row>
    <row r="129" spans="7:8" ht="18.75" customHeight="1">
      <c r="G129" s="119"/>
      <c r="H129" s="119"/>
    </row>
    <row r="130" spans="7:8" ht="18.75" customHeight="1">
      <c r="G130" s="119"/>
      <c r="H130" s="119"/>
    </row>
    <row r="131" spans="7:8" ht="18.75" customHeight="1">
      <c r="G131" s="119"/>
      <c r="H131" s="119"/>
    </row>
    <row r="132" spans="7:8" ht="18.75" customHeight="1">
      <c r="G132" s="119"/>
      <c r="H132" s="119"/>
    </row>
    <row r="133" spans="7:8" ht="18.75" customHeight="1">
      <c r="G133" s="119"/>
      <c r="H133" s="119"/>
    </row>
    <row r="134" spans="7:8" ht="18.75" customHeight="1">
      <c r="G134" s="119"/>
      <c r="H134" s="119"/>
    </row>
    <row r="135" spans="7:8" ht="18.75" customHeight="1">
      <c r="G135" s="119"/>
      <c r="H135" s="119"/>
    </row>
    <row r="136" spans="7:8" ht="18.75" customHeight="1">
      <c r="G136" s="119"/>
      <c r="H136" s="119"/>
    </row>
    <row r="137" spans="7:8" ht="18.75" customHeight="1">
      <c r="G137" s="119"/>
      <c r="H137" s="119"/>
    </row>
    <row r="138" spans="7:8" ht="18.75" customHeight="1">
      <c r="G138" s="119"/>
      <c r="H138" s="119"/>
    </row>
    <row r="139" spans="7:8" ht="18.75" customHeight="1">
      <c r="G139" s="119"/>
      <c r="H139" s="119"/>
    </row>
    <row r="140" spans="7:8" ht="18.75" customHeight="1">
      <c r="G140" s="119"/>
      <c r="H140" s="119"/>
    </row>
    <row r="141" spans="7:8" ht="18.75" customHeight="1">
      <c r="G141" s="119"/>
      <c r="H141" s="119"/>
    </row>
    <row r="142" spans="7:8" ht="18.75" customHeight="1">
      <c r="G142" s="119"/>
      <c r="H142" s="119"/>
    </row>
    <row r="143" spans="7:8" ht="18.75" customHeight="1">
      <c r="G143" s="119"/>
      <c r="H143" s="119"/>
    </row>
    <row r="144" spans="7:8" ht="18.75" customHeight="1">
      <c r="G144" s="119"/>
      <c r="H144" s="119"/>
    </row>
    <row r="145" spans="7:8" ht="18.75" customHeight="1">
      <c r="G145" s="119"/>
      <c r="H145" s="119"/>
    </row>
    <row r="146" spans="7:8" ht="18.75" customHeight="1">
      <c r="G146" s="119"/>
      <c r="H146" s="119"/>
    </row>
    <row r="147" spans="7:8" ht="18.75" customHeight="1">
      <c r="G147" s="119"/>
      <c r="H147" s="119"/>
    </row>
    <row r="148" spans="7:8" ht="18.75" customHeight="1">
      <c r="G148" s="119"/>
      <c r="H148" s="119"/>
    </row>
    <row r="149" spans="7:8" ht="18.75" customHeight="1">
      <c r="G149" s="119"/>
      <c r="H149" s="119"/>
    </row>
    <row r="150" spans="7:8" ht="18.75" customHeight="1">
      <c r="G150" s="119"/>
      <c r="H150" s="119"/>
    </row>
    <row r="151" spans="7:8" ht="18.75" customHeight="1">
      <c r="G151" s="119"/>
      <c r="H151" s="119"/>
    </row>
    <row r="152" spans="7:8" ht="18.75" customHeight="1">
      <c r="G152" s="119"/>
      <c r="H152" s="119"/>
    </row>
    <row r="153" spans="7:8" ht="18.75" customHeight="1">
      <c r="G153" s="119"/>
      <c r="H153" s="119"/>
    </row>
    <row r="154" spans="7:8" ht="18.75" customHeight="1">
      <c r="G154" s="119"/>
      <c r="H154" s="119"/>
    </row>
    <row r="155" spans="7:8" ht="18.75" customHeight="1">
      <c r="G155" s="119"/>
      <c r="H155" s="119"/>
    </row>
    <row r="156" spans="7:8" ht="18.75" customHeight="1">
      <c r="G156" s="119"/>
      <c r="H156" s="119"/>
    </row>
    <row r="157" spans="7:8" ht="18.75" customHeight="1">
      <c r="G157" s="119"/>
      <c r="H157" s="119"/>
    </row>
    <row r="158" spans="7:8" ht="18.75" customHeight="1">
      <c r="G158" s="119"/>
      <c r="H158" s="119"/>
    </row>
    <row r="159" spans="7:8" ht="18.75" customHeight="1">
      <c r="G159" s="119"/>
      <c r="H159" s="119"/>
    </row>
    <row r="160" spans="7:8" ht="18.75" customHeight="1">
      <c r="G160" s="119"/>
      <c r="H160" s="119"/>
    </row>
    <row r="161" spans="7:8" ht="18.75" customHeight="1">
      <c r="G161" s="119"/>
      <c r="H161" s="119"/>
    </row>
    <row r="162" spans="7:8" ht="18.75" customHeight="1">
      <c r="G162" s="119"/>
      <c r="H162" s="119"/>
    </row>
    <row r="163" spans="7:8" ht="18.75" customHeight="1">
      <c r="G163" s="119"/>
      <c r="H163" s="119"/>
    </row>
    <row r="164" spans="7:8" ht="18.75" customHeight="1">
      <c r="G164" s="119"/>
      <c r="H164" s="119"/>
    </row>
    <row r="165" spans="7:8" ht="18.75" customHeight="1">
      <c r="G165" s="119"/>
      <c r="H165" s="119"/>
    </row>
    <row r="166" spans="7:8" ht="18.75" customHeight="1">
      <c r="G166" s="119"/>
      <c r="H166" s="119"/>
    </row>
    <row r="167" spans="7:8" ht="18.75" customHeight="1">
      <c r="G167" s="119"/>
      <c r="H167" s="119"/>
    </row>
    <row r="168" spans="7:8" ht="18.75" customHeight="1">
      <c r="G168" s="119"/>
      <c r="H168" s="119"/>
    </row>
    <row r="169" spans="7:8" ht="18.75" customHeight="1">
      <c r="G169" s="119"/>
      <c r="H169" s="119"/>
    </row>
    <row r="170" spans="7:8" ht="18.75" customHeight="1">
      <c r="G170" s="119"/>
      <c r="H170" s="119"/>
    </row>
    <row r="171" spans="7:8" ht="18.75" customHeight="1">
      <c r="G171" s="119"/>
      <c r="H171" s="119"/>
    </row>
    <row r="172" spans="7:8" ht="18.75" customHeight="1">
      <c r="G172" s="119"/>
      <c r="H172" s="119"/>
    </row>
    <row r="173" spans="7:8" ht="18.75" customHeight="1">
      <c r="G173" s="119"/>
      <c r="H173" s="119"/>
    </row>
    <row r="174" spans="7:8" ht="18.75" customHeight="1">
      <c r="G174" s="119"/>
      <c r="H174" s="119"/>
    </row>
    <row r="175" spans="7:8" ht="18.75" customHeight="1">
      <c r="G175" s="119"/>
      <c r="H175" s="119"/>
    </row>
    <row r="176" spans="7:8" ht="18.75" customHeight="1">
      <c r="G176" s="119"/>
      <c r="H176" s="119"/>
    </row>
    <row r="177" spans="7:8" ht="18.75" customHeight="1">
      <c r="G177" s="119"/>
      <c r="H177" s="119"/>
    </row>
    <row r="178" spans="7:8" ht="18.75" customHeight="1">
      <c r="G178" s="119"/>
      <c r="H178" s="119"/>
    </row>
    <row r="179" spans="7:8" ht="18.75" customHeight="1">
      <c r="G179" s="119"/>
      <c r="H179" s="119"/>
    </row>
    <row r="180" spans="7:8" ht="18.75" customHeight="1">
      <c r="G180" s="119"/>
      <c r="H180" s="119"/>
    </row>
    <row r="181" spans="7:8" ht="18.75" customHeight="1">
      <c r="G181" s="119"/>
      <c r="H181" s="119"/>
    </row>
    <row r="182" spans="7:8" ht="18.75" customHeight="1">
      <c r="G182" s="119"/>
      <c r="H182" s="119"/>
    </row>
    <row r="183" spans="7:8" ht="18.75" customHeight="1">
      <c r="G183" s="119"/>
      <c r="H183" s="119"/>
    </row>
    <row r="184" spans="7:8" ht="18.75" customHeight="1">
      <c r="G184" s="119"/>
      <c r="H184" s="119"/>
    </row>
    <row r="185" spans="7:8" ht="18.75" customHeight="1">
      <c r="G185" s="119"/>
      <c r="H185" s="119"/>
    </row>
    <row r="186" spans="7:8" ht="18.75" customHeight="1">
      <c r="G186" s="119"/>
      <c r="H186" s="119"/>
    </row>
    <row r="187" spans="7:8" ht="18.75" customHeight="1">
      <c r="G187" s="119"/>
      <c r="H187" s="119"/>
    </row>
    <row r="188" spans="7:8" ht="18.75" customHeight="1">
      <c r="G188" s="119"/>
      <c r="H188" s="119"/>
    </row>
    <row r="189" spans="7:8" ht="18.75" customHeight="1">
      <c r="G189" s="119"/>
      <c r="H189" s="119"/>
    </row>
    <row r="190" spans="7:8" ht="18.75" customHeight="1">
      <c r="G190" s="119"/>
      <c r="H190" s="119"/>
    </row>
    <row r="191" spans="7:8" ht="18.75" customHeight="1">
      <c r="G191" s="119"/>
      <c r="H191" s="119"/>
    </row>
    <row r="192" spans="7:8" ht="18.75" customHeight="1">
      <c r="G192" s="119"/>
      <c r="H192" s="119"/>
    </row>
    <row r="193" spans="7:8" ht="18.75" customHeight="1">
      <c r="G193" s="119"/>
      <c r="H193" s="119"/>
    </row>
    <row r="194" spans="7:8" ht="18.75" customHeight="1">
      <c r="G194" s="119"/>
      <c r="H194" s="119"/>
    </row>
    <row r="195" spans="7:8" ht="18.75" customHeight="1">
      <c r="G195" s="119"/>
      <c r="H195" s="119"/>
    </row>
    <row r="196" spans="7:8" ht="18.75" customHeight="1">
      <c r="G196" s="119"/>
      <c r="H196" s="119"/>
    </row>
    <row r="197" spans="7:8" ht="18.75" customHeight="1">
      <c r="G197" s="119"/>
      <c r="H197" s="119"/>
    </row>
    <row r="198" spans="7:8" ht="18.75" customHeight="1">
      <c r="G198" s="119"/>
      <c r="H198" s="119"/>
    </row>
    <row r="199" spans="7:8" ht="18.75" customHeight="1">
      <c r="G199" s="119"/>
      <c r="H199" s="119"/>
    </row>
    <row r="200" spans="7:8" ht="18.75" customHeight="1">
      <c r="G200" s="119"/>
      <c r="H200" s="119"/>
    </row>
    <row r="201" spans="7:8" ht="18.75" customHeight="1">
      <c r="G201" s="119"/>
      <c r="H201" s="119"/>
    </row>
    <row r="202" spans="7:8" ht="18.75" customHeight="1">
      <c r="G202" s="119"/>
      <c r="H202" s="119"/>
    </row>
    <row r="203" spans="7:8" ht="18.75" customHeight="1">
      <c r="G203" s="119"/>
      <c r="H203" s="119"/>
    </row>
    <row r="204" spans="7:8" ht="18.75" customHeight="1">
      <c r="G204" s="119"/>
      <c r="H204" s="119"/>
    </row>
    <row r="205" spans="7:8" ht="18.75" customHeight="1">
      <c r="G205" s="119"/>
      <c r="H205" s="119"/>
    </row>
    <row r="206" spans="7:8" ht="18.75" customHeight="1">
      <c r="G206" s="119"/>
      <c r="H206" s="119"/>
    </row>
    <row r="207" spans="7:8" ht="18.75" customHeight="1">
      <c r="G207" s="119"/>
      <c r="H207" s="119"/>
    </row>
    <row r="208" spans="7:8" ht="18.75" customHeight="1">
      <c r="G208" s="119"/>
      <c r="H208" s="119"/>
    </row>
    <row r="209" spans="7:8" ht="18.75" customHeight="1">
      <c r="G209" s="119"/>
      <c r="H209" s="119"/>
    </row>
    <row r="210" spans="7:8" ht="18.75" customHeight="1">
      <c r="G210" s="119"/>
      <c r="H210" s="119"/>
    </row>
    <row r="211" spans="7:8" ht="18.75" customHeight="1">
      <c r="G211" s="119"/>
      <c r="H211" s="119"/>
    </row>
    <row r="212" spans="7:8" ht="18.75" customHeight="1">
      <c r="G212" s="119"/>
      <c r="H212" s="119"/>
    </row>
    <row r="213" spans="7:8" ht="18.75" customHeight="1">
      <c r="G213" s="119"/>
      <c r="H213" s="119"/>
    </row>
    <row r="214" spans="7:8" ht="18.75" customHeight="1">
      <c r="G214" s="119"/>
      <c r="H214" s="119"/>
    </row>
    <row r="215" spans="7:8" ht="18.75" customHeight="1">
      <c r="G215" s="119"/>
      <c r="H215" s="119"/>
    </row>
    <row r="216" spans="7:8" ht="18.75" customHeight="1">
      <c r="G216" s="119"/>
      <c r="H216" s="119"/>
    </row>
    <row r="217" spans="7:8" ht="18.75" customHeight="1">
      <c r="G217" s="119"/>
      <c r="H217" s="119"/>
    </row>
    <row r="218" spans="7:8" ht="18.75" customHeight="1">
      <c r="G218" s="119"/>
      <c r="H218" s="119"/>
    </row>
    <row r="219" spans="7:8" ht="18.75" customHeight="1">
      <c r="G219" s="119"/>
      <c r="H219" s="119"/>
    </row>
    <row r="220" spans="7:8" ht="18.75" customHeight="1">
      <c r="G220" s="119"/>
      <c r="H220" s="119"/>
    </row>
    <row r="221" spans="7:8" ht="18.75" customHeight="1">
      <c r="G221" s="119"/>
      <c r="H221" s="119"/>
    </row>
    <row r="222" spans="7:8" ht="18.75" customHeight="1">
      <c r="G222" s="119"/>
      <c r="H222" s="119"/>
    </row>
    <row r="223" spans="7:8" ht="18.75" customHeight="1">
      <c r="G223" s="119"/>
      <c r="H223" s="119"/>
    </row>
    <row r="224" spans="7:8" ht="18.75" customHeight="1">
      <c r="G224" s="119"/>
      <c r="H224" s="119"/>
    </row>
    <row r="225" spans="7:8" ht="18.75" customHeight="1">
      <c r="G225" s="119"/>
      <c r="H225" s="119"/>
    </row>
    <row r="226" spans="7:8" ht="18.75" customHeight="1">
      <c r="G226" s="119"/>
      <c r="H226" s="119"/>
    </row>
    <row r="227" spans="7:8" ht="18.75" customHeight="1">
      <c r="G227" s="119"/>
      <c r="H227" s="119"/>
    </row>
    <row r="228" spans="7:8" ht="18.75" customHeight="1">
      <c r="G228" s="119"/>
      <c r="H228" s="119"/>
    </row>
    <row r="229" spans="7:8" ht="18.75" customHeight="1">
      <c r="G229" s="119"/>
      <c r="H229" s="119"/>
    </row>
    <row r="230" spans="7:8" ht="18.75" customHeight="1">
      <c r="G230" s="119"/>
      <c r="H230" s="119"/>
    </row>
    <row r="231" spans="7:8" ht="18.75" customHeight="1">
      <c r="G231" s="119"/>
      <c r="H231" s="119"/>
    </row>
    <row r="232" spans="7:8" ht="18.75" customHeight="1">
      <c r="G232" s="119"/>
      <c r="H232" s="119"/>
    </row>
    <row r="233" spans="7:8" ht="18.75" customHeight="1">
      <c r="G233" s="119"/>
      <c r="H233" s="119"/>
    </row>
    <row r="234" spans="7:8" ht="18.75" customHeight="1">
      <c r="G234" s="119"/>
      <c r="H234" s="119"/>
    </row>
    <row r="235" spans="7:8" ht="18.75" customHeight="1">
      <c r="G235" s="119"/>
      <c r="H235" s="119"/>
    </row>
    <row r="236" spans="7:8" ht="18.75" customHeight="1">
      <c r="G236" s="119"/>
      <c r="H236" s="119"/>
    </row>
    <row r="237" spans="7:8" ht="18.75" customHeight="1">
      <c r="G237" s="119"/>
      <c r="H237" s="119"/>
    </row>
    <row r="238" spans="7:8" ht="18.75" customHeight="1">
      <c r="G238" s="119"/>
      <c r="H238" s="119"/>
    </row>
    <row r="239" spans="7:8" ht="18.75" customHeight="1">
      <c r="G239" s="119"/>
      <c r="H239" s="119"/>
    </row>
    <row r="240" spans="7:8" ht="18.75" customHeight="1">
      <c r="G240" s="119"/>
      <c r="H240" s="119"/>
    </row>
    <row r="241" spans="7:8" ht="18.75" customHeight="1">
      <c r="G241" s="119"/>
      <c r="H241" s="119"/>
    </row>
    <row r="242" spans="7:8" ht="18.75" customHeight="1">
      <c r="G242" s="119"/>
      <c r="H242" s="119"/>
    </row>
    <row r="243" spans="7:8" ht="18.75" customHeight="1">
      <c r="G243" s="119"/>
      <c r="H243" s="119"/>
    </row>
    <row r="244" spans="7:8" ht="18.75" customHeight="1">
      <c r="G244" s="119"/>
      <c r="H244" s="119"/>
    </row>
    <row r="245" spans="7:8" ht="18.75" customHeight="1">
      <c r="G245" s="119"/>
      <c r="H245" s="119"/>
    </row>
    <row r="246" spans="7:8" ht="18.75" customHeight="1">
      <c r="G246" s="119"/>
      <c r="H246" s="119"/>
    </row>
    <row r="247" spans="7:8" ht="18.75" customHeight="1">
      <c r="G247" s="119"/>
      <c r="H247" s="119"/>
    </row>
    <row r="248" spans="7:8" ht="18.75" customHeight="1">
      <c r="G248" s="119"/>
      <c r="H248" s="119"/>
    </row>
    <row r="249" spans="7:8" ht="18.75" customHeight="1">
      <c r="G249" s="119"/>
      <c r="H249" s="119"/>
    </row>
    <row r="250" spans="7:8" ht="18.75" customHeight="1">
      <c r="G250" s="119"/>
      <c r="H250" s="119"/>
    </row>
    <row r="251" spans="7:8" ht="18.75" customHeight="1">
      <c r="G251" s="119"/>
      <c r="H251" s="119"/>
    </row>
    <row r="252" spans="7:8" ht="18.75" customHeight="1">
      <c r="G252" s="119"/>
      <c r="H252" s="119"/>
    </row>
    <row r="253" spans="7:8" ht="18.75" customHeight="1">
      <c r="G253" s="119"/>
      <c r="H253" s="119"/>
    </row>
    <row r="254" spans="7:8" ht="18.75" customHeight="1">
      <c r="G254" s="119"/>
      <c r="H254" s="119"/>
    </row>
    <row r="255" spans="7:8" ht="18.75" customHeight="1">
      <c r="G255" s="119"/>
      <c r="H255" s="119"/>
    </row>
    <row r="256" spans="7:8" ht="18.75" customHeight="1">
      <c r="G256" s="119"/>
      <c r="H256" s="119"/>
    </row>
    <row r="257" spans="7:8" ht="18.75" customHeight="1">
      <c r="G257" s="119"/>
      <c r="H257" s="119"/>
    </row>
    <row r="258" spans="7:8" ht="18.75" customHeight="1">
      <c r="G258" s="119"/>
      <c r="H258" s="119"/>
    </row>
    <row r="259" spans="7:8" ht="18.75" customHeight="1">
      <c r="G259" s="119"/>
      <c r="H259" s="119"/>
    </row>
    <row r="260" spans="7:8" ht="18.75" customHeight="1">
      <c r="G260" s="119"/>
      <c r="H260" s="119"/>
    </row>
    <row r="261" spans="7:8" ht="18.75" customHeight="1">
      <c r="G261" s="119"/>
      <c r="H261" s="119"/>
    </row>
    <row r="262" spans="7:8" ht="18.75" customHeight="1">
      <c r="G262" s="119"/>
      <c r="H262" s="119"/>
    </row>
    <row r="263" spans="7:8" ht="18.75" customHeight="1">
      <c r="G263" s="119"/>
      <c r="H263" s="119"/>
    </row>
    <row r="264" spans="7:8" ht="18.75" customHeight="1">
      <c r="G264" s="119"/>
      <c r="H264" s="119"/>
    </row>
    <row r="265" spans="7:8" ht="18.75" customHeight="1">
      <c r="G265" s="119"/>
      <c r="H265" s="119"/>
    </row>
    <row r="266" spans="7:8" ht="18.75" customHeight="1">
      <c r="G266" s="119"/>
      <c r="H266" s="119"/>
    </row>
    <row r="267" spans="7:8" ht="18.75" customHeight="1">
      <c r="G267" s="119"/>
      <c r="H267" s="119"/>
    </row>
    <row r="268" spans="7:8" ht="18.75" customHeight="1">
      <c r="G268" s="119"/>
      <c r="H268" s="119"/>
    </row>
    <row r="269" spans="7:8" ht="18.75" customHeight="1">
      <c r="G269" s="119"/>
      <c r="H269" s="119"/>
    </row>
    <row r="270" spans="7:8" ht="18.75" customHeight="1">
      <c r="G270" s="119"/>
      <c r="H270" s="119"/>
    </row>
    <row r="271" spans="7:8" ht="18.75" customHeight="1">
      <c r="G271" s="119"/>
      <c r="H271" s="119"/>
    </row>
    <row r="272" spans="7:8" ht="18.75" customHeight="1">
      <c r="G272" s="119"/>
      <c r="H272" s="119"/>
    </row>
    <row r="273" spans="7:8" ht="18.75" customHeight="1">
      <c r="G273" s="119"/>
      <c r="H273" s="119"/>
    </row>
    <row r="274" spans="7:8" ht="18.75" customHeight="1">
      <c r="G274" s="119"/>
      <c r="H274" s="119"/>
    </row>
    <row r="275" spans="7:8" ht="18.75" customHeight="1">
      <c r="G275" s="119"/>
      <c r="H275" s="119"/>
    </row>
    <row r="276" spans="7:8" ht="18.75" customHeight="1">
      <c r="G276" s="119"/>
      <c r="H276" s="119"/>
    </row>
    <row r="277" spans="7:8" ht="18.75" customHeight="1">
      <c r="G277" s="119"/>
      <c r="H277" s="119"/>
    </row>
    <row r="278" spans="7:8" ht="18.75" customHeight="1">
      <c r="G278" s="119"/>
      <c r="H278" s="119"/>
    </row>
    <row r="279" spans="7:8" ht="18.75" customHeight="1">
      <c r="G279" s="119"/>
      <c r="H279" s="119"/>
    </row>
    <row r="280" spans="7:8" ht="18.75" customHeight="1">
      <c r="G280" s="121"/>
      <c r="H280" s="119"/>
    </row>
    <row r="281" spans="7:8" ht="18.75" customHeight="1">
      <c r="G281" s="121"/>
      <c r="H281" s="119"/>
    </row>
    <row r="282" spans="7:8" ht="18.75" customHeight="1">
      <c r="G282" s="121"/>
      <c r="H282" s="119"/>
    </row>
    <row r="283" spans="7:8" ht="18.75" customHeight="1">
      <c r="G283" s="121"/>
      <c r="H283" s="119"/>
    </row>
    <row r="284" spans="7:8" ht="18.75" customHeight="1">
      <c r="G284" s="121"/>
      <c r="H284" s="119"/>
    </row>
    <row r="285" spans="7:8" ht="18.75" customHeight="1">
      <c r="G285" s="121"/>
      <c r="H285" s="119"/>
    </row>
    <row r="286" spans="7:8" ht="18.75" customHeight="1">
      <c r="G286" s="121"/>
      <c r="H286" s="119"/>
    </row>
    <row r="287" spans="7:8" ht="18.75" customHeight="1">
      <c r="G287" s="121"/>
      <c r="H287" s="119"/>
    </row>
    <row r="288" spans="7:8" ht="18.75" customHeight="1">
      <c r="G288" s="121"/>
      <c r="H288" s="119"/>
    </row>
    <row r="289" spans="7:8" ht="18.75" customHeight="1">
      <c r="G289" s="121"/>
      <c r="H289" s="119"/>
    </row>
    <row r="290" spans="7:8" ht="18.75" customHeight="1">
      <c r="G290" s="121"/>
      <c r="H290" s="119"/>
    </row>
    <row r="291" spans="7:8" ht="18.75" customHeight="1">
      <c r="G291" s="121"/>
      <c r="H291" s="119"/>
    </row>
    <row r="292" spans="7:8" ht="18.75" customHeight="1">
      <c r="G292" s="121"/>
      <c r="H292" s="119"/>
    </row>
    <row r="293" spans="7:8" ht="18.75" customHeight="1">
      <c r="G293" s="121"/>
      <c r="H293" s="119"/>
    </row>
    <row r="294" spans="7:8" ht="18.75" customHeight="1">
      <c r="G294" s="121"/>
      <c r="H294" s="119"/>
    </row>
    <row r="295" spans="7:8" ht="18.75" customHeight="1">
      <c r="G295" s="121"/>
      <c r="H295" s="119"/>
    </row>
    <row r="296" spans="7:8" ht="18.75" customHeight="1">
      <c r="G296" s="121"/>
      <c r="H296" s="119"/>
    </row>
    <row r="297" spans="7:8" ht="18.75" customHeight="1">
      <c r="G297" s="121"/>
      <c r="H297" s="119"/>
    </row>
    <row r="298" spans="7:8" ht="18.75" customHeight="1">
      <c r="G298" s="121"/>
      <c r="H298" s="119"/>
    </row>
    <row r="299" spans="7:8" ht="18.75" customHeight="1">
      <c r="G299" s="121"/>
      <c r="H299" s="119"/>
    </row>
    <row r="300" spans="7:8" ht="18.75" customHeight="1">
      <c r="G300" s="121"/>
      <c r="H300" s="119"/>
    </row>
    <row r="301" spans="7:8" ht="18.75" customHeight="1">
      <c r="G301" s="121"/>
      <c r="H301" s="119"/>
    </row>
    <row r="302" spans="7:8" ht="18.75" customHeight="1">
      <c r="G302" s="121"/>
      <c r="H302" s="119"/>
    </row>
    <row r="303" spans="7:8" ht="18.75" customHeight="1">
      <c r="G303" s="121"/>
      <c r="H303" s="119"/>
    </row>
    <row r="304" spans="7:8" ht="18.75" customHeight="1">
      <c r="G304" s="121"/>
      <c r="H304" s="119"/>
    </row>
    <row r="305" spans="7:8" ht="18.75" customHeight="1">
      <c r="G305" s="121"/>
      <c r="H305" s="119"/>
    </row>
    <row r="306" spans="7:8" ht="18.75" customHeight="1">
      <c r="G306" s="121"/>
      <c r="H306" s="119"/>
    </row>
    <row r="307" spans="7:8" ht="18.75" customHeight="1">
      <c r="G307" s="121"/>
      <c r="H307" s="119"/>
    </row>
    <row r="308" spans="7:8" ht="18.75" customHeight="1">
      <c r="G308" s="121"/>
      <c r="H308" s="119"/>
    </row>
    <row r="309" spans="7:8" ht="18.75" customHeight="1">
      <c r="G309" s="121"/>
      <c r="H309" s="119"/>
    </row>
    <row r="310" spans="7:8" ht="18.75" customHeight="1">
      <c r="G310" s="121"/>
      <c r="H310" s="119"/>
    </row>
    <row r="311" spans="7:8" ht="18.75" customHeight="1">
      <c r="G311" s="121"/>
      <c r="H311" s="119"/>
    </row>
    <row r="312" spans="7:8" ht="18.75" customHeight="1">
      <c r="G312" s="121"/>
      <c r="H312" s="119"/>
    </row>
    <row r="313" spans="7:8" ht="18.75" customHeight="1">
      <c r="G313" s="121"/>
      <c r="H313" s="119"/>
    </row>
    <row r="314" spans="7:8" ht="18.75" customHeight="1">
      <c r="G314" s="121"/>
      <c r="H314" s="119"/>
    </row>
    <row r="315" spans="7:8" ht="18.75" customHeight="1">
      <c r="G315" s="121"/>
      <c r="H315" s="119"/>
    </row>
    <row r="316" spans="7:8" ht="18.75" customHeight="1">
      <c r="G316" s="121"/>
      <c r="H316" s="119"/>
    </row>
    <row r="317" spans="7:8" ht="18.75" customHeight="1">
      <c r="G317" s="121"/>
      <c r="H317" s="119"/>
    </row>
    <row r="318" spans="7:8" ht="18.75" customHeight="1">
      <c r="G318" s="121"/>
      <c r="H318" s="119"/>
    </row>
    <row r="319" spans="7:8" ht="18.75" customHeight="1">
      <c r="G319" s="121"/>
      <c r="H319" s="119"/>
    </row>
    <row r="320" spans="7:8" ht="18.75" customHeight="1">
      <c r="G320" s="121"/>
      <c r="H320" s="119"/>
    </row>
    <row r="321" spans="7:8" ht="18.75" customHeight="1">
      <c r="G321" s="121"/>
      <c r="H321" s="119"/>
    </row>
    <row r="322" spans="7:8" ht="18.75" customHeight="1">
      <c r="G322" s="121"/>
      <c r="H322" s="119"/>
    </row>
    <row r="323" spans="7:8" ht="18.75" customHeight="1">
      <c r="G323" s="121"/>
      <c r="H323" s="119"/>
    </row>
    <row r="324" spans="7:8" ht="18.75" customHeight="1">
      <c r="G324" s="121"/>
      <c r="H324" s="119"/>
    </row>
    <row r="325" spans="7:8" ht="18.75" customHeight="1">
      <c r="G325" s="121"/>
      <c r="H325" s="119"/>
    </row>
    <row r="326" spans="7:8" ht="18.75" customHeight="1">
      <c r="G326" s="121"/>
      <c r="H326" s="119"/>
    </row>
    <row r="327" spans="7:8" ht="18.75" customHeight="1">
      <c r="G327" s="121"/>
      <c r="H327" s="119"/>
    </row>
    <row r="328" spans="7:8" ht="18.75" customHeight="1">
      <c r="G328" s="121"/>
      <c r="H328" s="119"/>
    </row>
    <row r="329" spans="7:8" ht="18.75" customHeight="1">
      <c r="G329" s="121"/>
      <c r="H329" s="119"/>
    </row>
    <row r="330" spans="7:8" ht="18.75" customHeight="1">
      <c r="G330" s="121"/>
      <c r="H330" s="119"/>
    </row>
    <row r="331" spans="7:8" ht="18.75" customHeight="1">
      <c r="G331" s="121"/>
      <c r="H331" s="119"/>
    </row>
    <row r="332" spans="7:8" ht="18.75" customHeight="1">
      <c r="G332" s="121"/>
      <c r="H332" s="119"/>
    </row>
    <row r="333" spans="7:8" ht="18.75" customHeight="1">
      <c r="G333" s="121"/>
      <c r="H333" s="119"/>
    </row>
    <row r="334" spans="7:8" ht="18.75" customHeight="1">
      <c r="G334" s="121"/>
      <c r="H334" s="119"/>
    </row>
    <row r="335" spans="7:8" ht="18.75" customHeight="1">
      <c r="G335" s="121"/>
      <c r="H335" s="119"/>
    </row>
    <row r="336" spans="7:8" ht="18.75" customHeight="1">
      <c r="G336" s="121"/>
      <c r="H336" s="119"/>
    </row>
    <row r="337" spans="7:8" ht="18.75" customHeight="1">
      <c r="G337" s="121"/>
      <c r="H337" s="119"/>
    </row>
    <row r="338" spans="7:8" ht="18.75" customHeight="1">
      <c r="G338" s="121"/>
      <c r="H338" s="119"/>
    </row>
    <row r="339" spans="7:8" ht="18.75" customHeight="1">
      <c r="G339" s="121"/>
      <c r="H339" s="119"/>
    </row>
    <row r="340" spans="7:8" ht="18.75" customHeight="1">
      <c r="G340" s="121"/>
      <c r="H340" s="119"/>
    </row>
    <row r="341" spans="7:8" ht="18.75" customHeight="1">
      <c r="G341" s="121"/>
      <c r="H341" s="119"/>
    </row>
    <row r="342" spans="7:8" ht="18.75" customHeight="1">
      <c r="G342" s="121"/>
      <c r="H342" s="119"/>
    </row>
    <row r="343" spans="7:8" ht="18.75" customHeight="1">
      <c r="G343" s="121"/>
      <c r="H343" s="119"/>
    </row>
    <row r="344" spans="7:8" ht="18.75" customHeight="1">
      <c r="G344" s="121"/>
      <c r="H344" s="119"/>
    </row>
    <row r="345" spans="7:8" ht="18.75" customHeight="1">
      <c r="G345" s="121"/>
      <c r="H345" s="119"/>
    </row>
    <row r="346" spans="7:8" ht="18.75" customHeight="1">
      <c r="G346" s="121"/>
      <c r="H346" s="119"/>
    </row>
    <row r="347" spans="7:8" ht="18.75" customHeight="1">
      <c r="G347" s="121"/>
      <c r="H347" s="119"/>
    </row>
    <row r="348" spans="7:8" ht="18.75" customHeight="1">
      <c r="G348" s="121"/>
      <c r="H348" s="119"/>
    </row>
    <row r="349" spans="7:8" ht="18.75" customHeight="1">
      <c r="G349" s="121"/>
      <c r="H349" s="119"/>
    </row>
    <row r="350" spans="7:8" ht="18.75" customHeight="1">
      <c r="G350" s="121"/>
      <c r="H350" s="119"/>
    </row>
    <row r="351" spans="7:8" ht="18.75" customHeight="1">
      <c r="G351" s="121"/>
      <c r="H351" s="119"/>
    </row>
    <row r="352" spans="7:8" ht="18.75" customHeight="1">
      <c r="G352" s="121"/>
      <c r="H352" s="119"/>
    </row>
    <row r="353" spans="7:8" ht="18.75" customHeight="1">
      <c r="G353" s="121"/>
      <c r="H353" s="119"/>
    </row>
    <row r="354" spans="7:8" ht="18.75" customHeight="1">
      <c r="G354" s="121"/>
      <c r="H354" s="119"/>
    </row>
    <row r="355" spans="7:8" ht="18.75" customHeight="1">
      <c r="G355" s="121"/>
      <c r="H355" s="119"/>
    </row>
    <row r="356" spans="7:8" ht="18.75" customHeight="1">
      <c r="G356" s="121"/>
      <c r="H356" s="119"/>
    </row>
    <row r="357" spans="7:8" ht="18.75" customHeight="1">
      <c r="G357" s="121"/>
      <c r="H357" s="119"/>
    </row>
    <row r="358" spans="7:8" ht="18.75" customHeight="1">
      <c r="G358" s="121"/>
      <c r="H358" s="119"/>
    </row>
    <row r="359" spans="7:8" ht="18.75" customHeight="1">
      <c r="G359" s="121"/>
      <c r="H359" s="119"/>
    </row>
    <row r="360" spans="7:8" ht="18.75" customHeight="1">
      <c r="G360" s="121"/>
      <c r="H360" s="119"/>
    </row>
    <row r="361" spans="7:8" ht="18.75" customHeight="1">
      <c r="G361" s="121"/>
      <c r="H361" s="119"/>
    </row>
    <row r="362" spans="7:8" ht="18.75" customHeight="1">
      <c r="G362" s="121"/>
      <c r="H362" s="119"/>
    </row>
    <row r="363" spans="7:8" ht="18.75" customHeight="1">
      <c r="G363" s="121"/>
      <c r="H363" s="119"/>
    </row>
    <row r="364" spans="7:8" ht="18.75" customHeight="1">
      <c r="G364" s="121"/>
      <c r="H364" s="119"/>
    </row>
    <row r="365" spans="7:8" ht="18.75" customHeight="1">
      <c r="G365" s="121"/>
      <c r="H365" s="119"/>
    </row>
    <row r="366" spans="7:8" ht="18.75" customHeight="1">
      <c r="G366" s="121"/>
      <c r="H366" s="119"/>
    </row>
    <row r="367" spans="7:8" ht="18.75" customHeight="1">
      <c r="G367" s="121"/>
      <c r="H367" s="119"/>
    </row>
    <row r="368" spans="7:8" ht="18.75" customHeight="1">
      <c r="G368" s="121"/>
      <c r="H368" s="119"/>
    </row>
    <row r="369" spans="7:8" ht="18.75" customHeight="1">
      <c r="G369" s="121"/>
      <c r="H369" s="119"/>
    </row>
    <row r="370" spans="7:8" ht="18.75" customHeight="1">
      <c r="G370" s="121"/>
      <c r="H370" s="119"/>
    </row>
    <row r="371" spans="7:8" ht="18.75" customHeight="1">
      <c r="G371" s="121"/>
      <c r="H371" s="119"/>
    </row>
    <row r="372" spans="7:8" ht="18.75" customHeight="1">
      <c r="G372" s="121"/>
      <c r="H372" s="119"/>
    </row>
    <row r="373" spans="7:8" ht="18.75" customHeight="1">
      <c r="G373" s="121"/>
      <c r="H373" s="119"/>
    </row>
    <row r="374" spans="7:8" ht="18.75" customHeight="1">
      <c r="G374" s="121"/>
      <c r="H374" s="119"/>
    </row>
    <row r="375" spans="7:8" ht="18.75" customHeight="1">
      <c r="G375" s="121"/>
      <c r="H375" s="119"/>
    </row>
    <row r="376" spans="7:8" ht="18.75" customHeight="1">
      <c r="G376" s="121"/>
      <c r="H376" s="119"/>
    </row>
    <row r="377" spans="7:8" ht="18.75" customHeight="1">
      <c r="G377" s="121"/>
      <c r="H377" s="119"/>
    </row>
    <row r="378" spans="7:8" ht="18.75" customHeight="1">
      <c r="G378" s="121"/>
      <c r="H378" s="119"/>
    </row>
    <row r="379" spans="7:8" ht="18.75" customHeight="1">
      <c r="G379" s="121"/>
      <c r="H379" s="119"/>
    </row>
    <row r="380" spans="7:8" ht="18.75" customHeight="1">
      <c r="G380" s="121"/>
      <c r="H380" s="119"/>
    </row>
    <row r="381" spans="7:8" ht="18.75" customHeight="1">
      <c r="G381" s="121"/>
      <c r="H381" s="119"/>
    </row>
    <row r="382" spans="7:8" ht="18.75" customHeight="1">
      <c r="G382" s="121"/>
      <c r="H382" s="119"/>
    </row>
    <row r="383" spans="7:8" ht="18.75" customHeight="1">
      <c r="G383" s="121"/>
      <c r="H383" s="119"/>
    </row>
    <row r="384" spans="7:8" ht="18.75" customHeight="1">
      <c r="G384" s="121"/>
      <c r="H384" s="119"/>
    </row>
    <row r="385" spans="7:8" ht="18.75" customHeight="1">
      <c r="G385" s="121"/>
      <c r="H385" s="119"/>
    </row>
    <row r="386" spans="7:8" ht="18.75" customHeight="1">
      <c r="G386" s="121"/>
      <c r="H386" s="119"/>
    </row>
    <row r="387" spans="7:8" ht="18.75" customHeight="1">
      <c r="G387" s="121"/>
      <c r="H387" s="119"/>
    </row>
    <row r="388" spans="7:8" ht="18.75" customHeight="1">
      <c r="G388" s="121"/>
      <c r="H388" s="119"/>
    </row>
    <row r="389" spans="7:8" ht="18.75" customHeight="1">
      <c r="G389" s="121"/>
      <c r="H389" s="119"/>
    </row>
    <row r="390" spans="7:8" ht="18.75" customHeight="1">
      <c r="G390" s="121"/>
      <c r="H390" s="119"/>
    </row>
    <row r="391" spans="7:8" ht="18.75" customHeight="1">
      <c r="G391" s="121"/>
      <c r="H391" s="119"/>
    </row>
    <row r="392" spans="7:8" ht="18.75" customHeight="1">
      <c r="G392" s="121"/>
      <c r="H392" s="119"/>
    </row>
    <row r="393" spans="7:8" ht="18.75" customHeight="1">
      <c r="G393" s="121"/>
      <c r="H393" s="119"/>
    </row>
    <row r="394" spans="7:8" ht="18.75" customHeight="1">
      <c r="G394" s="121"/>
      <c r="H394" s="119"/>
    </row>
    <row r="395" spans="7:8" ht="18.75" customHeight="1">
      <c r="G395" s="121"/>
      <c r="H395" s="119"/>
    </row>
    <row r="396" spans="7:8" ht="18.75" customHeight="1">
      <c r="G396" s="121"/>
      <c r="H396" s="119"/>
    </row>
    <row r="397" spans="7:8" ht="18.75" customHeight="1">
      <c r="G397" s="121"/>
      <c r="H397" s="119"/>
    </row>
    <row r="398" spans="7:8" ht="18.75" customHeight="1">
      <c r="G398" s="121"/>
      <c r="H398" s="119"/>
    </row>
    <row r="399" spans="7:8" ht="18.75" customHeight="1">
      <c r="G399" s="121"/>
      <c r="H399" s="119"/>
    </row>
    <row r="400" spans="7:8" ht="18.75" customHeight="1">
      <c r="G400" s="121"/>
      <c r="H400" s="119"/>
    </row>
    <row r="401" spans="7:8" ht="18.75" customHeight="1">
      <c r="G401" s="121"/>
      <c r="H401" s="119"/>
    </row>
    <row r="402" spans="7:8" ht="18.75" customHeight="1">
      <c r="G402" s="121"/>
      <c r="H402" s="119"/>
    </row>
    <row r="403" spans="7:8" ht="18.75" customHeight="1">
      <c r="G403" s="121"/>
      <c r="H403" s="119"/>
    </row>
    <row r="404" spans="7:8" ht="18.75" customHeight="1">
      <c r="G404" s="121"/>
      <c r="H404" s="119"/>
    </row>
    <row r="405" spans="7:8" ht="18.75" customHeight="1">
      <c r="G405" s="121"/>
      <c r="H405" s="119"/>
    </row>
  </sheetData>
  <sheetProtection formatCells="0" formatColumns="0" formatRows="0" sort="0" autoFilter="0" pivotTables="0"/>
  <autoFilter ref="A1:H5"/>
  <dataConsolidate/>
  <conditionalFormatting sqref="B1:B1048576">
    <cfRule type="expression" dxfId="3190" priority="7">
      <formula xml:space="preserve"> AND(ISBLANK($B1),NOT(ISBLANK($A1)))</formula>
    </cfRule>
  </conditionalFormatting>
  <conditionalFormatting sqref="C1:C1048576">
    <cfRule type="expression" dxfId="3189" priority="6">
      <formula xml:space="preserve"> AND(ISBLANK($C1),NOT(ISBLANK($A1)))</formula>
    </cfRule>
  </conditionalFormatting>
  <conditionalFormatting sqref="D1:D1048576">
    <cfRule type="expression" dxfId="3188" priority="5">
      <formula xml:space="preserve"> AND(ISBLANK($D1),NOT(ISBLANK($A1)))</formula>
    </cfRule>
  </conditionalFormatting>
  <conditionalFormatting sqref="E1:E1048576">
    <cfRule type="expression" dxfId="3187" priority="4">
      <formula xml:space="preserve"> NOT(OR(ISNUMBER($E1),ISBLANK($A1)))</formula>
    </cfRule>
  </conditionalFormatting>
  <conditionalFormatting sqref="F1:F1048576">
    <cfRule type="expression" dxfId="3186" priority="3">
      <formula xml:space="preserve"> NOT(OR(ISNUMBER($F1),ISBLANK($A1)))</formula>
    </cfRule>
  </conditionalFormatting>
  <conditionalFormatting sqref="G1:G1048576">
    <cfRule type="expression" dxfId="3185" priority="2">
      <formula xml:space="preserve"> AND(NOT(ISNUMBER($G1)),NOT(ISBLANK($A1)))</formula>
    </cfRule>
  </conditionalFormatting>
  <conditionalFormatting sqref="H1:H1048576">
    <cfRule type="expression" dxfId="3184" priority="1">
      <formula>ISNA($H1)</formula>
    </cfRule>
  </conditionalFormatting>
  <pageMargins left="0.7" right="0.7" top="0.75" bottom="0.75" header="0.3" footer="0.3"/>
  <pageSetup paperSize="9" orientation="portrait"/>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width="5" style="104" bestFit="1" customWidth="1"/>
    <col min="2" max="2" width="11.140625" style="118" customWidth="1"/>
    <col min="3" max="3" width="32.7109375" style="120" customWidth="1"/>
    <col min="4" max="4" width="14" style="119" customWidth="1"/>
    <col min="5" max="6" width="14" style="194" customWidth="1"/>
    <col min="7" max="7" width="14" style="123" customWidth="1"/>
    <col min="8" max="8" width="10.5703125" style="104"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245" customWidth="1"/>
    <col min="23" max="25" width="13" style="80" customWidth="1"/>
    <col min="26" max="26" width="13" style="130" customWidth="1"/>
    <col min="27" max="27" width="13" style="80" customWidth="1"/>
    <col min="28" max="37" width="9.140625" style="80" customWidth="1"/>
    <col min="38" max="16384" width="9.140625" style="80"/>
  </cols>
  <sheetData>
    <row r="1" spans="1:29" s="104" customFormat="1" ht="33.75" customHeight="1">
      <c r="A1" s="109" t="s">
        <v>0</v>
      </c>
      <c r="B1" s="156" t="s">
        <v>5979</v>
      </c>
      <c r="C1" s="165" t="s">
        <v>5980</v>
      </c>
      <c r="D1" s="156" t="s">
        <v>5981</v>
      </c>
      <c r="E1" s="193" t="s">
        <v>5982</v>
      </c>
      <c r="F1" s="193" t="s">
        <v>5983</v>
      </c>
      <c r="G1" s="157" t="s">
        <v>5984</v>
      </c>
      <c r="H1" s="158" t="s">
        <v>5985</v>
      </c>
      <c r="I1" s="159" t="s">
        <v>6032</v>
      </c>
      <c r="J1" s="159" t="s">
        <v>5987</v>
      </c>
      <c r="K1" s="159" t="s">
        <v>5988</v>
      </c>
      <c r="L1" s="159" t="s">
        <v>5989</v>
      </c>
      <c r="M1" s="159" t="s">
        <v>5990</v>
      </c>
      <c r="N1" s="159" t="s">
        <v>5991</v>
      </c>
      <c r="O1" s="159" t="s">
        <v>5992</v>
      </c>
      <c r="P1" s="159" t="s">
        <v>5993</v>
      </c>
      <c r="Q1" s="160" t="s">
        <v>5994</v>
      </c>
      <c r="R1" s="161" t="s">
        <v>5720</v>
      </c>
      <c r="S1" s="161" t="s">
        <v>5995</v>
      </c>
      <c r="T1" s="161" t="s">
        <v>5996</v>
      </c>
      <c r="U1" s="125" t="s">
        <v>5997</v>
      </c>
      <c r="V1" s="248" t="s">
        <v>5998</v>
      </c>
      <c r="W1" s="126" t="s">
        <v>5999</v>
      </c>
      <c r="X1" s="126" t="s">
        <v>6000</v>
      </c>
      <c r="Y1" s="126" t="s">
        <v>6002</v>
      </c>
      <c r="Z1" s="129" t="s">
        <v>6003</v>
      </c>
      <c r="AA1" s="126" t="s">
        <v>6004</v>
      </c>
      <c r="AB1" s="195" t="s">
        <v>6005</v>
      </c>
      <c r="AC1" s="195" t="s">
        <v>6006</v>
      </c>
    </row>
    <row r="2" spans="1:29" ht="90">
      <c r="A2" s="218" t="s">
        <v>5417</v>
      </c>
      <c r="B2" s="210" t="s">
        <v>6699</v>
      </c>
      <c r="C2" s="210" t="s">
        <v>6785</v>
      </c>
      <c r="D2" s="210" t="s">
        <v>6786</v>
      </c>
      <c r="E2" s="211" t="s">
        <v>6712</v>
      </c>
      <c r="F2" s="211" t="s">
        <v>6715</v>
      </c>
      <c r="G2" s="210" t="s">
        <v>6787</v>
      </c>
      <c r="H2" s="212" t="s">
        <v>6788</v>
      </c>
      <c r="I2" s="213" t="s">
        <v>6789</v>
      </c>
      <c r="J2" s="220" t="s">
        <v>6790</v>
      </c>
      <c r="K2" s="220" t="s">
        <v>6791</v>
      </c>
      <c r="L2" s="213" t="s">
        <v>6792</v>
      </c>
      <c r="M2" s="221" t="s">
        <v>6793</v>
      </c>
      <c r="N2" s="220" t="s">
        <v>6794</v>
      </c>
      <c r="O2" s="220" t="s">
        <v>6795</v>
      </c>
      <c r="P2" s="220" t="s">
        <v>6796</v>
      </c>
      <c r="Q2" s="213" t="s">
        <v>6751</v>
      </c>
      <c r="R2" s="218" t="s">
        <v>6752</v>
      </c>
      <c r="S2" s="222" t="s">
        <v>6753</v>
      </c>
      <c r="T2" s="222" t="s">
        <v>6756</v>
      </c>
      <c r="U2" s="213" t="s">
        <v>5517</v>
      </c>
      <c r="V2" s="249" t="s">
        <v>6758</v>
      </c>
      <c r="W2" s="213" t="s">
        <v>6760</v>
      </c>
      <c r="X2" s="214" t="s">
        <v>6762</v>
      </c>
      <c r="Y2" s="213" t="s">
        <v>6797</v>
      </c>
      <c r="Z2" s="215" t="s">
        <v>6798</v>
      </c>
      <c r="AA2" s="213" t="s">
        <v>6771</v>
      </c>
      <c r="AB2" s="218" t="s">
        <v>6782</v>
      </c>
      <c r="AC2" s="218" t="s">
        <v>6784</v>
      </c>
    </row>
    <row r="3" spans="1:29" ht="229.5">
      <c r="A3" s="110">
        <v>1</v>
      </c>
      <c r="B3" s="202" t="s">
        <v>5522</v>
      </c>
      <c r="C3" s="203" t="s">
        <v>5523</v>
      </c>
      <c r="D3" s="204" t="s">
        <v>5351</v>
      </c>
      <c r="E3" s="205">
        <v>105.76466000000001</v>
      </c>
      <c r="F3" s="205">
        <v>21.029509000000001</v>
      </c>
      <c r="G3" s="206">
        <v>1</v>
      </c>
      <c r="H3" s="110">
        <v>3</v>
      </c>
      <c r="I3" s="131" t="s">
        <v>5745</v>
      </c>
      <c r="J3" s="131" t="s">
        <v>5725</v>
      </c>
      <c r="K3" s="131" t="s">
        <v>5726</v>
      </c>
      <c r="L3" s="131" t="s">
        <v>5727</v>
      </c>
      <c r="M3" s="207" t="s">
        <v>5728</v>
      </c>
      <c r="N3" s="131" t="s">
        <v>5729</v>
      </c>
      <c r="O3" s="131" t="s">
        <v>5730</v>
      </c>
      <c r="P3" s="131" t="s">
        <v>5731</v>
      </c>
      <c r="Q3" s="131" t="b">
        <v>1</v>
      </c>
      <c r="R3" s="131" t="s">
        <v>5524</v>
      </c>
      <c r="S3" s="131">
        <v>0</v>
      </c>
      <c r="T3" s="131" t="s">
        <v>5732</v>
      </c>
      <c r="U3" s="131" t="s">
        <v>5525</v>
      </c>
      <c r="V3" s="250">
        <v>43756</v>
      </c>
      <c r="W3" s="131" t="b">
        <v>0</v>
      </c>
      <c r="X3" s="208" t="b">
        <v>0</v>
      </c>
      <c r="Y3" s="131" t="b">
        <v>1</v>
      </c>
      <c r="Z3" s="209">
        <v>50</v>
      </c>
      <c r="AA3" s="131" t="b">
        <v>0</v>
      </c>
      <c r="AB3" s="131" t="s">
        <v>5734</v>
      </c>
      <c r="AC3" s="131" t="s">
        <v>5735</v>
      </c>
    </row>
    <row r="4" spans="1:29" ht="153">
      <c r="A4" s="110">
        <v>2</v>
      </c>
      <c r="B4" s="202" t="s">
        <v>5526</v>
      </c>
      <c r="C4" s="203" t="s">
        <v>5527</v>
      </c>
      <c r="D4" s="204" t="s">
        <v>5351</v>
      </c>
      <c r="E4" s="205">
        <v>105.762325</v>
      </c>
      <c r="F4" s="205">
        <v>21.030860000000001</v>
      </c>
      <c r="G4" s="206">
        <v>1</v>
      </c>
      <c r="H4" s="110">
        <v>2</v>
      </c>
      <c r="I4" s="131" t="s">
        <v>5771</v>
      </c>
      <c r="J4" s="131" t="s">
        <v>5763</v>
      </c>
      <c r="K4" s="131" t="s">
        <v>5764</v>
      </c>
      <c r="L4" s="131" t="s">
        <v>5765</v>
      </c>
      <c r="M4" s="207" t="s">
        <v>5766</v>
      </c>
      <c r="N4" s="131" t="s">
        <v>5767</v>
      </c>
      <c r="O4" s="131" t="s">
        <v>5768</v>
      </c>
      <c r="P4" s="131" t="s">
        <v>5769</v>
      </c>
      <c r="Q4" s="131" t="b">
        <v>1</v>
      </c>
      <c r="R4" s="131" t="s">
        <v>5528</v>
      </c>
      <c r="S4" s="131">
        <v>0</v>
      </c>
      <c r="T4" s="131" t="s">
        <v>5732</v>
      </c>
      <c r="U4" s="131" t="s">
        <v>5529</v>
      </c>
      <c r="V4" s="250">
        <v>43756</v>
      </c>
      <c r="W4" s="131" t="b">
        <v>0</v>
      </c>
      <c r="X4" s="208" t="b">
        <v>0</v>
      </c>
      <c r="Y4" s="131" t="b">
        <v>1</v>
      </c>
      <c r="Z4" s="209">
        <v>36</v>
      </c>
      <c r="AA4" s="131" t="b">
        <v>0</v>
      </c>
      <c r="AB4" s="131" t="s">
        <v>5734</v>
      </c>
      <c r="AC4" s="131" t="s">
        <v>5735</v>
      </c>
    </row>
    <row r="5" spans="1:29" ht="153">
      <c r="A5" s="110">
        <v>3</v>
      </c>
      <c r="B5" s="202" t="s">
        <v>5530</v>
      </c>
      <c r="C5" s="203" t="s">
        <v>5531</v>
      </c>
      <c r="D5" s="204" t="s">
        <v>5351</v>
      </c>
      <c r="E5" s="205">
        <v>105.759331</v>
      </c>
      <c r="F5" s="205">
        <v>21.030373999999998</v>
      </c>
      <c r="G5" s="206">
        <v>1</v>
      </c>
      <c r="H5" s="110">
        <v>2</v>
      </c>
      <c r="I5" s="131" t="s">
        <v>5771</v>
      </c>
      <c r="J5" s="131" t="s">
        <v>5775</v>
      </c>
      <c r="K5" s="131" t="s">
        <v>5764</v>
      </c>
      <c r="L5" s="131" t="s">
        <v>5765</v>
      </c>
      <c r="M5" s="207" t="s">
        <v>5766</v>
      </c>
      <c r="N5" s="131" t="s">
        <v>5767</v>
      </c>
      <c r="O5" s="131" t="s">
        <v>5768</v>
      </c>
      <c r="P5" s="131" t="s">
        <v>5776</v>
      </c>
      <c r="Q5" s="131" t="b">
        <v>1</v>
      </c>
      <c r="R5" s="131" t="s">
        <v>5532</v>
      </c>
      <c r="S5" s="131">
        <v>0</v>
      </c>
      <c r="T5" s="131" t="s">
        <v>5732</v>
      </c>
      <c r="U5" s="131" t="s">
        <v>5533</v>
      </c>
      <c r="V5" s="250">
        <v>43756</v>
      </c>
      <c r="W5" s="131" t="b">
        <v>0</v>
      </c>
      <c r="X5" s="208" t="b">
        <v>0</v>
      </c>
      <c r="Y5" s="131" t="b">
        <v>1</v>
      </c>
      <c r="Z5" s="209">
        <v>12</v>
      </c>
      <c r="AA5" s="131" t="b">
        <v>0</v>
      </c>
      <c r="AB5" s="131" t="s">
        <v>5734</v>
      </c>
      <c r="AC5" s="131" t="s">
        <v>5735</v>
      </c>
    </row>
    <row r="6" spans="1:29" ht="153">
      <c r="A6" s="110">
        <v>4</v>
      </c>
      <c r="B6" s="202" t="s">
        <v>5534</v>
      </c>
      <c r="C6" s="203" t="s">
        <v>5535</v>
      </c>
      <c r="D6" s="204" t="s">
        <v>5351</v>
      </c>
      <c r="E6" s="205">
        <v>105.77749</v>
      </c>
      <c r="F6" s="205">
        <v>21.019984000000001</v>
      </c>
      <c r="G6" s="206">
        <v>1</v>
      </c>
      <c r="H6" s="110">
        <v>2</v>
      </c>
      <c r="I6" s="131" t="s">
        <v>5771</v>
      </c>
      <c r="J6" s="131" t="s">
        <v>5780</v>
      </c>
      <c r="K6" s="131" t="s">
        <v>5764</v>
      </c>
      <c r="L6" s="131" t="s">
        <v>5765</v>
      </c>
      <c r="M6" s="207" t="s">
        <v>5766</v>
      </c>
      <c r="N6" s="131" t="s">
        <v>5767</v>
      </c>
      <c r="O6" s="131" t="s">
        <v>5768</v>
      </c>
      <c r="P6" s="131" t="s">
        <v>5781</v>
      </c>
      <c r="Q6" s="131" t="b">
        <v>1</v>
      </c>
      <c r="R6" s="131" t="s">
        <v>5536</v>
      </c>
      <c r="S6" s="131">
        <v>0</v>
      </c>
      <c r="T6" s="131" t="s">
        <v>5732</v>
      </c>
      <c r="U6" s="131" t="s">
        <v>5537</v>
      </c>
      <c r="V6" s="250">
        <v>43756</v>
      </c>
      <c r="W6" s="131" t="b">
        <v>0</v>
      </c>
      <c r="X6" s="208" t="b">
        <v>0</v>
      </c>
      <c r="Y6" s="131" t="b">
        <v>1</v>
      </c>
      <c r="Z6" s="209">
        <v>36</v>
      </c>
      <c r="AA6" s="131" t="b">
        <v>0</v>
      </c>
      <c r="AB6" s="131" t="s">
        <v>5734</v>
      </c>
      <c r="AC6" s="131" t="s">
        <v>5735</v>
      </c>
    </row>
    <row r="7" spans="1:29" ht="153">
      <c r="A7" s="110">
        <v>5</v>
      </c>
      <c r="B7" s="202" t="s">
        <v>5538</v>
      </c>
      <c r="C7" s="203" t="s">
        <v>5539</v>
      </c>
      <c r="D7" s="204" t="s">
        <v>5351</v>
      </c>
      <c r="E7" s="205">
        <v>105.775795</v>
      </c>
      <c r="F7" s="205">
        <v>21.017797000000002</v>
      </c>
      <c r="G7" s="206">
        <v>1</v>
      </c>
      <c r="H7" s="110">
        <v>2</v>
      </c>
      <c r="I7" s="131" t="s">
        <v>5771</v>
      </c>
      <c r="J7" s="131" t="s">
        <v>5786</v>
      </c>
      <c r="K7" s="131" t="s">
        <v>5764</v>
      </c>
      <c r="L7" s="131" t="s">
        <v>5765</v>
      </c>
      <c r="M7" s="207" t="s">
        <v>5766</v>
      </c>
      <c r="N7" s="131" t="s">
        <v>5767</v>
      </c>
      <c r="O7" s="131" t="s">
        <v>5768</v>
      </c>
      <c r="P7" s="131" t="s">
        <v>5769</v>
      </c>
      <c r="Q7" s="131" t="b">
        <v>1</v>
      </c>
      <c r="R7" s="131" t="s">
        <v>5540</v>
      </c>
      <c r="S7" s="131">
        <v>0</v>
      </c>
      <c r="T7" s="131" t="s">
        <v>5732</v>
      </c>
      <c r="U7" s="131" t="s">
        <v>5541</v>
      </c>
      <c r="V7" s="250">
        <v>43756</v>
      </c>
      <c r="W7" s="131" t="b">
        <v>0</v>
      </c>
      <c r="X7" s="208" t="b">
        <v>0</v>
      </c>
      <c r="Y7" s="131" t="b">
        <v>1</v>
      </c>
      <c r="Z7" s="209">
        <v>40</v>
      </c>
      <c r="AA7" s="131" t="b">
        <v>0</v>
      </c>
      <c r="AB7" s="131" t="s">
        <v>5734</v>
      </c>
      <c r="AC7" s="131" t="s">
        <v>5735</v>
      </c>
    </row>
    <row r="8" spans="1:29" ht="153">
      <c r="A8" s="110">
        <v>6</v>
      </c>
      <c r="B8" s="202" t="s">
        <v>5542</v>
      </c>
      <c r="C8" s="203" t="s">
        <v>5543</v>
      </c>
      <c r="D8" s="204" t="s">
        <v>5351</v>
      </c>
      <c r="E8" s="205">
        <v>105.779681</v>
      </c>
      <c r="F8" s="205">
        <v>21.011955</v>
      </c>
      <c r="G8" s="206">
        <v>1</v>
      </c>
      <c r="H8" s="110">
        <v>2</v>
      </c>
      <c r="I8" s="131" t="s">
        <v>5771</v>
      </c>
      <c r="J8" s="131" t="s">
        <v>5788</v>
      </c>
      <c r="K8" s="131" t="s">
        <v>5764</v>
      </c>
      <c r="L8" s="131" t="s">
        <v>5765</v>
      </c>
      <c r="M8" s="207" t="s">
        <v>5766</v>
      </c>
      <c r="N8" s="131" t="s">
        <v>5767</v>
      </c>
      <c r="O8" s="131" t="s">
        <v>5768</v>
      </c>
      <c r="P8" s="131" t="s">
        <v>5789</v>
      </c>
      <c r="Q8" s="131" t="b">
        <v>1</v>
      </c>
      <c r="R8" s="131" t="s">
        <v>5544</v>
      </c>
      <c r="S8" s="131">
        <v>0</v>
      </c>
      <c r="T8" s="131" t="s">
        <v>5732</v>
      </c>
      <c r="U8" s="131" t="s">
        <v>5545</v>
      </c>
      <c r="V8" s="250">
        <v>43756</v>
      </c>
      <c r="W8" s="131" t="b">
        <v>0</v>
      </c>
      <c r="X8" s="208" t="b">
        <v>0</v>
      </c>
      <c r="Y8" s="131" t="b">
        <v>1</v>
      </c>
      <c r="Z8" s="209">
        <v>36</v>
      </c>
      <c r="AA8" s="131" t="b">
        <v>0</v>
      </c>
      <c r="AB8" s="131" t="s">
        <v>5734</v>
      </c>
      <c r="AC8" s="131" t="s">
        <v>5735</v>
      </c>
    </row>
    <row r="9" spans="1:29" ht="127.5">
      <c r="A9" s="110">
        <v>7</v>
      </c>
      <c r="B9" s="202" t="s">
        <v>5546</v>
      </c>
      <c r="C9" s="203" t="s">
        <v>5547</v>
      </c>
      <c r="D9" s="204" t="s">
        <v>5351</v>
      </c>
      <c r="E9" s="205">
        <v>105.765581</v>
      </c>
      <c r="F9" s="205">
        <v>21.013064</v>
      </c>
      <c r="G9" s="206">
        <v>1</v>
      </c>
      <c r="H9" s="110">
        <v>3</v>
      </c>
      <c r="I9" s="131" t="s">
        <v>5745</v>
      </c>
      <c r="J9" s="131" t="s">
        <v>5794</v>
      </c>
      <c r="K9" s="131" t="s">
        <v>5795</v>
      </c>
      <c r="L9" s="131" t="s">
        <v>5727</v>
      </c>
      <c r="M9" s="207" t="s">
        <v>5728</v>
      </c>
      <c r="N9" s="131" t="s">
        <v>5729</v>
      </c>
      <c r="O9" s="131" t="s">
        <v>5730</v>
      </c>
      <c r="P9" s="131" t="s">
        <v>5796</v>
      </c>
      <c r="Q9" s="131" t="b">
        <v>1</v>
      </c>
      <c r="R9" s="131" t="s">
        <v>5548</v>
      </c>
      <c r="S9" s="131">
        <v>0</v>
      </c>
      <c r="T9" s="131" t="s">
        <v>5732</v>
      </c>
      <c r="U9" s="131" t="s">
        <v>5549</v>
      </c>
      <c r="V9" s="250">
        <v>43756</v>
      </c>
      <c r="W9" s="131" t="b">
        <v>0</v>
      </c>
      <c r="X9" s="208" t="b">
        <v>0</v>
      </c>
      <c r="Y9" s="131" t="b">
        <v>1</v>
      </c>
      <c r="Z9" s="209">
        <v>24</v>
      </c>
      <c r="AA9" s="131" t="b">
        <v>0</v>
      </c>
      <c r="AB9" s="131" t="s">
        <v>5734</v>
      </c>
      <c r="AC9" s="131" t="s">
        <v>5735</v>
      </c>
    </row>
    <row r="10" spans="1:29" ht="153">
      <c r="A10" s="110">
        <v>8</v>
      </c>
      <c r="B10" s="202" t="s">
        <v>5550</v>
      </c>
      <c r="C10" s="203" t="s">
        <v>5551</v>
      </c>
      <c r="D10" s="204" t="s">
        <v>5351</v>
      </c>
      <c r="E10" s="205">
        <v>105.782861</v>
      </c>
      <c r="F10" s="205">
        <v>21.012195999999999</v>
      </c>
      <c r="G10" s="206">
        <v>1</v>
      </c>
      <c r="H10" s="110">
        <v>2</v>
      </c>
      <c r="I10" s="131" t="s">
        <v>5771</v>
      </c>
      <c r="J10" s="131" t="s">
        <v>5803</v>
      </c>
      <c r="K10" s="131" t="s">
        <v>5764</v>
      </c>
      <c r="L10" s="131" t="s">
        <v>5765</v>
      </c>
      <c r="M10" s="207" t="s">
        <v>5766</v>
      </c>
      <c r="N10" s="131" t="s">
        <v>5767</v>
      </c>
      <c r="O10" s="131" t="s">
        <v>5768</v>
      </c>
      <c r="P10" s="131" t="s">
        <v>5804</v>
      </c>
      <c r="Q10" s="131" t="b">
        <v>1</v>
      </c>
      <c r="R10" s="131" t="s">
        <v>5552</v>
      </c>
      <c r="S10" s="131">
        <v>0</v>
      </c>
      <c r="T10" s="131" t="s">
        <v>5732</v>
      </c>
      <c r="U10" s="131" t="s">
        <v>5553</v>
      </c>
      <c r="V10" s="250">
        <v>43756</v>
      </c>
      <c r="W10" s="131" t="b">
        <v>0</v>
      </c>
      <c r="X10" s="208" t="b">
        <v>0</v>
      </c>
      <c r="Y10" s="131" t="b">
        <v>1</v>
      </c>
      <c r="Z10" s="209">
        <v>26</v>
      </c>
      <c r="AA10" s="131" t="b">
        <v>0</v>
      </c>
      <c r="AB10" s="131" t="s">
        <v>5734</v>
      </c>
      <c r="AC10" s="131" t="s">
        <v>5735</v>
      </c>
    </row>
    <row r="11" spans="1:29" ht="127.5">
      <c r="A11" s="110">
        <v>9</v>
      </c>
      <c r="B11" s="202" t="s">
        <v>5554</v>
      </c>
      <c r="C11" s="203" t="s">
        <v>5555</v>
      </c>
      <c r="D11" s="204" t="s">
        <v>5351</v>
      </c>
      <c r="E11" s="205">
        <v>105.753192</v>
      </c>
      <c r="F11" s="205">
        <v>20.995712000000001</v>
      </c>
      <c r="G11" s="206">
        <v>1</v>
      </c>
      <c r="H11" s="110">
        <v>3</v>
      </c>
      <c r="I11" s="131" t="s">
        <v>5745</v>
      </c>
      <c r="J11" s="131" t="s">
        <v>5808</v>
      </c>
      <c r="K11" s="131" t="s">
        <v>5809</v>
      </c>
      <c r="L11" s="131" t="s">
        <v>5727</v>
      </c>
      <c r="M11" s="207" t="s">
        <v>5728</v>
      </c>
      <c r="N11" s="131" t="s">
        <v>5810</v>
      </c>
      <c r="O11" s="131" t="s">
        <v>5811</v>
      </c>
      <c r="P11" s="131" t="s">
        <v>5812</v>
      </c>
      <c r="Q11" s="131" t="b">
        <v>1</v>
      </c>
      <c r="R11" s="131" t="s">
        <v>5556</v>
      </c>
      <c r="S11" s="131">
        <v>0</v>
      </c>
      <c r="T11" s="131" t="s">
        <v>5732</v>
      </c>
      <c r="U11" s="131" t="s">
        <v>5557</v>
      </c>
      <c r="V11" s="250">
        <v>43756</v>
      </c>
      <c r="W11" s="131" t="b">
        <v>0</v>
      </c>
      <c r="X11" s="208" t="b">
        <v>0</v>
      </c>
      <c r="Y11" s="131" t="b">
        <v>1</v>
      </c>
      <c r="Z11" s="209">
        <v>16</v>
      </c>
      <c r="AA11" s="131" t="b">
        <v>0</v>
      </c>
      <c r="AB11" s="131" t="s">
        <v>5734</v>
      </c>
      <c r="AC11" s="131" t="s">
        <v>5735</v>
      </c>
    </row>
    <row r="12" spans="1:29" ht="153">
      <c r="A12" s="110">
        <v>10</v>
      </c>
      <c r="B12" s="202" t="s">
        <v>5558</v>
      </c>
      <c r="C12" s="203" t="s">
        <v>5559</v>
      </c>
      <c r="D12" s="204" t="s">
        <v>5351</v>
      </c>
      <c r="E12" s="205">
        <v>105.76770999999999</v>
      </c>
      <c r="F12" s="205">
        <v>21.013743999999999</v>
      </c>
      <c r="G12" s="206">
        <v>1</v>
      </c>
      <c r="H12" s="110">
        <v>2</v>
      </c>
      <c r="I12" s="131" t="s">
        <v>5771</v>
      </c>
      <c r="J12" s="131" t="s">
        <v>5817</v>
      </c>
      <c r="K12" s="131" t="s">
        <v>5764</v>
      </c>
      <c r="L12" s="131" t="s">
        <v>5765</v>
      </c>
      <c r="M12" s="207" t="s">
        <v>5766</v>
      </c>
      <c r="N12" s="131" t="s">
        <v>5767</v>
      </c>
      <c r="O12" s="131" t="s">
        <v>5768</v>
      </c>
      <c r="P12" s="131" t="s">
        <v>5804</v>
      </c>
      <c r="Q12" s="131" t="b">
        <v>1</v>
      </c>
      <c r="R12" s="131" t="s">
        <v>5560</v>
      </c>
      <c r="S12" s="131">
        <v>0</v>
      </c>
      <c r="T12" s="131" t="s">
        <v>5732</v>
      </c>
      <c r="U12" s="131" t="s">
        <v>5561</v>
      </c>
      <c r="V12" s="250">
        <v>43756</v>
      </c>
      <c r="W12" s="131" t="b">
        <v>0</v>
      </c>
      <c r="X12" s="208" t="b">
        <v>0</v>
      </c>
      <c r="Y12" s="131" t="b">
        <v>1</v>
      </c>
      <c r="Z12" s="209">
        <v>26</v>
      </c>
      <c r="AA12" s="131" t="b">
        <v>0</v>
      </c>
      <c r="AB12" s="131" t="s">
        <v>5734</v>
      </c>
      <c r="AC12" s="131" t="s">
        <v>5735</v>
      </c>
    </row>
    <row r="13" spans="1:29" ht="127.5">
      <c r="A13" s="110">
        <v>11</v>
      </c>
      <c r="B13" s="202" t="s">
        <v>5562</v>
      </c>
      <c r="C13" s="203" t="s">
        <v>5563</v>
      </c>
      <c r="D13" s="204" t="s">
        <v>5351</v>
      </c>
      <c r="E13" s="205">
        <v>105.744625</v>
      </c>
      <c r="F13" s="205">
        <v>21.002666999999999</v>
      </c>
      <c r="G13" s="206">
        <v>1</v>
      </c>
      <c r="H13" s="110">
        <v>3</v>
      </c>
      <c r="I13" s="131" t="s">
        <v>5745</v>
      </c>
      <c r="J13" s="131" t="s">
        <v>5819</v>
      </c>
      <c r="K13" s="131" t="s">
        <v>5795</v>
      </c>
      <c r="L13" s="131" t="s">
        <v>5727</v>
      </c>
      <c r="M13" s="207" t="s">
        <v>5728</v>
      </c>
      <c r="N13" s="131" t="s">
        <v>5729</v>
      </c>
      <c r="O13" s="131" t="s">
        <v>5730</v>
      </c>
      <c r="P13" s="131" t="s">
        <v>5820</v>
      </c>
      <c r="Q13" s="131" t="b">
        <v>1</v>
      </c>
      <c r="R13" s="131" t="s">
        <v>5564</v>
      </c>
      <c r="S13" s="131">
        <v>0</v>
      </c>
      <c r="T13" s="131" t="s">
        <v>5732</v>
      </c>
      <c r="U13" s="131" t="s">
        <v>5565</v>
      </c>
      <c r="V13" s="250">
        <v>43756</v>
      </c>
      <c r="W13" s="131" t="b">
        <v>0</v>
      </c>
      <c r="X13" s="208" t="b">
        <v>0</v>
      </c>
      <c r="Y13" s="131" t="b">
        <v>1</v>
      </c>
      <c r="Z13" s="209">
        <v>12</v>
      </c>
      <c r="AA13" s="131" t="b">
        <v>0</v>
      </c>
      <c r="AB13" s="131" t="s">
        <v>5734</v>
      </c>
      <c r="AC13" s="131" t="s">
        <v>5735</v>
      </c>
    </row>
    <row r="14" spans="1:29" ht="127.5">
      <c r="A14" s="110">
        <v>12</v>
      </c>
      <c r="B14" s="202" t="s">
        <v>5566</v>
      </c>
      <c r="C14" s="203" t="s">
        <v>5567</v>
      </c>
      <c r="D14" s="204" t="s">
        <v>5351</v>
      </c>
      <c r="E14" s="205">
        <v>105.73210400000001</v>
      </c>
      <c r="F14" s="205">
        <v>21.050927999999999</v>
      </c>
      <c r="G14" s="206">
        <v>1</v>
      </c>
      <c r="H14" s="110">
        <v>3</v>
      </c>
      <c r="I14" s="131" t="s">
        <v>5745</v>
      </c>
      <c r="J14" s="131" t="s">
        <v>5823</v>
      </c>
      <c r="K14" s="131" t="s">
        <v>5795</v>
      </c>
      <c r="L14" s="131" t="s">
        <v>5727</v>
      </c>
      <c r="M14" s="207" t="s">
        <v>5728</v>
      </c>
      <c r="N14" s="131" t="s">
        <v>5729</v>
      </c>
      <c r="O14" s="131" t="s">
        <v>5730</v>
      </c>
      <c r="P14" s="131" t="s">
        <v>5824</v>
      </c>
      <c r="Q14" s="131" t="b">
        <v>1</v>
      </c>
      <c r="R14" s="131" t="s">
        <v>5568</v>
      </c>
      <c r="S14" s="131">
        <v>0</v>
      </c>
      <c r="T14" s="131" t="s">
        <v>5732</v>
      </c>
      <c r="U14" s="131" t="s">
        <v>5569</v>
      </c>
      <c r="V14" s="250">
        <v>43756</v>
      </c>
      <c r="W14" s="131" t="b">
        <v>0</v>
      </c>
      <c r="X14" s="208" t="b">
        <v>0</v>
      </c>
      <c r="Y14" s="131" t="b">
        <v>1</v>
      </c>
      <c r="Z14" s="209">
        <v>12</v>
      </c>
      <c r="AA14" s="131" t="b">
        <v>0</v>
      </c>
      <c r="AB14" s="131" t="s">
        <v>5734</v>
      </c>
      <c r="AC14" s="131" t="s">
        <v>5735</v>
      </c>
    </row>
    <row r="15" spans="1:29" ht="63.75">
      <c r="A15" s="110">
        <v>13</v>
      </c>
      <c r="B15" s="202" t="s">
        <v>5570</v>
      </c>
      <c r="C15" s="203" t="s">
        <v>5571</v>
      </c>
      <c r="D15" s="204" t="s">
        <v>5351</v>
      </c>
      <c r="E15" s="205">
        <v>105.847146</v>
      </c>
      <c r="F15" s="205">
        <v>20.960182</v>
      </c>
      <c r="G15" s="206">
        <v>1</v>
      </c>
      <c r="H15" s="110">
        <v>2</v>
      </c>
      <c r="I15" s="131" t="s">
        <v>5771</v>
      </c>
      <c r="J15" s="131" t="s">
        <v>5829</v>
      </c>
      <c r="K15" s="131" t="s">
        <v>5830</v>
      </c>
      <c r="L15" s="131" t="s">
        <v>5765</v>
      </c>
      <c r="M15" s="207" t="s">
        <v>5831</v>
      </c>
      <c r="N15" s="131" t="s">
        <v>5832</v>
      </c>
      <c r="O15" s="131" t="s">
        <v>5833</v>
      </c>
      <c r="P15" s="131" t="s">
        <v>5834</v>
      </c>
      <c r="Q15" s="131" t="b">
        <v>1</v>
      </c>
      <c r="R15" s="131" t="s">
        <v>5572</v>
      </c>
      <c r="S15" s="131">
        <v>0</v>
      </c>
      <c r="T15" s="131" t="s">
        <v>5732</v>
      </c>
      <c r="U15" s="131" t="s">
        <v>5573</v>
      </c>
      <c r="V15" s="250">
        <v>43756</v>
      </c>
      <c r="W15" s="131" t="b">
        <v>0</v>
      </c>
      <c r="X15" s="208" t="b">
        <v>0</v>
      </c>
      <c r="Y15" s="131" t="b">
        <v>1</v>
      </c>
      <c r="Z15" s="209">
        <v>30</v>
      </c>
      <c r="AA15" s="131" t="b">
        <v>0</v>
      </c>
      <c r="AB15" s="131" t="s">
        <v>5734</v>
      </c>
      <c r="AC15" s="131" t="s">
        <v>5735</v>
      </c>
    </row>
    <row r="16" spans="1:29" ht="153">
      <c r="A16" s="110">
        <v>14</v>
      </c>
      <c r="B16" s="202" t="s">
        <v>5574</v>
      </c>
      <c r="C16" s="203" t="s">
        <v>5575</v>
      </c>
      <c r="D16" s="204" t="s">
        <v>5351</v>
      </c>
      <c r="E16" s="205">
        <v>105.89388599999999</v>
      </c>
      <c r="F16" s="205">
        <v>20.975974000000001</v>
      </c>
      <c r="G16" s="206">
        <v>1</v>
      </c>
      <c r="H16" s="110">
        <v>2</v>
      </c>
      <c r="I16" s="131" t="s">
        <v>5771</v>
      </c>
      <c r="J16" s="131" t="s">
        <v>5840</v>
      </c>
      <c r="K16" s="131" t="s">
        <v>5764</v>
      </c>
      <c r="L16" s="131" t="s">
        <v>5765</v>
      </c>
      <c r="M16" s="207" t="s">
        <v>5766</v>
      </c>
      <c r="N16" s="131" t="s">
        <v>5767</v>
      </c>
      <c r="O16" s="131" t="s">
        <v>5768</v>
      </c>
      <c r="P16" s="131" t="s">
        <v>5841</v>
      </c>
      <c r="Q16" s="131" t="b">
        <v>1</v>
      </c>
      <c r="R16" s="131" t="s">
        <v>5576</v>
      </c>
      <c r="S16" s="131">
        <v>0</v>
      </c>
      <c r="T16" s="131" t="s">
        <v>5732</v>
      </c>
      <c r="U16" s="131" t="s">
        <v>5577</v>
      </c>
      <c r="V16" s="250">
        <v>43756</v>
      </c>
      <c r="W16" s="131" t="b">
        <v>0</v>
      </c>
      <c r="X16" s="208" t="b">
        <v>0</v>
      </c>
      <c r="Y16" s="131" t="b">
        <v>1</v>
      </c>
      <c r="Z16" s="209">
        <v>20</v>
      </c>
      <c r="AA16" s="131" t="b">
        <v>0</v>
      </c>
      <c r="AB16" s="131" t="s">
        <v>5734</v>
      </c>
      <c r="AC16" s="131" t="s">
        <v>5735</v>
      </c>
    </row>
    <row r="17" spans="1:29" ht="153">
      <c r="A17" s="110">
        <v>15</v>
      </c>
      <c r="B17" s="202" t="s">
        <v>5578</v>
      </c>
      <c r="C17" s="203" t="s">
        <v>5579</v>
      </c>
      <c r="D17" s="204" t="s">
        <v>5351</v>
      </c>
      <c r="E17" s="205">
        <v>105.878833</v>
      </c>
      <c r="F17" s="205">
        <v>20.981013000000001</v>
      </c>
      <c r="G17" s="206">
        <v>1</v>
      </c>
      <c r="H17" s="110">
        <v>2</v>
      </c>
      <c r="I17" s="131" t="s">
        <v>5771</v>
      </c>
      <c r="J17" s="131" t="s">
        <v>5846</v>
      </c>
      <c r="K17" s="131" t="s">
        <v>5764</v>
      </c>
      <c r="L17" s="131" t="s">
        <v>5847</v>
      </c>
      <c r="M17" s="207" t="s">
        <v>5848</v>
      </c>
      <c r="N17" s="131" t="s">
        <v>5849</v>
      </c>
      <c r="O17" s="131" t="s">
        <v>5768</v>
      </c>
      <c r="P17" s="131" t="s">
        <v>5850</v>
      </c>
      <c r="Q17" s="131" t="b">
        <v>1</v>
      </c>
      <c r="R17" s="131" t="s">
        <v>5580</v>
      </c>
      <c r="S17" s="131">
        <v>0</v>
      </c>
      <c r="T17" s="131" t="s">
        <v>5732</v>
      </c>
      <c r="U17" s="131" t="s">
        <v>5581</v>
      </c>
      <c r="V17" s="250">
        <v>43756</v>
      </c>
      <c r="W17" s="131" t="b">
        <v>0</v>
      </c>
      <c r="X17" s="208" t="b">
        <v>0</v>
      </c>
      <c r="Y17" s="131" t="b">
        <v>1</v>
      </c>
      <c r="Z17" s="209">
        <v>50</v>
      </c>
      <c r="AA17" s="131" t="b">
        <v>0</v>
      </c>
      <c r="AB17" s="131" t="s">
        <v>5734</v>
      </c>
      <c r="AC17" s="131" t="s">
        <v>5735</v>
      </c>
    </row>
    <row r="18" spans="1:29" ht="153">
      <c r="A18" s="110">
        <v>16</v>
      </c>
      <c r="B18" s="202" t="s">
        <v>5582</v>
      </c>
      <c r="C18" s="203" t="s">
        <v>5583</v>
      </c>
      <c r="D18" s="204" t="s">
        <v>5351</v>
      </c>
      <c r="E18" s="205">
        <v>105.850808</v>
      </c>
      <c r="F18" s="205">
        <v>20.971896999999998</v>
      </c>
      <c r="G18" s="206">
        <v>1</v>
      </c>
      <c r="H18" s="110">
        <v>2</v>
      </c>
      <c r="I18" s="131" t="s">
        <v>5771</v>
      </c>
      <c r="J18" s="131" t="s">
        <v>5858</v>
      </c>
      <c r="K18" s="131" t="s">
        <v>5764</v>
      </c>
      <c r="L18" s="131" t="s">
        <v>5765</v>
      </c>
      <c r="M18" s="207" t="s">
        <v>5766</v>
      </c>
      <c r="N18" s="131" t="s">
        <v>5767</v>
      </c>
      <c r="O18" s="131" t="s">
        <v>5768</v>
      </c>
      <c r="P18" s="131" t="s">
        <v>5859</v>
      </c>
      <c r="Q18" s="131" t="b">
        <v>1</v>
      </c>
      <c r="R18" s="131" t="s">
        <v>5584</v>
      </c>
      <c r="S18" s="131">
        <v>0</v>
      </c>
      <c r="T18" s="131" t="s">
        <v>5732</v>
      </c>
      <c r="U18" s="131" t="s">
        <v>5585</v>
      </c>
      <c r="V18" s="250">
        <v>43756</v>
      </c>
      <c r="W18" s="131" t="b">
        <v>0</v>
      </c>
      <c r="X18" s="208" t="b">
        <v>0</v>
      </c>
      <c r="Y18" s="131" t="b">
        <v>1</v>
      </c>
      <c r="Z18" s="209">
        <v>12</v>
      </c>
      <c r="AA18" s="131" t="b">
        <v>0</v>
      </c>
      <c r="AB18" s="131" t="s">
        <v>5734</v>
      </c>
      <c r="AC18" s="131" t="s">
        <v>5735</v>
      </c>
    </row>
    <row r="19" spans="1:29" ht="153">
      <c r="A19" s="110">
        <v>17</v>
      </c>
      <c r="B19" s="202" t="s">
        <v>5586</v>
      </c>
      <c r="C19" s="203" t="s">
        <v>5587</v>
      </c>
      <c r="D19" s="204" t="s">
        <v>5351</v>
      </c>
      <c r="E19" s="205">
        <v>105.851466</v>
      </c>
      <c r="F19" s="205">
        <v>20.985776999999999</v>
      </c>
      <c r="G19" s="206">
        <v>1</v>
      </c>
      <c r="H19" s="110">
        <v>2</v>
      </c>
      <c r="I19" s="131" t="s">
        <v>5771</v>
      </c>
      <c r="J19" s="131" t="s">
        <v>5864</v>
      </c>
      <c r="K19" s="131" t="s">
        <v>5764</v>
      </c>
      <c r="L19" s="131" t="s">
        <v>5765</v>
      </c>
      <c r="M19" s="207" t="s">
        <v>5766</v>
      </c>
      <c r="N19" s="131" t="s">
        <v>5767</v>
      </c>
      <c r="O19" s="131" t="s">
        <v>5768</v>
      </c>
      <c r="P19" s="131" t="s">
        <v>5865</v>
      </c>
      <c r="Q19" s="131" t="b">
        <v>1</v>
      </c>
      <c r="R19" s="131" t="s">
        <v>5588</v>
      </c>
      <c r="S19" s="131">
        <v>0</v>
      </c>
      <c r="T19" s="131" t="s">
        <v>5732</v>
      </c>
      <c r="U19" s="131" t="s">
        <v>5589</v>
      </c>
      <c r="V19" s="250">
        <v>43756</v>
      </c>
      <c r="W19" s="131" t="b">
        <v>0</v>
      </c>
      <c r="X19" s="208" t="b">
        <v>0</v>
      </c>
      <c r="Y19" s="131" t="b">
        <v>1</v>
      </c>
      <c r="Z19" s="209">
        <v>24</v>
      </c>
      <c r="AA19" s="131" t="b">
        <v>0</v>
      </c>
      <c r="AB19" s="131" t="s">
        <v>5734</v>
      </c>
      <c r="AC19" s="131" t="s">
        <v>5735</v>
      </c>
    </row>
    <row r="20" spans="1:29" ht="153">
      <c r="A20" s="110">
        <v>18</v>
      </c>
      <c r="B20" s="202" t="s">
        <v>5590</v>
      </c>
      <c r="C20" s="203" t="s">
        <v>5591</v>
      </c>
      <c r="D20" s="204" t="s">
        <v>5351</v>
      </c>
      <c r="E20" s="205">
        <v>105.840384</v>
      </c>
      <c r="F20" s="205">
        <v>20.962544999999999</v>
      </c>
      <c r="G20" s="206">
        <v>1</v>
      </c>
      <c r="H20" s="110">
        <v>2</v>
      </c>
      <c r="I20" s="131" t="s">
        <v>5771</v>
      </c>
      <c r="J20" s="131" t="s">
        <v>5870</v>
      </c>
      <c r="K20" s="131" t="s">
        <v>5764</v>
      </c>
      <c r="L20" s="131" t="s">
        <v>5765</v>
      </c>
      <c r="M20" s="207" t="s">
        <v>5766</v>
      </c>
      <c r="N20" s="131" t="s">
        <v>5767</v>
      </c>
      <c r="O20" s="131" t="s">
        <v>5768</v>
      </c>
      <c r="P20" s="131" t="s">
        <v>5871</v>
      </c>
      <c r="Q20" s="131" t="b">
        <v>1</v>
      </c>
      <c r="R20" s="131" t="s">
        <v>5592</v>
      </c>
      <c r="S20" s="131">
        <v>0</v>
      </c>
      <c r="T20" s="131" t="s">
        <v>5732</v>
      </c>
      <c r="U20" s="131" t="s">
        <v>5593</v>
      </c>
      <c r="V20" s="250">
        <v>43756</v>
      </c>
      <c r="W20" s="131" t="b">
        <v>0</v>
      </c>
      <c r="X20" s="208" t="b">
        <v>0</v>
      </c>
      <c r="Y20" s="131" t="b">
        <v>1</v>
      </c>
      <c r="Z20" s="209">
        <v>12</v>
      </c>
      <c r="AA20" s="131" t="b">
        <v>0</v>
      </c>
      <c r="AB20" s="131" t="s">
        <v>5734</v>
      </c>
      <c r="AC20" s="131" t="s">
        <v>5735</v>
      </c>
    </row>
    <row r="21" spans="1:29" ht="153">
      <c r="A21" s="110">
        <v>19</v>
      </c>
      <c r="B21" s="202" t="s">
        <v>5594</v>
      </c>
      <c r="C21" s="203" t="s">
        <v>5595</v>
      </c>
      <c r="D21" s="204" t="s">
        <v>5351</v>
      </c>
      <c r="E21" s="205">
        <v>105.844472</v>
      </c>
      <c r="F21" s="205">
        <v>20.955057</v>
      </c>
      <c r="G21" s="206">
        <v>1</v>
      </c>
      <c r="H21" s="110">
        <v>2</v>
      </c>
      <c r="I21" s="131" t="s">
        <v>5771</v>
      </c>
      <c r="J21" s="131" t="s">
        <v>5875</v>
      </c>
      <c r="K21" s="131" t="s">
        <v>5764</v>
      </c>
      <c r="L21" s="131" t="s">
        <v>5765</v>
      </c>
      <c r="M21" s="207" t="s">
        <v>5766</v>
      </c>
      <c r="N21" s="131" t="s">
        <v>5767</v>
      </c>
      <c r="O21" s="131" t="s">
        <v>5768</v>
      </c>
      <c r="P21" s="131" t="s">
        <v>5841</v>
      </c>
      <c r="Q21" s="131" t="b">
        <v>1</v>
      </c>
      <c r="R21" s="131" t="s">
        <v>5596</v>
      </c>
      <c r="S21" s="131">
        <v>0</v>
      </c>
      <c r="T21" s="131" t="s">
        <v>5732</v>
      </c>
      <c r="U21" s="131" t="s">
        <v>5597</v>
      </c>
      <c r="V21" s="250">
        <v>43756</v>
      </c>
      <c r="W21" s="131" t="b">
        <v>0</v>
      </c>
      <c r="X21" s="208" t="b">
        <v>0</v>
      </c>
      <c r="Y21" s="131" t="b">
        <v>1</v>
      </c>
      <c r="Z21" s="209">
        <v>20</v>
      </c>
      <c r="AA21" s="131" t="b">
        <v>0</v>
      </c>
      <c r="AB21" s="131" t="s">
        <v>5734</v>
      </c>
      <c r="AC21" s="131" t="s">
        <v>5735</v>
      </c>
    </row>
    <row r="22" spans="1:29" ht="63.75">
      <c r="A22" s="110">
        <v>20</v>
      </c>
      <c r="B22" s="202" t="s">
        <v>5598</v>
      </c>
      <c r="C22" s="203" t="s">
        <v>5599</v>
      </c>
      <c r="D22" s="204" t="s">
        <v>5351</v>
      </c>
      <c r="E22" s="205">
        <v>105.84561100000001</v>
      </c>
      <c r="F22" s="205">
        <v>20.936084999999999</v>
      </c>
      <c r="G22" s="206">
        <v>1</v>
      </c>
      <c r="H22" s="110">
        <v>2</v>
      </c>
      <c r="I22" s="131" t="s">
        <v>5771</v>
      </c>
      <c r="J22" s="131" t="s">
        <v>5877</v>
      </c>
      <c r="K22" s="131" t="s">
        <v>5830</v>
      </c>
      <c r="L22" s="131" t="s">
        <v>5765</v>
      </c>
      <c r="M22" s="207" t="s">
        <v>5831</v>
      </c>
      <c r="N22" s="131" t="s">
        <v>5832</v>
      </c>
      <c r="O22" s="131" t="s">
        <v>5878</v>
      </c>
      <c r="P22" s="131" t="s">
        <v>5879</v>
      </c>
      <c r="Q22" s="131" t="b">
        <v>1</v>
      </c>
      <c r="R22" s="131" t="s">
        <v>5600</v>
      </c>
      <c r="S22" s="131">
        <v>0</v>
      </c>
      <c r="T22" s="131" t="s">
        <v>5732</v>
      </c>
      <c r="U22" s="131" t="s">
        <v>5601</v>
      </c>
      <c r="V22" s="250">
        <v>43756</v>
      </c>
      <c r="W22" s="131" t="b">
        <v>0</v>
      </c>
      <c r="X22" s="208" t="b">
        <v>0</v>
      </c>
      <c r="Y22" s="131" t="b">
        <v>1</v>
      </c>
      <c r="Z22" s="209">
        <v>12</v>
      </c>
      <c r="AA22" s="131" t="b">
        <v>0</v>
      </c>
      <c r="AB22" s="131" t="s">
        <v>5734</v>
      </c>
      <c r="AC22" s="131" t="s">
        <v>5735</v>
      </c>
    </row>
    <row r="23" spans="1:29" ht="127.5">
      <c r="A23" s="110">
        <v>21</v>
      </c>
      <c r="B23" s="202" t="s">
        <v>5602</v>
      </c>
      <c r="C23" s="203" t="s">
        <v>5603</v>
      </c>
      <c r="D23" s="204" t="s">
        <v>5351</v>
      </c>
      <c r="E23" s="205">
        <v>105.84544</v>
      </c>
      <c r="F23" s="205">
        <v>20.940650000000002</v>
      </c>
      <c r="G23" s="206">
        <v>1</v>
      </c>
      <c r="H23" s="110">
        <v>3</v>
      </c>
      <c r="I23" s="131" t="s">
        <v>5745</v>
      </c>
      <c r="J23" s="131" t="s">
        <v>5885</v>
      </c>
      <c r="K23" s="131" t="s">
        <v>5795</v>
      </c>
      <c r="L23" s="131" t="s">
        <v>5727</v>
      </c>
      <c r="M23" s="207" t="s">
        <v>5728</v>
      </c>
      <c r="N23" s="131" t="s">
        <v>5729</v>
      </c>
      <c r="O23" s="131" t="s">
        <v>5730</v>
      </c>
      <c r="P23" s="131" t="s">
        <v>5886</v>
      </c>
      <c r="Q23" s="131" t="b">
        <v>1</v>
      </c>
      <c r="R23" s="131" t="s">
        <v>5604</v>
      </c>
      <c r="S23" s="131">
        <v>0</v>
      </c>
      <c r="T23" s="131" t="s">
        <v>5732</v>
      </c>
      <c r="U23" s="131" t="s">
        <v>5605</v>
      </c>
      <c r="V23" s="250">
        <v>43756</v>
      </c>
      <c r="W23" s="131" t="b">
        <v>0</v>
      </c>
      <c r="X23" s="208" t="b">
        <v>0</v>
      </c>
      <c r="Y23" s="131" t="b">
        <v>1</v>
      </c>
      <c r="Z23" s="209">
        <v>12</v>
      </c>
      <c r="AA23" s="131" t="b">
        <v>0</v>
      </c>
      <c r="AB23" s="131" t="s">
        <v>5734</v>
      </c>
      <c r="AC23" s="131" t="s">
        <v>5735</v>
      </c>
    </row>
    <row r="24" spans="1:29" ht="153">
      <c r="A24" s="110">
        <v>22</v>
      </c>
      <c r="B24" s="202" t="s">
        <v>5606</v>
      </c>
      <c r="C24" s="203" t="s">
        <v>5607</v>
      </c>
      <c r="D24" s="204" t="s">
        <v>5351</v>
      </c>
      <c r="E24" s="205">
        <v>105.830701</v>
      </c>
      <c r="F24" s="205">
        <v>20.936440000000001</v>
      </c>
      <c r="G24" s="206">
        <v>1</v>
      </c>
      <c r="H24" s="110">
        <v>4</v>
      </c>
      <c r="I24" s="131" t="s">
        <v>5901</v>
      </c>
      <c r="J24" s="131" t="s">
        <v>5893</v>
      </c>
      <c r="K24" s="131" t="s">
        <v>5894</v>
      </c>
      <c r="L24" s="131" t="s">
        <v>5895</v>
      </c>
      <c r="M24" s="207" t="s">
        <v>5896</v>
      </c>
      <c r="N24" s="131" t="s">
        <v>5897</v>
      </c>
      <c r="O24" s="131" t="s">
        <v>5898</v>
      </c>
      <c r="P24" s="131" t="s">
        <v>5899</v>
      </c>
      <c r="Q24" s="131" t="b">
        <v>1</v>
      </c>
      <c r="R24" s="131" t="s">
        <v>5608</v>
      </c>
      <c r="S24" s="131">
        <v>0</v>
      </c>
      <c r="T24" s="131" t="s">
        <v>5732</v>
      </c>
      <c r="U24" s="131" t="s">
        <v>5609</v>
      </c>
      <c r="V24" s="250">
        <v>43756</v>
      </c>
      <c r="W24" s="131" t="b">
        <v>0</v>
      </c>
      <c r="X24" s="208" t="b">
        <v>0</v>
      </c>
      <c r="Y24" s="131" t="b">
        <v>1</v>
      </c>
      <c r="Z24" s="209">
        <v>8</v>
      </c>
      <c r="AA24" s="131" t="b">
        <v>0</v>
      </c>
      <c r="AB24" s="131" t="s">
        <v>5734</v>
      </c>
      <c r="AC24" s="131" t="s">
        <v>5735</v>
      </c>
    </row>
    <row r="25" spans="1:29" ht="153">
      <c r="A25" s="110">
        <v>23</v>
      </c>
      <c r="B25" s="202" t="s">
        <v>5610</v>
      </c>
      <c r="C25" s="203" t="s">
        <v>5611</v>
      </c>
      <c r="D25" s="204" t="s">
        <v>5351</v>
      </c>
      <c r="E25" s="205">
        <v>105.735023</v>
      </c>
      <c r="F25" s="205">
        <v>20.964811000000001</v>
      </c>
      <c r="G25" s="206">
        <v>1</v>
      </c>
      <c r="H25" s="110">
        <v>2</v>
      </c>
      <c r="I25" s="131" t="s">
        <v>5771</v>
      </c>
      <c r="J25" s="131" t="s">
        <v>5903</v>
      </c>
      <c r="K25" s="131" t="s">
        <v>5764</v>
      </c>
      <c r="L25" s="131" t="s">
        <v>5765</v>
      </c>
      <c r="M25" s="207" t="s">
        <v>5766</v>
      </c>
      <c r="N25" s="131" t="s">
        <v>5767</v>
      </c>
      <c r="O25" s="131" t="s">
        <v>5768</v>
      </c>
      <c r="P25" s="131" t="s">
        <v>5904</v>
      </c>
      <c r="Q25" s="131" t="b">
        <v>1</v>
      </c>
      <c r="R25" s="131" t="s">
        <v>5612</v>
      </c>
      <c r="S25" s="131">
        <v>0</v>
      </c>
      <c r="T25" s="131" t="s">
        <v>5732</v>
      </c>
      <c r="U25" s="131" t="s">
        <v>5613</v>
      </c>
      <c r="V25" s="250">
        <v>43756</v>
      </c>
      <c r="W25" s="131" t="b">
        <v>1</v>
      </c>
      <c r="X25" s="208" t="b">
        <v>1</v>
      </c>
      <c r="Y25" s="131" t="b">
        <v>1</v>
      </c>
      <c r="Z25" s="209">
        <v>5</v>
      </c>
      <c r="AA25" s="131" t="b">
        <v>0</v>
      </c>
      <c r="AB25" s="131" t="s">
        <v>5734</v>
      </c>
      <c r="AC25" s="131" t="s">
        <v>5735</v>
      </c>
    </row>
    <row r="26" spans="1:29" ht="153">
      <c r="A26" s="110">
        <v>24</v>
      </c>
      <c r="B26" s="202" t="s">
        <v>5614</v>
      </c>
      <c r="C26" s="203" t="s">
        <v>5615</v>
      </c>
      <c r="D26" s="204" t="s">
        <v>5351</v>
      </c>
      <c r="E26" s="205">
        <v>105.713595</v>
      </c>
      <c r="F26" s="205">
        <v>20.997391</v>
      </c>
      <c r="G26" s="206">
        <v>1</v>
      </c>
      <c r="H26" s="110">
        <v>2</v>
      </c>
      <c r="I26" s="131" t="s">
        <v>5771</v>
      </c>
      <c r="J26" s="131" t="s">
        <v>5910</v>
      </c>
      <c r="K26" s="131" t="s">
        <v>5764</v>
      </c>
      <c r="L26" s="131" t="s">
        <v>5765</v>
      </c>
      <c r="M26" s="207" t="s">
        <v>5766</v>
      </c>
      <c r="N26" s="131" t="s">
        <v>5767</v>
      </c>
      <c r="O26" s="131" t="s">
        <v>5768</v>
      </c>
      <c r="P26" s="131" t="s">
        <v>5911</v>
      </c>
      <c r="Q26" s="131" t="b">
        <v>1</v>
      </c>
      <c r="R26" s="131" t="s">
        <v>5616</v>
      </c>
      <c r="S26" s="131">
        <v>0</v>
      </c>
      <c r="T26" s="131" t="s">
        <v>5732</v>
      </c>
      <c r="U26" s="131" t="s">
        <v>5617</v>
      </c>
      <c r="V26" s="250">
        <v>43756</v>
      </c>
      <c r="W26" s="131" t="b">
        <v>1</v>
      </c>
      <c r="X26" s="208" t="b">
        <v>0</v>
      </c>
      <c r="Y26" s="131" t="b">
        <v>0</v>
      </c>
      <c r="Z26" s="209">
        <v>0</v>
      </c>
      <c r="AA26" s="131" t="b">
        <v>0</v>
      </c>
      <c r="AB26" s="131" t="s">
        <v>5734</v>
      </c>
      <c r="AC26" s="131" t="s">
        <v>5735</v>
      </c>
    </row>
    <row r="27" spans="1:29" ht="229.5">
      <c r="A27" s="110">
        <v>25</v>
      </c>
      <c r="B27" s="202" t="s">
        <v>5618</v>
      </c>
      <c r="C27" s="203" t="s">
        <v>5619</v>
      </c>
      <c r="D27" s="204" t="s">
        <v>5351</v>
      </c>
      <c r="E27" s="205">
        <v>105.79898799999999</v>
      </c>
      <c r="F27" s="205">
        <v>20.999661</v>
      </c>
      <c r="G27" s="206">
        <v>1</v>
      </c>
      <c r="H27" s="110">
        <v>3</v>
      </c>
      <c r="I27" s="131" t="s">
        <v>5745</v>
      </c>
      <c r="J27" s="131" t="s">
        <v>5916</v>
      </c>
      <c r="K27" s="131" t="s">
        <v>5726</v>
      </c>
      <c r="L27" s="131" t="s">
        <v>5727</v>
      </c>
      <c r="M27" s="207" t="s">
        <v>5728</v>
      </c>
      <c r="N27" s="131" t="s">
        <v>5729</v>
      </c>
      <c r="O27" s="131" t="s">
        <v>5730</v>
      </c>
      <c r="P27" s="131" t="s">
        <v>5917</v>
      </c>
      <c r="Q27" s="131" t="b">
        <v>1</v>
      </c>
      <c r="R27" s="131" t="s">
        <v>5620</v>
      </c>
      <c r="S27" s="131">
        <v>0</v>
      </c>
      <c r="T27" s="131" t="s">
        <v>5732</v>
      </c>
      <c r="U27" s="131" t="s">
        <v>5621</v>
      </c>
      <c r="V27" s="250">
        <v>43756</v>
      </c>
      <c r="W27" s="131" t="b">
        <v>0</v>
      </c>
      <c r="X27" s="208" t="b">
        <v>0</v>
      </c>
      <c r="Y27" s="131" t="b">
        <v>1</v>
      </c>
      <c r="Z27" s="209">
        <v>50</v>
      </c>
      <c r="AA27" s="131" t="b">
        <v>0</v>
      </c>
      <c r="AB27" s="131" t="s">
        <v>5734</v>
      </c>
      <c r="AC27" s="131" t="s">
        <v>5735</v>
      </c>
    </row>
    <row r="28" spans="1:29" ht="153">
      <c r="A28" s="110">
        <v>26</v>
      </c>
      <c r="B28" s="202" t="s">
        <v>5622</v>
      </c>
      <c r="C28" s="203" t="s">
        <v>5623</v>
      </c>
      <c r="D28" s="204" t="s">
        <v>5351</v>
      </c>
      <c r="E28" s="205">
        <v>105.81394299999999</v>
      </c>
      <c r="F28" s="205">
        <v>20.996428999999999</v>
      </c>
      <c r="G28" s="206">
        <v>1</v>
      </c>
      <c r="H28" s="110">
        <v>2</v>
      </c>
      <c r="I28" s="131" t="s">
        <v>5771</v>
      </c>
      <c r="J28" s="131" t="s">
        <v>5923</v>
      </c>
      <c r="K28" s="131" t="s">
        <v>5764</v>
      </c>
      <c r="L28" s="131" t="s">
        <v>5765</v>
      </c>
      <c r="M28" s="207" t="s">
        <v>5766</v>
      </c>
      <c r="N28" s="131" t="s">
        <v>5767</v>
      </c>
      <c r="O28" s="131" t="s">
        <v>5768</v>
      </c>
      <c r="P28" s="131" t="s">
        <v>5871</v>
      </c>
      <c r="Q28" s="131" t="b">
        <v>1</v>
      </c>
      <c r="R28" s="131" t="s">
        <v>5624</v>
      </c>
      <c r="S28" s="131">
        <v>0</v>
      </c>
      <c r="T28" s="131" t="s">
        <v>5732</v>
      </c>
      <c r="U28" s="131" t="s">
        <v>5625</v>
      </c>
      <c r="V28" s="250">
        <v>43756</v>
      </c>
      <c r="W28" s="131" t="b">
        <v>0</v>
      </c>
      <c r="X28" s="208" t="b">
        <v>0</v>
      </c>
      <c r="Y28" s="131" t="b">
        <v>1</v>
      </c>
      <c r="Z28" s="209">
        <v>20</v>
      </c>
      <c r="AA28" s="131" t="b">
        <v>0</v>
      </c>
      <c r="AB28" s="131" t="s">
        <v>5734</v>
      </c>
      <c r="AC28" s="131" t="s">
        <v>5735</v>
      </c>
    </row>
    <row r="29" spans="1:29" ht="153">
      <c r="A29" s="110">
        <v>27</v>
      </c>
      <c r="B29" s="202" t="s">
        <v>5626</v>
      </c>
      <c r="C29" s="203" t="s">
        <v>5627</v>
      </c>
      <c r="D29" s="204" t="s">
        <v>5351</v>
      </c>
      <c r="E29" s="205">
        <v>105.830771</v>
      </c>
      <c r="F29" s="205">
        <v>20.993583000000001</v>
      </c>
      <c r="G29" s="206">
        <v>1</v>
      </c>
      <c r="H29" s="110">
        <v>2</v>
      </c>
      <c r="I29" s="131" t="s">
        <v>5771</v>
      </c>
      <c r="J29" s="131" t="s">
        <v>5926</v>
      </c>
      <c r="K29" s="131" t="s">
        <v>5764</v>
      </c>
      <c r="L29" s="131" t="s">
        <v>5765</v>
      </c>
      <c r="M29" s="207" t="s">
        <v>5766</v>
      </c>
      <c r="N29" s="131" t="s">
        <v>5767</v>
      </c>
      <c r="O29" s="131" t="s">
        <v>5768</v>
      </c>
      <c r="P29" s="131" t="s">
        <v>5927</v>
      </c>
      <c r="Q29" s="131" t="b">
        <v>1</v>
      </c>
      <c r="R29" s="131" t="s">
        <v>5628</v>
      </c>
      <c r="S29" s="131">
        <v>0</v>
      </c>
      <c r="T29" s="131" t="s">
        <v>5732</v>
      </c>
      <c r="U29" s="131" t="s">
        <v>5629</v>
      </c>
      <c r="V29" s="250">
        <v>43756</v>
      </c>
      <c r="W29" s="131" t="b">
        <v>0</v>
      </c>
      <c r="X29" s="208" t="b">
        <v>0</v>
      </c>
      <c r="Y29" s="131" t="b">
        <v>1</v>
      </c>
      <c r="Z29" s="209">
        <v>16</v>
      </c>
      <c r="AA29" s="131" t="b">
        <v>0</v>
      </c>
      <c r="AB29" s="131" t="s">
        <v>5734</v>
      </c>
      <c r="AC29" s="131" t="s">
        <v>5735</v>
      </c>
    </row>
    <row r="30" spans="1:29" ht="153">
      <c r="A30" s="110">
        <v>28</v>
      </c>
      <c r="B30" s="202" t="s">
        <v>5630</v>
      </c>
      <c r="C30" s="203" t="s">
        <v>5631</v>
      </c>
      <c r="D30" s="204" t="s">
        <v>5351</v>
      </c>
      <c r="E30" s="205">
        <v>105.81142199999999</v>
      </c>
      <c r="F30" s="205">
        <v>21.047256000000001</v>
      </c>
      <c r="G30" s="206">
        <v>1</v>
      </c>
      <c r="H30" s="110">
        <v>2</v>
      </c>
      <c r="I30" s="131" t="s">
        <v>5771</v>
      </c>
      <c r="J30" s="131" t="s">
        <v>5930</v>
      </c>
      <c r="K30" s="131" t="s">
        <v>5764</v>
      </c>
      <c r="L30" s="131" t="s">
        <v>5765</v>
      </c>
      <c r="M30" s="207" t="s">
        <v>5766</v>
      </c>
      <c r="N30" s="131" t="s">
        <v>5767</v>
      </c>
      <c r="O30" s="131" t="s">
        <v>5768</v>
      </c>
      <c r="P30" s="131" t="s">
        <v>5879</v>
      </c>
      <c r="Q30" s="131" t="b">
        <v>1</v>
      </c>
      <c r="R30" s="131" t="s">
        <v>5632</v>
      </c>
      <c r="S30" s="131">
        <v>0</v>
      </c>
      <c r="T30" s="131" t="s">
        <v>5732</v>
      </c>
      <c r="U30" s="131" t="s">
        <v>5633</v>
      </c>
      <c r="V30" s="250">
        <v>43756</v>
      </c>
      <c r="W30" s="131" t="b">
        <v>0</v>
      </c>
      <c r="X30" s="208" t="b">
        <v>0</v>
      </c>
      <c r="Y30" s="131" t="b">
        <v>1</v>
      </c>
      <c r="Z30" s="209">
        <v>25</v>
      </c>
      <c r="AA30" s="131" t="b">
        <v>0</v>
      </c>
      <c r="AB30" s="131" t="s">
        <v>5734</v>
      </c>
      <c r="AC30" s="131" t="s">
        <v>5735</v>
      </c>
    </row>
    <row r="31" spans="1:29" ht="153">
      <c r="A31" s="110">
        <v>29</v>
      </c>
      <c r="B31" s="202" t="s">
        <v>5634</v>
      </c>
      <c r="C31" s="203" t="s">
        <v>5635</v>
      </c>
      <c r="D31" s="204" t="s">
        <v>5351</v>
      </c>
      <c r="E31" s="205">
        <v>105.787131</v>
      </c>
      <c r="F31" s="205">
        <v>21.001691000000001</v>
      </c>
      <c r="G31" s="206">
        <v>1</v>
      </c>
      <c r="H31" s="110">
        <v>2</v>
      </c>
      <c r="I31" s="131" t="s">
        <v>5771</v>
      </c>
      <c r="J31" s="131" t="s">
        <v>5934</v>
      </c>
      <c r="K31" s="131" t="s">
        <v>5764</v>
      </c>
      <c r="L31" s="131" t="s">
        <v>5765</v>
      </c>
      <c r="M31" s="207" t="s">
        <v>5766</v>
      </c>
      <c r="N31" s="131" t="s">
        <v>5767</v>
      </c>
      <c r="O31" s="131" t="s">
        <v>5768</v>
      </c>
      <c r="P31" s="131" t="s">
        <v>5911</v>
      </c>
      <c r="Q31" s="131" t="b">
        <v>1</v>
      </c>
      <c r="R31" s="131" t="s">
        <v>5636</v>
      </c>
      <c r="S31" s="131">
        <v>0</v>
      </c>
      <c r="T31" s="131" t="s">
        <v>5732</v>
      </c>
      <c r="U31" s="131" t="s">
        <v>5637</v>
      </c>
      <c r="V31" s="250">
        <v>43756</v>
      </c>
      <c r="W31" s="131" t="b">
        <v>1</v>
      </c>
      <c r="X31" s="208" t="b">
        <v>0</v>
      </c>
      <c r="Y31" s="131" t="b">
        <v>0</v>
      </c>
      <c r="Z31" s="209">
        <v>0</v>
      </c>
      <c r="AA31" s="131" t="b">
        <v>0</v>
      </c>
      <c r="AB31" s="131" t="s">
        <v>5734</v>
      </c>
      <c r="AC31" s="131" t="s">
        <v>5735</v>
      </c>
    </row>
    <row r="32" spans="1:29" ht="153">
      <c r="A32" s="110">
        <v>30</v>
      </c>
      <c r="B32" s="202" t="s">
        <v>5638</v>
      </c>
      <c r="C32" s="203" t="s">
        <v>5639</v>
      </c>
      <c r="D32" s="204" t="s">
        <v>5351</v>
      </c>
      <c r="E32" s="205">
        <v>105.85398499999999</v>
      </c>
      <c r="F32" s="205">
        <v>21.026803000000001</v>
      </c>
      <c r="G32" s="206">
        <v>1</v>
      </c>
      <c r="H32" s="110">
        <v>2</v>
      </c>
      <c r="I32" s="131" t="s">
        <v>5771</v>
      </c>
      <c r="J32" s="131" t="s">
        <v>5936</v>
      </c>
      <c r="K32" s="131" t="s">
        <v>5764</v>
      </c>
      <c r="L32" s="131" t="s">
        <v>5765</v>
      </c>
      <c r="M32" s="207" t="s">
        <v>5766</v>
      </c>
      <c r="N32" s="131" t="s">
        <v>5767</v>
      </c>
      <c r="O32" s="131" t="s">
        <v>5768</v>
      </c>
      <c r="P32" s="131" t="s">
        <v>5879</v>
      </c>
      <c r="Q32" s="131" t="b">
        <v>1</v>
      </c>
      <c r="R32" s="131" t="s">
        <v>5640</v>
      </c>
      <c r="S32" s="131">
        <v>0</v>
      </c>
      <c r="T32" s="131" t="s">
        <v>5732</v>
      </c>
      <c r="U32" s="131" t="s">
        <v>5641</v>
      </c>
      <c r="V32" s="250">
        <v>43756</v>
      </c>
      <c r="W32" s="131" t="b">
        <v>0</v>
      </c>
      <c r="X32" s="208" t="b">
        <v>0</v>
      </c>
      <c r="Y32" s="131" t="b">
        <v>1</v>
      </c>
      <c r="Z32" s="209">
        <v>24</v>
      </c>
      <c r="AA32" s="131" t="b">
        <v>0</v>
      </c>
      <c r="AB32" s="131" t="s">
        <v>5734</v>
      </c>
      <c r="AC32" s="131" t="s">
        <v>5735</v>
      </c>
    </row>
    <row r="33" spans="1:29" ht="153">
      <c r="A33" s="110">
        <v>31</v>
      </c>
      <c r="B33" s="202" t="s">
        <v>5642</v>
      </c>
      <c r="C33" s="203" t="s">
        <v>5643</v>
      </c>
      <c r="D33" s="204" t="s">
        <v>5351</v>
      </c>
      <c r="E33" s="205">
        <v>105.876561</v>
      </c>
      <c r="F33" s="205">
        <v>21.049645000000002</v>
      </c>
      <c r="G33" s="206">
        <v>1</v>
      </c>
      <c r="H33" s="110">
        <v>2</v>
      </c>
      <c r="I33" s="131" t="s">
        <v>5771</v>
      </c>
      <c r="J33" s="131" t="s">
        <v>5940</v>
      </c>
      <c r="K33" s="131" t="s">
        <v>5764</v>
      </c>
      <c r="L33" s="131" t="s">
        <v>5765</v>
      </c>
      <c r="M33" s="207" t="s">
        <v>5766</v>
      </c>
      <c r="N33" s="131" t="s">
        <v>5767</v>
      </c>
      <c r="O33" s="131" t="s">
        <v>5768</v>
      </c>
      <c r="P33" s="131" t="s">
        <v>5879</v>
      </c>
      <c r="Q33" s="131" t="b">
        <v>1</v>
      </c>
      <c r="R33" s="131" t="s">
        <v>5644</v>
      </c>
      <c r="S33" s="131">
        <v>0</v>
      </c>
      <c r="T33" s="131" t="s">
        <v>5732</v>
      </c>
      <c r="U33" s="131" t="s">
        <v>5645</v>
      </c>
      <c r="V33" s="250">
        <v>43756</v>
      </c>
      <c r="W33" s="131" t="b">
        <v>0</v>
      </c>
      <c r="X33" s="208" t="b">
        <v>0</v>
      </c>
      <c r="Y33" s="131" t="b">
        <v>1</v>
      </c>
      <c r="Z33" s="209">
        <v>20</v>
      </c>
      <c r="AA33" s="131" t="b">
        <v>0</v>
      </c>
      <c r="AB33" s="131" t="s">
        <v>5734</v>
      </c>
      <c r="AC33" s="131" t="s">
        <v>5735</v>
      </c>
    </row>
    <row r="34" spans="1:29" ht="153">
      <c r="A34" s="110">
        <v>32</v>
      </c>
      <c r="B34" s="202" t="s">
        <v>5646</v>
      </c>
      <c r="C34" s="203" t="s">
        <v>5647</v>
      </c>
      <c r="D34" s="204" t="s">
        <v>5351</v>
      </c>
      <c r="E34" s="205">
        <v>105.937558</v>
      </c>
      <c r="F34" s="205">
        <v>21.021868000000001</v>
      </c>
      <c r="G34" s="206">
        <v>1</v>
      </c>
      <c r="H34" s="110">
        <v>2</v>
      </c>
      <c r="I34" s="131" t="s">
        <v>5771</v>
      </c>
      <c r="J34" s="131" t="s">
        <v>5943</v>
      </c>
      <c r="K34" s="131" t="s">
        <v>5764</v>
      </c>
      <c r="L34" s="131" t="s">
        <v>5765</v>
      </c>
      <c r="M34" s="207" t="s">
        <v>5766</v>
      </c>
      <c r="N34" s="131" t="s">
        <v>5767</v>
      </c>
      <c r="O34" s="131" t="s">
        <v>5768</v>
      </c>
      <c r="P34" s="131" t="s">
        <v>5944</v>
      </c>
      <c r="Q34" s="131" t="b">
        <v>1</v>
      </c>
      <c r="R34" s="131" t="s">
        <v>5648</v>
      </c>
      <c r="S34" s="131">
        <v>0</v>
      </c>
      <c r="T34" s="131" t="s">
        <v>5732</v>
      </c>
      <c r="U34" s="131" t="s">
        <v>5649</v>
      </c>
      <c r="V34" s="250">
        <v>43756</v>
      </c>
      <c r="W34" s="131" t="b">
        <v>0</v>
      </c>
      <c r="X34" s="208" t="b">
        <v>0</v>
      </c>
      <c r="Y34" s="131" t="b">
        <v>1</v>
      </c>
      <c r="Z34" s="209">
        <v>12</v>
      </c>
      <c r="AA34" s="131" t="b">
        <v>0</v>
      </c>
      <c r="AB34" s="131" t="s">
        <v>5734</v>
      </c>
      <c r="AC34" s="131" t="s">
        <v>5735</v>
      </c>
    </row>
    <row r="35" spans="1:29" ht="153">
      <c r="A35" s="110">
        <v>33</v>
      </c>
      <c r="B35" s="202" t="s">
        <v>5650</v>
      </c>
      <c r="C35" s="203" t="s">
        <v>5651</v>
      </c>
      <c r="D35" s="204" t="s">
        <v>5351</v>
      </c>
      <c r="E35" s="205">
        <v>105.916195</v>
      </c>
      <c r="F35" s="205">
        <v>21.057921</v>
      </c>
      <c r="G35" s="206">
        <v>1</v>
      </c>
      <c r="H35" s="110">
        <v>2</v>
      </c>
      <c r="I35" s="131" t="s">
        <v>5771</v>
      </c>
      <c r="J35" s="131" t="s">
        <v>5950</v>
      </c>
      <c r="K35" s="131" t="s">
        <v>5764</v>
      </c>
      <c r="L35" s="131" t="s">
        <v>5765</v>
      </c>
      <c r="M35" s="207" t="s">
        <v>5766</v>
      </c>
      <c r="N35" s="131" t="s">
        <v>5767</v>
      </c>
      <c r="O35" s="131" t="s">
        <v>5768</v>
      </c>
      <c r="P35" s="131" t="s">
        <v>5776</v>
      </c>
      <c r="Q35" s="131" t="b">
        <v>1</v>
      </c>
      <c r="R35" s="131" t="s">
        <v>5652</v>
      </c>
      <c r="S35" s="131">
        <v>0</v>
      </c>
      <c r="T35" s="131" t="s">
        <v>5732</v>
      </c>
      <c r="U35" s="131" t="s">
        <v>5653</v>
      </c>
      <c r="V35" s="250">
        <v>43756</v>
      </c>
      <c r="W35" s="131" t="b">
        <v>0</v>
      </c>
      <c r="X35" s="208" t="b">
        <v>0</v>
      </c>
      <c r="Y35" s="131" t="b">
        <v>1</v>
      </c>
      <c r="Z35" s="209">
        <v>12</v>
      </c>
      <c r="AA35" s="131" t="b">
        <v>0</v>
      </c>
      <c r="AB35" s="131" t="s">
        <v>5734</v>
      </c>
      <c r="AC35" s="131" t="s">
        <v>5735</v>
      </c>
    </row>
    <row r="36" spans="1:29" ht="153">
      <c r="A36" s="110">
        <v>34</v>
      </c>
      <c r="B36" s="202" t="s">
        <v>5654</v>
      </c>
      <c r="C36" s="203" t="s">
        <v>5655</v>
      </c>
      <c r="D36" s="204" t="s">
        <v>5351</v>
      </c>
      <c r="E36" s="205">
        <v>105.776841</v>
      </c>
      <c r="F36" s="205">
        <v>21.110002000000001</v>
      </c>
      <c r="G36" s="206">
        <v>1</v>
      </c>
      <c r="H36" s="110">
        <v>2</v>
      </c>
      <c r="I36" s="131" t="s">
        <v>5771</v>
      </c>
      <c r="J36" s="131" t="s">
        <v>5953</v>
      </c>
      <c r="K36" s="131" t="s">
        <v>5764</v>
      </c>
      <c r="L36" s="131" t="s">
        <v>5765</v>
      </c>
      <c r="M36" s="207" t="s">
        <v>5766</v>
      </c>
      <c r="N36" s="131" t="s">
        <v>5767</v>
      </c>
      <c r="O36" s="131" t="s">
        <v>5768</v>
      </c>
      <c r="P36" s="131" t="s">
        <v>5944</v>
      </c>
      <c r="Q36" s="131" t="b">
        <v>1</v>
      </c>
      <c r="R36" s="131" t="s">
        <v>5656</v>
      </c>
      <c r="S36" s="131">
        <v>0</v>
      </c>
      <c r="T36" s="131" t="s">
        <v>5732</v>
      </c>
      <c r="U36" s="131" t="s">
        <v>5657</v>
      </c>
      <c r="V36" s="250">
        <v>43756</v>
      </c>
      <c r="W36" s="131" t="b">
        <v>0</v>
      </c>
      <c r="X36" s="208" t="b">
        <v>0</v>
      </c>
      <c r="Y36" s="131" t="b">
        <v>1</v>
      </c>
      <c r="Z36" s="209">
        <v>12</v>
      </c>
      <c r="AA36" s="131" t="b">
        <v>0</v>
      </c>
      <c r="AB36" s="131" t="s">
        <v>5734</v>
      </c>
      <c r="AC36" s="131" t="s">
        <v>5735</v>
      </c>
    </row>
    <row r="37" spans="1:29" ht="153">
      <c r="A37" s="110">
        <v>35</v>
      </c>
      <c r="B37" s="202" t="s">
        <v>5658</v>
      </c>
      <c r="C37" s="203" t="s">
        <v>5659</v>
      </c>
      <c r="D37" s="204" t="s">
        <v>5351</v>
      </c>
      <c r="E37" s="205">
        <v>105.755618</v>
      </c>
      <c r="F37" s="205">
        <v>21.110651000000001</v>
      </c>
      <c r="G37" s="206">
        <v>1</v>
      </c>
      <c r="H37" s="110">
        <v>2</v>
      </c>
      <c r="I37" s="131" t="s">
        <v>5771</v>
      </c>
      <c r="J37" s="131" t="s">
        <v>5957</v>
      </c>
      <c r="K37" s="131" t="s">
        <v>5764</v>
      </c>
      <c r="L37" s="131" t="s">
        <v>5765</v>
      </c>
      <c r="M37" s="207" t="s">
        <v>5766</v>
      </c>
      <c r="N37" s="131" t="s">
        <v>5767</v>
      </c>
      <c r="O37" s="131" t="s">
        <v>5768</v>
      </c>
      <c r="P37" s="131" t="s">
        <v>5958</v>
      </c>
      <c r="Q37" s="131" t="b">
        <v>1</v>
      </c>
      <c r="R37" s="131" t="s">
        <v>5660</v>
      </c>
      <c r="S37" s="131">
        <v>0</v>
      </c>
      <c r="T37" s="131" t="s">
        <v>5732</v>
      </c>
      <c r="U37" s="131" t="s">
        <v>5661</v>
      </c>
      <c r="V37" s="250">
        <v>43756</v>
      </c>
      <c r="W37" s="131" t="b">
        <v>1</v>
      </c>
      <c r="X37" s="208" t="b">
        <v>1</v>
      </c>
      <c r="Y37" s="131" t="b">
        <v>0</v>
      </c>
      <c r="Z37" s="209">
        <v>0</v>
      </c>
      <c r="AA37" s="131" t="b">
        <v>0</v>
      </c>
      <c r="AB37" s="131" t="s">
        <v>5734</v>
      </c>
      <c r="AC37" s="131" t="s">
        <v>5735</v>
      </c>
    </row>
    <row r="38" spans="1:29" ht="153">
      <c r="A38" s="110">
        <v>36</v>
      </c>
      <c r="B38" s="202" t="s">
        <v>5662</v>
      </c>
      <c r="C38" s="203" t="s">
        <v>5663</v>
      </c>
      <c r="D38" s="204" t="s">
        <v>5351</v>
      </c>
      <c r="E38" s="205">
        <v>105.768676</v>
      </c>
      <c r="F38" s="205">
        <v>21.195115999999999</v>
      </c>
      <c r="G38" s="206">
        <v>1</v>
      </c>
      <c r="H38" s="110">
        <v>2</v>
      </c>
      <c r="I38" s="131" t="s">
        <v>5771</v>
      </c>
      <c r="J38" s="131" t="s">
        <v>5962</v>
      </c>
      <c r="K38" s="131" t="s">
        <v>5764</v>
      </c>
      <c r="L38" s="131" t="s">
        <v>5765</v>
      </c>
      <c r="M38" s="207" t="s">
        <v>5766</v>
      </c>
      <c r="N38" s="131" t="s">
        <v>5767</v>
      </c>
      <c r="O38" s="131" t="s">
        <v>5768</v>
      </c>
      <c r="P38" s="131" t="s">
        <v>5963</v>
      </c>
      <c r="Q38" s="131" t="b">
        <v>1</v>
      </c>
      <c r="R38" s="131" t="s">
        <v>5664</v>
      </c>
      <c r="S38" s="131">
        <v>0</v>
      </c>
      <c r="T38" s="131" t="s">
        <v>5732</v>
      </c>
      <c r="U38" s="131" t="s">
        <v>5665</v>
      </c>
      <c r="V38" s="250">
        <v>43756</v>
      </c>
      <c r="W38" s="131" t="b">
        <v>0</v>
      </c>
      <c r="X38" s="208" t="b">
        <v>0</v>
      </c>
      <c r="Y38" s="131" t="b">
        <v>1</v>
      </c>
      <c r="Z38" s="209">
        <v>16</v>
      </c>
      <c r="AA38" s="131" t="b">
        <v>0</v>
      </c>
      <c r="AB38" s="131" t="s">
        <v>5734</v>
      </c>
      <c r="AC38" s="131" t="s">
        <v>5735</v>
      </c>
    </row>
    <row r="39" spans="1:29" ht="409.5">
      <c r="A39" s="110">
        <v>37</v>
      </c>
      <c r="B39" s="202" t="s">
        <v>5666</v>
      </c>
      <c r="C39" s="203" t="s">
        <v>5667</v>
      </c>
      <c r="D39" s="204" t="s">
        <v>5351</v>
      </c>
      <c r="E39" s="205">
        <v>105.723142</v>
      </c>
      <c r="F39" s="205">
        <v>21.184450999999999</v>
      </c>
      <c r="G39" s="206">
        <v>1</v>
      </c>
      <c r="H39" s="110">
        <v>3</v>
      </c>
      <c r="I39" s="131" t="s">
        <v>5975</v>
      </c>
      <c r="J39" s="131" t="s">
        <v>5967</v>
      </c>
      <c r="K39" s="131" t="s">
        <v>5968</v>
      </c>
      <c r="L39" s="131" t="s">
        <v>5969</v>
      </c>
      <c r="M39" s="207" t="s">
        <v>5970</v>
      </c>
      <c r="N39" s="131" t="s">
        <v>5971</v>
      </c>
      <c r="O39" s="131" t="s">
        <v>5972</v>
      </c>
      <c r="P39" s="131" t="s">
        <v>5973</v>
      </c>
      <c r="Q39" s="131" t="b">
        <v>1</v>
      </c>
      <c r="R39" s="131" t="s">
        <v>5668</v>
      </c>
      <c r="S39" s="131">
        <v>0</v>
      </c>
      <c r="T39" s="131" t="s">
        <v>5732</v>
      </c>
      <c r="U39" s="131" t="s">
        <v>5669</v>
      </c>
      <c r="V39" s="250">
        <v>43756</v>
      </c>
      <c r="W39" s="131" t="b">
        <v>1</v>
      </c>
      <c r="X39" s="208" t="b">
        <v>0</v>
      </c>
      <c r="Y39" s="131" t="b">
        <v>1</v>
      </c>
      <c r="Z39" s="209">
        <v>20</v>
      </c>
      <c r="AA39" s="131" t="b">
        <v>0</v>
      </c>
      <c r="AB39" s="131" t="s">
        <v>5734</v>
      </c>
      <c r="AC39" s="131" t="s">
        <v>5735</v>
      </c>
    </row>
  </sheetData>
  <sheetProtection sheet="1" objects="1" scenarios="1" formatCells="0" formatColumns="0" formatRows="0" sort="0" autoFilter="0" pivotTables="0"/>
  <autoFilter ref="A1:AA2"/>
  <phoneticPr fontId="100" type="noConversion"/>
  <conditionalFormatting sqref="B1:B1048576">
    <cfRule type="expression" dxfId="3183" priority="32">
      <formula xml:space="preserve"> AND(ISBLANK($B1),NOT(ISBLANK($A1)))</formula>
    </cfRule>
  </conditionalFormatting>
  <conditionalFormatting sqref="C1:C1048576">
    <cfRule type="expression" dxfId="3182" priority="31">
      <formula xml:space="preserve"> AND(ISBLANK($C1),NOT(ISBLANK($A1)))</formula>
    </cfRule>
  </conditionalFormatting>
  <conditionalFormatting sqref="D1:D1048576">
    <cfRule type="expression" dxfId="3181" priority="30">
      <formula xml:space="preserve"> AND(ISBLANK($D1),NOT(ISBLANK($A1)))</formula>
    </cfRule>
  </conditionalFormatting>
  <conditionalFormatting sqref="E1:E1048576">
    <cfRule type="expression" dxfId="3180" priority="29">
      <formula xml:space="preserve"> NOT(OR(ISNUMBER($E1),ISBLANK($A1)))</formula>
    </cfRule>
  </conditionalFormatting>
  <conditionalFormatting sqref="F1:F1048576">
    <cfRule type="expression" dxfId="3179" priority="28">
      <formula xml:space="preserve"> NOT(OR(ISNUMBER($F1),ISBLANK($A1)))</formula>
    </cfRule>
  </conditionalFormatting>
  <conditionalFormatting sqref="G1:G1048576">
    <cfRule type="expression" dxfId="3178" priority="27">
      <formula xml:space="preserve"> AND(NOT(ISNUMBER($G1)),NOT(ISBLANK($A1)))</formula>
    </cfRule>
  </conditionalFormatting>
  <conditionalFormatting sqref="H1:H1048576">
    <cfRule type="expression" dxfId="3177" priority="26">
      <formula xml:space="preserve"> AND(NOT(ISNUMBER($H1)),NOT(ISBLANK($A1)))</formula>
    </cfRule>
  </conditionalFormatting>
  <conditionalFormatting sqref="I1:I1048576">
    <cfRule type="expression" dxfId="3176" priority="25">
      <formula xml:space="preserve"> AND(ISBLANK($I1),NOT(ISBLANK($A1)))</formula>
    </cfRule>
  </conditionalFormatting>
  <conditionalFormatting sqref="J1:J1048576">
    <cfRule type="expression" dxfId="3175" priority="24">
      <formula xml:space="preserve"> AND(ISBLANK($J1),NOT(ISBLANK($A1)))</formula>
    </cfRule>
  </conditionalFormatting>
  <conditionalFormatting sqref="K1:K1048576">
    <cfRule type="expression" dxfId="3174" priority="23">
      <formula xml:space="preserve"> AND(ISBLANK($K1),NOT(ISBLANK($A1)))</formula>
    </cfRule>
  </conditionalFormatting>
  <conditionalFormatting sqref="L1:L1048576">
    <cfRule type="expression" dxfId="3173" priority="22">
      <formula xml:space="preserve"> AND(ISBLANK($L1),NOT(ISBLANK($A1)))</formula>
    </cfRule>
  </conditionalFormatting>
  <conditionalFormatting sqref="M1:M1048576">
    <cfRule type="expression" dxfId="3172" priority="21">
      <formula xml:space="preserve"> AND(ISBLANK($M1),NOT(ISBLANK($A1)))</formula>
    </cfRule>
  </conditionalFormatting>
  <conditionalFormatting sqref="N1:N1048576">
    <cfRule type="expression" dxfId="3171" priority="20">
      <formula xml:space="preserve"> AND(ISBLANK($N1),NOT(ISBLANK($A1)))</formula>
    </cfRule>
  </conditionalFormatting>
  <conditionalFormatting sqref="O1:O1048576">
    <cfRule type="expression" dxfId="3170" priority="19">
      <formula xml:space="preserve"> AND(ISBLANK($O1),NOT(ISBLANK($A1)))</formula>
    </cfRule>
  </conditionalFormatting>
  <conditionalFormatting sqref="P1:P1048576">
    <cfRule type="expression" dxfId="3169" priority="18">
      <formula xml:space="preserve"> AND(ISBLANK($P1),NOT(ISBLANK($A1)))</formula>
    </cfRule>
  </conditionalFormatting>
  <conditionalFormatting sqref="Q1:Q1048576">
    <cfRule type="expression" dxfId="3168" priority="1251">
      <formula xml:space="preserve"> AND(NOT(ISLOGICAL($Q1)),NOT(ISBLANK($A1)))</formula>
    </cfRule>
  </conditionalFormatting>
  <conditionalFormatting sqref="S1:S1048576">
    <cfRule type="expression" dxfId="3167" priority="11">
      <formula xml:space="preserve"> AND(AND(NOT(ISBLANK($Q1)),$Q1=FALSE),ISBLANK($S1))</formula>
    </cfRule>
  </conditionalFormatting>
  <conditionalFormatting sqref="T1:T1048576">
    <cfRule type="expression" dxfId="3166" priority="10">
      <formula xml:space="preserve"> AND(ISBLANK($T1),NOT(ISBLANK($A1)))</formula>
    </cfRule>
  </conditionalFormatting>
  <conditionalFormatting sqref="V1:V1048576">
    <cfRule type="expression" dxfId="3165" priority="9">
      <formula>AND(NOT(isdate(V1)),NOT(ISBLANK(V1)))</formula>
    </cfRule>
  </conditionalFormatting>
  <conditionalFormatting sqref="R1:R1048576">
    <cfRule type="expression" dxfId="3164" priority="1">
      <formula xml:space="preserve"> AND($Q1=TRUE,LEN($R1)&lt;&gt;16)</formula>
    </cfRule>
  </conditionalFormatting>
  <conditionalFormatting sqref="W1:W1048576">
    <cfRule type="expression" dxfId="3163" priority="8418">
      <formula xml:space="preserve"> AND(NOT(ISLOGICAL($W1)),NOT(ISBLANK($A1)))</formula>
    </cfRule>
  </conditionalFormatting>
  <conditionalFormatting sqref="X1:X1048576">
    <cfRule type="expression" dxfId="3162" priority="8419">
      <formula xml:space="preserve"> OR(AND(NOT(ISLOGICAL($X1)),NOT(ISBLANK($A1))), AND($X1=TRUE,$W1=FALSE))</formula>
    </cfRule>
  </conditionalFormatting>
  <conditionalFormatting sqref="Y1:Y1048576">
    <cfRule type="expression" dxfId="3161" priority="12560">
      <formula xml:space="preserve"> AND(NOT(ISLOGICAL($Y1)),NOT(ISBLANK($A1)))</formula>
    </cfRule>
  </conditionalFormatting>
  <conditionalFormatting sqref="AA1:AA1048576">
    <cfRule type="expression" dxfId="3160" priority="12561">
      <formula xml:space="preserve"> AND(NOT(ISLOGICAL($AA1)),NOT(ISBLANK($A1)))</formula>
    </cfRule>
  </conditionalFormatting>
  <conditionalFormatting sqref="Z1:Z1048576">
    <cfRule type="expression" dxfId="3159"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8.570312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03" customWidth="1"/>
    <col min="42" max="44" width="15.85546875" style="81" customWidth="1"/>
    <col min="45" max="45" width="9.140625" style="103"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72" customWidth="1"/>
    <col min="243" max="254" width="9.140625" style="81" customWidth="1"/>
    <col min="255" max="16384" width="9.140625" style="81"/>
  </cols>
  <sheetData>
    <row r="1" spans="1:243" s="103" customFormat="1" ht="57">
      <c r="A1" s="164" t="s">
        <v>0</v>
      </c>
      <c r="B1" s="133" t="s">
        <v>5718</v>
      </c>
      <c r="C1" s="133" t="s">
        <v>5719</v>
      </c>
      <c r="D1" s="162" t="s">
        <v>5979</v>
      </c>
      <c r="E1" s="166" t="s">
        <v>5980</v>
      </c>
      <c r="F1" s="162" t="s">
        <v>5981</v>
      </c>
      <c r="G1" s="162" t="s">
        <v>5982</v>
      </c>
      <c r="H1" s="163" t="s">
        <v>5983</v>
      </c>
      <c r="I1" s="163" t="s">
        <v>5984</v>
      </c>
      <c r="J1" s="163" t="s">
        <v>5985</v>
      </c>
      <c r="K1" s="163" t="s">
        <v>5986</v>
      </c>
      <c r="L1" s="163" t="s">
        <v>5987</v>
      </c>
      <c r="M1" s="163" t="s">
        <v>5988</v>
      </c>
      <c r="N1" s="163" t="s">
        <v>5989</v>
      </c>
      <c r="O1" s="163" t="s">
        <v>5990</v>
      </c>
      <c r="P1" s="163" t="s">
        <v>5991</v>
      </c>
      <c r="Q1" s="163" t="s">
        <v>5992</v>
      </c>
      <c r="R1" s="163" t="s">
        <v>5993</v>
      </c>
      <c r="S1" s="160" t="s">
        <v>5994</v>
      </c>
      <c r="T1" s="162" t="s">
        <v>5720</v>
      </c>
      <c r="U1" s="162" t="s">
        <v>5995</v>
      </c>
      <c r="V1" s="162" t="s">
        <v>5996</v>
      </c>
      <c r="W1" s="92" t="s">
        <v>5997</v>
      </c>
      <c r="X1" s="128" t="s">
        <v>5998</v>
      </c>
      <c r="Y1" s="126" t="s">
        <v>5999</v>
      </c>
      <c r="Z1" s="126" t="s">
        <v>6000</v>
      </c>
      <c r="AA1" s="126" t="s">
        <v>6001</v>
      </c>
      <c r="AB1" s="126" t="s">
        <v>6002</v>
      </c>
      <c r="AC1" s="127" t="s">
        <v>6003</v>
      </c>
      <c r="AD1" s="126" t="s">
        <v>6004</v>
      </c>
      <c r="AE1" s="147" t="s">
        <v>6005</v>
      </c>
      <c r="AF1" s="147" t="s">
        <v>6006</v>
      </c>
      <c r="AG1" s="147" t="s">
        <v>6007</v>
      </c>
      <c r="AH1" s="147" t="s">
        <v>6008</v>
      </c>
      <c r="AI1" s="147" t="s">
        <v>6009</v>
      </c>
      <c r="AJ1" s="147" t="s">
        <v>6010</v>
      </c>
      <c r="AK1" s="147" t="s">
        <v>6011</v>
      </c>
      <c r="AL1" s="153" t="s">
        <v>6012</v>
      </c>
      <c r="AM1" s="90" t="s">
        <v>6013</v>
      </c>
      <c r="AN1" s="90" t="s">
        <v>6014</v>
      </c>
      <c r="AO1" s="90" t="s">
        <v>6015</v>
      </c>
      <c r="AP1" s="90" t="s">
        <v>6016</v>
      </c>
      <c r="AQ1" s="173" t="s">
        <v>6017</v>
      </c>
      <c r="AR1" s="173" t="s">
        <v>6018</v>
      </c>
      <c r="AS1" s="92" t="s">
        <v>6019</v>
      </c>
      <c r="AT1" s="93" t="s">
        <v>6020</v>
      </c>
      <c r="AU1" s="93" t="s">
        <v>6021</v>
      </c>
      <c r="AV1" s="93" t="s">
        <v>6022</v>
      </c>
      <c r="AW1" s="93" t="s">
        <v>6023</v>
      </c>
      <c r="AX1" s="93" t="s">
        <v>6024</v>
      </c>
      <c r="AY1" s="93" t="s">
        <v>6025</v>
      </c>
      <c r="AZ1" s="92" t="s">
        <v>6026</v>
      </c>
      <c r="BA1" s="92" t="s">
        <v>6027</v>
      </c>
      <c r="BB1" s="92" t="s">
        <v>6028</v>
      </c>
      <c r="BC1" s="92" t="s">
        <v>6029</v>
      </c>
      <c r="BD1" s="92" t="s">
        <v>6030</v>
      </c>
      <c r="BE1" s="92" t="s">
        <v>6031</v>
      </c>
      <c r="BF1" s="93" t="s">
        <v>6032</v>
      </c>
      <c r="BG1" s="92" t="s">
        <v>6033</v>
      </c>
      <c r="BH1" s="92" t="s">
        <v>6034</v>
      </c>
      <c r="BI1" s="92" t="s">
        <v>6035</v>
      </c>
      <c r="BJ1" s="92" t="s">
        <v>6036</v>
      </c>
      <c r="BK1" s="92" t="s">
        <v>6037</v>
      </c>
      <c r="BL1" s="92" t="s">
        <v>6038</v>
      </c>
      <c r="BM1" s="93" t="s">
        <v>6039</v>
      </c>
      <c r="BN1" s="93" t="s">
        <v>6040</v>
      </c>
      <c r="BO1" s="93" t="s">
        <v>6041</v>
      </c>
      <c r="BP1" s="93" t="s">
        <v>6042</v>
      </c>
      <c r="BQ1" s="93" t="s">
        <v>6043</v>
      </c>
      <c r="BR1" s="93" t="s">
        <v>6044</v>
      </c>
      <c r="BS1" s="92" t="s">
        <v>6045</v>
      </c>
      <c r="BT1" s="92" t="s">
        <v>6046</v>
      </c>
      <c r="BU1" s="92" t="s">
        <v>6047</v>
      </c>
      <c r="BV1" s="92" t="s">
        <v>6048</v>
      </c>
      <c r="BW1" s="92" t="s">
        <v>6049</v>
      </c>
      <c r="BX1" s="92" t="s">
        <v>6050</v>
      </c>
      <c r="BY1" s="93" t="s">
        <v>6051</v>
      </c>
      <c r="BZ1" s="92" t="s">
        <v>6052</v>
      </c>
      <c r="CA1" s="92" t="s">
        <v>6053</v>
      </c>
      <c r="CB1" s="92" t="s">
        <v>6054</v>
      </c>
      <c r="CC1" s="92" t="s">
        <v>6055</v>
      </c>
      <c r="CD1" s="92" t="s">
        <v>6056</v>
      </c>
      <c r="CE1" s="92" t="s">
        <v>6057</v>
      </c>
      <c r="CF1" s="93" t="s">
        <v>6058</v>
      </c>
      <c r="CG1" s="92" t="s">
        <v>6059</v>
      </c>
      <c r="CH1" s="92" t="s">
        <v>6060</v>
      </c>
      <c r="CI1" s="92" t="s">
        <v>6061</v>
      </c>
      <c r="CJ1" s="92" t="s">
        <v>6062</v>
      </c>
      <c r="CK1" s="92" t="s">
        <v>6063</v>
      </c>
      <c r="CL1" s="92" t="s">
        <v>6064</v>
      </c>
      <c r="CM1" s="93" t="s">
        <v>6065</v>
      </c>
      <c r="CN1" s="92" t="s">
        <v>6066</v>
      </c>
      <c r="CO1" s="92" t="s">
        <v>6067</v>
      </c>
      <c r="CP1" s="92" t="s">
        <v>6068</v>
      </c>
      <c r="CQ1" s="92" t="s">
        <v>6069</v>
      </c>
      <c r="CR1" s="92" t="s">
        <v>6070</v>
      </c>
      <c r="CS1" s="92" t="s">
        <v>6071</v>
      </c>
      <c r="CT1" s="93" t="s">
        <v>6072</v>
      </c>
      <c r="CU1" s="92" t="s">
        <v>6073</v>
      </c>
      <c r="CV1" s="92" t="s">
        <v>6074</v>
      </c>
      <c r="CW1" s="92" t="s">
        <v>6075</v>
      </c>
      <c r="CX1" s="92" t="s">
        <v>6076</v>
      </c>
      <c r="CY1" s="92" t="s">
        <v>6077</v>
      </c>
      <c r="CZ1" s="92" t="s">
        <v>6078</v>
      </c>
      <c r="DA1" s="93" t="s">
        <v>6079</v>
      </c>
      <c r="DB1" s="92" t="s">
        <v>6080</v>
      </c>
      <c r="DC1" s="92" t="s">
        <v>6081</v>
      </c>
      <c r="DD1" s="92" t="s">
        <v>6082</v>
      </c>
      <c r="DE1" s="92" t="s">
        <v>6083</v>
      </c>
      <c r="DF1" s="92" t="s">
        <v>6084</v>
      </c>
      <c r="DG1" s="92" t="s">
        <v>6085</v>
      </c>
      <c r="DH1" s="93" t="s">
        <v>6086</v>
      </c>
      <c r="DI1" s="92" t="s">
        <v>6087</v>
      </c>
      <c r="DJ1" s="92" t="s">
        <v>6088</v>
      </c>
      <c r="DK1" s="92" t="s">
        <v>6089</v>
      </c>
      <c r="DL1" s="92" t="s">
        <v>6090</v>
      </c>
      <c r="DM1" s="92" t="s">
        <v>6091</v>
      </c>
      <c r="DN1" s="92" t="s">
        <v>6092</v>
      </c>
      <c r="DO1" s="93" t="s">
        <v>6093</v>
      </c>
      <c r="DP1" s="92" t="s">
        <v>6094</v>
      </c>
      <c r="DQ1" s="92" t="s">
        <v>6095</v>
      </c>
      <c r="DR1" s="92" t="s">
        <v>6096</v>
      </c>
      <c r="DS1" s="92" t="s">
        <v>6097</v>
      </c>
      <c r="DT1" s="92" t="s">
        <v>6098</v>
      </c>
      <c r="DU1" s="92" t="s">
        <v>6099</v>
      </c>
      <c r="DV1" s="94" t="s">
        <v>6100</v>
      </c>
      <c r="DW1" s="94" t="s">
        <v>6101</v>
      </c>
      <c r="DX1" s="93" t="s">
        <v>6102</v>
      </c>
      <c r="DY1" s="92" t="s">
        <v>6103</v>
      </c>
      <c r="DZ1" s="92" t="s">
        <v>6104</v>
      </c>
      <c r="EA1" s="92" t="s">
        <v>6105</v>
      </c>
      <c r="EB1" s="92" t="s">
        <v>6106</v>
      </c>
      <c r="EC1" s="92" t="s">
        <v>6107</v>
      </c>
      <c r="ED1" s="92" t="s">
        <v>6108</v>
      </c>
      <c r="EE1" s="94" t="s">
        <v>6109</v>
      </c>
      <c r="EF1" s="94" t="s">
        <v>6110</v>
      </c>
      <c r="EG1" s="93" t="s">
        <v>6111</v>
      </c>
      <c r="EH1" s="92" t="s">
        <v>6112</v>
      </c>
      <c r="EI1" s="92" t="s">
        <v>6113</v>
      </c>
      <c r="EJ1" s="92" t="s">
        <v>6114</v>
      </c>
      <c r="EK1" s="92" t="s">
        <v>6115</v>
      </c>
      <c r="EL1" s="92" t="s">
        <v>6116</v>
      </c>
      <c r="EM1" s="92" t="s">
        <v>6117</v>
      </c>
      <c r="EN1" s="94" t="s">
        <v>6118</v>
      </c>
      <c r="EO1" s="94" t="s">
        <v>6119</v>
      </c>
      <c r="EP1" s="93" t="s">
        <v>6120</v>
      </c>
      <c r="EQ1" s="92" t="s">
        <v>6121</v>
      </c>
      <c r="ER1" s="92" t="s">
        <v>6122</v>
      </c>
      <c r="ES1" s="92" t="s">
        <v>6123</v>
      </c>
      <c r="ET1" s="92" t="s">
        <v>6124</v>
      </c>
      <c r="EU1" s="92" t="s">
        <v>6125</v>
      </c>
      <c r="EV1" s="92" t="s">
        <v>6126</v>
      </c>
      <c r="EW1" s="94" t="s">
        <v>6127</v>
      </c>
      <c r="EX1" s="94" t="s">
        <v>6128</v>
      </c>
      <c r="EY1" s="93" t="s">
        <v>6129</v>
      </c>
      <c r="EZ1" s="92" t="s">
        <v>6130</v>
      </c>
      <c r="FA1" s="92" t="s">
        <v>6131</v>
      </c>
      <c r="FB1" s="92" t="s">
        <v>6132</v>
      </c>
      <c r="FC1" s="92" t="s">
        <v>6133</v>
      </c>
      <c r="FD1" s="92" t="s">
        <v>6134</v>
      </c>
      <c r="FE1" s="92" t="s">
        <v>6135</v>
      </c>
      <c r="FF1" s="94" t="s">
        <v>6136</v>
      </c>
      <c r="FG1" s="94" t="s">
        <v>6137</v>
      </c>
      <c r="FH1" s="93" t="s">
        <v>6138</v>
      </c>
      <c r="FI1" s="92" t="s">
        <v>6139</v>
      </c>
      <c r="FJ1" s="92" t="s">
        <v>6140</v>
      </c>
      <c r="FK1" s="92" t="s">
        <v>6141</v>
      </c>
      <c r="FL1" s="92" t="s">
        <v>6142</v>
      </c>
      <c r="FM1" s="92" t="s">
        <v>6143</v>
      </c>
      <c r="FN1" s="92" t="s">
        <v>6144</v>
      </c>
      <c r="FO1" s="94" t="s">
        <v>6145</v>
      </c>
      <c r="FP1" s="94" t="s">
        <v>6146</v>
      </c>
      <c r="FQ1" s="94" t="s">
        <v>6147</v>
      </c>
      <c r="FR1" s="95" t="s">
        <v>6148</v>
      </c>
      <c r="FS1" s="95" t="s">
        <v>6149</v>
      </c>
      <c r="FT1" s="95" t="s">
        <v>6150</v>
      </c>
      <c r="FU1" s="95" t="s">
        <v>6151</v>
      </c>
      <c r="FV1" s="95" t="s">
        <v>6152</v>
      </c>
      <c r="FW1" s="95" t="s">
        <v>6153</v>
      </c>
      <c r="FX1" s="93" t="s">
        <v>6154</v>
      </c>
      <c r="FY1" s="92" t="s">
        <v>6155</v>
      </c>
      <c r="FZ1" s="92" t="s">
        <v>6156</v>
      </c>
      <c r="GA1" s="92" t="s">
        <v>6157</v>
      </c>
      <c r="GB1" s="92" t="s">
        <v>6158</v>
      </c>
      <c r="GC1" s="92" t="s">
        <v>6159</v>
      </c>
      <c r="GD1" s="92" t="s">
        <v>6160</v>
      </c>
      <c r="GE1" s="94" t="s">
        <v>6161</v>
      </c>
      <c r="GF1" s="93" t="s">
        <v>6162</v>
      </c>
      <c r="GG1" s="92" t="s">
        <v>6163</v>
      </c>
      <c r="GH1" s="92" t="s">
        <v>6164</v>
      </c>
      <c r="GI1" s="92" t="s">
        <v>6165</v>
      </c>
      <c r="GJ1" s="92" t="s">
        <v>6166</v>
      </c>
      <c r="GK1" s="92" t="s">
        <v>6167</v>
      </c>
      <c r="GL1" s="92" t="s">
        <v>6168</v>
      </c>
      <c r="GM1" s="94" t="s">
        <v>6169</v>
      </c>
      <c r="GN1" s="93" t="s">
        <v>6170</v>
      </c>
      <c r="GO1" s="92" t="s">
        <v>6171</v>
      </c>
      <c r="GP1" s="92" t="s">
        <v>6172</v>
      </c>
      <c r="GQ1" s="92" t="s">
        <v>6173</v>
      </c>
      <c r="GR1" s="92" t="s">
        <v>6174</v>
      </c>
      <c r="GS1" s="92" t="s">
        <v>6175</v>
      </c>
      <c r="GT1" s="92" t="s">
        <v>6176</v>
      </c>
      <c r="GU1" s="94" t="s">
        <v>6177</v>
      </c>
      <c r="GV1" s="93" t="s">
        <v>6178</v>
      </c>
      <c r="GW1" s="92" t="s">
        <v>6179</v>
      </c>
      <c r="GX1" s="92" t="s">
        <v>6180</v>
      </c>
      <c r="GY1" s="92" t="s">
        <v>6181</v>
      </c>
      <c r="GZ1" s="92" t="s">
        <v>6182</v>
      </c>
      <c r="HA1" s="92" t="s">
        <v>6183</v>
      </c>
      <c r="HB1" s="92" t="s">
        <v>6184</v>
      </c>
      <c r="HC1" s="94" t="s">
        <v>6185</v>
      </c>
      <c r="HD1" s="93" t="s">
        <v>6186</v>
      </c>
      <c r="HE1" s="92" t="s">
        <v>6187</v>
      </c>
      <c r="HF1" s="92" t="s">
        <v>6188</v>
      </c>
      <c r="HG1" s="92" t="s">
        <v>6189</v>
      </c>
      <c r="HH1" s="92" t="s">
        <v>6190</v>
      </c>
      <c r="HI1" s="92" t="s">
        <v>6191</v>
      </c>
      <c r="HJ1" s="92" t="s">
        <v>6192</v>
      </c>
      <c r="HK1" s="94" t="s">
        <v>6193</v>
      </c>
      <c r="HL1" s="93" t="s">
        <v>6194</v>
      </c>
      <c r="HM1" s="92" t="s">
        <v>6195</v>
      </c>
      <c r="HN1" s="92" t="s">
        <v>6196</v>
      </c>
      <c r="HO1" s="92" t="s">
        <v>6197</v>
      </c>
      <c r="HP1" s="92" t="s">
        <v>6198</v>
      </c>
      <c r="HQ1" s="92" t="s">
        <v>6199</v>
      </c>
      <c r="HR1" s="92" t="s">
        <v>6200</v>
      </c>
      <c r="HS1" s="94" t="s">
        <v>6201</v>
      </c>
      <c r="HT1" s="93" t="s">
        <v>6202</v>
      </c>
      <c r="HU1" s="96" t="s">
        <v>6203</v>
      </c>
      <c r="HV1" s="96" t="s">
        <v>6204</v>
      </c>
      <c r="HW1" s="96" t="s">
        <v>6205</v>
      </c>
      <c r="HX1" s="96" t="s">
        <v>6206</v>
      </c>
      <c r="HY1" s="96" t="s">
        <v>6207</v>
      </c>
      <c r="HZ1" s="96" t="s">
        <v>6208</v>
      </c>
      <c r="IA1" s="97" t="s">
        <v>6209</v>
      </c>
      <c r="IB1" s="98" t="s">
        <v>6210</v>
      </c>
      <c r="IC1" s="169" t="s">
        <v>6211</v>
      </c>
      <c r="ID1" s="100" t="s">
        <v>6212</v>
      </c>
      <c r="IE1" s="101" t="s">
        <v>6213</v>
      </c>
      <c r="IF1" s="100" t="s">
        <v>6214</v>
      </c>
      <c r="IG1" s="170" t="s">
        <v>6215</v>
      </c>
      <c r="IH1" s="170" t="s">
        <v>6216</v>
      </c>
      <c r="II1" s="99" t="s">
        <v>6217</v>
      </c>
    </row>
    <row r="2" spans="1:243" ht="76.5">
      <c r="A2" s="216" t="str">
        <f>Input!A2</f>
        <v>Stt</v>
      </c>
      <c r="B2" s="217" t="s">
        <v>6218</v>
      </c>
      <c r="C2" s="217" t="s">
        <v>6219</v>
      </c>
      <c r="D2" s="216" t="str">
        <f>Input!B2</f>
        <v>Mã trạm BTS</v>
      </c>
      <c r="E2" s="216" t="str">
        <f>Input!C2</f>
        <v>Địa chỉ</v>
      </c>
      <c r="F2" s="216" t="str">
        <f>Input!D2</f>
        <v>Tỉnh/Thành phố</v>
      </c>
      <c r="G2" s="216" t="str">
        <f>Input!E2</f>
        <v>Kinh độ</v>
      </c>
      <c r="H2" s="216" t="str">
        <f>Input!F2</f>
        <v>Vĩ độ</v>
      </c>
      <c r="I2" s="216" t="str">
        <f>Input!G2</f>
        <v>Trường hợp kiểm định</v>
      </c>
      <c r="J2" s="216" t="str">
        <f>Input!H2</f>
        <v>Số lượng trạm BTS</v>
      </c>
      <c r="K2" s="216" t="str">
        <f>Input!I2</f>
        <v>Tên nhà mạng của các trạm BTS</v>
      </c>
      <c r="L2" s="216" t="str">
        <f>Input!J2</f>
        <v>Mã trạm BTS của các BTS</v>
      </c>
      <c r="M2" s="216" t="str">
        <f>Input!K2</f>
        <v>Tên thiết bị của các BTS</v>
      </c>
      <c r="N2" s="216" t="str">
        <f>Input!L2</f>
        <v>Số Anten phát của các BTS</v>
      </c>
      <c r="O2" s="216" t="str">
        <f>Input!M2</f>
        <v>Cấu hình các máy phát của các BTS</v>
      </c>
      <c r="P2" s="216" t="str">
        <f>Input!N2</f>
        <v>Công suất tối đa các máy phát của các BTS</v>
      </c>
      <c r="Q2" s="216" t="str">
        <f>Input!O2</f>
        <v xml:space="preserve"> Băng tần phát của các BTS</v>
      </c>
      <c r="R2" s="216" t="str">
        <f>Input!P2</f>
        <v>Độ cao các Anten phát của các BTS</v>
      </c>
      <c r="S2" s="216" t="str">
        <f>Input!Q2</f>
        <v>Trạm BTS có được cấp Giấy CNKĐ hay không?</v>
      </c>
      <c r="T2" s="216" t="str">
        <f>Input!R2</f>
        <v>Số Giấy Chứng nhận được cấp</v>
      </c>
      <c r="U2" s="216" t="str">
        <f>Input!S2</f>
        <v>Lý do trạm BTS không được cấp Giấy CNKĐ</v>
      </c>
      <c r="V2" s="216" t="str">
        <f>Input!T2</f>
        <v>Mã đơn vị đo kiểm định</v>
      </c>
      <c r="W2" s="216" t="str">
        <f>Input!U2</f>
        <v>Số Kết quả đo kiểm định</v>
      </c>
      <c r="X2" s="216" t="str">
        <f>Input!V2</f>
        <v>Ngày ban hành Kết quả đo kiểm định</v>
      </c>
      <c r="Y2" s="216" t="str">
        <f>Input!W2</f>
        <v>Trạm BTS có cột Anten đặt dưới đất phải không?</v>
      </c>
      <c r="Z2" s="216" t="str">
        <f>Input!X2</f>
        <v>Trạm BTS có giới hạn an toàn không?</v>
      </c>
      <c r="AA2" s="216" t="s">
        <v>6220</v>
      </c>
      <c r="AB2" s="216" t="str">
        <f>Input!Y2</f>
        <v>Trong 100m có công trình người dân sinh sống, làm việc không?</v>
      </c>
      <c r="AC2" s="216" t="str">
        <f>Input!Z2</f>
        <v xml:space="preserve"> Độ cao (m) công trình cao nhất trong 100m</v>
      </c>
      <c r="AD2" s="216" t="str">
        <f>Input!AA2</f>
        <v>Trạm BTS có phải đo Phơi nhiễm trường điện từ không?</v>
      </c>
      <c r="AE2" s="216" t="str">
        <f>Input!AB2</f>
        <v>Chuyên viên kiểm định 1</v>
      </c>
      <c r="AF2" s="216" t="str">
        <f>Input!AC2</f>
        <v>Chuyên viên kiểm định 2</v>
      </c>
      <c r="AG2" s="217" t="s">
        <v>6221</v>
      </c>
      <c r="AH2" s="217" t="s">
        <v>6222</v>
      </c>
      <c r="AI2" s="217" t="s">
        <v>6223</v>
      </c>
      <c r="AJ2" s="217" t="s">
        <v>6224</v>
      </c>
      <c r="AK2" s="217" t="s">
        <v>6225</v>
      </c>
      <c r="AL2" s="216"/>
      <c r="AM2" s="216" t="s">
        <v>6226</v>
      </c>
      <c r="AN2" s="216" t="s">
        <v>6227</v>
      </c>
      <c r="AO2" s="216" t="s">
        <v>6228</v>
      </c>
      <c r="AP2" s="216" t="s">
        <v>6229</v>
      </c>
      <c r="AQ2" s="216" t="s">
        <v>6230</v>
      </c>
      <c r="AR2" s="216" t="s">
        <v>6231</v>
      </c>
      <c r="AS2" s="216" t="s">
        <v>6232</v>
      </c>
      <c r="AT2" s="216" t="s">
        <v>6233</v>
      </c>
      <c r="AU2" s="216" t="s">
        <v>6234</v>
      </c>
      <c r="AV2" s="216" t="s">
        <v>6235</v>
      </c>
      <c r="AW2" s="216" t="s">
        <v>6236</v>
      </c>
      <c r="AX2" s="216" t="s">
        <v>6237</v>
      </c>
      <c r="AY2" s="216" t="s">
        <v>6238</v>
      </c>
      <c r="AZ2" s="216" t="s">
        <v>6239</v>
      </c>
      <c r="BA2" s="216" t="s">
        <v>6240</v>
      </c>
      <c r="BB2" s="216" t="s">
        <v>6241</v>
      </c>
      <c r="BC2" s="216" t="s">
        <v>6242</v>
      </c>
      <c r="BD2" s="216" t="s">
        <v>6243</v>
      </c>
      <c r="BE2" s="216" t="s">
        <v>6244</v>
      </c>
      <c r="BF2" s="216" t="s">
        <v>6245</v>
      </c>
      <c r="BG2" s="216" t="s">
        <v>6239</v>
      </c>
      <c r="BH2" s="216" t="s">
        <v>6240</v>
      </c>
      <c r="BI2" s="216" t="s">
        <v>6241</v>
      </c>
      <c r="BJ2" s="216" t="s">
        <v>6242</v>
      </c>
      <c r="BK2" s="216" t="s">
        <v>6243</v>
      </c>
      <c r="BL2" s="216" t="s">
        <v>6244</v>
      </c>
      <c r="BM2" s="216" t="s">
        <v>6246</v>
      </c>
      <c r="BN2" s="216" t="s">
        <v>6247</v>
      </c>
      <c r="BO2" s="216" t="s">
        <v>6248</v>
      </c>
      <c r="BP2" s="216" t="s">
        <v>6249</v>
      </c>
      <c r="BQ2" s="216" t="s">
        <v>6250</v>
      </c>
      <c r="BR2" s="216" t="s">
        <v>6251</v>
      </c>
      <c r="BS2" s="216" t="s">
        <v>6252</v>
      </c>
      <c r="BT2" s="216" t="s">
        <v>6253</v>
      </c>
      <c r="BU2" s="216" t="s">
        <v>6254</v>
      </c>
      <c r="BV2" s="216" t="s">
        <v>6255</v>
      </c>
      <c r="BW2" s="216" t="s">
        <v>6256</v>
      </c>
      <c r="BX2" s="216" t="s">
        <v>6257</v>
      </c>
      <c r="BY2" s="216" t="s">
        <v>6258</v>
      </c>
      <c r="BZ2" s="216" t="s">
        <v>6259</v>
      </c>
      <c r="CA2" s="216" t="s">
        <v>6260</v>
      </c>
      <c r="CB2" s="216" t="s">
        <v>6261</v>
      </c>
      <c r="CC2" s="216" t="s">
        <v>6262</v>
      </c>
      <c r="CD2" s="216" t="s">
        <v>6263</v>
      </c>
      <c r="CE2" s="216" t="s">
        <v>6264</v>
      </c>
      <c r="CF2" s="216" t="s">
        <v>6265</v>
      </c>
      <c r="CG2" s="216" t="s">
        <v>6266</v>
      </c>
      <c r="CH2" s="216" t="s">
        <v>6267</v>
      </c>
      <c r="CI2" s="216" t="s">
        <v>6268</v>
      </c>
      <c r="CJ2" s="216" t="s">
        <v>6269</v>
      </c>
      <c r="CK2" s="216" t="s">
        <v>6270</v>
      </c>
      <c r="CL2" s="216" t="s">
        <v>6271</v>
      </c>
      <c r="CM2" s="216" t="s">
        <v>6272</v>
      </c>
      <c r="CN2" s="216" t="s">
        <v>6273</v>
      </c>
      <c r="CO2" s="216" t="s">
        <v>6274</v>
      </c>
      <c r="CP2" s="216" t="s">
        <v>6275</v>
      </c>
      <c r="CQ2" s="216" t="s">
        <v>6276</v>
      </c>
      <c r="CR2" s="216" t="s">
        <v>6277</v>
      </c>
      <c r="CS2" s="216" t="s">
        <v>6278</v>
      </c>
      <c r="CT2" s="216" t="s">
        <v>6279</v>
      </c>
      <c r="CU2" s="216" t="s">
        <v>6280</v>
      </c>
      <c r="CV2" s="216" t="s">
        <v>6281</v>
      </c>
      <c r="CW2" s="216" t="s">
        <v>6282</v>
      </c>
      <c r="CX2" s="216" t="s">
        <v>6283</v>
      </c>
      <c r="CY2" s="216" t="s">
        <v>6284</v>
      </c>
      <c r="CZ2" s="216" t="s">
        <v>6285</v>
      </c>
      <c r="DA2" s="216" t="s">
        <v>6286</v>
      </c>
      <c r="DB2" s="216" t="s">
        <v>6287</v>
      </c>
      <c r="DC2" s="216" t="s">
        <v>6288</v>
      </c>
      <c r="DD2" s="216" t="s">
        <v>6289</v>
      </c>
      <c r="DE2" s="216" t="s">
        <v>6290</v>
      </c>
      <c r="DF2" s="216" t="s">
        <v>6291</v>
      </c>
      <c r="DG2" s="216" t="s">
        <v>6292</v>
      </c>
      <c r="DH2" s="216" t="s">
        <v>6293</v>
      </c>
      <c r="DI2" s="216" t="s">
        <v>6294</v>
      </c>
      <c r="DJ2" s="216" t="s">
        <v>6295</v>
      </c>
      <c r="DK2" s="216" t="s">
        <v>6296</v>
      </c>
      <c r="DL2" s="216" t="s">
        <v>6297</v>
      </c>
      <c r="DM2" s="216" t="s">
        <v>6298</v>
      </c>
      <c r="DN2" s="216" t="s">
        <v>6299</v>
      </c>
      <c r="DO2" s="216" t="s">
        <v>6300</v>
      </c>
      <c r="DP2" s="216" t="s">
        <v>6301</v>
      </c>
      <c r="DQ2" s="216" t="s">
        <v>6302</v>
      </c>
      <c r="DR2" s="216" t="s">
        <v>6303</v>
      </c>
      <c r="DS2" s="216" t="s">
        <v>6304</v>
      </c>
      <c r="DT2" s="216" t="s">
        <v>6305</v>
      </c>
      <c r="DU2" s="216" t="s">
        <v>6306</v>
      </c>
      <c r="DV2" s="216" t="s">
        <v>6300</v>
      </c>
      <c r="DW2" s="216" t="s">
        <v>6307</v>
      </c>
      <c r="DX2" s="216" t="s">
        <v>6308</v>
      </c>
      <c r="DY2" s="216" t="s">
        <v>6309</v>
      </c>
      <c r="DZ2" s="216" t="s">
        <v>6310</v>
      </c>
      <c r="EA2" s="216" t="s">
        <v>6311</v>
      </c>
      <c r="EB2" s="216" t="s">
        <v>6312</v>
      </c>
      <c r="EC2" s="216" t="s">
        <v>6313</v>
      </c>
      <c r="ED2" s="216" t="s">
        <v>6314</v>
      </c>
      <c r="EE2" s="216" t="s">
        <v>6308</v>
      </c>
      <c r="EF2" s="216" t="s">
        <v>6315</v>
      </c>
      <c r="EG2" s="216" t="s">
        <v>6316</v>
      </c>
      <c r="EH2" s="216" t="s">
        <v>6317</v>
      </c>
      <c r="EI2" s="216" t="s">
        <v>6318</v>
      </c>
      <c r="EJ2" s="216" t="s">
        <v>6319</v>
      </c>
      <c r="EK2" s="216" t="s">
        <v>6320</v>
      </c>
      <c r="EL2" s="216" t="s">
        <v>6321</v>
      </c>
      <c r="EM2" s="216" t="s">
        <v>6322</v>
      </c>
      <c r="EN2" s="216" t="s">
        <v>6316</v>
      </c>
      <c r="EO2" s="216" t="s">
        <v>6323</v>
      </c>
      <c r="EP2" s="216" t="s">
        <v>6324</v>
      </c>
      <c r="EQ2" s="216" t="s">
        <v>6325</v>
      </c>
      <c r="ER2" s="216" t="s">
        <v>6326</v>
      </c>
      <c r="ES2" s="216" t="s">
        <v>6327</v>
      </c>
      <c r="ET2" s="216" t="s">
        <v>6328</v>
      </c>
      <c r="EU2" s="216" t="s">
        <v>6329</v>
      </c>
      <c r="EV2" s="216" t="s">
        <v>6330</v>
      </c>
      <c r="EW2" s="216" t="s">
        <v>6324</v>
      </c>
      <c r="EX2" s="216" t="s">
        <v>6331</v>
      </c>
      <c r="EY2" s="216" t="s">
        <v>6332</v>
      </c>
      <c r="EZ2" s="216" t="s">
        <v>6333</v>
      </c>
      <c r="FA2" s="216" t="s">
        <v>6334</v>
      </c>
      <c r="FB2" s="216" t="s">
        <v>6335</v>
      </c>
      <c r="FC2" s="216" t="s">
        <v>6336</v>
      </c>
      <c r="FD2" s="216" t="s">
        <v>6337</v>
      </c>
      <c r="FE2" s="216" t="s">
        <v>6338</v>
      </c>
      <c r="FF2" s="216" t="s">
        <v>6332</v>
      </c>
      <c r="FG2" s="216" t="s">
        <v>6339</v>
      </c>
      <c r="FH2" s="216" t="s">
        <v>6340</v>
      </c>
      <c r="FI2" s="216" t="s">
        <v>6341</v>
      </c>
      <c r="FJ2" s="216" t="s">
        <v>6342</v>
      </c>
      <c r="FK2" s="216" t="s">
        <v>6343</v>
      </c>
      <c r="FL2" s="216" t="s">
        <v>6344</v>
      </c>
      <c r="FM2" s="216" t="s">
        <v>6345</v>
      </c>
      <c r="FN2" s="216" t="s">
        <v>6346</v>
      </c>
      <c r="FO2" s="216" t="s">
        <v>6340</v>
      </c>
      <c r="FP2" s="216" t="s">
        <v>6347</v>
      </c>
      <c r="FQ2" s="216" t="s">
        <v>6348</v>
      </c>
      <c r="FR2" s="216" t="s">
        <v>6349</v>
      </c>
      <c r="FS2" s="216" t="s">
        <v>6350</v>
      </c>
      <c r="FT2" s="216" t="s">
        <v>6351</v>
      </c>
      <c r="FU2" s="216" t="s">
        <v>6352</v>
      </c>
      <c r="FV2" s="216" t="s">
        <v>6353</v>
      </c>
      <c r="FW2" s="216" t="s">
        <v>6354</v>
      </c>
      <c r="FX2" s="216" t="s">
        <v>6355</v>
      </c>
      <c r="FY2" s="216" t="s">
        <v>6356</v>
      </c>
      <c r="FZ2" s="216" t="s">
        <v>6357</v>
      </c>
      <c r="GA2" s="216" t="s">
        <v>6358</v>
      </c>
      <c r="GB2" s="216" t="s">
        <v>6359</v>
      </c>
      <c r="GC2" s="216" t="s">
        <v>6360</v>
      </c>
      <c r="GD2" s="216" t="s">
        <v>6361</v>
      </c>
      <c r="GE2" s="216" t="s">
        <v>6355</v>
      </c>
      <c r="GF2" s="216" t="s">
        <v>6362</v>
      </c>
      <c r="GG2" s="216" t="s">
        <v>6363</v>
      </c>
      <c r="GH2" s="216" t="s">
        <v>6364</v>
      </c>
      <c r="GI2" s="216" t="s">
        <v>6365</v>
      </c>
      <c r="GJ2" s="216" t="s">
        <v>6366</v>
      </c>
      <c r="GK2" s="216" t="s">
        <v>6367</v>
      </c>
      <c r="GL2" s="216" t="s">
        <v>6368</v>
      </c>
      <c r="GM2" s="216" t="s">
        <v>6362</v>
      </c>
      <c r="GN2" s="216" t="s">
        <v>6369</v>
      </c>
      <c r="GO2" s="216" t="s">
        <v>6370</v>
      </c>
      <c r="GP2" s="216" t="s">
        <v>6371</v>
      </c>
      <c r="GQ2" s="216" t="s">
        <v>6372</v>
      </c>
      <c r="GR2" s="216" t="s">
        <v>6373</v>
      </c>
      <c r="GS2" s="216" t="s">
        <v>6374</v>
      </c>
      <c r="GT2" s="216" t="s">
        <v>6375</v>
      </c>
      <c r="GU2" s="216" t="s">
        <v>6369</v>
      </c>
      <c r="GV2" s="216" t="s">
        <v>6376</v>
      </c>
      <c r="GW2" s="216" t="s">
        <v>6377</v>
      </c>
      <c r="GX2" s="216" t="s">
        <v>6378</v>
      </c>
      <c r="GY2" s="216" t="s">
        <v>6379</v>
      </c>
      <c r="GZ2" s="216" t="s">
        <v>6380</v>
      </c>
      <c r="HA2" s="216" t="s">
        <v>6381</v>
      </c>
      <c r="HB2" s="216" t="s">
        <v>6382</v>
      </c>
      <c r="HC2" s="216" t="s">
        <v>6376</v>
      </c>
      <c r="HD2" s="216" t="s">
        <v>6383</v>
      </c>
      <c r="HE2" s="216" t="s">
        <v>6384</v>
      </c>
      <c r="HF2" s="216" t="s">
        <v>6385</v>
      </c>
      <c r="HG2" s="216" t="s">
        <v>6386</v>
      </c>
      <c r="HH2" s="216" t="s">
        <v>6387</v>
      </c>
      <c r="HI2" s="216" t="s">
        <v>6388</v>
      </c>
      <c r="HJ2" s="216" t="s">
        <v>6389</v>
      </c>
      <c r="HK2" s="216" t="s">
        <v>6383</v>
      </c>
      <c r="HL2" s="216" t="s">
        <v>6390</v>
      </c>
      <c r="HM2" s="216" t="s">
        <v>6391</v>
      </c>
      <c r="HN2" s="216" t="s">
        <v>6392</v>
      </c>
      <c r="HO2" s="216" t="s">
        <v>6393</v>
      </c>
      <c r="HP2" s="216" t="s">
        <v>6394</v>
      </c>
      <c r="HQ2" s="216" t="s">
        <v>6395</v>
      </c>
      <c r="HR2" s="216" t="s">
        <v>6396</v>
      </c>
      <c r="HS2" s="216" t="s">
        <v>6390</v>
      </c>
      <c r="HT2" s="216" t="s">
        <v>6397</v>
      </c>
      <c r="HU2" s="216" t="s">
        <v>6398</v>
      </c>
      <c r="HV2" s="216" t="s">
        <v>6399</v>
      </c>
      <c r="HW2" s="216" t="s">
        <v>6400</v>
      </c>
      <c r="HX2" s="216" t="s">
        <v>6401</v>
      </c>
      <c r="HY2" s="216" t="s">
        <v>6402</v>
      </c>
      <c r="HZ2" s="216" t="s">
        <v>6403</v>
      </c>
      <c r="IA2" s="216" t="s">
        <v>6404</v>
      </c>
      <c r="IB2" s="216" t="s">
        <v>6405</v>
      </c>
      <c r="IC2" s="217" t="s">
        <v>6406</v>
      </c>
      <c r="ID2" s="217" t="s">
        <v>6407</v>
      </c>
      <c r="IE2" s="217" t="s">
        <v>6408</v>
      </c>
      <c r="IF2" s="217" t="s">
        <v>6409</v>
      </c>
      <c r="IG2" s="217" t="s">
        <v>6410</v>
      </c>
      <c r="IH2" s="217" t="s">
        <v>6411</v>
      </c>
      <c r="II2" s="216">
        <v>4</v>
      </c>
    </row>
    <row r="3" spans="1:243" ht="242.25">
      <c r="A3" s="5">
        <f>Input!A3</f>
        <v>1</v>
      </c>
      <c r="B3" s="132" t="str">
        <f>Profile!$A$3</f>
        <v>VINAPHONE</v>
      </c>
      <c r="C3" s="132" t="str">
        <f>Profile!$F$3</f>
        <v>VINAPHONE</v>
      </c>
      <c r="D3" s="5" t="str">
        <f>Input!B3</f>
        <v>MY-DINH2-CT5-3-NTM_HNI</v>
      </c>
      <c r="E3" s="107" t="str">
        <f>Input!C3</f>
        <v>Tòa nhà CT5, Đơn Nguyên 3, khu đô thị Mỹ Đình 2, phường Mỹ Đình 2, quận Nam Từ Liêm, thành phố Hà Nội</v>
      </c>
      <c r="F3" s="5" t="str">
        <f>Input!D3</f>
        <v>Hà Nội</v>
      </c>
      <c r="G3" s="5">
        <f>Input!E3</f>
        <v>105.76466000000001</v>
      </c>
      <c r="H3" s="5">
        <f>Input!F3</f>
        <v>21.029509000000001</v>
      </c>
      <c r="I3" s="5">
        <f>Input!G3</f>
        <v>1</v>
      </c>
      <c r="J3" s="5">
        <f>Input!H3</f>
        <v>3</v>
      </c>
      <c r="K3" s="5" t="str">
        <f>ConcateMultiple(AT3:AY3,";",J3)</f>
        <v>TỔNG CÔNG TY HẠ TẦNG MẠNG;TỔNG CÔNG TY HẠ TẦNG MẠNG;TỔNG CÔNG TY HẠ TẦNG MẠNG</v>
      </c>
      <c r="L3" s="5" t="str">
        <f>Input!J3</f>
        <v>MY-DINH2-CT5-3-NTM_HNI;MY-DINH2-CT5-3-NTM_HNI;MY-DINH2-CT5-3-NTM_HNI</v>
      </c>
      <c r="M3" s="5" t="str">
        <f>Input!K3</f>
        <v>NOKIA FLEXI MULTIRADIO BTS RADIO MODULE AND REMOTE RADIO;NOKIA FLEXI MULTIRADIO BTS RADIO MODULE AND REMOTE RADIO (FRGY);NOKIA FLEXI MULTIRADIO BTS RADIO MODULE AND REMOTE RADIO (FHEL)</v>
      </c>
      <c r="N3" s="5" t="str">
        <f>Input!L3</f>
        <v>3;3;3</v>
      </c>
      <c r="O3" s="5" t="str">
        <f>Input!M3</f>
        <v>2/2/2;2/2/2;1/1/1</v>
      </c>
      <c r="P3" s="5" t="str">
        <f>Input!N3</f>
        <v>80/80/80;60/60/60;60/60/60</v>
      </c>
      <c r="Q3" s="5" t="str">
        <f>Input!O3</f>
        <v>900;2100;1800</v>
      </c>
      <c r="R3" s="5" t="str">
        <f>Input!P3</f>
        <v>52,5/52,5/52,5;52,5/52,5/52,5;52,5/52,5/52,5</v>
      </c>
      <c r="S3" s="152" t="b">
        <f>Input!Q3</f>
        <v>1</v>
      </c>
      <c r="T3" s="5" t="str">
        <f>Input!R3</f>
        <v>A03983181019TG05</v>
      </c>
      <c r="U3" s="5">
        <f>Input!S3</f>
        <v>0</v>
      </c>
      <c r="V3" s="5" t="str">
        <f>Input!T3</f>
        <v>VCC1</v>
      </c>
      <c r="W3" s="5" t="str">
        <f>Input!U3</f>
        <v>1903233/19/TG/TT1</v>
      </c>
      <c r="X3" s="7" t="str">
        <f>TEXT(Input!V3,"dd/mm/yyyy")</f>
        <v>18/10/2019</v>
      </c>
      <c r="Y3" s="5" t="b">
        <f>Input!W3</f>
        <v>0</v>
      </c>
      <c r="Z3" s="152" t="b">
        <f>Input!X3</f>
        <v>0</v>
      </c>
      <c r="AA3" s="5">
        <f>IA3</f>
        <v>52.5</v>
      </c>
      <c r="AB3" s="152" t="b">
        <f>Input!Y3</f>
        <v>1</v>
      </c>
      <c r="AC3" s="5">
        <f>VALUE(Input!Z3)</f>
        <v>50</v>
      </c>
      <c r="AD3" s="5" t="b">
        <f>Input!AA3</f>
        <v>0</v>
      </c>
      <c r="AE3" s="5" t="str">
        <f>Input!AB3</f>
        <v>Vũ Văn Giáp</v>
      </c>
      <c r="AF3" s="5" t="str">
        <f>Input!AC3</f>
        <v>Lê Tiến Cường</v>
      </c>
      <c r="AG3" s="132" t="str">
        <f>Options!$J$25</f>
        <v>TRUNG TÂM KIỂM ĐỊNH VÀ CHỨNG NHẬN 1</v>
      </c>
      <c r="AH3" s="132" t="str">
        <f>Options!$J$26</f>
        <v>TP. Hà Nội</v>
      </c>
      <c r="AI3" s="132" t="str">
        <f>Options!$J$29</f>
        <v>GIÁM ĐỐC</v>
      </c>
      <c r="AJ3" s="132" t="str">
        <f>Options!$J$30</f>
        <v/>
      </c>
      <c r="AK3" s="132" t="str">
        <f>Options!$J$31</f>
        <v>Bùi Ngọc Dũng</v>
      </c>
      <c r="AL3" s="6"/>
      <c r="AM3" s="6" t="str">
        <f>INDEX(ApplicantNameList,MATCH(B3,ApplicantIDList,0))</f>
        <v>Tổng Công ty Hạ tầng mạng</v>
      </c>
      <c r="AN3" s="6" t="str">
        <f>INDEX(OperatorNameList,MATCH(C3,OperatorIDList,0))</f>
        <v>TỔNG CÔNG TY HẠ TẦNG MẠNG</v>
      </c>
      <c r="AO3" s="5">
        <f>LEN(E3)-LEN(SUBSTITUTE(E3,",",""))</f>
        <v>5</v>
      </c>
      <c r="AP3" s="85" t="str">
        <f>TRIM(IF(AO3&gt;=2,MID(E3,FIND("~",SUBSTITUTE(E3,",","~", AO3))+1,IFERROR(FIND("~",SUBSTITUTE(E3,",","~", AO3+1))-1,LEN(E3))- FIND("~",SUBSTITUTE(E3,",","~", AO3))),""))</f>
        <v>thành phố Hà Nội</v>
      </c>
      <c r="AQ3" s="233" t="str">
        <f>TRIM(IF(AO3&gt;=2,MID(E3,FIND("~",SUBSTITUTE(E3,",","~", AO3-1))+1,IFERROR(FIND("~",SUBSTITUTE(E3,",","~", AO3-0))-1,LEN(E3))- FIND("~",SUBSTITUTE(E3,",","~", AO3-1))),""))</f>
        <v>quận Nam Từ Liêm</v>
      </c>
      <c r="AR3" s="233" t="str">
        <f>TRIM(IF(AO3&gt;=3,MID(E3,FIND("~",SUBSTITUTE(E3,",","~", AO3-2))+1,IFERROR(FIND("~",SUBSTITUTE(E3,",","~", AO3-1))-1,LEN(E3))- FIND("~",SUBSTITUTE(E3,",","~", AO3-2))),""))</f>
        <v>phường Mỹ Đình 2</v>
      </c>
      <c r="AS3" s="234" t="str">
        <f>INDEX(CityIDList,MATCH(F3,CityNameList,0))</f>
        <v>HNI</v>
      </c>
      <c r="AT3" s="6" t="str">
        <f>IF(J3&gt;=1,INDEX(OperatorNameList,MATCH(AZ3,OperatorIDList,0)),"")</f>
        <v>TỔNG CÔNG TY HẠ TẦNG MẠNG</v>
      </c>
      <c r="AU3" s="6" t="str">
        <f>IF(J3&gt;=2,INDEX(OperatorNameList,MATCH(BA3,OperatorIDList,0)),"")</f>
        <v>TỔNG CÔNG TY HẠ TẦNG MẠNG</v>
      </c>
      <c r="AV3" s="6" t="str">
        <f>IF(J3&gt;=3,INDEX(OperatorNameList,MATCH(BB3,OperatorIDList,0)),"")</f>
        <v>TỔNG CÔNG TY HẠ TẦNG MẠNG</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VINAPHONE</v>
      </c>
      <c r="BA3" s="6" t="str">
        <f>TRIM(IF(J3&gt;=2,MID(BF3,FIND("~",SUBSTITUTE(BF3,";","~",1))+1,IFERROR(FIND("~",SUBSTITUTE(BF3,";","~",2))-1,LEN(BF3))- FIND("~",SUBSTITUTE(BF3,";","~",1))),""))</f>
        <v>VINAPHONE</v>
      </c>
      <c r="BB3" s="6" t="str">
        <f>TRIM(IF(J3&gt;=3,MID(BF3,FIND("~",SUBSTITUTE(BF3,";","~",2))+1,IFERROR(FIND("~",SUBSTITUTE(BF3,";","~",3))-1,LEN(BF3))- FIND("~",SUBSTITUTE(BF3,";","~",2))),""))</f>
        <v>VINAPHONE</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VINAPHONE;VINAPHONE;VINAPHONE</v>
      </c>
      <c r="BG3" s="6" t="str">
        <f>IF(J3&gt;=1,MID(L3,1,IFERROR(FIND("~",SUBSTITUTE(L3,";","~",1))-1,LEN(L3))),"")</f>
        <v>MY-DINH2-CT5-3-NTM_HNI</v>
      </c>
      <c r="BH3" s="6" t="str">
        <f>IF(J3&gt;=2,MID(L3,FIND("~",SUBSTITUTE(L3,";","~",1))+1,IFERROR(FIND("~",SUBSTITUTE(L3,";","~",2))-1,LEN(L3))- FIND("~",SUBSTITUTE(L3,";","~",1))),"")</f>
        <v>MY-DINH2-CT5-3-NTM_HNI</v>
      </c>
      <c r="BI3" s="6" t="str">
        <f>IF(J3&gt;=3,MID(L3,FIND("~",SUBSTITUTE(L3,";","~",2))+1,IFERROR(FIND("~",SUBSTITUTE(L3,";","~",3))-1,LEN(L3))- FIND("~",SUBSTITUTE(L3,";","~",2))),"")</f>
        <v>MY-DINH2-CT5-3-NTM_HNI</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NOKIA FLEXI MULTIRADIO BTS RADIO MODULE AND REMOTE RADIO</v>
      </c>
      <c r="BN3" s="6" t="str">
        <f>IF(J3&gt;=2,MID(M3,FIND("~",SUBSTITUTE(M3,";","~",1))+1,IFERROR(FIND("~",SUBSTITUTE(M3,";","~",2))-1,LEN(M3))- FIND("~",SUBSTITUTE(M3,";","~",1))),"")</f>
        <v>NOKIA FLEXI MULTIRADIO BTS RADIO MODULE AND REMOTE RADIO (FRGY)</v>
      </c>
      <c r="BO3" s="6" t="str">
        <f>IF(J3&gt;=3,MID(M3,FIND("~",SUBSTITUTE(M3,";","~",2))+1,IFERROR(FIND("~",SUBSTITUTE(M3,";","~",3))-1,LEN(M3))- FIND("~",SUBSTITUTE(M3,";","~",2))),"")</f>
        <v>NOKIA FLEXI MULTIRADIO BTS RADIO MODULE AND REMOTE RADIO (FHEL)</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3</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2/2/2</v>
      </c>
      <c r="CG3" s="6">
        <f>IF(BT3&gt;=1,MID(CF3,1,IFERROR(FIND("~",SUBSTITUTE(CF3,"/","~",1))-1,LEN(CF3))),"0")*1</f>
        <v>2</v>
      </c>
      <c r="CH3" s="6">
        <f>IF(BT3&gt;=2,MID(CF3,FIND("~",SUBSTITUTE(CF3,"/","~",1))+1,IFERROR(FIND("~",SUBSTITUTE(CF3,"/","~",2))-1,LEN(CF3))- FIND("~",SUBSTITUTE(CF3,"/","~",1))),"0")*1</f>
        <v>2</v>
      </c>
      <c r="CI3" s="6">
        <f>IF(BT3&gt;=3,MID(CF3,FIND("~",SUBSTITUTE(CF3,"/","~",2))+1,IFERROR(FIND("~",SUBSTITUTE(CF3,"/","~",3))-1,LEN(CF3))- FIND("~",SUBSTITUTE(CF3,"/","~",2))),"0")*1</f>
        <v>2</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1/1/1</v>
      </c>
      <c r="CN3" s="6">
        <f>IF(BU3&gt;=1,MID(CM3,1,IFERROR(FIND("~",SUBSTITUTE(CM3,"/","~",1))-1,LEN(CM3))),"0")*1</f>
        <v>1</v>
      </c>
      <c r="CO3" s="6">
        <f>IF(BU3&gt;=2,MID(CM3,FIND("~",SUBSTITUTE(CM3,"/","~",1))+1,IFERROR(FIND("~",SUBSTITUTE(CM3,"/","~",2))-1,LEN(CM3))- FIND("~",SUBSTITUTE(CM3,"/","~",1))),"0")*1</f>
        <v>1</v>
      </c>
      <c r="CP3" s="6">
        <f>IF(BU3&gt;=3,MID(CM3,FIND("~",SUBSTITUTE(CM3,"/","~",2))+1,IFERROR(FIND("~",SUBSTITUTE(CM3,"/","~",3))-1,LEN(CM3))- FIND("~",SUBSTITUTE(CM3,"/","~",2))),"0")*1</f>
        <v>1</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80/80/80</v>
      </c>
      <c r="DP3" s="6">
        <f>SUBSTITUTE(IF(BS3&gt;=1,MID(DO3,1,IFERROR(FIND("~",SUBSTITUTE(DO3,"/","~",1))-1,LEN(DO3))),"0"),"W","")*1</f>
        <v>80</v>
      </c>
      <c r="DQ3" s="6">
        <f>SUBSTITUTE(IF(BS3&gt;=2,MID(DO3,FIND("~",SUBSTITUTE(DO3,"/","~",1))+1,IFERROR(FIND("~",SUBSTITUTE(DO3,"/","~",2))-1,LEN(DO3))- FIND("~",SUBSTITUTE(DO3,"/","~",1))),"0"),"W","")*1</f>
        <v>80</v>
      </c>
      <c r="DR3" s="6">
        <f>SUBSTITUTE(IF(BS3&gt;=3,MID(DO3,FIND("~",SUBSTITUTE(DO3,"/","~",2))+1,IFERROR(FIND("~",SUBSTITUTE(DO3,"/","~",3))-1,LEN(DO3))- FIND("~",SUBSTITUTE(DO3,"/","~",2))),"0"),"W","")*1</f>
        <v>80</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80W/ 80W/ 80W</v>
      </c>
      <c r="DW3" s="6">
        <f>MAX(DP3:DS3)</f>
        <v>80</v>
      </c>
      <c r="DX3" s="6" t="str">
        <f>IF(J3&gt;=2,MID(P3,FIND("~",SUBSTITUTE(P3,";","~",1))+1,IFERROR(FIND("~",SUBSTITUTE(P3,";","~",2))-1,LEN(P3))- FIND("~",SUBSTITUTE(P3,";","~",1))),"")</f>
        <v>60/60/60</v>
      </c>
      <c r="DY3" s="6">
        <f>SUBSTITUTE(IF(BT3&gt;=1,MID(DX3,1,IFERROR(FIND("~",SUBSTITUTE(DX3,"/","~",1))-1,LEN(DX3))),"0"),"W","")*1</f>
        <v>60</v>
      </c>
      <c r="DZ3" s="6">
        <f>SUBSTITUTE(IF(BT3&gt;=2,MID(DX3,FIND("~",SUBSTITUTE(DX3,"/","~",1))+1,IFERROR(FIND("~",SUBSTITUTE(DX3,"/","~",2))-1,LEN(DX3))- FIND("~",SUBSTITUTE(DX3,"/","~",1))),"0"),"W","")*1</f>
        <v>60</v>
      </c>
      <c r="EA3" s="6">
        <f>SUBSTITUTE(IF(BT3&gt;=3,MID(DX3,FIND("~",SUBSTITUTE(DX3,"/","~",2))+1,IFERROR(FIND("~",SUBSTITUTE(DX3,"/","~",3))-1,LEN(DX3))- FIND("~",SUBSTITUTE(DX3,"/","~",2))),"0"),"W","")*1</f>
        <v>60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60W/ 60W/ 60W</v>
      </c>
      <c r="EF3" s="6">
        <f>MAX(DY3:EB3)</f>
        <v>60</v>
      </c>
      <c r="EG3" s="6" t="str">
        <f>IF(J3&gt;=3,MID(P3,FIND("~",SUBSTITUTE(P3,";","~",2))+1,IFERROR(FIND("~",SUBSTITUTE(P3,";","~",3))-1,LEN(P3))- FIND("~",SUBSTITUTE(P3,";","~",2))),"")</f>
        <v>60/60/60</v>
      </c>
      <c r="EH3" s="6">
        <f>SUBSTITUTE(IF(BU3&gt;=1,MID(EG3,1,IFERROR(FIND("~",SUBSTITUTE(EG3,"/","~",1))-1,LEN(EG3))),"0"),"W","")*1</f>
        <v>60</v>
      </c>
      <c r="EI3" s="6">
        <f>SUBSTITUTE(IF(BU3&gt;=2,MID(EG3,FIND("~",SUBSTITUTE(EG3,"/","~",1))+1,IFERROR(FIND("~",SUBSTITUTE(EG3,"/","~",2))-1,LEN(EG3))- FIND("~",SUBSTITUTE(EG3,"/","~",1))),"0"),"W","")*1</f>
        <v>60</v>
      </c>
      <c r="EJ3" s="6">
        <f>SUBSTITUTE(IF(BU3&gt;=3,MID(EG3,FIND("~",SUBSTITUTE(EG3,"/","~",2))+1,IFERROR(FIND("~",SUBSTITUTE(EG3,"/","~",3))-1,LEN(EG3))- FIND("~",SUBSTITUTE(EG3,"/","~",2))),"0"),"W","")*1</f>
        <v>60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60W/ 60W/ 60W</v>
      </c>
      <c r="EO3" s="6">
        <f>MAX(EH3:EK3)</f>
        <v>60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v>
      </c>
      <c r="FR3" s="6" t="str">
        <f>TRIM(IF(J3&gt;=1,MID(Q3,1,IFERROR(FIND("~",SUBSTITUTE(Q3,";","~",1))-1,LEN(Q3))),""))</f>
        <v>900</v>
      </c>
      <c r="FS3" s="6" t="str">
        <f>TRIM(IF(J3&gt;=2,MID(Q3,FIND("~",SUBSTITUTE(Q3,";","~",1))+1,IFERROR(FIND("~",SUBSTITUTE(Q3,";","~",2))-1,LEN(Q3))- FIND("~",SUBSTITUTE(Q3,";","~",1))),""))</f>
        <v>2100</v>
      </c>
      <c r="FT3" s="6" t="str">
        <f>TRIM(IF(J3&gt;=3,MID(Q3,FIND("~",SUBSTITUTE(Q3,";","~",2))+1,IFERROR(FIND("~",SUBSTITUTE(Q3,";","~",3))-1,LEN(Q3))- FIND("~",SUBSTITUTE(Q3,";","~",2))),""))</f>
        <v>1800</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52,5/52,5/52,5</v>
      </c>
      <c r="FY3" s="6">
        <f>SUBSTITUTE(IF(BS3&gt;=1,MID(FX3,1,IFERROR(FIND("~",SUBSTITUTE(FX3,"/","~",1))-1,LEN(FX3))),"0"),"m","")*1</f>
        <v>52.5</v>
      </c>
      <c r="FZ3" s="6">
        <f>SUBSTITUTE(TRIM(IF(BS3&gt;=2,MID(FX3,FIND("~",SUBSTITUTE(FX3,"/","~",1))+1,IFERROR(FIND("~",SUBSTITUTE(FX3,"/","~",2))-1,LEN(FX3))- FIND("~",SUBSTITUTE(FX3,"/","~",1))),"0")),"m","")*1</f>
        <v>52.5</v>
      </c>
      <c r="GA3" s="6">
        <f>SUBSTITUTE(TRIM(IF(BS3&gt;=3,MID(FX3,FIND("~",SUBSTITUTE(FX3,"/","~",2))+1,IFERROR(FIND("~",SUBSTITUTE(FX3,"/","~",3))-1,LEN(FX3))- FIND("~",SUBSTITUTE(FX3,"/","~",2))),"0")),"m","")*1</f>
        <v>52.5</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52,5m/ 52,5m/ 52,5m</v>
      </c>
      <c r="GF3" s="6" t="str">
        <f>TRIM(IF(J3&gt;=2,MID(R3,FIND("~",SUBSTITUTE(R3,";","~",1))+1,IFERROR(FIND("~",SUBSTITUTE(R3,";","~",2))-1,LEN(R3))- FIND("~",SUBSTITUTE(R3,";","~",1))),""))</f>
        <v>52,5/52,5/52,5</v>
      </c>
      <c r="GG3" s="6">
        <f>SUBSTITUTE(IF(BT3&gt;=1,MID(GF3,1,IFERROR(FIND("~",SUBSTITUTE(GF3,"/","~",1))-1,LEN(GF3))),"0"),"m","")*1</f>
        <v>52.5</v>
      </c>
      <c r="GH3" s="6">
        <f>SUBSTITUTE(TRIM(IF(BT3&gt;=2,MID(GF3,FIND("~",SUBSTITUTE(GF3,"/","~",1))+1,IFERROR(FIND("~",SUBSTITUTE(GF3,"/","~",2))-1,LEN(GF3))- FIND("~",SUBSTITUTE(GF3,"/","~",1))),"0")),"m","")*1</f>
        <v>52.5</v>
      </c>
      <c r="GI3" s="6">
        <f>SUBSTITUTE(TRIM(IF(BT3&gt;=3,MID(GF3,FIND("~",SUBSTITUTE(GF3,"/","~",2))+1,IFERROR(FIND("~",SUBSTITUTE(GF3,"/","~",3))-1,LEN(GF3))- FIND("~",SUBSTITUTE(GF3,"/","~",2))),"0")),"m","")*1</f>
        <v>52.5</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52,5m/ 52,5m/ 52,5m</v>
      </c>
      <c r="GN3" s="6" t="str">
        <f>TRIM(IF(J3&gt;=3,MID(R3,FIND("~",SUBSTITUTE(R3,";","~",2))+1,IFERROR(FIND("~",SUBSTITUTE(R3,";","~",3))-1,LEN(R3))- FIND("~",SUBSTITUTE(R3,";","~",2))),""))</f>
        <v>52,5/52,5/52,5</v>
      </c>
      <c r="GO3" s="6">
        <f>SUBSTITUTE(IF(BU3&gt;=1,MID(GN3,1,IFERROR(FIND("~",SUBSTITUTE(GN3,"/","~",1))-1,LEN(GN3))),"0"),"m","")*1</f>
        <v>52.5</v>
      </c>
      <c r="GP3" s="6">
        <f>SUBSTITUTE(TRIM(IF(BU3&gt;=2,MID(GN3,FIND("~",SUBSTITUTE(GN3,"/","~",1))+1,IFERROR(FIND("~",SUBSTITUTE(GN3,"/","~",2))-1,LEN(GN3))- FIND("~",SUBSTITUTE(GN3,"/","~",1))),"0")),"m","")*1</f>
        <v>52.5</v>
      </c>
      <c r="GQ3" s="6">
        <f>SUBSTITUTE(TRIM(IF(BU3&gt;=3,MID(GN3,FIND("~",SUBSTITUTE(GN3,"/","~",2))+1,IFERROR(FIND("~",SUBSTITUTE(GN3,"/","~",3))-1,LEN(GN3))- FIND("~",SUBSTITUTE(GN3,"/","~",2))),"0")),"m","")*1</f>
        <v>52.5</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52,5m/ 52,5m/ 52,5m</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1</v>
      </c>
      <c r="HU3" s="6">
        <f>MinMultiple(FY3:GB3,BS3)</f>
        <v>52.5</v>
      </c>
      <c r="HV3" s="6">
        <f>MinMultiple(GG3:GJ3,BT3)</f>
        <v>52.5</v>
      </c>
      <c r="HW3" s="6">
        <f>MinMultiple(GO3:GR3,BU3)</f>
        <v>52.5</v>
      </c>
      <c r="HX3" s="6">
        <f>MinMultiple(GW3:GZ3,BV3)</f>
        <v>0</v>
      </c>
      <c r="HY3" s="6">
        <f>MinMultiple(HE3:HH3,BW3)</f>
        <v>0</v>
      </c>
      <c r="HZ3" s="6">
        <f>MinMultiple(HM3:HP3,BX3)</f>
        <v>0</v>
      </c>
      <c r="IA3" s="5">
        <f>MinMultiple(HU3:HZ3,J3)</f>
        <v>52.5</v>
      </c>
      <c r="IB3" s="5">
        <f>IA3-AC3</f>
        <v>2.5</v>
      </c>
      <c r="IC3" s="132" t="str">
        <f>IF(S3=TRUE,MID(T3,1,1),"")</f>
        <v>A</v>
      </c>
      <c r="ID3" s="132" t="str">
        <f>MID(T3,2,5)</f>
        <v>03983</v>
      </c>
      <c r="IE3" s="132" t="str">
        <f>MID(T3,7,6)</f>
        <v>181019</v>
      </c>
      <c r="IF3" s="132" t="str">
        <f>MID(T3,13,4)</f>
        <v>TG05</v>
      </c>
      <c r="IG3" s="171">
        <f>IF(S3=TRUE,DATE(2000+MID(IE3,5,2),MID(IE3,3,2),MID(IE3,1,2)),"")</f>
        <v>43756</v>
      </c>
      <c r="IH3" s="171">
        <f>IF(S3=TRUE,DATE(YEAR(IG3) + 5,MONTH(IG3),DAY(IG3)),"")</f>
        <v>45583</v>
      </c>
      <c r="II3" s="6">
        <v>37</v>
      </c>
    </row>
    <row r="4" spans="1:243" ht="165.75">
      <c r="A4" s="5">
        <f>Input!A4</f>
        <v>2</v>
      </c>
      <c r="B4" s="132" t="str">
        <f>Profile!$A$3</f>
        <v>VINAPHONE</v>
      </c>
      <c r="C4" s="132" t="str">
        <f>Profile!$F$3</f>
        <v>VINAPHONE</v>
      </c>
      <c r="D4" s="5" t="str">
        <f>Input!B4</f>
        <v>CHUNG-CU-C7-NTM_HNI</v>
      </c>
      <c r="E4" s="107" t="str">
        <f>Input!C4</f>
        <v>Tòa nhà C7, ngõ 6, phố Trần Hữu Dực, phường Cầu Diễn, quận Nam Từ Liêm, thành phố Hà Nội</v>
      </c>
      <c r="F4" s="5" t="str">
        <f>Input!D4</f>
        <v>Hà Nội</v>
      </c>
      <c r="G4" s="5">
        <f>Input!E4</f>
        <v>105.762325</v>
      </c>
      <c r="H4" s="5">
        <f>Input!F4</f>
        <v>21.030860000000001</v>
      </c>
      <c r="I4" s="5">
        <f>Input!G4</f>
        <v>1</v>
      </c>
      <c r="J4" s="5">
        <f>Input!H4</f>
        <v>2</v>
      </c>
      <c r="K4" s="5" t="str">
        <f t="shared" ref="K4:K39" si="0">ConcateMultiple(AT4:AY4,";",J4)</f>
        <v>TỔNG CÔNG TY HẠ TẦNG MẠNG;TỔNG CÔNG TY HẠ TẦNG MẠNG</v>
      </c>
      <c r="L4" s="5" t="str">
        <f>Input!J4</f>
        <v>CHUNG-CU-C7-NTM_HNI;CHUNG-CU-C7-NTM_HNI</v>
      </c>
      <c r="M4" s="5" t="str">
        <f>Input!K4</f>
        <v>NOKIA FLEXI MULTIRADIO BTS RADIO MODULE AND REMOTE RADIO (FRGY);NOKIA FLEXI MULTIRADIO BTS RADIO MODULE AND REMOTE RADIO (FHEL)</v>
      </c>
      <c r="N4" s="5" t="str">
        <f>Input!L4</f>
        <v>3;3</v>
      </c>
      <c r="O4" s="5" t="str">
        <f>Input!M4</f>
        <v>2/2/2;1/1/1</v>
      </c>
      <c r="P4" s="5" t="str">
        <f>Input!N4</f>
        <v>60/60/60;60/60/60</v>
      </c>
      <c r="Q4" s="5" t="str">
        <f>Input!O4</f>
        <v>2100;1800</v>
      </c>
      <c r="R4" s="5" t="str">
        <f>Input!P4</f>
        <v>42,5/42,5/42,5;42,5/42,5/42,5</v>
      </c>
      <c r="S4" s="152" t="b">
        <f>Input!Q4</f>
        <v>1</v>
      </c>
      <c r="T4" s="5" t="str">
        <f>Input!R4</f>
        <v>A03984181019TG05</v>
      </c>
      <c r="U4" s="5">
        <f>Input!S4</f>
        <v>0</v>
      </c>
      <c r="V4" s="5" t="str">
        <f>Input!T4</f>
        <v>VCC1</v>
      </c>
      <c r="W4" s="5" t="str">
        <f>Input!U4</f>
        <v>1903231/19/TG/TT1</v>
      </c>
      <c r="X4" s="7" t="str">
        <f>TEXT(Input!V4,"dd/mm/yyyy")</f>
        <v>18/10/2019</v>
      </c>
      <c r="Y4" s="5" t="b">
        <f>Input!W4</f>
        <v>0</v>
      </c>
      <c r="Z4" s="152" t="b">
        <f>Input!X4</f>
        <v>0</v>
      </c>
      <c r="AA4" s="5">
        <f t="shared" ref="AA4:AA39" si="1">IA4</f>
        <v>42.5</v>
      </c>
      <c r="AB4" s="152" t="b">
        <f>Input!Y4</f>
        <v>1</v>
      </c>
      <c r="AC4" s="5">
        <f>VALUE(Input!Z4)</f>
        <v>36</v>
      </c>
      <c r="AD4" s="5" t="b">
        <f>Input!AA4</f>
        <v>0</v>
      </c>
      <c r="AE4" s="5" t="str">
        <f>Input!AB4</f>
        <v>Vũ Văn Giáp</v>
      </c>
      <c r="AF4" s="5" t="str">
        <f>Input!AC4</f>
        <v>Lê Tiến Cường</v>
      </c>
      <c r="AG4" s="132" t="str">
        <f>Options!$J$25</f>
        <v>TRUNG TÂM KIỂM ĐỊNH VÀ CHỨNG NHẬN 1</v>
      </c>
      <c r="AH4" s="132" t="str">
        <f>Options!$J$26</f>
        <v>TP. Hà Nội</v>
      </c>
      <c r="AI4" s="132" t="str">
        <f>Options!$J$29</f>
        <v>GIÁM ĐỐC</v>
      </c>
      <c r="AJ4" s="132" t="str">
        <f>Options!$J$30</f>
        <v/>
      </c>
      <c r="AK4" s="132" t="str">
        <f>Options!$J$31</f>
        <v>Bùi Ngọc Dũng</v>
      </c>
      <c r="AL4" s="6"/>
      <c r="AM4" s="6" t="str">
        <f>INDEX(ApplicantNameList,MATCH(B4,ApplicantIDList,0))</f>
        <v>Tổng Công ty Hạ tầng mạng</v>
      </c>
      <c r="AN4" s="6" t="str">
        <f>INDEX(OperatorNameList,MATCH(C4,OperatorIDList,0))</f>
        <v>TỔNG CÔNG TY HẠ TẦNG MẠNG</v>
      </c>
      <c r="AO4" s="5">
        <f t="shared" ref="AO4:AO39" si="2">LEN(E4)-LEN(SUBSTITUTE(E4,",",""))</f>
        <v>5</v>
      </c>
      <c r="AP4" s="85" t="str">
        <f t="shared" ref="AP4:AP39" si="3">TRIM(IF(AO4&gt;=2,MID(E4,FIND("~",SUBSTITUTE(E4,",","~", AO4))+1,IFERROR(FIND("~",SUBSTITUTE(E4,",","~", AO4+1))-1,LEN(E4))- FIND("~",SUBSTITUTE(E4,",","~", AO4))),""))</f>
        <v>thành phố Hà Nội</v>
      </c>
      <c r="AQ4" s="233" t="str">
        <f t="shared" ref="AQ4:AQ39" si="4">TRIM(IF(AO4&gt;=2,MID(E4,FIND("~",SUBSTITUTE(E4,",","~", AO4-1))+1,IFERROR(FIND("~",SUBSTITUTE(E4,",","~", AO4-0))-1,LEN(E4))- FIND("~",SUBSTITUTE(E4,",","~", AO4-1))),""))</f>
        <v>quận Nam Từ Liêm</v>
      </c>
      <c r="AR4" s="233" t="str">
        <f t="shared" ref="AR4:AR39" si="5">TRIM(IF(AO4&gt;=3,MID(E4,FIND("~",SUBSTITUTE(E4,",","~", AO4-2))+1,IFERROR(FIND("~",SUBSTITUTE(E4,",","~", AO4-1))-1,LEN(E4))- FIND("~",SUBSTITUTE(E4,",","~", AO4-2))),""))</f>
        <v>phường Cầu Diễn</v>
      </c>
      <c r="AS4" s="234" t="str">
        <f>INDEX(CityIDList,MATCH(F4,CityNameList,0))</f>
        <v>HNI</v>
      </c>
      <c r="AT4" s="6" t="str">
        <f>IF(J4&gt;=1,INDEX(OperatorNameList,MATCH(AZ4,OperatorIDList,0)),"")</f>
        <v>TỔNG CÔNG TY HẠ TẦNG MẠNG</v>
      </c>
      <c r="AU4" s="6" t="str">
        <f>IF(J4&gt;=2,INDEX(OperatorNameList,MATCH(BA4,OperatorIDList,0)),"")</f>
        <v>TỔNG CÔNG TY HẠ TẦNG MẠNG</v>
      </c>
      <c r="AV4" s="6" t="str">
        <f>IF(J4&gt;=3,INDEX(OperatorNameList,MATCH(BB4,OperatorIDList,0)),"")</f>
        <v/>
      </c>
      <c r="AW4" s="6" t="str">
        <f>IF(J4&gt;=4,INDEX(OperatorNameList,MATCH(BC4,OperatorIDList,0)),"")</f>
        <v/>
      </c>
      <c r="AX4" s="6" t="str">
        <f>IF(J4&gt;=5,INDEX(OperatorNameList,MATCH(BD4,OperatorIDList,0)),"")</f>
        <v/>
      </c>
      <c r="AY4" s="6" t="str">
        <f>IF(J4&gt;=6,INDEX(OperatorNameList,MATCH(BE4,OperatorIDList,0)),"")</f>
        <v/>
      </c>
      <c r="AZ4" s="6" t="str">
        <f t="shared" ref="AZ4:AZ39" si="6">TRIM(IF(J4&gt;=1,MID(BF4,1,IFERROR(FIND("~",SUBSTITUTE(BF4,";","~",1))-1,LEN(BF4))),""))</f>
        <v>VINAPHONE</v>
      </c>
      <c r="BA4" s="6" t="str">
        <f t="shared" ref="BA4:BA39" si="7">TRIM(IF(J4&gt;=2,MID(BF4,FIND("~",SUBSTITUTE(BF4,";","~",1))+1,IFERROR(FIND("~",SUBSTITUTE(BF4,";","~",2))-1,LEN(BF4))- FIND("~",SUBSTITUTE(BF4,";","~",1))),""))</f>
        <v>VINAPHONE</v>
      </c>
      <c r="BB4" s="6" t="str">
        <f t="shared" ref="BB4:BB39" si="8">TRIM(IF(J4&gt;=3,MID(BF4,FIND("~",SUBSTITUTE(BF4,";","~",2))+1,IFERROR(FIND("~",SUBSTITUTE(BF4,";","~",3))-1,LEN(BF4))- FIND("~",SUBSTITUTE(BF4,";","~",2))),""))</f>
        <v/>
      </c>
      <c r="BC4" s="6" t="str">
        <f t="shared" ref="BC4:BC39" si="9">TRIM(IF(J4&gt;=4,MID(BF4,FIND("~",SUBSTITUTE(BF4,";","~",3))+1,IFERROR(FIND("~",SUBSTITUTE(BF4,";","~",4))-1,LEN(BF4))- FIND("~",SUBSTITUTE(BF4,";","~",3))),""))</f>
        <v/>
      </c>
      <c r="BD4" s="6" t="str">
        <f t="shared" ref="BD4:BD39" si="10">TRIM(IF(J4&gt;=5,MID(BF4,FIND("~",SUBSTITUTE(BF4,";","~",4))+1,IFERROR(FIND("~",SUBSTITUTE(BF4,";","~",5))-1,LEN(BF4))- FIND("~",SUBSTITUTE(BF4,";","~",4))),""))</f>
        <v/>
      </c>
      <c r="BE4" s="6" t="str">
        <f t="shared" ref="BE4:BE39" si="11">TRIM(IF(J4&gt;=6,MID(BF4,FIND("~",SUBSTITUTE(BF4,";","~",5))+1,IFERROR(FIND("~",SUBSTITUTE(BF4,";","~",6))-1,LEN(BF4))- FIND("~",SUBSTITUTE(BF4,";","~",5))),""))</f>
        <v/>
      </c>
      <c r="BF4" s="6" t="str">
        <f>Input!I4</f>
        <v>VINAPHONE;VINAPHONE</v>
      </c>
      <c r="BG4" s="6" t="str">
        <f t="shared" ref="BG4:BG39" si="12">IF(J4&gt;=1,MID(L4,1,IFERROR(FIND("~",SUBSTITUTE(L4,";","~",1))-1,LEN(L4))),"")</f>
        <v>CHUNG-CU-C7-NTM_HNI</v>
      </c>
      <c r="BH4" s="6" t="str">
        <f t="shared" ref="BH4:BH39" si="13">IF(J4&gt;=2,MID(L4,FIND("~",SUBSTITUTE(L4,";","~",1))+1,IFERROR(FIND("~",SUBSTITUTE(L4,";","~",2))-1,LEN(L4))- FIND("~",SUBSTITUTE(L4,";","~",1))),"")</f>
        <v>CHUNG-CU-C7-NTM_HNI</v>
      </c>
      <c r="BI4" s="6" t="str">
        <f t="shared" ref="BI4:BI39" si="14">IF(J4&gt;=3,MID(L4,FIND("~",SUBSTITUTE(L4,";","~",2))+1,IFERROR(FIND("~",SUBSTITUTE(L4,";","~",3))-1,LEN(L4))- FIND("~",SUBSTITUTE(L4,";","~",2))),"")</f>
        <v/>
      </c>
      <c r="BJ4" s="6" t="str">
        <f t="shared" ref="BJ4:BJ39" si="15">IF(J4&gt;=4,MID(L4,FIND("~",SUBSTITUTE(L4,";","~",3))+1,IFERROR(FIND("~",SUBSTITUTE(L4,";","~",4))-1,LEN(L4))- FIND("~",SUBSTITUTE(L4,";","~",3))),"")</f>
        <v/>
      </c>
      <c r="BK4" s="6" t="str">
        <f t="shared" ref="BK4:BK39" si="16">IF(J4&gt;=5,MID(L4,FIND("~",SUBSTITUTE(L4,";","~",4))+1,IFERROR(FIND("~",SUBSTITUTE(L4,";","~",5))-1,LEN(L4))- FIND("~",SUBSTITUTE(L4,";","~",4))),"")</f>
        <v/>
      </c>
      <c r="BL4" s="6" t="str">
        <f t="shared" ref="BL4:BL39" si="17">IF(J4&gt;=6,MID(L4,FIND("~",SUBSTITUTE(L4,";","~",5))+1,IFERROR(FIND("~",SUBSTITUTE(L4,";","~",6))-1,LEN(L4))- FIND("~",SUBSTITUTE(L4,";","~",5))),"")</f>
        <v/>
      </c>
      <c r="BM4" s="6" t="str">
        <f t="shared" ref="BM4:BM39" si="18">IF(J4&gt;=1,MID(M4,1,IFERROR(FIND("~",SUBSTITUTE(M4,";","~",1))-1,LEN(M4))),"")</f>
        <v>NOKIA FLEXI MULTIRADIO BTS RADIO MODULE AND REMOTE RADIO (FRGY)</v>
      </c>
      <c r="BN4" s="6" t="str">
        <f t="shared" ref="BN4:BN39" si="19">IF(J4&gt;=2,MID(M4,FIND("~",SUBSTITUTE(M4,";","~",1))+1,IFERROR(FIND("~",SUBSTITUTE(M4,";","~",2))-1,LEN(M4))- FIND("~",SUBSTITUTE(M4,";","~",1))),"")</f>
        <v>NOKIA FLEXI MULTIRADIO BTS RADIO MODULE AND REMOTE RADIO (FHEL)</v>
      </c>
      <c r="BO4" s="6" t="str">
        <f t="shared" ref="BO4:BO39" si="20">IF(J4&gt;=3,MID(M4,FIND("~",SUBSTITUTE(M4,";","~",2))+1,IFERROR(FIND("~",SUBSTITUTE(M4,";","~",3))-1,LEN(M4))- FIND("~",SUBSTITUTE(M4,";","~",2))),"")</f>
        <v/>
      </c>
      <c r="BP4" s="6" t="str">
        <f t="shared" ref="BP4:BP39" si="21">IF(J4&gt;=4,MID(M4,FIND("~",SUBSTITUTE(M4,";","~",3))+1,IFERROR(FIND("~",SUBSTITUTE(M4,";","~",4))-1,LEN(M4))- FIND("~",SUBSTITUTE(M4,";","~",3))),"")</f>
        <v/>
      </c>
      <c r="BQ4" s="6" t="str">
        <f t="shared" ref="BQ4:BQ39" si="22">IF(J4&gt;=5,MID(M4,FIND("~",SUBSTITUTE(M4,";","~",4))+1,IFERROR(FIND("~",SUBSTITUTE(M4,";","~",5))-1,LEN(M4))- FIND("~",SUBSTITUTE(M4,";","~",4))),"")</f>
        <v/>
      </c>
      <c r="BR4" s="6" t="str">
        <f t="shared" ref="BR4:BR39" si="23">IF(J4&gt;=6,MID(M4,FIND("~",SUBSTITUTE(M4,";","~",5))+1,IFERROR(FIND("~",SUBSTITUTE(M4,";","~",6))-1,LEN(M4))- FIND("~",SUBSTITUTE(M4,";","~",5))),"")</f>
        <v/>
      </c>
      <c r="BS4" s="6">
        <f t="shared" ref="BS4:BS39" si="24">IF(J4&gt;=1,MID(N4,1,IFERROR(FIND("~",SUBSTITUTE(N4,";","~",1))-1,LEN(N4))),"0")*1</f>
        <v>3</v>
      </c>
      <c r="BT4" s="6">
        <f t="shared" ref="BT4:BT39" si="25">IF(J4&gt;=2,MID(N4,FIND("~",SUBSTITUTE(N4,";","~",1))+1,IFERROR(FIND("~",SUBSTITUTE(N4,";","~",2))-1,LEN(N4))- FIND("~",SUBSTITUTE(N4,";","~",1))),"0")*1</f>
        <v>3</v>
      </c>
      <c r="BU4" s="6">
        <f t="shared" ref="BU4:BU39" si="26">IF(J4&gt;=3,MID(N4,FIND("~",SUBSTITUTE(N4,";","~",2))+1,IFERROR(FIND("~",SUBSTITUTE(N4,";","~",3))-1,LEN(N4))- FIND("~",SUBSTITUTE(N4,";","~",2))),"0")*1</f>
        <v>0</v>
      </c>
      <c r="BV4" s="6">
        <f t="shared" ref="BV4:BV39" si="27">IF(J4&gt;=4,MID(N4,FIND("~",SUBSTITUTE(N4,";","~",3))+1,IFERROR(FIND("~",SUBSTITUTE(N4,";","~",4))-1,LEN(N4))- FIND("~",SUBSTITUTE(N4,";","~",3))),"0")*1</f>
        <v>0</v>
      </c>
      <c r="BW4" s="6">
        <f t="shared" ref="BW4:BW39" si="28">IF(J4&gt;=5,MID(N4,FIND("~",SUBSTITUTE(N4,";","~",4))+1,IFERROR(FIND("~",SUBSTITUTE(N4,";","~",5))-1,LEN(N4))- FIND("~",SUBSTITUTE(N4,";","~",4))),"0")*1</f>
        <v>0</v>
      </c>
      <c r="BX4" s="6">
        <f t="shared" ref="BX4:BX39" si="29">IF(J4&gt;=6,MID(N4,FIND("~",SUBSTITUTE(N4,";","~",5))+1,IFERROR(FIND("~",SUBSTITUTE(N4,";","~",6))-1,LEN(N4))- FIND("~",SUBSTITUTE(N4,";","~",5))),"0")*1</f>
        <v>0</v>
      </c>
      <c r="BY4" s="6" t="str">
        <f t="shared" ref="BY4:BY39" si="30">IF(J4&gt;=1,MID(O4,1,IFERROR(FIND("~",SUBSTITUTE(O4,";","~",1))-1,LEN(O4))),"")</f>
        <v>2/2/2</v>
      </c>
      <c r="BZ4" s="6">
        <f t="shared" ref="BZ4:BZ39" si="31">IF(BS4&gt;=1,MID(BY4,1,IFERROR(FIND("~",SUBSTITUTE(BY4,"/","~",1))-1,LEN(BY4))),"0")*1</f>
        <v>2</v>
      </c>
      <c r="CA4" s="6">
        <f t="shared" ref="CA4:CA39" si="32">IF(BS4&gt;=2,MID(BY4,FIND("~",SUBSTITUTE(BY4,"/","~",1))+1,IFERROR(FIND("~",SUBSTITUTE(BY4,"/","~",2))-1,LEN(BY4))- FIND("~",SUBSTITUTE(BY4,"/","~",1))),"0")*1</f>
        <v>2</v>
      </c>
      <c r="CB4" s="6">
        <f t="shared" ref="CB4:CB39" si="33">IF(BS4&gt;=3,MID(BY4,FIND("~",SUBSTITUTE(BY4,"/","~",2))+1,IFERROR(FIND("~",SUBSTITUTE(BY4,"/","~",3))-1,LEN(BY4))- FIND("~",SUBSTITUTE(BY4,"/","~",2))),"0")*1</f>
        <v>2</v>
      </c>
      <c r="CC4" s="6">
        <f t="shared" ref="CC4:CC39" si="34">IF(BS4&gt;=4,MID(BY4,FIND("~",SUBSTITUTE(BY4,"/","~",3))+1,IFERROR(FIND("~",SUBSTITUTE(BY4,"/","~",4))-1,LEN(BY4))- FIND("~",SUBSTITUTE(BY4,"/","~",3))),"0")*1</f>
        <v>0</v>
      </c>
      <c r="CD4" s="6">
        <f t="shared" ref="CD4:CD39" si="35">IF(BS4&gt;=5,MID(BY4,FIND("~",SUBSTITUTE(BY4,"/","~",4))+1,IFERROR(FIND("~",SUBSTITUTE(BY4,"/","~",5))-1,LEN(BY4))- FIND("~",SUBSTITUTE(BY4,"/","~",4))),"0")*1</f>
        <v>0</v>
      </c>
      <c r="CE4" s="6">
        <f t="shared" ref="CE4:CE39" si="36">IF(BS4&gt;=6,MID(BY4,FIND("~",SUBSTITUTE(BY4,"/","~",5))+1,IFERROR(FIND("~",SUBSTITUTE(BY4,"/","~",6))-1,LEN(BY4))- FIND("~",SUBSTITUTE(BY4,"/","~",5))),"0")*1</f>
        <v>0</v>
      </c>
      <c r="CF4" s="6" t="str">
        <f t="shared" ref="CF4:CF39" si="37">IF(J4&gt;=2,MID(O4,FIND("~",SUBSTITUTE(O4,";","~",1))+1,IFERROR(FIND("~",SUBSTITUTE(O4,";","~",2))-1,LEN(O4))- FIND("~",SUBSTITUTE(O4,";","~",1))),"")</f>
        <v>1/1/1</v>
      </c>
      <c r="CG4" s="6">
        <f t="shared" ref="CG4:CG39" si="38">IF(BT4&gt;=1,MID(CF4,1,IFERROR(FIND("~",SUBSTITUTE(CF4,"/","~",1))-1,LEN(CF4))),"0")*1</f>
        <v>1</v>
      </c>
      <c r="CH4" s="6">
        <f t="shared" ref="CH4:CH39" si="39">IF(BT4&gt;=2,MID(CF4,FIND("~",SUBSTITUTE(CF4,"/","~",1))+1,IFERROR(FIND("~",SUBSTITUTE(CF4,"/","~",2))-1,LEN(CF4))- FIND("~",SUBSTITUTE(CF4,"/","~",1))),"0")*1</f>
        <v>1</v>
      </c>
      <c r="CI4" s="6">
        <f t="shared" ref="CI4:CI39" si="40">IF(BT4&gt;=3,MID(CF4,FIND("~",SUBSTITUTE(CF4,"/","~",2))+1,IFERROR(FIND("~",SUBSTITUTE(CF4,"/","~",3))-1,LEN(CF4))- FIND("~",SUBSTITUTE(CF4,"/","~",2))),"0")*1</f>
        <v>1</v>
      </c>
      <c r="CJ4" s="6">
        <f t="shared" ref="CJ4:CJ39" si="41">IF(BT4&gt;=4,MID(CF4,FIND("~",SUBSTITUTE(CF4,"/","~",3))+1,IFERROR(FIND("~",SUBSTITUTE(CF4,"/","~",4))-1,LEN(CF4))- FIND("~",SUBSTITUTE(CF4,"/","~",3))),"0")*1</f>
        <v>0</v>
      </c>
      <c r="CK4" s="6">
        <f t="shared" ref="CK4:CK39" si="42">IF(BT4&gt;=5,MID(CF4,FIND("~",SUBSTITUTE(CF4,"/","~",4))+1,IFERROR(FIND("~",SUBSTITUTE(CF4,"/","~",5))-1,LEN(CF4))- FIND("~",SUBSTITUTE(CF4,"/","~",4))),"0")*1</f>
        <v>0</v>
      </c>
      <c r="CL4" s="6">
        <f t="shared" ref="CL4:CL39" si="43">IF(BT4&gt;=6,MID(CF4,FIND("~",SUBSTITUTE(CF4,"/","~",5))+1,IFERROR(FIND("~",SUBSTITUTE(CF4,"/","~",6))-1,LEN(CF4))- FIND("~",SUBSTITUTE(CF4,"/","~",5))),"0")*1</f>
        <v>0</v>
      </c>
      <c r="CM4" s="6" t="str">
        <f t="shared" ref="CM4:CM39" si="44">IF(J4&gt;=3,MID(O4,FIND("~",SUBSTITUTE(O4,";","~",2))+1,IFERROR(FIND("~",SUBSTITUTE(O4,";","~",3))-1,LEN(O4))- FIND("~",SUBSTITUTE(O4,";","~",2))),"")</f>
        <v/>
      </c>
      <c r="CN4" s="6">
        <f t="shared" ref="CN4:CN39" si="45">IF(BU4&gt;=1,MID(CM4,1,IFERROR(FIND("~",SUBSTITUTE(CM4,"/","~",1))-1,LEN(CM4))),"0")*1</f>
        <v>0</v>
      </c>
      <c r="CO4" s="6">
        <f t="shared" ref="CO4:CO39" si="46">IF(BU4&gt;=2,MID(CM4,FIND("~",SUBSTITUTE(CM4,"/","~",1))+1,IFERROR(FIND("~",SUBSTITUTE(CM4,"/","~",2))-1,LEN(CM4))- FIND("~",SUBSTITUTE(CM4,"/","~",1))),"0")*1</f>
        <v>0</v>
      </c>
      <c r="CP4" s="6">
        <f t="shared" ref="CP4:CP39" si="47">IF(BU4&gt;=3,MID(CM4,FIND("~",SUBSTITUTE(CM4,"/","~",2))+1,IFERROR(FIND("~",SUBSTITUTE(CM4,"/","~",3))-1,LEN(CM4))- FIND("~",SUBSTITUTE(CM4,"/","~",2))),"0")*1</f>
        <v>0</v>
      </c>
      <c r="CQ4" s="6">
        <f t="shared" ref="CQ4:CQ39" si="48">IF(BU4&gt;=4,MID(CM4,FIND("~",SUBSTITUTE(CM4,"/","~",3))+1,IFERROR(FIND("~",SUBSTITUTE(CM4,"/","~",4))-1,LEN(CM4))- FIND("~",SUBSTITUTE(CM4,"/","~",3))),"0")*1</f>
        <v>0</v>
      </c>
      <c r="CR4" s="6">
        <f t="shared" ref="CR4:CR39" si="49">IF(BU4&gt;=5,MID(CM4,FIND("~",SUBSTITUTE(CM4,"/","~",4))+1,IFERROR(FIND("~",SUBSTITUTE(CM4,"/","~",5))-1,LEN(CM4))- FIND("~",SUBSTITUTE(CM4,"/","~",4))),"0")*1</f>
        <v>0</v>
      </c>
      <c r="CS4" s="6">
        <f t="shared" ref="CS4:CS39" si="50">IF(BU4&gt;=6,MID(CM4,FIND("~",SUBSTITUTE(CM4,"/","~",5))+1,IFERROR(FIND("~",SUBSTITUTE(CM4,"/","~",6))-1,LEN(CM4))- FIND("~",SUBSTITUTE(CM4,"/","~",5))),"0")*1</f>
        <v>0</v>
      </c>
      <c r="CT4" s="6" t="str">
        <f t="shared" ref="CT4:CT39" si="51">IF(J4&gt;=4,MID(O4,FIND("~",SUBSTITUTE(O4,";","~",3))+1,IFERROR(FIND("~",SUBSTITUTE(O4,";","~",4))-1,LEN(O4))- FIND("~",SUBSTITUTE(O4,";","~",3))),"")</f>
        <v/>
      </c>
      <c r="CU4" s="6">
        <f t="shared" ref="CU4:CU39" si="52">IF(BV4&gt;=1,MID(CT4,1,IFERROR(FIND("~",SUBSTITUTE(CT4,"/","~",1))-1,LEN(CT4))),"0")*1</f>
        <v>0</v>
      </c>
      <c r="CV4" s="6">
        <f t="shared" ref="CV4:CV39" si="53">IF(BV4&gt;=2,MID(CT4,FIND("~",SUBSTITUTE(CT4,"/","~",1))+1,IFERROR(FIND("~",SUBSTITUTE(CT4,"/","~",2))-1,LEN(CT4))- FIND("~",SUBSTITUTE(CT4,"/","~",1))),"0")*1</f>
        <v>0</v>
      </c>
      <c r="CW4" s="6">
        <f t="shared" ref="CW4:CW39" si="54">IF(BV4&gt;=3,MID(CT4,FIND("~",SUBSTITUTE(CT4,"/","~",2))+1,IFERROR(FIND("~",SUBSTITUTE(CT4,"/","~",3))-1,LEN(CT4))- FIND("~",SUBSTITUTE(CT4,"/","~",2))),"0")*1</f>
        <v>0</v>
      </c>
      <c r="CX4" s="6">
        <f t="shared" ref="CX4:CX39" si="55">IF(BV4&gt;=4,MID(CT4,FIND("~",SUBSTITUTE(CT4,"/","~",3))+1,IFERROR(FIND("~",SUBSTITUTE(CT4,"/","~",4))-1,LEN(CT4))- FIND("~",SUBSTITUTE(CT4,"/","~",3))),"0")*1</f>
        <v>0</v>
      </c>
      <c r="CY4" s="6">
        <f t="shared" ref="CY4:CY39" si="56">IF(BV4&gt;=5,MID(CT4,FIND("~",SUBSTITUTE(CT4,"/","~",4))+1,IFERROR(FIND("~",SUBSTITUTE(CT4,"/","~",5))-1,LEN(CT4))- FIND("~",SUBSTITUTE(CT4,"/","~",4))),"0")*1</f>
        <v>0</v>
      </c>
      <c r="CZ4" s="6">
        <f t="shared" ref="CZ4:CZ39" si="57">IF(BV4&gt;=6,MID(CT4,FIND("~",SUBSTITUTE(CT4,"/","~",5))+1,IFERROR(FIND("~",SUBSTITUTE(CT4,"/","~",6))-1,LEN(CT4))- FIND("~",SUBSTITUTE(CT4,"/","~",5))),"0")*1</f>
        <v>0</v>
      </c>
      <c r="DA4" s="6" t="str">
        <f t="shared" ref="DA4:DA39" si="58">IF(J4&gt;=5,MID(O4,FIND("~",SUBSTITUTE(O4,";","~",4))+1,IFERROR(FIND("~",SUBSTITUTE(O4,";","~",5))-1,LEN(O4))- FIND("~",SUBSTITUTE(O4,";","~",4))),"")</f>
        <v/>
      </c>
      <c r="DB4" s="6">
        <f t="shared" ref="DB4:DB39" si="59">IF(BW4&gt;=1,MID(DA4,1,IFERROR(FIND("~",SUBSTITUTE(DA4,"/","~",1))-1,LEN(DA4))),"0")*1</f>
        <v>0</v>
      </c>
      <c r="DC4" s="6">
        <f t="shared" ref="DC4:DC39" si="60">IF(BW4&gt;=2,MID(DA4,FIND("~",SUBSTITUTE(DA4,"/","~",1))+1,IFERROR(FIND("~",SUBSTITUTE(DA4,"/","~",2))-1,LEN(DA4))- FIND("~",SUBSTITUTE(DA4,"/","~",1))),"0")*1</f>
        <v>0</v>
      </c>
      <c r="DD4" s="6">
        <f t="shared" ref="DD4:DD39" si="61">IF(BW4&gt;=3,MID(DA4,FIND("~",SUBSTITUTE(DA4,"/","~",2))+1,IFERROR(FIND("~",SUBSTITUTE(DA4,"/","~",3))-1,LEN(DA4))- FIND("~",SUBSTITUTE(DA4,"/","~",2))),"0")*1</f>
        <v>0</v>
      </c>
      <c r="DE4" s="6">
        <f t="shared" ref="DE4:DE39" si="62">IF(BW4&gt;=4,MID(DA4,FIND("~",SUBSTITUTE(DA4,"/","~",3))+1,IFERROR(FIND("~",SUBSTITUTE(DA4,"/","~",4))-1,LEN(DA4))- FIND("~",SUBSTITUTE(DA4,"/","~",3))),"0")*1</f>
        <v>0</v>
      </c>
      <c r="DF4" s="6">
        <f t="shared" ref="DF4:DF39" si="63">IF(BW4&gt;=5,MID(DA4,FIND("~",SUBSTITUTE(DA4,"/","~",4))+1,IFERROR(FIND("~",SUBSTITUTE(DA4,"/","~",5))-1,LEN(DA4))- FIND("~",SUBSTITUTE(DA4,"/","~",4))),"0")*1</f>
        <v>0</v>
      </c>
      <c r="DG4" s="6">
        <f t="shared" ref="DG4:DG39" si="64">IF(BW4&gt;=6,MID(DA4,FIND("~",SUBSTITUTE(DA4,"/","~",5))+1,IFERROR(FIND("~",SUBSTITUTE(DA4,"/","~",6))-1,LEN(DA4))- FIND("~",SUBSTITUTE(DA4,"/","~",5))),"0")*1</f>
        <v>0</v>
      </c>
      <c r="DH4" s="6" t="str">
        <f t="shared" ref="DH4:DH39" si="65">IF(J4&gt;=6,MID(O4,FIND("~",SUBSTITUTE(O4,";","~",5))+1,IFERROR(FIND("~",SUBSTITUTE(O4,";","~",6))-1,LEN(O4))- FIND("~",SUBSTITUTE(O4,";","~",5))),"")</f>
        <v/>
      </c>
      <c r="DI4" s="6">
        <f t="shared" ref="DI4:DI39" si="66">IF(BX4&gt;=1,MID(DH4,1,IFERROR(FIND("~",SUBSTITUTE(DH4,"/","~",1))-1,LEN(DH4))),"0")*1</f>
        <v>0</v>
      </c>
      <c r="DJ4" s="6">
        <f t="shared" ref="DJ4:DJ39" si="67">IF(BX4&gt;=2,MID(DH4,FIND("~",SUBSTITUTE(DH4,"/","~",1))+1,IFERROR(FIND("~",SUBSTITUTE(DH4,"/","~",2))-1,LEN(DH4))- FIND("~",SUBSTITUTE(DH4,"/","~",1))),"0")*1</f>
        <v>0</v>
      </c>
      <c r="DK4" s="6">
        <f t="shared" ref="DK4:DK39" si="68">IF(BX4&gt;=3,MID(DH4,FIND("~",SUBSTITUTE(DH4,"/","~",2))+1,IFERROR(FIND("~",SUBSTITUTE(DH4,"/","~",3))-1,LEN(DH4))- FIND("~",SUBSTITUTE(DH4,"/","~",2))),"0")*1</f>
        <v>0</v>
      </c>
      <c r="DL4" s="6">
        <f t="shared" ref="DL4:DL39" si="69">IF(BX4&gt;=4,MID(DH4,FIND("~",SUBSTITUTE(DH4,"/","~",3))+1,IFERROR(FIND("~",SUBSTITUTE(DH4,"/","~",4))-1,LEN(DH4))- FIND("~",SUBSTITUTE(DH4,"/","~",3))),"0")*1</f>
        <v>0</v>
      </c>
      <c r="DM4" s="6">
        <f t="shared" ref="DM4:DM39" si="70">IF(BX4&gt;=5,MID(DH4,FIND("~",SUBSTITUTE(DH4,"/","~",4))+1,IFERROR(FIND("~",SUBSTITUTE(DH4,"/","~",5))-1,LEN(DH4))- FIND("~",SUBSTITUTE(DH4,"/","~",4))),"0")*1</f>
        <v>0</v>
      </c>
      <c r="DN4" s="6">
        <f t="shared" ref="DN4:DN39" si="71">IF(BX4&gt;=6,MID(DH4,FIND("~",SUBSTITUTE(DH4,"/","~",5))+1,IFERROR(FIND("~",SUBSTITUTE(DH4,"/","~",6))-1,LEN(DH4))- FIND("~",SUBSTITUTE(DH4,"/","~",5))),"0")*1</f>
        <v>0</v>
      </c>
      <c r="DO4" s="6" t="str">
        <f t="shared" ref="DO4:DO39" si="72">IF(J4&gt;=1,MID(P4,1,IFERROR(FIND("~",SUBSTITUTE(P4,";","~",1))-1,LEN(P4))),"")</f>
        <v>60/60/60</v>
      </c>
      <c r="DP4" s="6">
        <f t="shared" ref="DP4:DP39" si="73">SUBSTITUTE(IF(BS4&gt;=1,MID(DO4,1,IFERROR(FIND("~",SUBSTITUTE(DO4,"/","~",1))-1,LEN(DO4))),"0"),"W","")*1</f>
        <v>60</v>
      </c>
      <c r="DQ4" s="6">
        <f t="shared" ref="DQ4:DQ39" si="74">SUBSTITUTE(IF(BS4&gt;=2,MID(DO4,FIND("~",SUBSTITUTE(DO4,"/","~",1))+1,IFERROR(FIND("~",SUBSTITUTE(DO4,"/","~",2))-1,LEN(DO4))- FIND("~",SUBSTITUTE(DO4,"/","~",1))),"0"),"W","")*1</f>
        <v>60</v>
      </c>
      <c r="DR4" s="6">
        <f t="shared" ref="DR4:DR39" si="75">SUBSTITUTE(IF(BS4&gt;=3,MID(DO4,FIND("~",SUBSTITUTE(DO4,"/","~",2))+1,IFERROR(FIND("~",SUBSTITUTE(DO4,"/","~",3))-1,LEN(DO4))- FIND("~",SUBSTITUTE(DO4,"/","~",2))),"0"),"W","")*1</f>
        <v>60</v>
      </c>
      <c r="DS4" s="6">
        <f t="shared" ref="DS4:DS39" si="76">SUBSTITUTE(IF(BS4&gt;=4,MID(DO4,FIND("~",SUBSTITUTE(DO4,"/","~",3))+1,IFERROR(FIND("~",SUBSTITUTE(DO4,"/","~",4))-1,LEN(DO4))- FIND("~",SUBSTITUTE(DO4,"/","~",3))),"0"),"W","")*1</f>
        <v>0</v>
      </c>
      <c r="DT4" s="6">
        <f t="shared" ref="DT4:DT39" si="77">SUBSTITUTE(IF(BS4&gt;=5,MID(DO4,FIND("~",SUBSTITUTE(DO4,"/","~",4))+1,IFERROR(FIND("~",SUBSTITUTE(DO4,"/","~",5))-1,LEN(DO4))- FIND("~",SUBSTITUTE(DO4,"/","~",4))),"0"),"W","")*1</f>
        <v>0</v>
      </c>
      <c r="DU4" s="6">
        <f t="shared" ref="DU4:DU39" si="78">SUBSTITUTE(IF(BS4&gt;=6,MID(DO4,FIND("~",SUBSTITUTE(DO4,"/","~",5))+1,IFERROR(FIND("~",SUBSTITUTE(DO4,"/","~",6))-1,LEN(DO4))- FIND("~",SUBSTITUTE(DO4,"/","~",5))),"0"),"W","")*1</f>
        <v>0</v>
      </c>
      <c r="DV4" s="6" t="str">
        <f t="shared" ref="DV4:DV39" si="79">ConcateMultiple(DP4:DU4,"W/ ",BS4)</f>
        <v>60W/ 60W/ 60W</v>
      </c>
      <c r="DW4" s="6">
        <f t="shared" ref="DW4:DW39" si="80">MAX(DP4:DS4)</f>
        <v>60</v>
      </c>
      <c r="DX4" s="6" t="str">
        <f t="shared" ref="DX4:DX39" si="81">IF(J4&gt;=2,MID(P4,FIND("~",SUBSTITUTE(P4,";","~",1))+1,IFERROR(FIND("~",SUBSTITUTE(P4,";","~",2))-1,LEN(P4))- FIND("~",SUBSTITUTE(P4,";","~",1))),"")</f>
        <v>60/60/60</v>
      </c>
      <c r="DY4" s="6">
        <f t="shared" ref="DY4:DY39" si="82">SUBSTITUTE(IF(BT4&gt;=1,MID(DX4,1,IFERROR(FIND("~",SUBSTITUTE(DX4,"/","~",1))-1,LEN(DX4))),"0"),"W","")*1</f>
        <v>60</v>
      </c>
      <c r="DZ4" s="6">
        <f t="shared" ref="DZ4:DZ39" si="83">SUBSTITUTE(IF(BT4&gt;=2,MID(DX4,FIND("~",SUBSTITUTE(DX4,"/","~",1))+1,IFERROR(FIND("~",SUBSTITUTE(DX4,"/","~",2))-1,LEN(DX4))- FIND("~",SUBSTITUTE(DX4,"/","~",1))),"0"),"W","")*1</f>
        <v>60</v>
      </c>
      <c r="EA4" s="6">
        <f t="shared" ref="EA4:EA39" si="84">SUBSTITUTE(IF(BT4&gt;=3,MID(DX4,FIND("~",SUBSTITUTE(DX4,"/","~",2))+1,IFERROR(FIND("~",SUBSTITUTE(DX4,"/","~",3))-1,LEN(DX4))- FIND("~",SUBSTITUTE(DX4,"/","~",2))),"0"),"W","")*1</f>
        <v>60</v>
      </c>
      <c r="EB4" s="6">
        <f t="shared" ref="EB4:EB39" si="85">SUBSTITUTE(IF(BT4&gt;=4,MID(DX4,FIND("~",SUBSTITUTE(DX4,"/","~",3))+1,IFERROR(FIND("~",SUBSTITUTE(DX4,"/","~",4))-1,LEN(DX4))- FIND("~",SUBSTITUTE(DX4,"/","~",3))),"0"),"W","")*1</f>
        <v>0</v>
      </c>
      <c r="EC4" s="6">
        <f t="shared" ref="EC4:EC39" si="86">SUBSTITUTE(IF(BT4&gt;=5,MID(DX4,FIND("~",SUBSTITUTE(DX4,"/","~",4))+1,IFERROR(FIND("~",SUBSTITUTE(DX4,"/","~",5))-1,LEN(DX4))- FIND("~",SUBSTITUTE(DX4,"/","~",4))),"0"),"W","")*1</f>
        <v>0</v>
      </c>
      <c r="ED4" s="6">
        <f t="shared" ref="ED4:ED39" si="87">SUBSTITUTE(IF(BT4&gt;=6,MID(DX4,FIND("~",SUBSTITUTE(DX4,"/","~",5))+1,IFERROR(FIND("~",SUBSTITUTE(DX4,"/","~",6))-1,LEN(DX4))- FIND("~",SUBSTITUTE(DX4,"/","~",5))),"0"),"W","")*1</f>
        <v>0</v>
      </c>
      <c r="EE4" s="6" t="str">
        <f t="shared" ref="EE4:EE39" si="88">ConcateMultiple(DY4:ED4,"W/ ",BT4)</f>
        <v>60W/ 60W/ 60W</v>
      </c>
      <c r="EF4" s="6">
        <f t="shared" ref="EF4:EF39" si="89">MAX(DY4:EB4)</f>
        <v>60</v>
      </c>
      <c r="EG4" s="6" t="str">
        <f t="shared" ref="EG4:EG39" si="90">IF(J4&gt;=3,MID(P4,FIND("~",SUBSTITUTE(P4,";","~",2))+1,IFERROR(FIND("~",SUBSTITUTE(P4,";","~",3))-1,LEN(P4))- FIND("~",SUBSTITUTE(P4,";","~",2))),"")</f>
        <v/>
      </c>
      <c r="EH4" s="6">
        <f t="shared" ref="EH4:EH39" si="91">SUBSTITUTE(IF(BU4&gt;=1,MID(EG4,1,IFERROR(FIND("~",SUBSTITUTE(EG4,"/","~",1))-1,LEN(EG4))),"0"),"W","")*1</f>
        <v>0</v>
      </c>
      <c r="EI4" s="6">
        <f t="shared" ref="EI4:EI39" si="92">SUBSTITUTE(IF(BU4&gt;=2,MID(EG4,FIND("~",SUBSTITUTE(EG4,"/","~",1))+1,IFERROR(FIND("~",SUBSTITUTE(EG4,"/","~",2))-1,LEN(EG4))- FIND("~",SUBSTITUTE(EG4,"/","~",1))),"0"),"W","")*1</f>
        <v>0</v>
      </c>
      <c r="EJ4" s="6">
        <f t="shared" ref="EJ4:EJ39" si="93">SUBSTITUTE(IF(BU4&gt;=3,MID(EG4,FIND("~",SUBSTITUTE(EG4,"/","~",2))+1,IFERROR(FIND("~",SUBSTITUTE(EG4,"/","~",3))-1,LEN(EG4))- FIND("~",SUBSTITUTE(EG4,"/","~",2))),"0"),"W","")*1</f>
        <v>0</v>
      </c>
      <c r="EK4" s="6">
        <f t="shared" ref="EK4:EK39" si="94">SUBSTITUTE(IF(BU4&gt;=4,MID(EG4,FIND("~",SUBSTITUTE(EG4,"/","~",3))+1,IFERROR(FIND("~",SUBSTITUTE(EG4,"/","~",4))-1,LEN(EG4))- FIND("~",SUBSTITUTE(EG4,"/","~",3))),"0"),"W","")*1</f>
        <v>0</v>
      </c>
      <c r="EL4" s="6">
        <f t="shared" ref="EL4:EL39" si="95">SUBSTITUTE(IF(BU4&gt;=5,MID(EG4,FIND("~",SUBSTITUTE(EG4,"/","~",4))+1,IFERROR(FIND("~",SUBSTITUTE(EG4,"/","~",5))-1,LEN(EG4))- FIND("~",SUBSTITUTE(EG4,"/","~",4))),"0"),"W","")*1</f>
        <v>0</v>
      </c>
      <c r="EM4" s="6">
        <f t="shared" ref="EM4:EM39" si="96">SUBSTITUTE(IF(BU4&gt;=6,MID(EG4,FIND("~",SUBSTITUTE(EG4,"/","~",5))+1,IFERROR(FIND("~",SUBSTITUTE(EG4,"/","~",6))-1,LEN(EG4))- FIND("~",SUBSTITUTE(EG4,"/","~",5))),"0"),"W","")*1</f>
        <v>0</v>
      </c>
      <c r="EN4" s="6" t="str">
        <f t="shared" ref="EN4:EN39" si="97">ConcateMultiple(EH4:EM4,"W/ ",BU4)</f>
        <v/>
      </c>
      <c r="EO4" s="6">
        <f t="shared" ref="EO4:EO39" si="98">MAX(EH4:EK4)</f>
        <v>0</v>
      </c>
      <c r="EP4" s="6" t="str">
        <f t="shared" ref="EP4:EP39" si="99">IF(J4&gt;=4,MID(P4,FIND("~",SUBSTITUTE(P4,";","~",3))+1,IFERROR(FIND("~",SUBSTITUTE(P4,";","~",4))-1,LEN(P4))- FIND("~",SUBSTITUTE(P4,";","~",3))),"")</f>
        <v/>
      </c>
      <c r="EQ4" s="6">
        <f t="shared" ref="EQ4:EQ39" si="100">SUBSTITUTE(IF(BV4&gt;=1,MID(EP4,1,IFERROR(FIND("~",SUBSTITUTE(EP4,"/","~",1))-1,LEN(EP4))),"0"),"W","")*1</f>
        <v>0</v>
      </c>
      <c r="ER4" s="6">
        <f t="shared" ref="ER4:ER39" si="101">SUBSTITUTE(IF(BV4&gt;=2,MID(EP4,FIND("~",SUBSTITUTE(EP4,"/","~",1))+1,IFERROR(FIND("~",SUBSTITUTE(EP4,"/","~",2))-1,LEN(EP4))- FIND("~",SUBSTITUTE(EP4,"/","~",1))),"0"),"W","")*1</f>
        <v>0</v>
      </c>
      <c r="ES4" s="6">
        <f t="shared" ref="ES4:ES39" si="102">SUBSTITUTE(IF(BV4&gt;=3,MID(EP4,FIND("~",SUBSTITUTE(EP4,"/","~",2))+1,IFERROR(FIND("~",SUBSTITUTE(EP4,"/","~",3))-1,LEN(EP4))- FIND("~",SUBSTITUTE(EP4,"/","~",2))),"0"),"W","")*1</f>
        <v>0</v>
      </c>
      <c r="ET4" s="6">
        <f t="shared" ref="ET4:ET39" si="103">SUBSTITUTE(IF(BV4&gt;=4,MID(EP4,FIND("~",SUBSTITUTE(EP4,"/","~",3))+1,IFERROR(FIND("~",SUBSTITUTE(EP4,"/","~",4))-1,LEN(EP4))- FIND("~",SUBSTITUTE(EP4,"/","~",3))),"0"),"W","")*1</f>
        <v>0</v>
      </c>
      <c r="EU4" s="6">
        <f t="shared" ref="EU4:EU39" si="104">SUBSTITUTE(IF(BV4&gt;=5,MID(EP4,FIND("~",SUBSTITUTE(EP4,"/","~",4))+1,IFERROR(FIND("~",SUBSTITUTE(EP4,"/","~",5))-1,LEN(EP4))- FIND("~",SUBSTITUTE(EP4,"/","~",4))),"0"),"W","")*1</f>
        <v>0</v>
      </c>
      <c r="EV4" s="6">
        <f t="shared" ref="EV4:EV39" si="105">SUBSTITUTE(IF(BV4&gt;=6,MID(EP4,FIND("~",SUBSTITUTE(EP4,"/","~",5))+1,IFERROR(FIND("~",SUBSTITUTE(EP4,"/","~",6))-1,LEN(EP4))- FIND("~",SUBSTITUTE(EP4,"/","~",5))),"0"),"W","")*1</f>
        <v>0</v>
      </c>
      <c r="EW4" s="6" t="str">
        <f t="shared" ref="EW4:EW39" si="106">ConcateMultiple(EQ4:EV4,"W/ ",BV4)</f>
        <v/>
      </c>
      <c r="EX4" s="6">
        <f t="shared" ref="EX4:EX39" si="107">MAX(EQ4:ET4)</f>
        <v>0</v>
      </c>
      <c r="EY4" s="6" t="str">
        <f t="shared" ref="EY4:EY39" si="108">IF(J4&gt;=5,MID(P4,FIND("~",SUBSTITUTE(P4,";","~",4))+1,IFERROR(FIND("~",SUBSTITUTE(P4,";","~",5))-1,LEN(P4))- FIND("~",SUBSTITUTE(P4,";","~",4))),"")</f>
        <v/>
      </c>
      <c r="EZ4" s="6">
        <f t="shared" ref="EZ4:EZ39" si="109">SUBSTITUTE(IF(BW4&gt;=1,MID(EY4,1,IFERROR(FIND("~",SUBSTITUTE(EY4,"/","~",1))-1,LEN(EY4))),"0"),"W","")*1</f>
        <v>0</v>
      </c>
      <c r="FA4" s="6">
        <f t="shared" ref="FA4:FA39" si="110">SUBSTITUTE(IF(BW4&gt;=2,MID(EY4,FIND("~",SUBSTITUTE(EY4,"/","~",1))+1,IFERROR(FIND("~",SUBSTITUTE(EY4,"/","~",2))-1,LEN(EY4))- FIND("~",SUBSTITUTE(EY4,"/","~",1))),"0"),"W","")*1</f>
        <v>0</v>
      </c>
      <c r="FB4" s="6">
        <f t="shared" ref="FB4:FB39" si="111">SUBSTITUTE(IF(BW4&gt;=3,MID(EY4,FIND("~",SUBSTITUTE(EY4,"/","~",2))+1,IFERROR(FIND("~",SUBSTITUTE(EY4,"/","~",3))-1,LEN(EY4))- FIND("~",SUBSTITUTE(EY4,"/","~",2))),"0"),"W","")*1</f>
        <v>0</v>
      </c>
      <c r="FC4" s="6">
        <f t="shared" ref="FC4:FC39" si="112">SUBSTITUTE(IF(BW4&gt;=4,MID(EY4,FIND("~",SUBSTITUTE(EY4,"/","~",3))+1,IFERROR(FIND("~",SUBSTITUTE(EY4,"/","~",4))-1,LEN(EY4))- FIND("~",SUBSTITUTE(EY4,"/","~",3))),"0"),"W","")*1</f>
        <v>0</v>
      </c>
      <c r="FD4" s="6">
        <f t="shared" ref="FD4:FD39" si="113">SUBSTITUTE(IF(BW4&gt;=5,MID(EY4,FIND("~",SUBSTITUTE(EY4,"/","~",4))+1,IFERROR(FIND("~",SUBSTITUTE(EY4,"/","~",5))-1,LEN(EY4))- FIND("~",SUBSTITUTE(EY4,"/","~",4))),"0"),"W","")*1</f>
        <v>0</v>
      </c>
      <c r="FE4" s="6">
        <f t="shared" ref="FE4:FE39" si="114">SUBSTITUTE(IF(BW4&gt;=6,MID(EY4,FIND("~",SUBSTITUTE(EY4,"/","~",5))+1,IFERROR(FIND("~",SUBSTITUTE(EY4,"/","~",6))-1,LEN(EY4))- FIND("~",SUBSTITUTE(EY4,"/","~",5))),"0"),"W","")*1</f>
        <v>0</v>
      </c>
      <c r="FF4" s="6" t="str">
        <f t="shared" ref="FF4:FF39" si="115">ConcateMultiple(EZ4:FE4,"W/ ",BW4)</f>
        <v/>
      </c>
      <c r="FG4" s="6">
        <f t="shared" ref="FG4:FG39" si="116">MAX(EZ4:FC4)</f>
        <v>0</v>
      </c>
      <c r="FH4" s="6" t="str">
        <f t="shared" ref="FH4:FH39" si="117">IF(J4&gt;=6,MID(P4,FIND("~",SUBSTITUTE(P4,";","~",5))+1,IFERROR(FIND("~",SUBSTITUTE(P4,";","~",6))-1,LEN(P4))- FIND("~",SUBSTITUTE(P4,";","~",5))),"")</f>
        <v/>
      </c>
      <c r="FI4" s="6">
        <f t="shared" ref="FI4:FI39" si="118">SUBSTITUTE(IF(BX4&gt;=1,MID(FH4,1,IFERROR(FIND("~",SUBSTITUTE(FH4,"/","~",1))-1,LEN(FH4))),"0"),"W","")*1</f>
        <v>0</v>
      </c>
      <c r="FJ4" s="6">
        <f t="shared" ref="FJ4:FJ39" si="119">SUBSTITUTE(IF(BX4&gt;=2,MID(FH4,FIND("~",SUBSTITUTE(FH4,"/","~",1))+1,IFERROR(FIND("~",SUBSTITUTE(FH4,"/","~",2))-1,LEN(FH4))- FIND("~",SUBSTITUTE(FH4,"/","~",1))),"0"),"W","")*1</f>
        <v>0</v>
      </c>
      <c r="FK4" s="6">
        <f t="shared" ref="FK4:FK39" si="120">SUBSTITUTE(IF(BX4&gt;=3,MID(FH4,FIND("~",SUBSTITUTE(FH4,"/","~",2))+1,IFERROR(FIND("~",SUBSTITUTE(FH4,"/","~",3))-1,LEN(FH4))- FIND("~",SUBSTITUTE(FH4,"/","~",2))),"0"),"W","")*1</f>
        <v>0</v>
      </c>
      <c r="FL4" s="6">
        <f t="shared" ref="FL4:FL39" si="121">SUBSTITUTE(IF(BX4&gt;=4,MID(FH4,FIND("~",SUBSTITUTE(FH4,"/","~",3))+1,IFERROR(FIND("~",SUBSTITUTE(FH4,"/","~",4))-1,LEN(FH4))- FIND("~",SUBSTITUTE(FH4,"/","~",3))),"0"),"W","")*1</f>
        <v>0</v>
      </c>
      <c r="FM4" s="6">
        <f t="shared" ref="FM4:FM39" si="122">SUBSTITUTE(IF(BX4&gt;=5,MID(FH4,FIND("~",SUBSTITUTE(FH4,"/","~",4))+1,IFERROR(FIND("~",SUBSTITUTE(FH4,"/","~",5))-1,LEN(FH4))- FIND("~",SUBSTITUTE(FH4,"/","~",4))),"0"),"W","")*1</f>
        <v>0</v>
      </c>
      <c r="FN4" s="6">
        <f t="shared" ref="FN4:FN39" si="123">SUBSTITUTE(IF(BX4&gt;=6,MID(FH4,FIND("~",SUBSTITUTE(FH4,"/","~",5))+1,IFERROR(FIND("~",SUBSTITUTE(FH4,"/","~",6))-1,LEN(FH4))- FIND("~",SUBSTITUTE(FH4,"/","~",5))),"0"),"W","")*1</f>
        <v>0</v>
      </c>
      <c r="FO4" s="6" t="str">
        <f t="shared" ref="FO4:FO39" si="124">ConcateMultiple(FI4:FN4,"W/ ",BX4)</f>
        <v/>
      </c>
      <c r="FP4" s="6">
        <f t="shared" ref="FP4:FP39" si="125">MAX(FI4:FL4)</f>
        <v>0</v>
      </c>
      <c r="FQ4" s="6">
        <f t="shared" ref="FQ4:FQ39" si="126">MAX(DW4,EF4,EO4,EX4,FG4,FP4)</f>
        <v>60</v>
      </c>
      <c r="FR4" s="6" t="str">
        <f t="shared" ref="FR4:FR39" si="127">TRIM(IF(J4&gt;=1,MID(Q4,1,IFERROR(FIND("~",SUBSTITUTE(Q4,";","~",1))-1,LEN(Q4))),""))</f>
        <v>2100</v>
      </c>
      <c r="FS4" s="6" t="str">
        <f t="shared" ref="FS4:FS39" si="128">TRIM(IF(J4&gt;=2,MID(Q4,FIND("~",SUBSTITUTE(Q4,";","~",1))+1,IFERROR(FIND("~",SUBSTITUTE(Q4,";","~",2))-1,LEN(Q4))- FIND("~",SUBSTITUTE(Q4,";","~",1))),""))</f>
        <v>1800</v>
      </c>
      <c r="FT4" s="6" t="str">
        <f t="shared" ref="FT4:FT39" si="129">TRIM(IF(J4&gt;=3,MID(Q4,FIND("~",SUBSTITUTE(Q4,";","~",2))+1,IFERROR(FIND("~",SUBSTITUTE(Q4,";","~",3))-1,LEN(Q4))- FIND("~",SUBSTITUTE(Q4,";","~",2))),""))</f>
        <v/>
      </c>
      <c r="FU4" s="6" t="str">
        <f t="shared" ref="FU4:FU39" si="130">TRIM(IF(J4&gt;=4,MID(Q4,FIND("~",SUBSTITUTE(Q4,";","~",3))+1,IFERROR(FIND("~",SUBSTITUTE(Q4,";","~",4))-1,LEN(Q4))- FIND("~",SUBSTITUTE(Q4,";","~",3))),""))</f>
        <v/>
      </c>
      <c r="FV4" s="6" t="str">
        <f t="shared" ref="FV4:FV39" si="131">TRIM(IF(J4&gt;=5,MID(Q4,FIND("~",SUBSTITUTE(Q4,";","~",4))+1,IFERROR(FIND("~",SUBSTITUTE(Q4,";","~",5))-1,LEN(Q4))- FIND("~",SUBSTITUTE(Q4,";","~",4))),""))</f>
        <v/>
      </c>
      <c r="FW4" s="6" t="str">
        <f t="shared" ref="FW4:FW39" si="132">TRIM(IF(J4&gt;=6,MID(Q4,FIND("~",SUBSTITUTE(Q4,";","~",5))+1,IFERROR(FIND("~",SUBSTITUTE(Q4,";","~",6))-1,LEN(Q4))- FIND("~",SUBSTITUTE(Q4,";","~",5))),""))</f>
        <v/>
      </c>
      <c r="FX4" s="6" t="str">
        <f t="shared" ref="FX4:FX39" si="133">TRIM(IF(J4&gt;=1,MID(R4,1,IFERROR(FIND("~",SUBSTITUTE(R4,";","~",1))-1,LEN(R4))),""))</f>
        <v>42,5/42,5/42,5</v>
      </c>
      <c r="FY4" s="6">
        <f t="shared" ref="FY4:FY39" si="134">SUBSTITUTE(IF(BS4&gt;=1,MID(FX4,1,IFERROR(FIND("~",SUBSTITUTE(FX4,"/","~",1))-1,LEN(FX4))),"0"),"m","")*1</f>
        <v>42.5</v>
      </c>
      <c r="FZ4" s="6">
        <f t="shared" ref="FZ4:FZ39" si="135">SUBSTITUTE(TRIM(IF(BS4&gt;=2,MID(FX4,FIND("~",SUBSTITUTE(FX4,"/","~",1))+1,IFERROR(FIND("~",SUBSTITUTE(FX4,"/","~",2))-1,LEN(FX4))- FIND("~",SUBSTITUTE(FX4,"/","~",1))),"0")),"m","")*1</f>
        <v>42.5</v>
      </c>
      <c r="GA4" s="6">
        <f t="shared" ref="GA4:GA39" si="136">SUBSTITUTE(TRIM(IF(BS4&gt;=3,MID(FX4,FIND("~",SUBSTITUTE(FX4,"/","~",2))+1,IFERROR(FIND("~",SUBSTITUTE(FX4,"/","~",3))-1,LEN(FX4))- FIND("~",SUBSTITUTE(FX4,"/","~",2))),"0")),"m","")*1</f>
        <v>42.5</v>
      </c>
      <c r="GB4" s="6">
        <f t="shared" ref="GB4:GB39" si="137">SUBSTITUTE(TRIM(IF(BS4&gt;=4,MID(FX4,FIND("~",SUBSTITUTE(FX4,"/","~",3))+1,IFERROR(FIND("~",SUBSTITUTE(FX4,"/","~",4))-1,LEN(FX4))- FIND("~",SUBSTITUTE(FX4,"/","~",3))),"0")),"m","")*1</f>
        <v>0</v>
      </c>
      <c r="GC4" s="6">
        <f t="shared" ref="GC4:GC39" si="138">SUBSTITUTE(TRIM(IF(BS4&gt;=5,MID(FX4,FIND("~",SUBSTITUTE(FX4,"/","~",4))+1,IFERROR(FIND("~",SUBSTITUTE(FX4,"/","~",5))-1,LEN(FX4))- FIND("~",SUBSTITUTE(FX4,"/","~",4))),"0")),"m","")*1</f>
        <v>0</v>
      </c>
      <c r="GD4" s="6">
        <f t="shared" ref="GD4:GD39" si="139">SUBSTITUTE(TRIM(IF(BS4&gt;=6,MID(FX4,FIND("~",SUBSTITUTE(FX4,"/","~",5))+1,IFERROR(FIND("~",SUBSTITUTE(FX4,"/","~",6))-1,LEN(FX4))- FIND("~",SUBSTITUTE(FX4,"/","~",5))),"0")),"m","")*1</f>
        <v>0</v>
      </c>
      <c r="GE4" s="6" t="str">
        <f t="shared" ref="GE4:GE39" si="140">ConcateMultiple(FY4:GD4,"m/ ",BS4)</f>
        <v>42,5m/ 42,5m/ 42,5m</v>
      </c>
      <c r="GF4" s="6" t="str">
        <f t="shared" ref="GF4:GF39" si="141">TRIM(IF(J4&gt;=2,MID(R4,FIND("~",SUBSTITUTE(R4,";","~",1))+1,IFERROR(FIND("~",SUBSTITUTE(R4,";","~",2))-1,LEN(R4))- FIND("~",SUBSTITUTE(R4,";","~",1))),""))</f>
        <v>42,5/42,5/42,5</v>
      </c>
      <c r="GG4" s="6">
        <f t="shared" ref="GG4:GG39" si="142">SUBSTITUTE(IF(BT4&gt;=1,MID(GF4,1,IFERROR(FIND("~",SUBSTITUTE(GF4,"/","~",1))-1,LEN(GF4))),"0"),"m","")*1</f>
        <v>42.5</v>
      </c>
      <c r="GH4" s="6">
        <f t="shared" ref="GH4:GH39" si="143">SUBSTITUTE(TRIM(IF(BT4&gt;=2,MID(GF4,FIND("~",SUBSTITUTE(GF4,"/","~",1))+1,IFERROR(FIND("~",SUBSTITUTE(GF4,"/","~",2))-1,LEN(GF4))- FIND("~",SUBSTITUTE(GF4,"/","~",1))),"0")),"m","")*1</f>
        <v>42.5</v>
      </c>
      <c r="GI4" s="6">
        <f t="shared" ref="GI4:GI39" si="144">SUBSTITUTE(TRIM(IF(BT4&gt;=3,MID(GF4,FIND("~",SUBSTITUTE(GF4,"/","~",2))+1,IFERROR(FIND("~",SUBSTITUTE(GF4,"/","~",3))-1,LEN(GF4))- FIND("~",SUBSTITUTE(GF4,"/","~",2))),"0")),"m","")*1</f>
        <v>42.5</v>
      </c>
      <c r="GJ4" s="6">
        <f t="shared" ref="GJ4:GJ39" si="145">SUBSTITUTE(TRIM(IF(BT4&gt;=4,MID(GF4,FIND("~",SUBSTITUTE(GF4,"/","~",3))+1,IFERROR(FIND("~",SUBSTITUTE(GF4,"/","~",4))-1,LEN(GF4))- FIND("~",SUBSTITUTE(GF4,"/","~",3))),"0")),"m","")*1</f>
        <v>0</v>
      </c>
      <c r="GK4" s="6">
        <f t="shared" ref="GK4:GK39" si="146">SUBSTITUTE(TRIM(IF(BT4&gt;=5,MID(GF4,FIND("~",SUBSTITUTE(GF4,"/","~",4))+1,IFERROR(FIND("~",SUBSTITUTE(GF4,"/","~",5))-1,LEN(GF4))- FIND("~",SUBSTITUTE(GF4,"/","~",4))),"0")),"m","")*1</f>
        <v>0</v>
      </c>
      <c r="GL4" s="6">
        <f t="shared" ref="GL4:GL39" si="147">SUBSTITUTE(TRIM(IF(BT4&gt;=6,MID(GF4,FIND("~",SUBSTITUTE(GF4,"/","~",5))+1,IFERROR(FIND("~",SUBSTITUTE(GF4,"/","~",6))-1,LEN(GF4))- FIND("~",SUBSTITUTE(GF4,"/","~",5))),"0")),"m","")*1</f>
        <v>0</v>
      </c>
      <c r="GM4" s="6" t="str">
        <f t="shared" ref="GM4:GM39" si="148">ConcateMultiple(GG4:GL4,"m/ ",BT4)</f>
        <v>42,5m/ 42,5m/ 42,5m</v>
      </c>
      <c r="GN4" s="6" t="str">
        <f t="shared" ref="GN4:GN39" si="149">TRIM(IF(J4&gt;=3,MID(R4,FIND("~",SUBSTITUTE(R4,";","~",2))+1,IFERROR(FIND("~",SUBSTITUTE(R4,";","~",3))-1,LEN(R4))- FIND("~",SUBSTITUTE(R4,";","~",2))),""))</f>
        <v/>
      </c>
      <c r="GO4" s="6">
        <f t="shared" ref="GO4:GO39" si="150">SUBSTITUTE(IF(BU4&gt;=1,MID(GN4,1,IFERROR(FIND("~",SUBSTITUTE(GN4,"/","~",1))-1,LEN(GN4))),"0"),"m","")*1</f>
        <v>0</v>
      </c>
      <c r="GP4" s="6">
        <f t="shared" ref="GP4:GP39" si="151">SUBSTITUTE(TRIM(IF(BU4&gt;=2,MID(GN4,FIND("~",SUBSTITUTE(GN4,"/","~",1))+1,IFERROR(FIND("~",SUBSTITUTE(GN4,"/","~",2))-1,LEN(GN4))- FIND("~",SUBSTITUTE(GN4,"/","~",1))),"0")),"m","")*1</f>
        <v>0</v>
      </c>
      <c r="GQ4" s="6">
        <f t="shared" ref="GQ4:GQ39" si="152">SUBSTITUTE(TRIM(IF(BU4&gt;=3,MID(GN4,FIND("~",SUBSTITUTE(GN4,"/","~",2))+1,IFERROR(FIND("~",SUBSTITUTE(GN4,"/","~",3))-1,LEN(GN4))- FIND("~",SUBSTITUTE(GN4,"/","~",2))),"0")),"m","")*1</f>
        <v>0</v>
      </c>
      <c r="GR4" s="6">
        <f t="shared" ref="GR4:GR39" si="153">SUBSTITUTE(TRIM(IF(BU4&gt;=4,MID(GN4,FIND("~",SUBSTITUTE(GN4,"/","~",3))+1,IFERROR(FIND("~",SUBSTITUTE(GN4,"/","~",4))-1,LEN(GN4))- FIND("~",SUBSTITUTE(GN4,"/","~",3))),"0")),"m","")*1</f>
        <v>0</v>
      </c>
      <c r="GS4" s="6">
        <f t="shared" ref="GS4:GS39" si="154">SUBSTITUTE(TRIM(IF(BU4&gt;=5,MID(GN4,FIND("~",SUBSTITUTE(GN4,"/","~",4))+1,IFERROR(FIND("~",SUBSTITUTE(GN4,"/","~",5))-1,LEN(GN4))- FIND("~",SUBSTITUTE(GN4,"/","~",4))),"0")),"m","")*1</f>
        <v>0</v>
      </c>
      <c r="GT4" s="6">
        <f t="shared" ref="GT4:GT39" si="155">SUBSTITUTE(TRIM(IF(BU4&gt;=6,MID(GN4,FIND("~",SUBSTITUTE(GN4,"/","~",5))+1,IFERROR(FIND("~",SUBSTITUTE(GN4,"/","~",6))-1,LEN(GN4))- FIND("~",SUBSTITUTE(GN4,"/","~",5))),"0")),"m","")*1</f>
        <v>0</v>
      </c>
      <c r="GU4" s="6" t="str">
        <f t="shared" ref="GU4:GU39" si="156">ConcateMultiple(GO4:GT4,"m/ ",BU4)</f>
        <v/>
      </c>
      <c r="GV4" s="6" t="str">
        <f t="shared" ref="GV4:GV39" si="157">TRIM(IF(J4&gt;=4,MID(R4,FIND("~",SUBSTITUTE(R4,";","~",3))+1,IFERROR(FIND("~",SUBSTITUTE(R4,";","~",4))-1,LEN(R4))- FIND("~",SUBSTITUTE(R4,";","~",3))),""))</f>
        <v/>
      </c>
      <c r="GW4" s="6">
        <f t="shared" ref="GW4:GW39" si="158">SUBSTITUTE(IF(BV4&gt;=1,MID(GV4,1,IFERROR(FIND("~",SUBSTITUTE(GV4,"/","~",1))-1,LEN(GV4))),"0"),"m","")*1</f>
        <v>0</v>
      </c>
      <c r="GX4" s="6">
        <f t="shared" ref="GX4:GX39" si="159">SUBSTITUTE(TRIM(IF(BV4&gt;=2,MID(GV4,FIND("~",SUBSTITUTE(GV4,"/","~",1))+1,IFERROR(FIND("~",SUBSTITUTE(GV4,"/","~",2))-1,LEN(GV4))- FIND("~",SUBSTITUTE(GV4,"/","~",1))),"0")),"m","")*1</f>
        <v>0</v>
      </c>
      <c r="GY4" s="6">
        <f t="shared" ref="GY4:GY39" si="160">SUBSTITUTE(TRIM(IF(BV4&gt;=3,MID(GV4,FIND("~",SUBSTITUTE(GV4,"/","~",2))+1,IFERROR(FIND("~",SUBSTITUTE(GV4,"/","~",3))-1,LEN(GV4))- FIND("~",SUBSTITUTE(GV4,"/","~",2))),"0")),"m","")*1</f>
        <v>0</v>
      </c>
      <c r="GZ4" s="6">
        <f t="shared" ref="GZ4:GZ39" si="161">SUBSTITUTE(TRIM(IF(BV4&gt;=4,MID(GV4,FIND("~",SUBSTITUTE(GV4,"/","~",3))+1,IFERROR(FIND("~",SUBSTITUTE(GV4,"/","~",4))-1,LEN(GV4))- FIND("~",SUBSTITUTE(GV4,"/","~",3))),"0")),"m","")*1</f>
        <v>0</v>
      </c>
      <c r="HA4" s="6">
        <f t="shared" ref="HA4:HA39" si="162">SUBSTITUTE(TRIM(IF(BV4&gt;=5,MID(GV4,FIND("~",SUBSTITUTE(GV4,"/","~",4))+1,IFERROR(FIND("~",SUBSTITUTE(GV4,"/","~",5))-1,LEN(GV4))- FIND("~",SUBSTITUTE(GV4,"/","~",4))),"0")),"m","")*1</f>
        <v>0</v>
      </c>
      <c r="HB4" s="6">
        <f t="shared" ref="HB4:HB39" si="163">SUBSTITUTE(TRIM(IF(BV4&gt;=6,MID(GV4,FIND("~",SUBSTITUTE(GV4,"/","~",5))+1,IFERROR(FIND("~",SUBSTITUTE(GV4,"/","~",6))-1,LEN(GV4))- FIND("~",SUBSTITUTE(GV4,"/","~",5))),"0")),"m","")*1</f>
        <v>0</v>
      </c>
      <c r="HC4" s="6" t="str">
        <f t="shared" ref="HC4:HC39" si="164">ConcateMultiple(GW4:HB4,"m/ ",BV4)</f>
        <v/>
      </c>
      <c r="HD4" s="6" t="str">
        <f t="shared" ref="HD4:HD39" si="165">TRIM(IF(J4&gt;=5,MID(R4,FIND("~",SUBSTITUTE(R4,";","~",4))+1,IFERROR(FIND("~",SUBSTITUTE(R4,";","~",5))-1,LEN(R4))- FIND("~",SUBSTITUTE(R4,";","~",4))),""))</f>
        <v/>
      </c>
      <c r="HE4" s="6">
        <f t="shared" ref="HE4:HE39" si="166">SUBSTITUTE(IF(BW4&gt;=1,MID(HD4,1,IFERROR(FIND("~",SUBSTITUTE(HD4,"/","~",1))-1,LEN(HD4))),"0"),"m","")*1</f>
        <v>0</v>
      </c>
      <c r="HF4" s="6">
        <f t="shared" ref="HF4:HF39" si="167">SUBSTITUTE(TRIM(IF(BW4&gt;=2,MID(HD4,FIND("~",SUBSTITUTE(HD4,"/","~",1))+1,IFERROR(FIND("~",SUBSTITUTE(HD4,"/","~",2))-1,LEN(HD4))- FIND("~",SUBSTITUTE(HD4,"/","~",1))),"0")),"m","")*1</f>
        <v>0</v>
      </c>
      <c r="HG4" s="6">
        <f t="shared" ref="HG4:HG39" si="168">SUBSTITUTE(TRIM(IF(BW4&gt;=3,MID(HD4,FIND("~",SUBSTITUTE(HD4,"/","~",2))+1,IFERROR(FIND("~",SUBSTITUTE(HD4,"/","~",3))-1,LEN(HD4))- FIND("~",SUBSTITUTE(HD4,"/","~",2))),"0")),"m","")*1</f>
        <v>0</v>
      </c>
      <c r="HH4" s="6">
        <f t="shared" ref="HH4:HH39" si="169">SUBSTITUTE(TRIM(IF(BW4&gt;=4,MID(HD4,FIND("~",SUBSTITUTE(HD4,"/","~",3))+1,IFERROR(FIND("~",SUBSTITUTE(HD4,"/","~",4))-1,LEN(HD4))- FIND("~",SUBSTITUTE(HD4,"/","~",3))),"0")),"m","")*1</f>
        <v>0</v>
      </c>
      <c r="HI4" s="6">
        <f t="shared" ref="HI4:HI39" si="170">SUBSTITUTE(TRIM(IF(BW4&gt;=5,MID(HD4,FIND("~",SUBSTITUTE(HD4,"/","~",4))+1,IFERROR(FIND("~",SUBSTITUTE(HD4,"/","~",5))-1,LEN(HD4))- FIND("~",SUBSTITUTE(HD4,"/","~",4))),"0")),"m","")*1</f>
        <v>0</v>
      </c>
      <c r="HJ4" s="6">
        <f t="shared" ref="HJ4:HJ39" si="171">SUBSTITUTE(TRIM(IF(BW4&gt;=6,MID(HD4,FIND("~",SUBSTITUTE(HD4,"/","~",5))+1,IFERROR(FIND("~",SUBSTITUTE(HD4,"/","~",6))-1,LEN(HD4))- FIND("~",SUBSTITUTE(HD4,"/","~",5))),"0")),"m","")*1</f>
        <v>0</v>
      </c>
      <c r="HK4" s="6" t="str">
        <f t="shared" ref="HK4:HK39" si="172">ConcateMultiple(HE4:HJ4,"m/ ",BW4)</f>
        <v/>
      </c>
      <c r="HL4" s="6" t="str">
        <f t="shared" ref="HL4:HL39" si="173">TRIM(IF(J4&gt;=6,MID(R4,FIND("~",SUBSTITUTE(R4,";","~",5))+1,IFERROR(FIND("~",SUBSTITUTE(R4,";","~",6))-1,LEN(R4))- FIND("~",SUBSTITUTE(R4,";","~",5))),""))</f>
        <v/>
      </c>
      <c r="HM4" s="6">
        <f t="shared" ref="HM4:HM39" si="174">SUBSTITUTE(IF(BX4&gt;=1,MID(HL4,1,IFERROR(FIND("~",SUBSTITUTE(HL4,"/","~",1))-1,LEN(HL4))),"0"),"m","")*1</f>
        <v>0</v>
      </c>
      <c r="HN4" s="6">
        <f t="shared" ref="HN4:HN39" si="175">SUBSTITUTE(TRIM(IF(BX4&gt;=2,MID(HL4,FIND("~",SUBSTITUTE(HL4,"/","~",1))+1,IFERROR(FIND("~",SUBSTITUTE(HL4,"/","~",2))-1,LEN(HL4))- FIND("~",SUBSTITUTE(HL4,"/","~",1))),"0")),"m","")*1</f>
        <v>0</v>
      </c>
      <c r="HO4" s="6">
        <f t="shared" ref="HO4:HO39" si="176">SUBSTITUTE(TRIM(IF(BX4&gt;=3,MID(HL4,FIND("~",SUBSTITUTE(HL4,"/","~",2))+1,IFERROR(FIND("~",SUBSTITUTE(HL4,"/","~",3))-1,LEN(HL4))- FIND("~",SUBSTITUTE(HL4,"/","~",2))),"0")),"m","")*1</f>
        <v>0</v>
      </c>
      <c r="HP4" s="6">
        <f t="shared" ref="HP4:HP39" si="177">SUBSTITUTE(TRIM(IF(BX4&gt;=4,MID(HL4,FIND("~",SUBSTITUTE(HL4,"/","~",3))+1,IFERROR(FIND("~",SUBSTITUTE(HL4,"/","~",4))-1,LEN(HL4))- FIND("~",SUBSTITUTE(HL4,"/","~",3))),"0")),"m","")*1</f>
        <v>0</v>
      </c>
      <c r="HQ4" s="6">
        <f t="shared" ref="HQ4:HQ39" si="178">SUBSTITUTE(TRIM(IF(BX4&gt;=5,MID(HL4,FIND("~",SUBSTITUTE(HL4,"/","~",4))+1,IFERROR(FIND("~",SUBSTITUTE(HL4,"/","~",5))-1,LEN(HL4))- FIND("~",SUBSTITUTE(HL4,"/","~",4))),"0")),"m","")*1</f>
        <v>0</v>
      </c>
      <c r="HR4" s="6">
        <f t="shared" ref="HR4:HR39" si="179">SUBSTITUTE(TRIM(IF(BX4&gt;=6,MID(HL4,FIND("~",SUBSTITUTE(HL4,"/","~",5))+1,IFERROR(FIND("~",SUBSTITUTE(HL4,"/","~",6))-1,LEN(HL4))- FIND("~",SUBSTITUTE(HL4,"/","~",5))),"0")),"m","")*1</f>
        <v>0</v>
      </c>
      <c r="HS4" s="6" t="str">
        <f t="shared" ref="HS4:HS39" si="180">ConcateMultiple(HM4:HR4,"m/ ",BX4)</f>
        <v/>
      </c>
      <c r="HT4" s="6" t="str">
        <f>INDEX(LabNameList,MATCH(V4,LabIDList,0))</f>
        <v>Trung tâm Kiểm định và Chứng nhận 1</v>
      </c>
      <c r="HU4" s="6">
        <f t="shared" ref="HU4:HU39" si="181">MinMultiple(FY4:GB4,BS4)</f>
        <v>42.5</v>
      </c>
      <c r="HV4" s="6">
        <f t="shared" ref="HV4:HV39" si="182">MinMultiple(GG4:GJ4,BT4)</f>
        <v>42.5</v>
      </c>
      <c r="HW4" s="6">
        <f t="shared" ref="HW4:HW39" si="183">MinMultiple(GO4:GR4,BU4)</f>
        <v>0</v>
      </c>
      <c r="HX4" s="6">
        <f t="shared" ref="HX4:HX39" si="184">MinMultiple(GW4:GZ4,BV4)</f>
        <v>0</v>
      </c>
      <c r="HY4" s="6">
        <f t="shared" ref="HY4:HY39" si="185">MinMultiple(HE4:HH4,BW4)</f>
        <v>0</v>
      </c>
      <c r="HZ4" s="6">
        <f t="shared" ref="HZ4:HZ39" si="186">MinMultiple(HM4:HP4,BX4)</f>
        <v>0</v>
      </c>
      <c r="IA4" s="5">
        <f t="shared" ref="IA4:IA39" si="187">MinMultiple(HU4:HZ4,J4)</f>
        <v>42.5</v>
      </c>
      <c r="IB4" s="5">
        <f t="shared" ref="IB4:IB39" si="188">IA4-AC4</f>
        <v>6.5</v>
      </c>
      <c r="IC4" s="132" t="str">
        <f t="shared" ref="IC4:IC39" si="189">IF(S4=TRUE,MID(T4,1,1),"")</f>
        <v>A</v>
      </c>
      <c r="ID4" s="132" t="str">
        <f t="shared" ref="ID4:ID39" si="190">MID(T4,2,5)</f>
        <v>03984</v>
      </c>
      <c r="IE4" s="132" t="str">
        <f t="shared" ref="IE4:IE39" si="191">MID(T4,7,6)</f>
        <v>181019</v>
      </c>
      <c r="IF4" s="132" t="str">
        <f t="shared" ref="IF4:IF39" si="192">MID(T4,13,4)</f>
        <v>TG05</v>
      </c>
      <c r="IG4" s="171">
        <f t="shared" ref="IG4:IG39" si="193">IF(S4=TRUE,DATE(2000+MID(IE4,5,2),MID(IE4,3,2),MID(IE4,1,2)),"")</f>
        <v>43756</v>
      </c>
      <c r="IH4" s="171">
        <f t="shared" ref="IH4:IH39" si="194">IF(S4=TRUE,DATE(YEAR(IG4) + 5,MONTH(IG4),DAY(IG4)),"")</f>
        <v>45583</v>
      </c>
      <c r="II4" s="6">
        <v>37</v>
      </c>
    </row>
    <row r="5" spans="1:243" ht="165.75">
      <c r="A5" s="5">
        <f>Input!A5</f>
        <v>3</v>
      </c>
      <c r="B5" s="132" t="str">
        <f>Profile!$A$3</f>
        <v>VINAPHONE</v>
      </c>
      <c r="C5" s="132" t="str">
        <f>Profile!$F$3</f>
        <v>VINAPHONE</v>
      </c>
      <c r="D5" s="5" t="str">
        <f>Input!B5</f>
        <v>DUONG-K2-256-NTM_HNI</v>
      </c>
      <c r="E5" s="107" t="str">
        <f>Input!C5</f>
        <v>Số 256, đường K2, phường Cầu Diễn, quận Nam Từ Liêm, thành phố Hà Nội</v>
      </c>
      <c r="F5" s="5" t="str">
        <f>Input!D5</f>
        <v>Hà Nội</v>
      </c>
      <c r="G5" s="5">
        <f>Input!E5</f>
        <v>105.759331</v>
      </c>
      <c r="H5" s="5">
        <f>Input!F5</f>
        <v>21.030373999999998</v>
      </c>
      <c r="I5" s="5">
        <f>Input!G5</f>
        <v>1</v>
      </c>
      <c r="J5" s="5">
        <f>Input!H5</f>
        <v>2</v>
      </c>
      <c r="K5" s="5" t="str">
        <f t="shared" si="0"/>
        <v>TỔNG CÔNG TY HẠ TẦNG MẠNG;TỔNG CÔNG TY HẠ TẦNG MẠNG</v>
      </c>
      <c r="L5" s="5" t="str">
        <f>Input!J5</f>
        <v>DUONG-K2-256-NTM_HNI;DUONG-K2-256-NTM_HNI</v>
      </c>
      <c r="M5" s="5" t="str">
        <f>Input!K5</f>
        <v>NOKIA FLEXI MULTIRADIO BTS RADIO MODULE AND REMOTE RADIO (FRGY);NOKIA FLEXI MULTIRADIO BTS RADIO MODULE AND REMOTE RADIO (FHEL)</v>
      </c>
      <c r="N5" s="5" t="str">
        <f>Input!L5</f>
        <v>3;3</v>
      </c>
      <c r="O5" s="5" t="str">
        <f>Input!M5</f>
        <v>2/2/2;1/1/1</v>
      </c>
      <c r="P5" s="5" t="str">
        <f>Input!N5</f>
        <v>60/60/60;60/60/60</v>
      </c>
      <c r="Q5" s="5" t="str">
        <f>Input!O5</f>
        <v>2100;1800</v>
      </c>
      <c r="R5" s="5" t="str">
        <f>Input!P5</f>
        <v>16,5/16,5/16,5;16,5/16,5/16,5</v>
      </c>
      <c r="S5" s="152" t="b">
        <f>Input!Q5</f>
        <v>1</v>
      </c>
      <c r="T5" s="5" t="str">
        <f>Input!R5</f>
        <v>A03985181019TG05</v>
      </c>
      <c r="U5" s="5">
        <f>Input!S5</f>
        <v>0</v>
      </c>
      <c r="V5" s="5" t="str">
        <f>Input!T5</f>
        <v>VCC1</v>
      </c>
      <c r="W5" s="5" t="str">
        <f>Input!U5</f>
        <v>1902989/19/TG/TT1</v>
      </c>
      <c r="X5" s="7" t="str">
        <f>TEXT(Input!V5,"dd/mm/yyyy")</f>
        <v>18/10/2019</v>
      </c>
      <c r="Y5" s="5" t="b">
        <f>Input!W5</f>
        <v>0</v>
      </c>
      <c r="Z5" s="152" t="b">
        <f>Input!X5</f>
        <v>0</v>
      </c>
      <c r="AA5" s="5">
        <f t="shared" si="1"/>
        <v>16.5</v>
      </c>
      <c r="AB5" s="152" t="b">
        <f>Input!Y5</f>
        <v>1</v>
      </c>
      <c r="AC5" s="5">
        <f>VALUE(Input!Z5)</f>
        <v>12</v>
      </c>
      <c r="AD5" s="5" t="b">
        <f>Input!AA5</f>
        <v>0</v>
      </c>
      <c r="AE5" s="5" t="str">
        <f>Input!AB5</f>
        <v>Vũ Văn Giáp</v>
      </c>
      <c r="AF5" s="5" t="str">
        <f>Input!AC5</f>
        <v>Lê Tiến Cường</v>
      </c>
      <c r="AG5" s="132" t="str">
        <f>Options!$J$25</f>
        <v>TRUNG TÂM KIỂM ĐỊNH VÀ CHỨNG NHẬN 1</v>
      </c>
      <c r="AH5" s="132" t="str">
        <f>Options!$J$26</f>
        <v>TP. Hà Nội</v>
      </c>
      <c r="AI5" s="132" t="str">
        <f>Options!$J$29</f>
        <v>GIÁM ĐỐC</v>
      </c>
      <c r="AJ5" s="132" t="str">
        <f>Options!$J$30</f>
        <v/>
      </c>
      <c r="AK5" s="132" t="str">
        <f>Options!$J$31</f>
        <v>Bùi Ngọc Dũng</v>
      </c>
      <c r="AL5" s="6"/>
      <c r="AM5" s="6" t="str">
        <f>INDEX(ApplicantNameList,MATCH(B5,ApplicantIDList,0))</f>
        <v>Tổng Công ty Hạ tầng mạng</v>
      </c>
      <c r="AN5" s="6" t="str">
        <f>INDEX(OperatorNameList,MATCH(C5,OperatorIDList,0))</f>
        <v>TỔNG CÔNG TY HẠ TẦNG MẠNG</v>
      </c>
      <c r="AO5" s="5">
        <f t="shared" si="2"/>
        <v>4</v>
      </c>
      <c r="AP5" s="85" t="str">
        <f t="shared" si="3"/>
        <v>thành phố Hà Nội</v>
      </c>
      <c r="AQ5" s="233" t="str">
        <f t="shared" si="4"/>
        <v>quận Nam Từ Liêm</v>
      </c>
      <c r="AR5" s="233" t="str">
        <f t="shared" si="5"/>
        <v>phường Cầu Diễn</v>
      </c>
      <c r="AS5" s="234" t="str">
        <f>INDEX(CityIDList,MATCH(F5,CityNameList,0))</f>
        <v>HNI</v>
      </c>
      <c r="AT5" s="6" t="str">
        <f>IF(J5&gt;=1,INDEX(OperatorNameList,MATCH(AZ5,OperatorIDList,0)),"")</f>
        <v>TỔNG CÔNG TY HẠ TẦNG MẠNG</v>
      </c>
      <c r="AU5" s="6" t="str">
        <f>IF(J5&gt;=2,INDEX(OperatorNameList,MATCH(BA5,OperatorIDList,0)),"")</f>
        <v>TỔNG CÔNG TY HẠ TẦNG MẠNG</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VINAPHONE</v>
      </c>
      <c r="BA5" s="6" t="str">
        <f t="shared" si="7"/>
        <v>VINAPHONE</v>
      </c>
      <c r="BB5" s="6" t="str">
        <f t="shared" si="8"/>
        <v/>
      </c>
      <c r="BC5" s="6" t="str">
        <f t="shared" si="9"/>
        <v/>
      </c>
      <c r="BD5" s="6" t="str">
        <f t="shared" si="10"/>
        <v/>
      </c>
      <c r="BE5" s="6" t="str">
        <f t="shared" si="11"/>
        <v/>
      </c>
      <c r="BF5" s="6" t="str">
        <f>Input!I5</f>
        <v>VINAPHONE;VINAPHONE</v>
      </c>
      <c r="BG5" s="6" t="str">
        <f t="shared" si="12"/>
        <v>DUONG-K2-256-NTM_HNI</v>
      </c>
      <c r="BH5" s="6" t="str">
        <f t="shared" si="13"/>
        <v>DUONG-K2-256-NTM_HNI</v>
      </c>
      <c r="BI5" s="6" t="str">
        <f t="shared" si="14"/>
        <v/>
      </c>
      <c r="BJ5" s="6" t="str">
        <f t="shared" si="15"/>
        <v/>
      </c>
      <c r="BK5" s="6" t="str">
        <f t="shared" si="16"/>
        <v/>
      </c>
      <c r="BL5" s="6" t="str">
        <f t="shared" si="17"/>
        <v/>
      </c>
      <c r="BM5" s="6" t="str">
        <f t="shared" si="18"/>
        <v>NOKIA FLEXI MULTIRADIO BTS RADIO MODULE AND REMOTE RADIO (FRGY)</v>
      </c>
      <c r="BN5" s="6" t="str">
        <f t="shared" si="19"/>
        <v>NOKIA FLEXI MULTIRADIO BTS RADIO MODULE AND REMOTE RADIO (FHEL)</v>
      </c>
      <c r="BO5" s="6" t="str">
        <f t="shared" si="20"/>
        <v/>
      </c>
      <c r="BP5" s="6" t="str">
        <f t="shared" si="21"/>
        <v/>
      </c>
      <c r="BQ5" s="6" t="str">
        <f t="shared" si="22"/>
        <v/>
      </c>
      <c r="BR5" s="6" t="str">
        <f t="shared" si="23"/>
        <v/>
      </c>
      <c r="BS5" s="6">
        <f t="shared" si="24"/>
        <v>3</v>
      </c>
      <c r="BT5" s="6">
        <f t="shared" si="25"/>
        <v>3</v>
      </c>
      <c r="BU5" s="6">
        <f t="shared" si="26"/>
        <v>0</v>
      </c>
      <c r="BV5" s="6">
        <f t="shared" si="27"/>
        <v>0</v>
      </c>
      <c r="BW5" s="6">
        <f t="shared" si="28"/>
        <v>0</v>
      </c>
      <c r="BX5" s="6">
        <f t="shared" si="29"/>
        <v>0</v>
      </c>
      <c r="BY5" s="6" t="str">
        <f t="shared" si="30"/>
        <v>2/2/2</v>
      </c>
      <c r="BZ5" s="6">
        <f t="shared" si="31"/>
        <v>2</v>
      </c>
      <c r="CA5" s="6">
        <f t="shared" si="32"/>
        <v>2</v>
      </c>
      <c r="CB5" s="6">
        <f t="shared" si="33"/>
        <v>2</v>
      </c>
      <c r="CC5" s="6">
        <f t="shared" si="34"/>
        <v>0</v>
      </c>
      <c r="CD5" s="6">
        <f t="shared" si="35"/>
        <v>0</v>
      </c>
      <c r="CE5" s="6">
        <f t="shared" si="36"/>
        <v>0</v>
      </c>
      <c r="CF5" s="6" t="str">
        <f t="shared" si="37"/>
        <v>1/1/1</v>
      </c>
      <c r="CG5" s="6">
        <f t="shared" si="38"/>
        <v>1</v>
      </c>
      <c r="CH5" s="6">
        <f t="shared" si="39"/>
        <v>1</v>
      </c>
      <c r="CI5" s="6">
        <f t="shared" si="40"/>
        <v>1</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60/60/60</v>
      </c>
      <c r="DP5" s="6">
        <f t="shared" si="73"/>
        <v>60</v>
      </c>
      <c r="DQ5" s="6">
        <f t="shared" si="74"/>
        <v>60</v>
      </c>
      <c r="DR5" s="6">
        <f t="shared" si="75"/>
        <v>60</v>
      </c>
      <c r="DS5" s="6">
        <f t="shared" si="76"/>
        <v>0</v>
      </c>
      <c r="DT5" s="6">
        <f t="shared" si="77"/>
        <v>0</v>
      </c>
      <c r="DU5" s="6">
        <f t="shared" si="78"/>
        <v>0</v>
      </c>
      <c r="DV5" s="6" t="str">
        <f t="shared" si="79"/>
        <v>60W/ 60W/ 60W</v>
      </c>
      <c r="DW5" s="6">
        <f t="shared" si="80"/>
        <v>60</v>
      </c>
      <c r="DX5" s="6" t="str">
        <f t="shared" si="81"/>
        <v>60/60/60</v>
      </c>
      <c r="DY5" s="6">
        <f t="shared" si="82"/>
        <v>60</v>
      </c>
      <c r="DZ5" s="6">
        <f t="shared" si="83"/>
        <v>60</v>
      </c>
      <c r="EA5" s="6">
        <f t="shared" si="84"/>
        <v>60</v>
      </c>
      <c r="EB5" s="6">
        <f t="shared" si="85"/>
        <v>0</v>
      </c>
      <c r="EC5" s="6">
        <f t="shared" si="86"/>
        <v>0</v>
      </c>
      <c r="ED5" s="6">
        <f t="shared" si="87"/>
        <v>0</v>
      </c>
      <c r="EE5" s="6" t="str">
        <f t="shared" si="88"/>
        <v>60W/ 60W/ 60W</v>
      </c>
      <c r="EF5" s="6">
        <f t="shared" si="89"/>
        <v>60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60</v>
      </c>
      <c r="FR5" s="6" t="str">
        <f t="shared" si="127"/>
        <v>2100</v>
      </c>
      <c r="FS5" s="6" t="str">
        <f t="shared" si="128"/>
        <v>1800</v>
      </c>
      <c r="FT5" s="6" t="str">
        <f t="shared" si="129"/>
        <v/>
      </c>
      <c r="FU5" s="6" t="str">
        <f t="shared" si="130"/>
        <v/>
      </c>
      <c r="FV5" s="6" t="str">
        <f t="shared" si="131"/>
        <v/>
      </c>
      <c r="FW5" s="6" t="str">
        <f t="shared" si="132"/>
        <v/>
      </c>
      <c r="FX5" s="6" t="str">
        <f t="shared" si="133"/>
        <v>16,5/16,5/16,5</v>
      </c>
      <c r="FY5" s="6">
        <f t="shared" si="134"/>
        <v>16.5</v>
      </c>
      <c r="FZ5" s="6">
        <f t="shared" si="135"/>
        <v>16.5</v>
      </c>
      <c r="GA5" s="6">
        <f t="shared" si="136"/>
        <v>16.5</v>
      </c>
      <c r="GB5" s="6">
        <f t="shared" si="137"/>
        <v>0</v>
      </c>
      <c r="GC5" s="6">
        <f t="shared" si="138"/>
        <v>0</v>
      </c>
      <c r="GD5" s="6">
        <f t="shared" si="139"/>
        <v>0</v>
      </c>
      <c r="GE5" s="6" t="str">
        <f t="shared" si="140"/>
        <v>16,5m/ 16,5m/ 16,5m</v>
      </c>
      <c r="GF5" s="6" t="str">
        <f t="shared" si="141"/>
        <v>16,5/16,5/16,5</v>
      </c>
      <c r="GG5" s="6">
        <f t="shared" si="142"/>
        <v>16.5</v>
      </c>
      <c r="GH5" s="6">
        <f t="shared" si="143"/>
        <v>16.5</v>
      </c>
      <c r="GI5" s="6">
        <f t="shared" si="144"/>
        <v>16.5</v>
      </c>
      <c r="GJ5" s="6">
        <f t="shared" si="145"/>
        <v>0</v>
      </c>
      <c r="GK5" s="6">
        <f t="shared" si="146"/>
        <v>0</v>
      </c>
      <c r="GL5" s="6">
        <f t="shared" si="147"/>
        <v>0</v>
      </c>
      <c r="GM5" s="6" t="str">
        <f t="shared" si="148"/>
        <v>16,5m/ 16,5m/ 16,5m</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1</v>
      </c>
      <c r="HU5" s="6">
        <f t="shared" si="181"/>
        <v>16.5</v>
      </c>
      <c r="HV5" s="6">
        <f t="shared" si="182"/>
        <v>16.5</v>
      </c>
      <c r="HW5" s="6">
        <f t="shared" si="183"/>
        <v>0</v>
      </c>
      <c r="HX5" s="6">
        <f t="shared" si="184"/>
        <v>0</v>
      </c>
      <c r="HY5" s="6">
        <f t="shared" si="185"/>
        <v>0</v>
      </c>
      <c r="HZ5" s="6">
        <f t="shared" si="186"/>
        <v>0</v>
      </c>
      <c r="IA5" s="5">
        <f t="shared" si="187"/>
        <v>16.5</v>
      </c>
      <c r="IB5" s="5">
        <f t="shared" si="188"/>
        <v>4.5</v>
      </c>
      <c r="IC5" s="132" t="str">
        <f t="shared" si="189"/>
        <v>A</v>
      </c>
      <c r="ID5" s="132" t="str">
        <f t="shared" si="190"/>
        <v>03985</v>
      </c>
      <c r="IE5" s="132" t="str">
        <f t="shared" si="191"/>
        <v>181019</v>
      </c>
      <c r="IF5" s="132" t="str">
        <f t="shared" si="192"/>
        <v>TG05</v>
      </c>
      <c r="IG5" s="171">
        <f t="shared" si="193"/>
        <v>43756</v>
      </c>
      <c r="IH5" s="171">
        <f t="shared" si="194"/>
        <v>45583</v>
      </c>
      <c r="II5" s="6">
        <v>37</v>
      </c>
    </row>
    <row r="6" spans="1:243" ht="165.75">
      <c r="A6" s="5">
        <f>Input!A6</f>
        <v>4</v>
      </c>
      <c r="B6" s="132" t="str">
        <f>Profile!$A$3</f>
        <v>VINAPHONE</v>
      </c>
      <c r="C6" s="132" t="str">
        <f>Profile!$F$3</f>
        <v>VINAPHONE</v>
      </c>
      <c r="D6" s="5" t="str">
        <f>Input!B6</f>
        <v>DINH-THON-85-NTM_HNI</v>
      </c>
      <c r="E6" s="107" t="str">
        <f>Input!C6</f>
        <v>Số 85, đường Đình Thôn, phường Mỹ Đình 1, quận Nam Từ Liêm, thành phố Hà Nội</v>
      </c>
      <c r="F6" s="5" t="str">
        <f>Input!D6</f>
        <v>Hà Nội</v>
      </c>
      <c r="G6" s="5">
        <f>Input!E6</f>
        <v>105.77749</v>
      </c>
      <c r="H6" s="5">
        <f>Input!F6</f>
        <v>21.019984000000001</v>
      </c>
      <c r="I6" s="5">
        <f>Input!G6</f>
        <v>1</v>
      </c>
      <c r="J6" s="5">
        <f>Input!H6</f>
        <v>2</v>
      </c>
      <c r="K6" s="5" t="str">
        <f t="shared" si="0"/>
        <v>TỔNG CÔNG TY HẠ TẦNG MẠNG;TỔNG CÔNG TY HẠ TẦNG MẠNG</v>
      </c>
      <c r="L6" s="5" t="str">
        <f>Input!J6</f>
        <v>DINH-THON-85-NTM_HNI;DINH-THON-85-NTM_HNI</v>
      </c>
      <c r="M6" s="5" t="str">
        <f>Input!K6</f>
        <v>NOKIA FLEXI MULTIRADIO BTS RADIO MODULE AND REMOTE RADIO (FRGY);NOKIA FLEXI MULTIRADIO BTS RADIO MODULE AND REMOTE RADIO (FHEL)</v>
      </c>
      <c r="N6" s="5" t="str">
        <f>Input!L6</f>
        <v>3;3</v>
      </c>
      <c r="O6" s="5" t="str">
        <f>Input!M6</f>
        <v>2/2/2;1/1/1</v>
      </c>
      <c r="P6" s="5" t="str">
        <f>Input!N6</f>
        <v>60/60/60;60/60/60</v>
      </c>
      <c r="Q6" s="5" t="str">
        <f>Input!O6</f>
        <v>2100;1800</v>
      </c>
      <c r="R6" s="5" t="str">
        <f>Input!P6</f>
        <v>38/38/38;38/38/38</v>
      </c>
      <c r="S6" s="152" t="b">
        <f>Input!Q6</f>
        <v>1</v>
      </c>
      <c r="T6" s="5" t="str">
        <f>Input!R6</f>
        <v>A03986181019TG05</v>
      </c>
      <c r="U6" s="5">
        <f>Input!S6</f>
        <v>0</v>
      </c>
      <c r="V6" s="5" t="str">
        <f>Input!T6</f>
        <v>VCC1</v>
      </c>
      <c r="W6" s="5" t="str">
        <f>Input!U6</f>
        <v>1903229/19/TG/TT1</v>
      </c>
      <c r="X6" s="7" t="str">
        <f>TEXT(Input!V6,"dd/mm/yyyy")</f>
        <v>18/10/2019</v>
      </c>
      <c r="Y6" s="5" t="b">
        <f>Input!W6</f>
        <v>0</v>
      </c>
      <c r="Z6" s="152" t="b">
        <f>Input!X6</f>
        <v>0</v>
      </c>
      <c r="AA6" s="5">
        <f t="shared" si="1"/>
        <v>38</v>
      </c>
      <c r="AB6" s="152" t="b">
        <f>Input!Y6</f>
        <v>1</v>
      </c>
      <c r="AC6" s="5">
        <f>VALUE(Input!Z6)</f>
        <v>36</v>
      </c>
      <c r="AD6" s="5" t="b">
        <f>Input!AA6</f>
        <v>0</v>
      </c>
      <c r="AE6" s="5" t="str">
        <f>Input!AB6</f>
        <v>Vũ Văn Giáp</v>
      </c>
      <c r="AF6" s="5" t="str">
        <f>Input!AC6</f>
        <v>Lê Tiến Cường</v>
      </c>
      <c r="AG6" s="132" t="str">
        <f>Options!$J$25</f>
        <v>TRUNG TÂM KIỂM ĐỊNH VÀ CHỨNG NHẬN 1</v>
      </c>
      <c r="AH6" s="132" t="str">
        <f>Options!$J$26</f>
        <v>TP. Hà Nội</v>
      </c>
      <c r="AI6" s="132" t="str">
        <f>Options!$J$29</f>
        <v>GIÁM ĐỐC</v>
      </c>
      <c r="AJ6" s="132" t="str">
        <f>Options!$J$30</f>
        <v/>
      </c>
      <c r="AK6" s="132" t="str">
        <f>Options!$J$31</f>
        <v>Bùi Ngọc Dũng</v>
      </c>
      <c r="AL6" s="6"/>
      <c r="AM6" s="6" t="str">
        <f>INDEX(ApplicantNameList,MATCH(B6,ApplicantIDList,0))</f>
        <v>Tổng Công ty Hạ tầng mạng</v>
      </c>
      <c r="AN6" s="6" t="str">
        <f>INDEX(OperatorNameList,MATCH(C6,OperatorIDList,0))</f>
        <v>TỔNG CÔNG TY HẠ TẦNG MẠNG</v>
      </c>
      <c r="AO6" s="5">
        <f t="shared" si="2"/>
        <v>4</v>
      </c>
      <c r="AP6" s="85" t="str">
        <f t="shared" si="3"/>
        <v>thành phố Hà Nội</v>
      </c>
      <c r="AQ6" s="233" t="str">
        <f t="shared" si="4"/>
        <v>quận Nam Từ Liêm</v>
      </c>
      <c r="AR6" s="233" t="str">
        <f t="shared" si="5"/>
        <v>phường Mỹ Đình 1</v>
      </c>
      <c r="AS6" s="234" t="str">
        <f>INDEX(CityIDList,MATCH(F6,CityNameList,0))</f>
        <v>HNI</v>
      </c>
      <c r="AT6" s="6" t="str">
        <f>IF(J6&gt;=1,INDEX(OperatorNameList,MATCH(AZ6,OperatorIDList,0)),"")</f>
        <v>TỔNG CÔNG TY HẠ TẦNG MẠNG</v>
      </c>
      <c r="AU6" s="6" t="str">
        <f>IF(J6&gt;=2,INDEX(OperatorNameList,MATCH(BA6,OperatorIDList,0)),"")</f>
        <v>TỔNG CÔNG TY HẠ TẦNG MẠNG</v>
      </c>
      <c r="AV6" s="6" t="str">
        <f>IF(J6&gt;=3,INDEX(OperatorNameList,MATCH(BB6,OperatorIDList,0)),"")</f>
        <v/>
      </c>
      <c r="AW6" s="6" t="str">
        <f>IF(J6&gt;=4,INDEX(OperatorNameList,MATCH(BC6,OperatorIDList,0)),"")</f>
        <v/>
      </c>
      <c r="AX6" s="6" t="str">
        <f>IF(J6&gt;=5,INDEX(OperatorNameList,MATCH(BD6,OperatorIDList,0)),"")</f>
        <v/>
      </c>
      <c r="AY6" s="6" t="str">
        <f>IF(J6&gt;=6,INDEX(OperatorNameList,MATCH(BE6,OperatorIDList,0)),"")</f>
        <v/>
      </c>
      <c r="AZ6" s="6" t="str">
        <f t="shared" si="6"/>
        <v>VINAPHONE</v>
      </c>
      <c r="BA6" s="6" t="str">
        <f t="shared" si="7"/>
        <v>VINAPHONE</v>
      </c>
      <c r="BB6" s="6" t="str">
        <f t="shared" si="8"/>
        <v/>
      </c>
      <c r="BC6" s="6" t="str">
        <f t="shared" si="9"/>
        <v/>
      </c>
      <c r="BD6" s="6" t="str">
        <f t="shared" si="10"/>
        <v/>
      </c>
      <c r="BE6" s="6" t="str">
        <f t="shared" si="11"/>
        <v/>
      </c>
      <c r="BF6" s="6" t="str">
        <f>Input!I6</f>
        <v>VINAPHONE;VINAPHONE</v>
      </c>
      <c r="BG6" s="6" t="str">
        <f t="shared" si="12"/>
        <v>DINH-THON-85-NTM_HNI</v>
      </c>
      <c r="BH6" s="6" t="str">
        <f t="shared" si="13"/>
        <v>DINH-THON-85-NTM_HNI</v>
      </c>
      <c r="BI6" s="6" t="str">
        <f t="shared" si="14"/>
        <v/>
      </c>
      <c r="BJ6" s="6" t="str">
        <f t="shared" si="15"/>
        <v/>
      </c>
      <c r="BK6" s="6" t="str">
        <f t="shared" si="16"/>
        <v/>
      </c>
      <c r="BL6" s="6" t="str">
        <f t="shared" si="17"/>
        <v/>
      </c>
      <c r="BM6" s="6" t="str">
        <f t="shared" si="18"/>
        <v>NOKIA FLEXI MULTIRADIO BTS RADIO MODULE AND REMOTE RADIO (FRGY)</v>
      </c>
      <c r="BN6" s="6" t="str">
        <f t="shared" si="19"/>
        <v>NOKIA FLEXI MULTIRADIO BTS RADIO MODULE AND REMOTE RADIO (FHEL)</v>
      </c>
      <c r="BO6" s="6" t="str">
        <f t="shared" si="20"/>
        <v/>
      </c>
      <c r="BP6" s="6" t="str">
        <f t="shared" si="21"/>
        <v/>
      </c>
      <c r="BQ6" s="6" t="str">
        <f t="shared" si="22"/>
        <v/>
      </c>
      <c r="BR6" s="6" t="str">
        <f t="shared" si="23"/>
        <v/>
      </c>
      <c r="BS6" s="6">
        <f t="shared" si="24"/>
        <v>3</v>
      </c>
      <c r="BT6" s="6">
        <f t="shared" si="25"/>
        <v>3</v>
      </c>
      <c r="BU6" s="6">
        <f t="shared" si="26"/>
        <v>0</v>
      </c>
      <c r="BV6" s="6">
        <f t="shared" si="27"/>
        <v>0</v>
      </c>
      <c r="BW6" s="6">
        <f t="shared" si="28"/>
        <v>0</v>
      </c>
      <c r="BX6" s="6">
        <f t="shared" si="29"/>
        <v>0</v>
      </c>
      <c r="BY6" s="6" t="str">
        <f t="shared" si="30"/>
        <v>2/2/2</v>
      </c>
      <c r="BZ6" s="6">
        <f t="shared" si="31"/>
        <v>2</v>
      </c>
      <c r="CA6" s="6">
        <f t="shared" si="32"/>
        <v>2</v>
      </c>
      <c r="CB6" s="6">
        <f t="shared" si="33"/>
        <v>2</v>
      </c>
      <c r="CC6" s="6">
        <f t="shared" si="34"/>
        <v>0</v>
      </c>
      <c r="CD6" s="6">
        <f t="shared" si="35"/>
        <v>0</v>
      </c>
      <c r="CE6" s="6">
        <f t="shared" si="36"/>
        <v>0</v>
      </c>
      <c r="CF6" s="6" t="str">
        <f t="shared" si="37"/>
        <v>1/1/1</v>
      </c>
      <c r="CG6" s="6">
        <f t="shared" si="38"/>
        <v>1</v>
      </c>
      <c r="CH6" s="6">
        <f t="shared" si="39"/>
        <v>1</v>
      </c>
      <c r="CI6" s="6">
        <f t="shared" si="40"/>
        <v>1</v>
      </c>
      <c r="CJ6" s="6">
        <f t="shared" si="41"/>
        <v>0</v>
      </c>
      <c r="CK6" s="6">
        <f t="shared" si="42"/>
        <v>0</v>
      </c>
      <c r="CL6" s="6">
        <f t="shared" si="43"/>
        <v>0</v>
      </c>
      <c r="CM6" s="6" t="str">
        <f t="shared" si="44"/>
        <v/>
      </c>
      <c r="CN6" s="6">
        <f t="shared" si="45"/>
        <v>0</v>
      </c>
      <c r="CO6" s="6">
        <f t="shared" si="46"/>
        <v>0</v>
      </c>
      <c r="CP6" s="6">
        <f t="shared" si="47"/>
        <v>0</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60/60/60</v>
      </c>
      <c r="DP6" s="6">
        <f t="shared" si="73"/>
        <v>60</v>
      </c>
      <c r="DQ6" s="6">
        <f t="shared" si="74"/>
        <v>60</v>
      </c>
      <c r="DR6" s="6">
        <f t="shared" si="75"/>
        <v>60</v>
      </c>
      <c r="DS6" s="6">
        <f t="shared" si="76"/>
        <v>0</v>
      </c>
      <c r="DT6" s="6">
        <f t="shared" si="77"/>
        <v>0</v>
      </c>
      <c r="DU6" s="6">
        <f t="shared" si="78"/>
        <v>0</v>
      </c>
      <c r="DV6" s="6" t="str">
        <f t="shared" si="79"/>
        <v>60W/ 60W/ 60W</v>
      </c>
      <c r="DW6" s="6">
        <f t="shared" si="80"/>
        <v>60</v>
      </c>
      <c r="DX6" s="6" t="str">
        <f t="shared" si="81"/>
        <v>60/60/60</v>
      </c>
      <c r="DY6" s="6">
        <f t="shared" si="82"/>
        <v>60</v>
      </c>
      <c r="DZ6" s="6">
        <f t="shared" si="83"/>
        <v>60</v>
      </c>
      <c r="EA6" s="6">
        <f t="shared" si="84"/>
        <v>60</v>
      </c>
      <c r="EB6" s="6">
        <f t="shared" si="85"/>
        <v>0</v>
      </c>
      <c r="EC6" s="6">
        <f t="shared" si="86"/>
        <v>0</v>
      </c>
      <c r="ED6" s="6">
        <f t="shared" si="87"/>
        <v>0</v>
      </c>
      <c r="EE6" s="6" t="str">
        <f t="shared" si="88"/>
        <v>60W/ 60W/ 60W</v>
      </c>
      <c r="EF6" s="6">
        <f t="shared" si="89"/>
        <v>60</v>
      </c>
      <c r="EG6" s="6" t="str">
        <f t="shared" si="90"/>
        <v/>
      </c>
      <c r="EH6" s="6">
        <f t="shared" si="91"/>
        <v>0</v>
      </c>
      <c r="EI6" s="6">
        <f t="shared" si="92"/>
        <v>0</v>
      </c>
      <c r="EJ6" s="6">
        <f t="shared" si="93"/>
        <v>0</v>
      </c>
      <c r="EK6" s="6">
        <f t="shared" si="94"/>
        <v>0</v>
      </c>
      <c r="EL6" s="6">
        <f t="shared" si="95"/>
        <v>0</v>
      </c>
      <c r="EM6" s="6">
        <f t="shared" si="96"/>
        <v>0</v>
      </c>
      <c r="EN6" s="6" t="str">
        <f t="shared" si="97"/>
        <v/>
      </c>
      <c r="EO6" s="6">
        <f t="shared" si="98"/>
        <v>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60</v>
      </c>
      <c r="FR6" s="6" t="str">
        <f t="shared" si="127"/>
        <v>2100</v>
      </c>
      <c r="FS6" s="6" t="str">
        <f t="shared" si="128"/>
        <v>1800</v>
      </c>
      <c r="FT6" s="6" t="str">
        <f t="shared" si="129"/>
        <v/>
      </c>
      <c r="FU6" s="6" t="str">
        <f t="shared" si="130"/>
        <v/>
      </c>
      <c r="FV6" s="6" t="str">
        <f t="shared" si="131"/>
        <v/>
      </c>
      <c r="FW6" s="6" t="str">
        <f t="shared" si="132"/>
        <v/>
      </c>
      <c r="FX6" s="6" t="str">
        <f t="shared" si="133"/>
        <v>38/38/38</v>
      </c>
      <c r="FY6" s="6">
        <f t="shared" si="134"/>
        <v>38</v>
      </c>
      <c r="FZ6" s="6">
        <f t="shared" si="135"/>
        <v>38</v>
      </c>
      <c r="GA6" s="6">
        <f t="shared" si="136"/>
        <v>38</v>
      </c>
      <c r="GB6" s="6">
        <f t="shared" si="137"/>
        <v>0</v>
      </c>
      <c r="GC6" s="6">
        <f t="shared" si="138"/>
        <v>0</v>
      </c>
      <c r="GD6" s="6">
        <f t="shared" si="139"/>
        <v>0</v>
      </c>
      <c r="GE6" s="6" t="str">
        <f t="shared" si="140"/>
        <v>38m/ 38m/ 38m</v>
      </c>
      <c r="GF6" s="6" t="str">
        <f t="shared" si="141"/>
        <v>38/38/38</v>
      </c>
      <c r="GG6" s="6">
        <f t="shared" si="142"/>
        <v>38</v>
      </c>
      <c r="GH6" s="6">
        <f t="shared" si="143"/>
        <v>38</v>
      </c>
      <c r="GI6" s="6">
        <f t="shared" si="144"/>
        <v>38</v>
      </c>
      <c r="GJ6" s="6">
        <f t="shared" si="145"/>
        <v>0</v>
      </c>
      <c r="GK6" s="6">
        <f t="shared" si="146"/>
        <v>0</v>
      </c>
      <c r="GL6" s="6">
        <f t="shared" si="147"/>
        <v>0</v>
      </c>
      <c r="GM6" s="6" t="str">
        <f t="shared" si="148"/>
        <v>38m/ 38m/ 38m</v>
      </c>
      <c r="GN6" s="6" t="str">
        <f t="shared" si="149"/>
        <v/>
      </c>
      <c r="GO6" s="6">
        <f t="shared" si="150"/>
        <v>0</v>
      </c>
      <c r="GP6" s="6">
        <f t="shared" si="151"/>
        <v>0</v>
      </c>
      <c r="GQ6" s="6">
        <f t="shared" si="152"/>
        <v>0</v>
      </c>
      <c r="GR6" s="6">
        <f t="shared" si="153"/>
        <v>0</v>
      </c>
      <c r="GS6" s="6">
        <f t="shared" si="154"/>
        <v>0</v>
      </c>
      <c r="GT6" s="6">
        <f t="shared" si="155"/>
        <v>0</v>
      </c>
      <c r="GU6" s="6" t="str">
        <f t="shared" si="156"/>
        <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1</v>
      </c>
      <c r="HU6" s="6">
        <f t="shared" si="181"/>
        <v>38</v>
      </c>
      <c r="HV6" s="6">
        <f t="shared" si="182"/>
        <v>38</v>
      </c>
      <c r="HW6" s="6">
        <f t="shared" si="183"/>
        <v>0</v>
      </c>
      <c r="HX6" s="6">
        <f t="shared" si="184"/>
        <v>0</v>
      </c>
      <c r="HY6" s="6">
        <f t="shared" si="185"/>
        <v>0</v>
      </c>
      <c r="HZ6" s="6">
        <f t="shared" si="186"/>
        <v>0</v>
      </c>
      <c r="IA6" s="5">
        <f t="shared" si="187"/>
        <v>38</v>
      </c>
      <c r="IB6" s="5">
        <f t="shared" si="188"/>
        <v>2</v>
      </c>
      <c r="IC6" s="132" t="str">
        <f t="shared" si="189"/>
        <v>A</v>
      </c>
      <c r="ID6" s="132" t="str">
        <f t="shared" si="190"/>
        <v>03986</v>
      </c>
      <c r="IE6" s="132" t="str">
        <f t="shared" si="191"/>
        <v>181019</v>
      </c>
      <c r="IF6" s="132" t="str">
        <f t="shared" si="192"/>
        <v>TG05</v>
      </c>
      <c r="IG6" s="171">
        <f t="shared" si="193"/>
        <v>43756</v>
      </c>
      <c r="IH6" s="171">
        <f t="shared" si="194"/>
        <v>45583</v>
      </c>
      <c r="II6" s="6">
        <v>37</v>
      </c>
    </row>
    <row r="7" spans="1:243" ht="165.75">
      <c r="A7" s="5">
        <f>Input!A7</f>
        <v>5</v>
      </c>
      <c r="B7" s="132" t="str">
        <f>Profile!$A$3</f>
        <v>VINAPHONE</v>
      </c>
      <c r="C7" s="132" t="str">
        <f>Profile!$F$3</f>
        <v>VINAPHONE</v>
      </c>
      <c r="D7" s="5" t="str">
        <f>Input!B7</f>
        <v>DN3-CT4-SUDICO-NTL_HNI</v>
      </c>
      <c r="E7" s="107" t="str">
        <f>Input!C7</f>
        <v>Tòa nhà CT4, khu đô thị Mỹ Đình-Sông Đà, phường Mỹ Đình 1, quận Nam Từ Liêm, thành phố Hà Nội</v>
      </c>
      <c r="F7" s="5" t="str">
        <f>Input!D7</f>
        <v>Hà Nội</v>
      </c>
      <c r="G7" s="5">
        <f>Input!E7</f>
        <v>105.775795</v>
      </c>
      <c r="H7" s="5">
        <f>Input!F7</f>
        <v>21.017797000000002</v>
      </c>
      <c r="I7" s="5">
        <f>Input!G7</f>
        <v>1</v>
      </c>
      <c r="J7" s="5">
        <f>Input!H7</f>
        <v>2</v>
      </c>
      <c r="K7" s="5" t="str">
        <f t="shared" si="0"/>
        <v>TỔNG CÔNG TY HẠ TẦNG MẠNG;TỔNG CÔNG TY HẠ TẦNG MẠNG</v>
      </c>
      <c r="L7" s="5" t="str">
        <f>Input!J7</f>
        <v>DN3-CT4-SUDICO-NTL_HNI;DN3-CT4-SUDICO-NTL_HNI</v>
      </c>
      <c r="M7" s="5" t="str">
        <f>Input!K7</f>
        <v>NOKIA FLEXI MULTIRADIO BTS RADIO MODULE AND REMOTE RADIO (FRGY);NOKIA FLEXI MULTIRADIO BTS RADIO MODULE AND REMOTE RADIO (FHEL)</v>
      </c>
      <c r="N7" s="5" t="str">
        <f>Input!L7</f>
        <v>3;3</v>
      </c>
      <c r="O7" s="5" t="str">
        <f>Input!M7</f>
        <v>2/2/2;1/1/1</v>
      </c>
      <c r="P7" s="5" t="str">
        <f>Input!N7</f>
        <v>60/60/60;60/60/60</v>
      </c>
      <c r="Q7" s="5" t="str">
        <f>Input!O7</f>
        <v>2100;1800</v>
      </c>
      <c r="R7" s="5" t="str">
        <f>Input!P7</f>
        <v>42,5/42,5/42,5;42,5/42,5/42,5</v>
      </c>
      <c r="S7" s="152" t="b">
        <f>Input!Q7</f>
        <v>1</v>
      </c>
      <c r="T7" s="5" t="str">
        <f>Input!R7</f>
        <v>A03987181019TG05</v>
      </c>
      <c r="U7" s="5">
        <f>Input!S7</f>
        <v>0</v>
      </c>
      <c r="V7" s="5" t="str">
        <f>Input!T7</f>
        <v>VCC1</v>
      </c>
      <c r="W7" s="5" t="str">
        <f>Input!U7</f>
        <v>1903225/19/TG/TT1</v>
      </c>
      <c r="X7" s="7" t="str">
        <f>TEXT(Input!V7,"dd/mm/yyyy")</f>
        <v>18/10/2019</v>
      </c>
      <c r="Y7" s="5" t="b">
        <f>Input!W7</f>
        <v>0</v>
      </c>
      <c r="Z7" s="152" t="b">
        <f>Input!X7</f>
        <v>0</v>
      </c>
      <c r="AA7" s="5">
        <f t="shared" si="1"/>
        <v>42.5</v>
      </c>
      <c r="AB7" s="152" t="b">
        <f>Input!Y7</f>
        <v>1</v>
      </c>
      <c r="AC7" s="5">
        <f>VALUE(Input!Z7)</f>
        <v>40</v>
      </c>
      <c r="AD7" s="5" t="b">
        <f>Input!AA7</f>
        <v>0</v>
      </c>
      <c r="AE7" s="5" t="str">
        <f>Input!AB7</f>
        <v>Vũ Văn Giáp</v>
      </c>
      <c r="AF7" s="5" t="str">
        <f>Input!AC7</f>
        <v>Lê Tiến Cường</v>
      </c>
      <c r="AG7" s="132" t="str">
        <f>Options!$J$25</f>
        <v>TRUNG TÂM KIỂM ĐỊNH VÀ CHỨNG NHẬN 1</v>
      </c>
      <c r="AH7" s="132" t="str">
        <f>Options!$J$26</f>
        <v>TP. Hà Nội</v>
      </c>
      <c r="AI7" s="132" t="str">
        <f>Options!$J$29</f>
        <v>GIÁM ĐỐC</v>
      </c>
      <c r="AJ7" s="132" t="str">
        <f>Options!$J$30</f>
        <v/>
      </c>
      <c r="AK7" s="132" t="str">
        <f>Options!$J$31</f>
        <v>Bùi Ngọc Dũng</v>
      </c>
      <c r="AL7" s="6"/>
      <c r="AM7" s="6" t="str">
        <f>INDEX(ApplicantNameList,MATCH(B7,ApplicantIDList,0))</f>
        <v>Tổng Công ty Hạ tầng mạng</v>
      </c>
      <c r="AN7" s="6" t="str">
        <f>INDEX(OperatorNameList,MATCH(C7,OperatorIDList,0))</f>
        <v>TỔNG CÔNG TY HẠ TẦNG MẠNG</v>
      </c>
      <c r="AO7" s="5">
        <f t="shared" si="2"/>
        <v>4</v>
      </c>
      <c r="AP7" s="85" t="str">
        <f t="shared" si="3"/>
        <v>thành phố Hà Nội</v>
      </c>
      <c r="AQ7" s="233" t="str">
        <f t="shared" si="4"/>
        <v>quận Nam Từ Liêm</v>
      </c>
      <c r="AR7" s="233" t="str">
        <f t="shared" si="5"/>
        <v>phường Mỹ Đình 1</v>
      </c>
      <c r="AS7" s="234" t="str">
        <f>INDEX(CityIDList,MATCH(F7,CityNameList,0))</f>
        <v>HNI</v>
      </c>
      <c r="AT7" s="6" t="str">
        <f>IF(J7&gt;=1,INDEX(OperatorNameList,MATCH(AZ7,OperatorIDList,0)),"")</f>
        <v>TỔNG CÔNG TY HẠ TẦNG MẠNG</v>
      </c>
      <c r="AU7" s="6" t="str">
        <f>IF(J7&gt;=2,INDEX(OperatorNameList,MATCH(BA7,OperatorIDList,0)),"")</f>
        <v>TỔNG CÔNG TY HẠ TẦNG MẠNG</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VINAPHONE</v>
      </c>
      <c r="BA7" s="6" t="str">
        <f t="shared" si="7"/>
        <v>VINAPHONE</v>
      </c>
      <c r="BB7" s="6" t="str">
        <f t="shared" si="8"/>
        <v/>
      </c>
      <c r="BC7" s="6" t="str">
        <f t="shared" si="9"/>
        <v/>
      </c>
      <c r="BD7" s="6" t="str">
        <f t="shared" si="10"/>
        <v/>
      </c>
      <c r="BE7" s="6" t="str">
        <f t="shared" si="11"/>
        <v/>
      </c>
      <c r="BF7" s="6" t="str">
        <f>Input!I7</f>
        <v>VINAPHONE;VINAPHONE</v>
      </c>
      <c r="BG7" s="6" t="str">
        <f t="shared" si="12"/>
        <v>DN3-CT4-SUDICO-NTL_HNI</v>
      </c>
      <c r="BH7" s="6" t="str">
        <f t="shared" si="13"/>
        <v>DN3-CT4-SUDICO-NTL_HNI</v>
      </c>
      <c r="BI7" s="6" t="str">
        <f t="shared" si="14"/>
        <v/>
      </c>
      <c r="BJ7" s="6" t="str">
        <f t="shared" si="15"/>
        <v/>
      </c>
      <c r="BK7" s="6" t="str">
        <f t="shared" si="16"/>
        <v/>
      </c>
      <c r="BL7" s="6" t="str">
        <f t="shared" si="17"/>
        <v/>
      </c>
      <c r="BM7" s="6" t="str">
        <f t="shared" si="18"/>
        <v>NOKIA FLEXI MULTIRADIO BTS RADIO MODULE AND REMOTE RADIO (FRGY)</v>
      </c>
      <c r="BN7" s="6" t="str">
        <f t="shared" si="19"/>
        <v>NOKIA FLEXI MULTIRADIO BTS RADIO MODULE AND REMOTE RADIO (FHEL)</v>
      </c>
      <c r="BO7" s="6" t="str">
        <f t="shared" si="20"/>
        <v/>
      </c>
      <c r="BP7" s="6" t="str">
        <f t="shared" si="21"/>
        <v/>
      </c>
      <c r="BQ7" s="6" t="str">
        <f t="shared" si="22"/>
        <v/>
      </c>
      <c r="BR7" s="6" t="str">
        <f t="shared" si="23"/>
        <v/>
      </c>
      <c r="BS7" s="6">
        <f t="shared" si="24"/>
        <v>3</v>
      </c>
      <c r="BT7" s="6">
        <f t="shared" si="25"/>
        <v>3</v>
      </c>
      <c r="BU7" s="6">
        <f t="shared" si="26"/>
        <v>0</v>
      </c>
      <c r="BV7" s="6">
        <f t="shared" si="27"/>
        <v>0</v>
      </c>
      <c r="BW7" s="6">
        <f t="shared" si="28"/>
        <v>0</v>
      </c>
      <c r="BX7" s="6">
        <f t="shared" si="29"/>
        <v>0</v>
      </c>
      <c r="BY7" s="6" t="str">
        <f t="shared" si="30"/>
        <v>2/2/2</v>
      </c>
      <c r="BZ7" s="6">
        <f t="shared" si="31"/>
        <v>2</v>
      </c>
      <c r="CA7" s="6">
        <f t="shared" si="32"/>
        <v>2</v>
      </c>
      <c r="CB7" s="6">
        <f t="shared" si="33"/>
        <v>2</v>
      </c>
      <c r="CC7" s="6">
        <f t="shared" si="34"/>
        <v>0</v>
      </c>
      <c r="CD7" s="6">
        <f t="shared" si="35"/>
        <v>0</v>
      </c>
      <c r="CE7" s="6">
        <f t="shared" si="36"/>
        <v>0</v>
      </c>
      <c r="CF7" s="6" t="str">
        <f t="shared" si="37"/>
        <v>1/1/1</v>
      </c>
      <c r="CG7" s="6">
        <f t="shared" si="38"/>
        <v>1</v>
      </c>
      <c r="CH7" s="6">
        <f t="shared" si="39"/>
        <v>1</v>
      </c>
      <c r="CI7" s="6">
        <f t="shared" si="40"/>
        <v>1</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60/60/60</v>
      </c>
      <c r="DP7" s="6">
        <f t="shared" si="73"/>
        <v>60</v>
      </c>
      <c r="DQ7" s="6">
        <f t="shared" si="74"/>
        <v>60</v>
      </c>
      <c r="DR7" s="6">
        <f t="shared" si="75"/>
        <v>60</v>
      </c>
      <c r="DS7" s="6">
        <f t="shared" si="76"/>
        <v>0</v>
      </c>
      <c r="DT7" s="6">
        <f t="shared" si="77"/>
        <v>0</v>
      </c>
      <c r="DU7" s="6">
        <f t="shared" si="78"/>
        <v>0</v>
      </c>
      <c r="DV7" s="6" t="str">
        <f t="shared" si="79"/>
        <v>60W/ 60W/ 60W</v>
      </c>
      <c r="DW7" s="6">
        <f t="shared" si="80"/>
        <v>60</v>
      </c>
      <c r="DX7" s="6" t="str">
        <f t="shared" si="81"/>
        <v>60/60/60</v>
      </c>
      <c r="DY7" s="6">
        <f t="shared" si="82"/>
        <v>60</v>
      </c>
      <c r="DZ7" s="6">
        <f t="shared" si="83"/>
        <v>60</v>
      </c>
      <c r="EA7" s="6">
        <f t="shared" si="84"/>
        <v>60</v>
      </c>
      <c r="EB7" s="6">
        <f t="shared" si="85"/>
        <v>0</v>
      </c>
      <c r="EC7" s="6">
        <f t="shared" si="86"/>
        <v>0</v>
      </c>
      <c r="ED7" s="6">
        <f t="shared" si="87"/>
        <v>0</v>
      </c>
      <c r="EE7" s="6" t="str">
        <f t="shared" si="88"/>
        <v>60W/ 60W/ 60W</v>
      </c>
      <c r="EF7" s="6">
        <f t="shared" si="89"/>
        <v>60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60</v>
      </c>
      <c r="FR7" s="6" t="str">
        <f t="shared" si="127"/>
        <v>2100</v>
      </c>
      <c r="FS7" s="6" t="str">
        <f t="shared" si="128"/>
        <v>1800</v>
      </c>
      <c r="FT7" s="6" t="str">
        <f t="shared" si="129"/>
        <v/>
      </c>
      <c r="FU7" s="6" t="str">
        <f t="shared" si="130"/>
        <v/>
      </c>
      <c r="FV7" s="6" t="str">
        <f t="shared" si="131"/>
        <v/>
      </c>
      <c r="FW7" s="6" t="str">
        <f t="shared" si="132"/>
        <v/>
      </c>
      <c r="FX7" s="6" t="str">
        <f t="shared" si="133"/>
        <v>42,5/42,5/42,5</v>
      </c>
      <c r="FY7" s="6">
        <f t="shared" si="134"/>
        <v>42.5</v>
      </c>
      <c r="FZ7" s="6">
        <f t="shared" si="135"/>
        <v>42.5</v>
      </c>
      <c r="GA7" s="6">
        <f t="shared" si="136"/>
        <v>42.5</v>
      </c>
      <c r="GB7" s="6">
        <f t="shared" si="137"/>
        <v>0</v>
      </c>
      <c r="GC7" s="6">
        <f t="shared" si="138"/>
        <v>0</v>
      </c>
      <c r="GD7" s="6">
        <f t="shared" si="139"/>
        <v>0</v>
      </c>
      <c r="GE7" s="6" t="str">
        <f t="shared" si="140"/>
        <v>42,5m/ 42,5m/ 42,5m</v>
      </c>
      <c r="GF7" s="6" t="str">
        <f t="shared" si="141"/>
        <v>42,5/42,5/42,5</v>
      </c>
      <c r="GG7" s="6">
        <f t="shared" si="142"/>
        <v>42.5</v>
      </c>
      <c r="GH7" s="6">
        <f t="shared" si="143"/>
        <v>42.5</v>
      </c>
      <c r="GI7" s="6">
        <f t="shared" si="144"/>
        <v>42.5</v>
      </c>
      <c r="GJ7" s="6">
        <f t="shared" si="145"/>
        <v>0</v>
      </c>
      <c r="GK7" s="6">
        <f t="shared" si="146"/>
        <v>0</v>
      </c>
      <c r="GL7" s="6">
        <f t="shared" si="147"/>
        <v>0</v>
      </c>
      <c r="GM7" s="6" t="str">
        <f t="shared" si="148"/>
        <v>42,5m/ 42,5m/ 42,5m</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1</v>
      </c>
      <c r="HU7" s="6">
        <f t="shared" si="181"/>
        <v>42.5</v>
      </c>
      <c r="HV7" s="6">
        <f t="shared" si="182"/>
        <v>42.5</v>
      </c>
      <c r="HW7" s="6">
        <f t="shared" si="183"/>
        <v>0</v>
      </c>
      <c r="HX7" s="6">
        <f t="shared" si="184"/>
        <v>0</v>
      </c>
      <c r="HY7" s="6">
        <f t="shared" si="185"/>
        <v>0</v>
      </c>
      <c r="HZ7" s="6">
        <f t="shared" si="186"/>
        <v>0</v>
      </c>
      <c r="IA7" s="5">
        <f t="shared" si="187"/>
        <v>42.5</v>
      </c>
      <c r="IB7" s="5">
        <f t="shared" si="188"/>
        <v>2.5</v>
      </c>
      <c r="IC7" s="132" t="str">
        <f t="shared" si="189"/>
        <v>A</v>
      </c>
      <c r="ID7" s="132" t="str">
        <f t="shared" si="190"/>
        <v>03987</v>
      </c>
      <c r="IE7" s="132" t="str">
        <f t="shared" si="191"/>
        <v>181019</v>
      </c>
      <c r="IF7" s="132" t="str">
        <f t="shared" si="192"/>
        <v>TG05</v>
      </c>
      <c r="IG7" s="171">
        <f t="shared" si="193"/>
        <v>43756</v>
      </c>
      <c r="IH7" s="171">
        <f t="shared" si="194"/>
        <v>45583</v>
      </c>
      <c r="II7" s="6">
        <v>37</v>
      </c>
    </row>
    <row r="8" spans="1:243" ht="165.75">
      <c r="A8" s="5">
        <f>Input!A8</f>
        <v>6</v>
      </c>
      <c r="B8" s="132" t="str">
        <f>Profile!$A$3</f>
        <v>VINAPHONE</v>
      </c>
      <c r="C8" s="132" t="str">
        <f>Profile!$F$3</f>
        <v>VINAPHONE</v>
      </c>
      <c r="D8" s="5" t="str">
        <f>Input!B8</f>
        <v>ME-TRI-59-17-NTM_HNI</v>
      </c>
      <c r="E8" s="107" t="str">
        <f>Input!C8</f>
        <v>Số 17, ngõ 59/93, đường Đồng Me, phường Mễ Trì, quận Nam Từ Liêm, thành phố Hà Nội</v>
      </c>
      <c r="F8" s="5" t="str">
        <f>Input!D8</f>
        <v>Hà Nội</v>
      </c>
      <c r="G8" s="5">
        <f>Input!E8</f>
        <v>105.779681</v>
      </c>
      <c r="H8" s="5">
        <f>Input!F8</f>
        <v>21.011955</v>
      </c>
      <c r="I8" s="5">
        <f>Input!G8</f>
        <v>1</v>
      </c>
      <c r="J8" s="5">
        <f>Input!H8</f>
        <v>2</v>
      </c>
      <c r="K8" s="5" t="str">
        <f t="shared" si="0"/>
        <v>TỔNG CÔNG TY HẠ TẦNG MẠNG;TỔNG CÔNG TY HẠ TẦNG MẠNG</v>
      </c>
      <c r="L8" s="5" t="str">
        <f>Input!J8</f>
        <v>ME-TRI-59-17-NTM_HNI;ME-TRI-59-17-NTM_HNI</v>
      </c>
      <c r="M8" s="5" t="str">
        <f>Input!K8</f>
        <v>NOKIA FLEXI MULTIRADIO BTS RADIO MODULE AND REMOTE RADIO (FRGY);NOKIA FLEXI MULTIRADIO BTS RADIO MODULE AND REMOTE RADIO (FHEL)</v>
      </c>
      <c r="N8" s="5" t="str">
        <f>Input!L8</f>
        <v>3;3</v>
      </c>
      <c r="O8" s="5" t="str">
        <f>Input!M8</f>
        <v>2/2/2;1/1/1</v>
      </c>
      <c r="P8" s="5" t="str">
        <f>Input!N8</f>
        <v>60/60/60;60/60/60</v>
      </c>
      <c r="Q8" s="5" t="str">
        <f>Input!O8</f>
        <v>2100;1800</v>
      </c>
      <c r="R8" s="5" t="str">
        <f>Input!P8</f>
        <v>40/40/40;40/40/40</v>
      </c>
      <c r="S8" s="152" t="b">
        <f>Input!Q8</f>
        <v>1</v>
      </c>
      <c r="T8" s="5" t="str">
        <f>Input!R8</f>
        <v>A03988181019TG05</v>
      </c>
      <c r="U8" s="5">
        <f>Input!S8</f>
        <v>0</v>
      </c>
      <c r="V8" s="5" t="str">
        <f>Input!T8</f>
        <v>VCC1</v>
      </c>
      <c r="W8" s="5" t="str">
        <f>Input!U8</f>
        <v>1903232/19/TG/TT1</v>
      </c>
      <c r="X8" s="7" t="str">
        <f>TEXT(Input!V8,"dd/mm/yyyy")</f>
        <v>18/10/2019</v>
      </c>
      <c r="Y8" s="5" t="b">
        <f>Input!W8</f>
        <v>0</v>
      </c>
      <c r="Z8" s="152" t="b">
        <f>Input!X8</f>
        <v>0</v>
      </c>
      <c r="AA8" s="5">
        <f t="shared" si="1"/>
        <v>40</v>
      </c>
      <c r="AB8" s="152" t="b">
        <f>Input!Y8</f>
        <v>1</v>
      </c>
      <c r="AC8" s="5">
        <f>VALUE(Input!Z8)</f>
        <v>36</v>
      </c>
      <c r="AD8" s="5" t="b">
        <f>Input!AA8</f>
        <v>0</v>
      </c>
      <c r="AE8" s="5" t="str">
        <f>Input!AB8</f>
        <v>Vũ Văn Giáp</v>
      </c>
      <c r="AF8" s="5" t="str">
        <f>Input!AC8</f>
        <v>Lê Tiến Cường</v>
      </c>
      <c r="AG8" s="132" t="str">
        <f>Options!$J$25</f>
        <v>TRUNG TÂM KIỂM ĐỊNH VÀ CHỨNG NHẬN 1</v>
      </c>
      <c r="AH8" s="132" t="str">
        <f>Options!$J$26</f>
        <v>TP. Hà Nội</v>
      </c>
      <c r="AI8" s="132" t="str">
        <f>Options!$J$29</f>
        <v>GIÁM ĐỐC</v>
      </c>
      <c r="AJ8" s="132" t="str">
        <f>Options!$J$30</f>
        <v/>
      </c>
      <c r="AK8" s="132" t="str">
        <f>Options!$J$31</f>
        <v>Bùi Ngọc Dũng</v>
      </c>
      <c r="AL8" s="6"/>
      <c r="AM8" s="6" t="str">
        <f>INDEX(ApplicantNameList,MATCH(B8,ApplicantIDList,0))</f>
        <v>Tổng Công ty Hạ tầng mạng</v>
      </c>
      <c r="AN8" s="6" t="str">
        <f>INDEX(OperatorNameList,MATCH(C8,OperatorIDList,0))</f>
        <v>TỔNG CÔNG TY HẠ TẦNG MẠNG</v>
      </c>
      <c r="AO8" s="5">
        <f t="shared" si="2"/>
        <v>5</v>
      </c>
      <c r="AP8" s="85" t="str">
        <f t="shared" si="3"/>
        <v>thành phố Hà Nội</v>
      </c>
      <c r="AQ8" s="233" t="str">
        <f t="shared" si="4"/>
        <v>quận Nam Từ Liêm</v>
      </c>
      <c r="AR8" s="233" t="str">
        <f t="shared" si="5"/>
        <v>phường Mễ Trì</v>
      </c>
      <c r="AS8" s="234" t="str">
        <f>INDEX(CityIDList,MATCH(F8,CityNameList,0))</f>
        <v>HNI</v>
      </c>
      <c r="AT8" s="6" t="str">
        <f>IF(J8&gt;=1,INDEX(OperatorNameList,MATCH(AZ8,OperatorIDList,0)),"")</f>
        <v>TỔNG CÔNG TY HẠ TẦNG MẠNG</v>
      </c>
      <c r="AU8" s="6" t="str">
        <f>IF(J8&gt;=2,INDEX(OperatorNameList,MATCH(BA8,OperatorIDList,0)),"")</f>
        <v>TỔNG CÔNG TY HẠ TẦNG MẠNG</v>
      </c>
      <c r="AV8" s="6" t="str">
        <f>IF(J8&gt;=3,INDEX(OperatorNameList,MATCH(BB8,OperatorIDList,0)),"")</f>
        <v/>
      </c>
      <c r="AW8" s="6" t="str">
        <f>IF(J8&gt;=4,INDEX(OperatorNameList,MATCH(BC8,OperatorIDList,0)),"")</f>
        <v/>
      </c>
      <c r="AX8" s="6" t="str">
        <f>IF(J8&gt;=5,INDEX(OperatorNameList,MATCH(BD8,OperatorIDList,0)),"")</f>
        <v/>
      </c>
      <c r="AY8" s="6" t="str">
        <f>IF(J8&gt;=6,INDEX(OperatorNameList,MATCH(BE8,OperatorIDList,0)),"")</f>
        <v/>
      </c>
      <c r="AZ8" s="6" t="str">
        <f t="shared" si="6"/>
        <v>VINAPHONE</v>
      </c>
      <c r="BA8" s="6" t="str">
        <f t="shared" si="7"/>
        <v>VINAPHONE</v>
      </c>
      <c r="BB8" s="6" t="str">
        <f t="shared" si="8"/>
        <v/>
      </c>
      <c r="BC8" s="6" t="str">
        <f t="shared" si="9"/>
        <v/>
      </c>
      <c r="BD8" s="6" t="str">
        <f t="shared" si="10"/>
        <v/>
      </c>
      <c r="BE8" s="6" t="str">
        <f t="shared" si="11"/>
        <v/>
      </c>
      <c r="BF8" s="6" t="str">
        <f>Input!I8</f>
        <v>VINAPHONE;VINAPHONE</v>
      </c>
      <c r="BG8" s="6" t="str">
        <f t="shared" si="12"/>
        <v>ME-TRI-59-17-NTM_HNI</v>
      </c>
      <c r="BH8" s="6" t="str">
        <f t="shared" si="13"/>
        <v>ME-TRI-59-17-NTM_HNI</v>
      </c>
      <c r="BI8" s="6" t="str">
        <f t="shared" si="14"/>
        <v/>
      </c>
      <c r="BJ8" s="6" t="str">
        <f t="shared" si="15"/>
        <v/>
      </c>
      <c r="BK8" s="6" t="str">
        <f t="shared" si="16"/>
        <v/>
      </c>
      <c r="BL8" s="6" t="str">
        <f t="shared" si="17"/>
        <v/>
      </c>
      <c r="BM8" s="6" t="str">
        <f t="shared" si="18"/>
        <v>NOKIA FLEXI MULTIRADIO BTS RADIO MODULE AND REMOTE RADIO (FRGY)</v>
      </c>
      <c r="BN8" s="6" t="str">
        <f t="shared" si="19"/>
        <v>NOKIA FLEXI MULTIRADIO BTS RADIO MODULE AND REMOTE RADIO (FHEL)</v>
      </c>
      <c r="BO8" s="6" t="str">
        <f t="shared" si="20"/>
        <v/>
      </c>
      <c r="BP8" s="6" t="str">
        <f t="shared" si="21"/>
        <v/>
      </c>
      <c r="BQ8" s="6" t="str">
        <f t="shared" si="22"/>
        <v/>
      </c>
      <c r="BR8" s="6" t="str">
        <f t="shared" si="23"/>
        <v/>
      </c>
      <c r="BS8" s="6">
        <f t="shared" si="24"/>
        <v>3</v>
      </c>
      <c r="BT8" s="6">
        <f t="shared" si="25"/>
        <v>3</v>
      </c>
      <c r="BU8" s="6">
        <f t="shared" si="26"/>
        <v>0</v>
      </c>
      <c r="BV8" s="6">
        <f t="shared" si="27"/>
        <v>0</v>
      </c>
      <c r="BW8" s="6">
        <f t="shared" si="28"/>
        <v>0</v>
      </c>
      <c r="BX8" s="6">
        <f t="shared" si="29"/>
        <v>0</v>
      </c>
      <c r="BY8" s="6" t="str">
        <f t="shared" si="30"/>
        <v>2/2/2</v>
      </c>
      <c r="BZ8" s="6">
        <f t="shared" si="31"/>
        <v>2</v>
      </c>
      <c r="CA8" s="6">
        <f t="shared" si="32"/>
        <v>2</v>
      </c>
      <c r="CB8" s="6">
        <f t="shared" si="33"/>
        <v>2</v>
      </c>
      <c r="CC8" s="6">
        <f t="shared" si="34"/>
        <v>0</v>
      </c>
      <c r="CD8" s="6">
        <f t="shared" si="35"/>
        <v>0</v>
      </c>
      <c r="CE8" s="6">
        <f t="shared" si="36"/>
        <v>0</v>
      </c>
      <c r="CF8" s="6" t="str">
        <f t="shared" si="37"/>
        <v>1/1/1</v>
      </c>
      <c r="CG8" s="6">
        <f t="shared" si="38"/>
        <v>1</v>
      </c>
      <c r="CH8" s="6">
        <f t="shared" si="39"/>
        <v>1</v>
      </c>
      <c r="CI8" s="6">
        <f t="shared" si="40"/>
        <v>1</v>
      </c>
      <c r="CJ8" s="6">
        <f t="shared" si="41"/>
        <v>0</v>
      </c>
      <c r="CK8" s="6">
        <f t="shared" si="42"/>
        <v>0</v>
      </c>
      <c r="CL8" s="6">
        <f t="shared" si="43"/>
        <v>0</v>
      </c>
      <c r="CM8" s="6" t="str">
        <f t="shared" si="44"/>
        <v/>
      </c>
      <c r="CN8" s="6">
        <f t="shared" si="45"/>
        <v>0</v>
      </c>
      <c r="CO8" s="6">
        <f t="shared" si="46"/>
        <v>0</v>
      </c>
      <c r="CP8" s="6">
        <f t="shared" si="47"/>
        <v>0</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60/60/60</v>
      </c>
      <c r="DP8" s="6">
        <f t="shared" si="73"/>
        <v>60</v>
      </c>
      <c r="DQ8" s="6">
        <f t="shared" si="74"/>
        <v>60</v>
      </c>
      <c r="DR8" s="6">
        <f t="shared" si="75"/>
        <v>60</v>
      </c>
      <c r="DS8" s="6">
        <f t="shared" si="76"/>
        <v>0</v>
      </c>
      <c r="DT8" s="6">
        <f t="shared" si="77"/>
        <v>0</v>
      </c>
      <c r="DU8" s="6">
        <f t="shared" si="78"/>
        <v>0</v>
      </c>
      <c r="DV8" s="6" t="str">
        <f t="shared" si="79"/>
        <v>60W/ 60W/ 60W</v>
      </c>
      <c r="DW8" s="6">
        <f t="shared" si="80"/>
        <v>60</v>
      </c>
      <c r="DX8" s="6" t="str">
        <f t="shared" si="81"/>
        <v>60/60/60</v>
      </c>
      <c r="DY8" s="6">
        <f t="shared" si="82"/>
        <v>60</v>
      </c>
      <c r="DZ8" s="6">
        <f t="shared" si="83"/>
        <v>60</v>
      </c>
      <c r="EA8" s="6">
        <f t="shared" si="84"/>
        <v>60</v>
      </c>
      <c r="EB8" s="6">
        <f t="shared" si="85"/>
        <v>0</v>
      </c>
      <c r="EC8" s="6">
        <f t="shared" si="86"/>
        <v>0</v>
      </c>
      <c r="ED8" s="6">
        <f t="shared" si="87"/>
        <v>0</v>
      </c>
      <c r="EE8" s="6" t="str">
        <f t="shared" si="88"/>
        <v>60W/ 60W/ 60W</v>
      </c>
      <c r="EF8" s="6">
        <f t="shared" si="89"/>
        <v>60</v>
      </c>
      <c r="EG8" s="6" t="str">
        <f t="shared" si="90"/>
        <v/>
      </c>
      <c r="EH8" s="6">
        <f t="shared" si="91"/>
        <v>0</v>
      </c>
      <c r="EI8" s="6">
        <f t="shared" si="92"/>
        <v>0</v>
      </c>
      <c r="EJ8" s="6">
        <f t="shared" si="93"/>
        <v>0</v>
      </c>
      <c r="EK8" s="6">
        <f t="shared" si="94"/>
        <v>0</v>
      </c>
      <c r="EL8" s="6">
        <f t="shared" si="95"/>
        <v>0</v>
      </c>
      <c r="EM8" s="6">
        <f t="shared" si="96"/>
        <v>0</v>
      </c>
      <c r="EN8" s="6" t="str">
        <f t="shared" si="97"/>
        <v/>
      </c>
      <c r="EO8" s="6">
        <f t="shared" si="98"/>
        <v>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60</v>
      </c>
      <c r="FR8" s="6" t="str">
        <f t="shared" si="127"/>
        <v>2100</v>
      </c>
      <c r="FS8" s="6" t="str">
        <f t="shared" si="128"/>
        <v>1800</v>
      </c>
      <c r="FT8" s="6" t="str">
        <f t="shared" si="129"/>
        <v/>
      </c>
      <c r="FU8" s="6" t="str">
        <f t="shared" si="130"/>
        <v/>
      </c>
      <c r="FV8" s="6" t="str">
        <f t="shared" si="131"/>
        <v/>
      </c>
      <c r="FW8" s="6" t="str">
        <f t="shared" si="132"/>
        <v/>
      </c>
      <c r="FX8" s="6" t="str">
        <f t="shared" si="133"/>
        <v>40/40/40</v>
      </c>
      <c r="FY8" s="6">
        <f t="shared" si="134"/>
        <v>40</v>
      </c>
      <c r="FZ8" s="6">
        <f t="shared" si="135"/>
        <v>40</v>
      </c>
      <c r="GA8" s="6">
        <f t="shared" si="136"/>
        <v>40</v>
      </c>
      <c r="GB8" s="6">
        <f t="shared" si="137"/>
        <v>0</v>
      </c>
      <c r="GC8" s="6">
        <f t="shared" si="138"/>
        <v>0</v>
      </c>
      <c r="GD8" s="6">
        <f t="shared" si="139"/>
        <v>0</v>
      </c>
      <c r="GE8" s="6" t="str">
        <f t="shared" si="140"/>
        <v>40m/ 40m/ 40m</v>
      </c>
      <c r="GF8" s="6" t="str">
        <f t="shared" si="141"/>
        <v>40/40/40</v>
      </c>
      <c r="GG8" s="6">
        <f t="shared" si="142"/>
        <v>40</v>
      </c>
      <c r="GH8" s="6">
        <f t="shared" si="143"/>
        <v>40</v>
      </c>
      <c r="GI8" s="6">
        <f t="shared" si="144"/>
        <v>40</v>
      </c>
      <c r="GJ8" s="6">
        <f t="shared" si="145"/>
        <v>0</v>
      </c>
      <c r="GK8" s="6">
        <f t="shared" si="146"/>
        <v>0</v>
      </c>
      <c r="GL8" s="6">
        <f t="shared" si="147"/>
        <v>0</v>
      </c>
      <c r="GM8" s="6" t="str">
        <f t="shared" si="148"/>
        <v>40m/ 40m/ 40m</v>
      </c>
      <c r="GN8" s="6" t="str">
        <f t="shared" si="149"/>
        <v/>
      </c>
      <c r="GO8" s="6">
        <f t="shared" si="150"/>
        <v>0</v>
      </c>
      <c r="GP8" s="6">
        <f t="shared" si="151"/>
        <v>0</v>
      </c>
      <c r="GQ8" s="6">
        <f t="shared" si="152"/>
        <v>0</v>
      </c>
      <c r="GR8" s="6">
        <f t="shared" si="153"/>
        <v>0</v>
      </c>
      <c r="GS8" s="6">
        <f t="shared" si="154"/>
        <v>0</v>
      </c>
      <c r="GT8" s="6">
        <f t="shared" si="155"/>
        <v>0</v>
      </c>
      <c r="GU8" s="6" t="str">
        <f t="shared" si="156"/>
        <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1</v>
      </c>
      <c r="HU8" s="6">
        <f t="shared" si="181"/>
        <v>40</v>
      </c>
      <c r="HV8" s="6">
        <f t="shared" si="182"/>
        <v>40</v>
      </c>
      <c r="HW8" s="6">
        <f t="shared" si="183"/>
        <v>0</v>
      </c>
      <c r="HX8" s="6">
        <f t="shared" si="184"/>
        <v>0</v>
      </c>
      <c r="HY8" s="6">
        <f t="shared" si="185"/>
        <v>0</v>
      </c>
      <c r="HZ8" s="6">
        <f t="shared" si="186"/>
        <v>0</v>
      </c>
      <c r="IA8" s="5">
        <f t="shared" si="187"/>
        <v>40</v>
      </c>
      <c r="IB8" s="5">
        <f t="shared" si="188"/>
        <v>4</v>
      </c>
      <c r="IC8" s="132" t="str">
        <f t="shared" si="189"/>
        <v>A</v>
      </c>
      <c r="ID8" s="132" t="str">
        <f t="shared" si="190"/>
        <v>03988</v>
      </c>
      <c r="IE8" s="132" t="str">
        <f t="shared" si="191"/>
        <v>181019</v>
      </c>
      <c r="IF8" s="132" t="str">
        <f t="shared" si="192"/>
        <v>TG05</v>
      </c>
      <c r="IG8" s="171">
        <f t="shared" si="193"/>
        <v>43756</v>
      </c>
      <c r="IH8" s="171">
        <f t="shared" si="194"/>
        <v>45583</v>
      </c>
      <c r="II8" s="6">
        <v>37</v>
      </c>
    </row>
    <row r="9" spans="1:243" ht="127.5">
      <c r="A9" s="5">
        <f>Input!A9</f>
        <v>7</v>
      </c>
      <c r="B9" s="132" t="str">
        <f>Profile!$A$3</f>
        <v>VINAPHONE</v>
      </c>
      <c r="C9" s="132" t="str">
        <f>Profile!$F$3</f>
        <v>VINAPHONE</v>
      </c>
      <c r="D9" s="5" t="str">
        <f>Input!B9</f>
        <v>PHU-DO-172-NTL_HNI</v>
      </c>
      <c r="E9" s="107" t="str">
        <f>Input!C9</f>
        <v>Tổ 1, phường Phú Đô, quận Nam Từ Liêm, thành phố Hà Nội</v>
      </c>
      <c r="F9" s="5" t="str">
        <f>Input!D9</f>
        <v>Hà Nội</v>
      </c>
      <c r="G9" s="5">
        <f>Input!E9</f>
        <v>105.765581</v>
      </c>
      <c r="H9" s="5">
        <f>Input!F9</f>
        <v>21.013064</v>
      </c>
      <c r="I9" s="5">
        <f>Input!G9</f>
        <v>1</v>
      </c>
      <c r="J9" s="5">
        <f>Input!H9</f>
        <v>3</v>
      </c>
      <c r="K9" s="5" t="str">
        <f t="shared" si="0"/>
        <v>TỔNG CÔNG TY HẠ TẦNG MẠNG;TỔNG CÔNG TY HẠ TẦNG MẠNG;TỔNG CÔNG TY HẠ TẦNG MẠNG</v>
      </c>
      <c r="L9" s="5" t="str">
        <f>Input!J9</f>
        <v>PHU-DO-172-NTL_HNI;PHU-DO-172-NTL_HNI;PHU-DO-172-NTL_HNI</v>
      </c>
      <c r="M9" s="5" t="str">
        <f>Input!K9</f>
        <v>HUAWEI BTS3900;HUAWEI DBS3900 WCDMA;NOKIA FLEXI MULTIRADIO BTS RADIO MODULE AND REMOTE RADIO (FHEL)</v>
      </c>
      <c r="N9" s="5" t="str">
        <f>Input!L9</f>
        <v>3;3;3</v>
      </c>
      <c r="O9" s="5" t="str">
        <f>Input!M9</f>
        <v>2/2/2;2/2/2;1/1/1</v>
      </c>
      <c r="P9" s="5" t="str">
        <f>Input!N9</f>
        <v>80/80/80;60/60/60;60/60/60</v>
      </c>
      <c r="Q9" s="5" t="str">
        <f>Input!O9</f>
        <v>900;2100;1800</v>
      </c>
      <c r="R9" s="5" t="str">
        <f>Input!P9</f>
        <v>26/26/26;26/26/26;26/26/26</v>
      </c>
      <c r="S9" s="152" t="b">
        <f>Input!Q9</f>
        <v>1</v>
      </c>
      <c r="T9" s="5" t="str">
        <f>Input!R9</f>
        <v>A03989181019TG05</v>
      </c>
      <c r="U9" s="5">
        <f>Input!S9</f>
        <v>0</v>
      </c>
      <c r="V9" s="5" t="str">
        <f>Input!T9</f>
        <v>VCC1</v>
      </c>
      <c r="W9" s="5" t="str">
        <f>Input!U9</f>
        <v>1903224/19/TG/TT1</v>
      </c>
      <c r="X9" s="7" t="str">
        <f>TEXT(Input!V9,"dd/mm/yyyy")</f>
        <v>18/10/2019</v>
      </c>
      <c r="Y9" s="5" t="b">
        <f>Input!W9</f>
        <v>0</v>
      </c>
      <c r="Z9" s="152" t="b">
        <f>Input!X9</f>
        <v>0</v>
      </c>
      <c r="AA9" s="5">
        <f t="shared" si="1"/>
        <v>26</v>
      </c>
      <c r="AB9" s="152" t="b">
        <f>Input!Y9</f>
        <v>1</v>
      </c>
      <c r="AC9" s="5">
        <f>VALUE(Input!Z9)</f>
        <v>24</v>
      </c>
      <c r="AD9" s="5" t="b">
        <f>Input!AA9</f>
        <v>0</v>
      </c>
      <c r="AE9" s="5" t="str">
        <f>Input!AB9</f>
        <v>Vũ Văn Giáp</v>
      </c>
      <c r="AF9" s="5" t="str">
        <f>Input!AC9</f>
        <v>Lê Tiến Cường</v>
      </c>
      <c r="AG9" s="132" t="str">
        <f>Options!$J$25</f>
        <v>TRUNG TÂM KIỂM ĐỊNH VÀ CHỨNG NHẬN 1</v>
      </c>
      <c r="AH9" s="132" t="str">
        <f>Options!$J$26</f>
        <v>TP. Hà Nội</v>
      </c>
      <c r="AI9" s="132" t="str">
        <f>Options!$J$29</f>
        <v>GIÁM ĐỐC</v>
      </c>
      <c r="AJ9" s="132" t="str">
        <f>Options!$J$30</f>
        <v/>
      </c>
      <c r="AK9" s="132" t="str">
        <f>Options!$J$31</f>
        <v>Bùi Ngọc Dũng</v>
      </c>
      <c r="AL9" s="6"/>
      <c r="AM9" s="6" t="str">
        <f>INDEX(ApplicantNameList,MATCH(B9,ApplicantIDList,0))</f>
        <v>Tổng Công ty Hạ tầng mạng</v>
      </c>
      <c r="AN9" s="6" t="str">
        <f>INDEX(OperatorNameList,MATCH(C9,OperatorIDList,0))</f>
        <v>TỔNG CÔNG TY HẠ TẦNG MẠNG</v>
      </c>
      <c r="AO9" s="5">
        <f t="shared" si="2"/>
        <v>3</v>
      </c>
      <c r="AP9" s="85" t="str">
        <f t="shared" si="3"/>
        <v>thành phố Hà Nội</v>
      </c>
      <c r="AQ9" s="233" t="str">
        <f t="shared" si="4"/>
        <v>quận Nam Từ Liêm</v>
      </c>
      <c r="AR9" s="233" t="str">
        <f t="shared" si="5"/>
        <v>phường Phú Đô</v>
      </c>
      <c r="AS9" s="234" t="str">
        <f>INDEX(CityIDList,MATCH(F9,CityNameList,0))</f>
        <v>HNI</v>
      </c>
      <c r="AT9" s="6" t="str">
        <f>IF(J9&gt;=1,INDEX(OperatorNameList,MATCH(AZ9,OperatorIDList,0)),"")</f>
        <v>TỔNG CÔNG TY HẠ TẦNG MẠNG</v>
      </c>
      <c r="AU9" s="6" t="str">
        <f>IF(J9&gt;=2,INDEX(OperatorNameList,MATCH(BA9,OperatorIDList,0)),"")</f>
        <v>TỔNG CÔNG TY HẠ TẦNG MẠNG</v>
      </c>
      <c r="AV9" s="6" t="str">
        <f>IF(J9&gt;=3,INDEX(OperatorNameList,MATCH(BB9,OperatorIDList,0)),"")</f>
        <v>TỔNG CÔNG TY HẠ TẦNG MẠNG</v>
      </c>
      <c r="AW9" s="6" t="str">
        <f>IF(J9&gt;=4,INDEX(OperatorNameList,MATCH(BC9,OperatorIDList,0)),"")</f>
        <v/>
      </c>
      <c r="AX9" s="6" t="str">
        <f>IF(J9&gt;=5,INDEX(OperatorNameList,MATCH(BD9,OperatorIDList,0)),"")</f>
        <v/>
      </c>
      <c r="AY9" s="6" t="str">
        <f>IF(J9&gt;=6,INDEX(OperatorNameList,MATCH(BE9,OperatorIDList,0)),"")</f>
        <v/>
      </c>
      <c r="AZ9" s="6" t="str">
        <f t="shared" si="6"/>
        <v>VINAPHONE</v>
      </c>
      <c r="BA9" s="6" t="str">
        <f t="shared" si="7"/>
        <v>VINAPHONE</v>
      </c>
      <c r="BB9" s="6" t="str">
        <f t="shared" si="8"/>
        <v>VINAPHONE</v>
      </c>
      <c r="BC9" s="6" t="str">
        <f t="shared" si="9"/>
        <v/>
      </c>
      <c r="BD9" s="6" t="str">
        <f t="shared" si="10"/>
        <v/>
      </c>
      <c r="BE9" s="6" t="str">
        <f t="shared" si="11"/>
        <v/>
      </c>
      <c r="BF9" s="6" t="str">
        <f>Input!I9</f>
        <v>VINAPHONE;VINAPHONE;VINAPHONE</v>
      </c>
      <c r="BG9" s="6" t="str">
        <f t="shared" si="12"/>
        <v>PHU-DO-172-NTL_HNI</v>
      </c>
      <c r="BH9" s="6" t="str">
        <f t="shared" si="13"/>
        <v>PHU-DO-172-NTL_HNI</v>
      </c>
      <c r="BI9" s="6" t="str">
        <f t="shared" si="14"/>
        <v>PHU-DO-172-NTL_HNI</v>
      </c>
      <c r="BJ9" s="6" t="str">
        <f t="shared" si="15"/>
        <v/>
      </c>
      <c r="BK9" s="6" t="str">
        <f t="shared" si="16"/>
        <v/>
      </c>
      <c r="BL9" s="6" t="str">
        <f t="shared" si="17"/>
        <v/>
      </c>
      <c r="BM9" s="6" t="str">
        <f t="shared" si="18"/>
        <v>HUAWEI BTS3900</v>
      </c>
      <c r="BN9" s="6" t="str">
        <f t="shared" si="19"/>
        <v>HUAWEI DBS3900 WCDMA</v>
      </c>
      <c r="BO9" s="6" t="str">
        <f t="shared" si="20"/>
        <v>NOKIA FLEXI MULTIRADIO BTS RADIO MODULE AND REMOTE RADIO (FHEL)</v>
      </c>
      <c r="BP9" s="6" t="str">
        <f t="shared" si="21"/>
        <v/>
      </c>
      <c r="BQ9" s="6" t="str">
        <f t="shared" si="22"/>
        <v/>
      </c>
      <c r="BR9" s="6" t="str">
        <f t="shared" si="23"/>
        <v/>
      </c>
      <c r="BS9" s="6">
        <f t="shared" si="24"/>
        <v>3</v>
      </c>
      <c r="BT9" s="6">
        <f t="shared" si="25"/>
        <v>3</v>
      </c>
      <c r="BU9" s="6">
        <f t="shared" si="26"/>
        <v>3</v>
      </c>
      <c r="BV9" s="6">
        <f t="shared" si="27"/>
        <v>0</v>
      </c>
      <c r="BW9" s="6">
        <f t="shared" si="28"/>
        <v>0</v>
      </c>
      <c r="BX9" s="6">
        <f t="shared" si="29"/>
        <v>0</v>
      </c>
      <c r="BY9" s="6" t="str">
        <f t="shared" si="30"/>
        <v>2/2/2</v>
      </c>
      <c r="BZ9" s="6">
        <f t="shared" si="31"/>
        <v>2</v>
      </c>
      <c r="CA9" s="6">
        <f t="shared" si="32"/>
        <v>2</v>
      </c>
      <c r="CB9" s="6">
        <f t="shared" si="33"/>
        <v>2</v>
      </c>
      <c r="CC9" s="6">
        <f t="shared" si="34"/>
        <v>0</v>
      </c>
      <c r="CD9" s="6">
        <f t="shared" si="35"/>
        <v>0</v>
      </c>
      <c r="CE9" s="6">
        <f t="shared" si="36"/>
        <v>0</v>
      </c>
      <c r="CF9" s="6" t="str">
        <f t="shared" si="37"/>
        <v>2/2/2</v>
      </c>
      <c r="CG9" s="6">
        <f t="shared" si="38"/>
        <v>2</v>
      </c>
      <c r="CH9" s="6">
        <f t="shared" si="39"/>
        <v>2</v>
      </c>
      <c r="CI9" s="6">
        <f t="shared" si="40"/>
        <v>2</v>
      </c>
      <c r="CJ9" s="6">
        <f t="shared" si="41"/>
        <v>0</v>
      </c>
      <c r="CK9" s="6">
        <f t="shared" si="42"/>
        <v>0</v>
      </c>
      <c r="CL9" s="6">
        <f t="shared" si="43"/>
        <v>0</v>
      </c>
      <c r="CM9" s="6" t="str">
        <f t="shared" si="44"/>
        <v>1/1/1</v>
      </c>
      <c r="CN9" s="6">
        <f t="shared" si="45"/>
        <v>1</v>
      </c>
      <c r="CO9" s="6">
        <f t="shared" si="46"/>
        <v>1</v>
      </c>
      <c r="CP9" s="6">
        <f t="shared" si="47"/>
        <v>1</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80/80/80</v>
      </c>
      <c r="DP9" s="6">
        <f t="shared" si="73"/>
        <v>80</v>
      </c>
      <c r="DQ9" s="6">
        <f t="shared" si="74"/>
        <v>80</v>
      </c>
      <c r="DR9" s="6">
        <f t="shared" si="75"/>
        <v>80</v>
      </c>
      <c r="DS9" s="6">
        <f t="shared" si="76"/>
        <v>0</v>
      </c>
      <c r="DT9" s="6">
        <f t="shared" si="77"/>
        <v>0</v>
      </c>
      <c r="DU9" s="6">
        <f t="shared" si="78"/>
        <v>0</v>
      </c>
      <c r="DV9" s="6" t="str">
        <f t="shared" si="79"/>
        <v>80W/ 80W/ 80W</v>
      </c>
      <c r="DW9" s="6">
        <f t="shared" si="80"/>
        <v>80</v>
      </c>
      <c r="DX9" s="6" t="str">
        <f t="shared" si="81"/>
        <v>60/60/60</v>
      </c>
      <c r="DY9" s="6">
        <f t="shared" si="82"/>
        <v>60</v>
      </c>
      <c r="DZ9" s="6">
        <f t="shared" si="83"/>
        <v>60</v>
      </c>
      <c r="EA9" s="6">
        <f t="shared" si="84"/>
        <v>60</v>
      </c>
      <c r="EB9" s="6">
        <f t="shared" si="85"/>
        <v>0</v>
      </c>
      <c r="EC9" s="6">
        <f t="shared" si="86"/>
        <v>0</v>
      </c>
      <c r="ED9" s="6">
        <f t="shared" si="87"/>
        <v>0</v>
      </c>
      <c r="EE9" s="6" t="str">
        <f t="shared" si="88"/>
        <v>60W/ 60W/ 60W</v>
      </c>
      <c r="EF9" s="6">
        <f t="shared" si="89"/>
        <v>60</v>
      </c>
      <c r="EG9" s="6" t="str">
        <f t="shared" si="90"/>
        <v>60/60/60</v>
      </c>
      <c r="EH9" s="6">
        <f t="shared" si="91"/>
        <v>60</v>
      </c>
      <c r="EI9" s="6">
        <f t="shared" si="92"/>
        <v>60</v>
      </c>
      <c r="EJ9" s="6">
        <f t="shared" si="93"/>
        <v>60</v>
      </c>
      <c r="EK9" s="6">
        <f t="shared" si="94"/>
        <v>0</v>
      </c>
      <c r="EL9" s="6">
        <f t="shared" si="95"/>
        <v>0</v>
      </c>
      <c r="EM9" s="6">
        <f t="shared" si="96"/>
        <v>0</v>
      </c>
      <c r="EN9" s="6" t="str">
        <f t="shared" si="97"/>
        <v>60W/ 60W/ 60W</v>
      </c>
      <c r="EO9" s="6">
        <f t="shared" si="98"/>
        <v>60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80</v>
      </c>
      <c r="FR9" s="6" t="str">
        <f t="shared" si="127"/>
        <v>900</v>
      </c>
      <c r="FS9" s="6" t="str">
        <f t="shared" si="128"/>
        <v>2100</v>
      </c>
      <c r="FT9" s="6" t="str">
        <f t="shared" si="129"/>
        <v>1800</v>
      </c>
      <c r="FU9" s="6" t="str">
        <f t="shared" si="130"/>
        <v/>
      </c>
      <c r="FV9" s="6" t="str">
        <f t="shared" si="131"/>
        <v/>
      </c>
      <c r="FW9" s="6" t="str">
        <f t="shared" si="132"/>
        <v/>
      </c>
      <c r="FX9" s="6" t="str">
        <f t="shared" si="133"/>
        <v>26/26/26</v>
      </c>
      <c r="FY9" s="6">
        <f t="shared" si="134"/>
        <v>26</v>
      </c>
      <c r="FZ9" s="6">
        <f t="shared" si="135"/>
        <v>26</v>
      </c>
      <c r="GA9" s="6">
        <f t="shared" si="136"/>
        <v>26</v>
      </c>
      <c r="GB9" s="6">
        <f t="shared" si="137"/>
        <v>0</v>
      </c>
      <c r="GC9" s="6">
        <f t="shared" si="138"/>
        <v>0</v>
      </c>
      <c r="GD9" s="6">
        <f t="shared" si="139"/>
        <v>0</v>
      </c>
      <c r="GE9" s="6" t="str">
        <f t="shared" si="140"/>
        <v>26m/ 26m/ 26m</v>
      </c>
      <c r="GF9" s="6" t="str">
        <f t="shared" si="141"/>
        <v>26/26/26</v>
      </c>
      <c r="GG9" s="6">
        <f t="shared" si="142"/>
        <v>26</v>
      </c>
      <c r="GH9" s="6">
        <f t="shared" si="143"/>
        <v>26</v>
      </c>
      <c r="GI9" s="6">
        <f t="shared" si="144"/>
        <v>26</v>
      </c>
      <c r="GJ9" s="6">
        <f t="shared" si="145"/>
        <v>0</v>
      </c>
      <c r="GK9" s="6">
        <f t="shared" si="146"/>
        <v>0</v>
      </c>
      <c r="GL9" s="6">
        <f t="shared" si="147"/>
        <v>0</v>
      </c>
      <c r="GM9" s="6" t="str">
        <f t="shared" si="148"/>
        <v>26m/ 26m/ 26m</v>
      </c>
      <c r="GN9" s="6" t="str">
        <f t="shared" si="149"/>
        <v>26/26/26</v>
      </c>
      <c r="GO9" s="6">
        <f t="shared" si="150"/>
        <v>26</v>
      </c>
      <c r="GP9" s="6">
        <f t="shared" si="151"/>
        <v>26</v>
      </c>
      <c r="GQ9" s="6">
        <f t="shared" si="152"/>
        <v>26</v>
      </c>
      <c r="GR9" s="6">
        <f t="shared" si="153"/>
        <v>0</v>
      </c>
      <c r="GS9" s="6">
        <f t="shared" si="154"/>
        <v>0</v>
      </c>
      <c r="GT9" s="6">
        <f t="shared" si="155"/>
        <v>0</v>
      </c>
      <c r="GU9" s="6" t="str">
        <f t="shared" si="156"/>
        <v>26m/ 26m/ 26m</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1</v>
      </c>
      <c r="HU9" s="6">
        <f t="shared" si="181"/>
        <v>26</v>
      </c>
      <c r="HV9" s="6">
        <f t="shared" si="182"/>
        <v>26</v>
      </c>
      <c r="HW9" s="6">
        <f t="shared" si="183"/>
        <v>26</v>
      </c>
      <c r="HX9" s="6">
        <f t="shared" si="184"/>
        <v>0</v>
      </c>
      <c r="HY9" s="6">
        <f t="shared" si="185"/>
        <v>0</v>
      </c>
      <c r="HZ9" s="6">
        <f t="shared" si="186"/>
        <v>0</v>
      </c>
      <c r="IA9" s="5">
        <f t="shared" si="187"/>
        <v>26</v>
      </c>
      <c r="IB9" s="5">
        <f t="shared" si="188"/>
        <v>2</v>
      </c>
      <c r="IC9" s="132" t="str">
        <f t="shared" si="189"/>
        <v>A</v>
      </c>
      <c r="ID9" s="132" t="str">
        <f t="shared" si="190"/>
        <v>03989</v>
      </c>
      <c r="IE9" s="132" t="str">
        <f t="shared" si="191"/>
        <v>181019</v>
      </c>
      <c r="IF9" s="132" t="str">
        <f t="shared" si="192"/>
        <v>TG05</v>
      </c>
      <c r="IG9" s="171">
        <f t="shared" si="193"/>
        <v>43756</v>
      </c>
      <c r="IH9" s="171">
        <f t="shared" si="194"/>
        <v>45583</v>
      </c>
      <c r="II9" s="6">
        <v>37</v>
      </c>
    </row>
    <row r="10" spans="1:243" ht="165.75">
      <c r="A10" s="5">
        <f>Input!A10</f>
        <v>8</v>
      </c>
      <c r="B10" s="132" t="str">
        <f>Profile!$A$3</f>
        <v>VINAPHONE</v>
      </c>
      <c r="C10" s="132" t="str">
        <f>Profile!$F$3</f>
        <v>VINAPHONE</v>
      </c>
      <c r="D10" s="5" t="str">
        <f>Input!B10</f>
        <v>ME-TRI-HA-130-NTM_HNI</v>
      </c>
      <c r="E10" s="107" t="str">
        <f>Input!C10</f>
        <v>Số 130, phố Mễ Trì Hạ, phường Mễ Trì, quận Nam Từ Liêm, thành phố Hà Nội</v>
      </c>
      <c r="F10" s="5" t="str">
        <f>Input!D10</f>
        <v>Hà Nội</v>
      </c>
      <c r="G10" s="5">
        <f>Input!E10</f>
        <v>105.782861</v>
      </c>
      <c r="H10" s="5">
        <f>Input!F10</f>
        <v>21.012195999999999</v>
      </c>
      <c r="I10" s="5">
        <f>Input!G10</f>
        <v>1</v>
      </c>
      <c r="J10" s="5">
        <f>Input!H10</f>
        <v>2</v>
      </c>
      <c r="K10" s="5" t="str">
        <f t="shared" si="0"/>
        <v>TỔNG CÔNG TY HẠ TẦNG MẠNG;TỔNG CÔNG TY HẠ TẦNG MẠNG</v>
      </c>
      <c r="L10" s="5" t="str">
        <f>Input!J10</f>
        <v>ME-TRI-HA-130-NTM_HNI;ME-TRI-HA-130-NTM_HNI</v>
      </c>
      <c r="M10" s="5" t="str">
        <f>Input!K10</f>
        <v>NOKIA FLEXI MULTIRADIO BTS RADIO MODULE AND REMOTE RADIO (FRGY);NOKIA FLEXI MULTIRADIO BTS RADIO MODULE AND REMOTE RADIO (FHEL)</v>
      </c>
      <c r="N10" s="5" t="str">
        <f>Input!L10</f>
        <v>3;3</v>
      </c>
      <c r="O10" s="5" t="str">
        <f>Input!M10</f>
        <v>2/2/2;1/1/1</v>
      </c>
      <c r="P10" s="5" t="str">
        <f>Input!N10</f>
        <v>60/60/60;60/60/60</v>
      </c>
      <c r="Q10" s="5" t="str">
        <f>Input!O10</f>
        <v>2100;1800</v>
      </c>
      <c r="R10" s="5" t="str">
        <f>Input!P10</f>
        <v>28,5/28,5/28,5;28,5/28,5/28,5</v>
      </c>
      <c r="S10" s="152" t="b">
        <f>Input!Q10</f>
        <v>1</v>
      </c>
      <c r="T10" s="5" t="str">
        <f>Input!R10</f>
        <v>A03990181019TG05</v>
      </c>
      <c r="U10" s="5">
        <f>Input!S10</f>
        <v>0</v>
      </c>
      <c r="V10" s="5" t="str">
        <f>Input!T10</f>
        <v>VCC1</v>
      </c>
      <c r="W10" s="5" t="str">
        <f>Input!U10</f>
        <v>1903230/19/TG/TT1</v>
      </c>
      <c r="X10" s="7" t="str">
        <f>TEXT(Input!V10,"dd/mm/yyyy")</f>
        <v>18/10/2019</v>
      </c>
      <c r="Y10" s="5" t="b">
        <f>Input!W10</f>
        <v>0</v>
      </c>
      <c r="Z10" s="152" t="b">
        <f>Input!X10</f>
        <v>0</v>
      </c>
      <c r="AA10" s="5">
        <f t="shared" si="1"/>
        <v>28.5</v>
      </c>
      <c r="AB10" s="152" t="b">
        <f>Input!Y10</f>
        <v>1</v>
      </c>
      <c r="AC10" s="5">
        <f>VALUE(Input!Z10)</f>
        <v>26</v>
      </c>
      <c r="AD10" s="5" t="b">
        <f>Input!AA10</f>
        <v>0</v>
      </c>
      <c r="AE10" s="5" t="str">
        <f>Input!AB10</f>
        <v>Vũ Văn Giáp</v>
      </c>
      <c r="AF10" s="5" t="str">
        <f>Input!AC10</f>
        <v>Lê Tiến Cường</v>
      </c>
      <c r="AG10" s="132" t="str">
        <f>Options!$J$25</f>
        <v>TRUNG TÂM KIỂM ĐỊNH VÀ CHỨNG NHẬN 1</v>
      </c>
      <c r="AH10" s="132" t="str">
        <f>Options!$J$26</f>
        <v>TP. Hà Nội</v>
      </c>
      <c r="AI10" s="132" t="str">
        <f>Options!$J$29</f>
        <v>GIÁM ĐỐC</v>
      </c>
      <c r="AJ10" s="132" t="str">
        <f>Options!$J$30</f>
        <v/>
      </c>
      <c r="AK10" s="132" t="str">
        <f>Options!$J$31</f>
        <v>Bùi Ngọc Dũng</v>
      </c>
      <c r="AL10" s="6"/>
      <c r="AM10" s="6" t="str">
        <f>INDEX(ApplicantNameList,MATCH(B10,ApplicantIDList,0))</f>
        <v>Tổng Công ty Hạ tầng mạng</v>
      </c>
      <c r="AN10" s="6" t="str">
        <f>INDEX(OperatorNameList,MATCH(C10,OperatorIDList,0))</f>
        <v>TỔNG CÔNG TY HẠ TẦNG MẠNG</v>
      </c>
      <c r="AO10" s="5">
        <f t="shared" si="2"/>
        <v>4</v>
      </c>
      <c r="AP10" s="85" t="str">
        <f t="shared" si="3"/>
        <v>thành phố Hà Nội</v>
      </c>
      <c r="AQ10" s="233" t="str">
        <f t="shared" si="4"/>
        <v>quận Nam Từ Liêm</v>
      </c>
      <c r="AR10" s="233" t="str">
        <f t="shared" si="5"/>
        <v>phường Mễ Trì</v>
      </c>
      <c r="AS10" s="234" t="str">
        <f>INDEX(CityIDList,MATCH(F10,CityNameList,0))</f>
        <v>HNI</v>
      </c>
      <c r="AT10" s="6" t="str">
        <f>IF(J10&gt;=1,INDEX(OperatorNameList,MATCH(AZ10,OperatorIDList,0)),"")</f>
        <v>TỔNG CÔNG TY HẠ TẦNG MẠNG</v>
      </c>
      <c r="AU10" s="6" t="str">
        <f>IF(J10&gt;=2,INDEX(OperatorNameList,MATCH(BA10,OperatorIDList,0)),"")</f>
        <v>TỔNG CÔNG TY HẠ TẦNG MẠNG</v>
      </c>
      <c r="AV10" s="6" t="str">
        <f>IF(J10&gt;=3,INDEX(OperatorNameList,MATCH(BB10,OperatorIDList,0)),"")</f>
        <v/>
      </c>
      <c r="AW10" s="6" t="str">
        <f>IF(J10&gt;=4,INDEX(OperatorNameList,MATCH(BC10,OperatorIDList,0)),"")</f>
        <v/>
      </c>
      <c r="AX10" s="6" t="str">
        <f>IF(J10&gt;=5,INDEX(OperatorNameList,MATCH(BD10,OperatorIDList,0)),"")</f>
        <v/>
      </c>
      <c r="AY10" s="6" t="str">
        <f>IF(J10&gt;=6,INDEX(OperatorNameList,MATCH(BE10,OperatorIDList,0)),"")</f>
        <v/>
      </c>
      <c r="AZ10" s="6" t="str">
        <f t="shared" si="6"/>
        <v>VINAPHONE</v>
      </c>
      <c r="BA10" s="6" t="str">
        <f t="shared" si="7"/>
        <v>VINAPHONE</v>
      </c>
      <c r="BB10" s="6" t="str">
        <f t="shared" si="8"/>
        <v/>
      </c>
      <c r="BC10" s="6" t="str">
        <f t="shared" si="9"/>
        <v/>
      </c>
      <c r="BD10" s="6" t="str">
        <f t="shared" si="10"/>
        <v/>
      </c>
      <c r="BE10" s="6" t="str">
        <f t="shared" si="11"/>
        <v/>
      </c>
      <c r="BF10" s="6" t="str">
        <f>Input!I10</f>
        <v>VINAPHONE;VINAPHONE</v>
      </c>
      <c r="BG10" s="6" t="str">
        <f t="shared" si="12"/>
        <v>ME-TRI-HA-130-NTM_HNI</v>
      </c>
      <c r="BH10" s="6" t="str">
        <f t="shared" si="13"/>
        <v>ME-TRI-HA-130-NTM_HNI</v>
      </c>
      <c r="BI10" s="6" t="str">
        <f t="shared" si="14"/>
        <v/>
      </c>
      <c r="BJ10" s="6" t="str">
        <f t="shared" si="15"/>
        <v/>
      </c>
      <c r="BK10" s="6" t="str">
        <f t="shared" si="16"/>
        <v/>
      </c>
      <c r="BL10" s="6" t="str">
        <f t="shared" si="17"/>
        <v/>
      </c>
      <c r="BM10" s="6" t="str">
        <f t="shared" si="18"/>
        <v>NOKIA FLEXI MULTIRADIO BTS RADIO MODULE AND REMOTE RADIO (FRGY)</v>
      </c>
      <c r="BN10" s="6" t="str">
        <f t="shared" si="19"/>
        <v>NOKIA FLEXI MULTIRADIO BTS RADIO MODULE AND REMOTE RADIO (FHEL)</v>
      </c>
      <c r="BO10" s="6" t="str">
        <f t="shared" si="20"/>
        <v/>
      </c>
      <c r="BP10" s="6" t="str">
        <f t="shared" si="21"/>
        <v/>
      </c>
      <c r="BQ10" s="6" t="str">
        <f t="shared" si="22"/>
        <v/>
      </c>
      <c r="BR10" s="6" t="str">
        <f t="shared" si="23"/>
        <v/>
      </c>
      <c r="BS10" s="6">
        <f t="shared" si="24"/>
        <v>3</v>
      </c>
      <c r="BT10" s="6">
        <f t="shared" si="25"/>
        <v>3</v>
      </c>
      <c r="BU10" s="6">
        <f t="shared" si="26"/>
        <v>0</v>
      </c>
      <c r="BV10" s="6">
        <f t="shared" si="27"/>
        <v>0</v>
      </c>
      <c r="BW10" s="6">
        <f t="shared" si="28"/>
        <v>0</v>
      </c>
      <c r="BX10" s="6">
        <f t="shared" si="29"/>
        <v>0</v>
      </c>
      <c r="BY10" s="6" t="str">
        <f t="shared" si="30"/>
        <v>2/2/2</v>
      </c>
      <c r="BZ10" s="6">
        <f t="shared" si="31"/>
        <v>2</v>
      </c>
      <c r="CA10" s="6">
        <f t="shared" si="32"/>
        <v>2</v>
      </c>
      <c r="CB10" s="6">
        <f t="shared" si="33"/>
        <v>2</v>
      </c>
      <c r="CC10" s="6">
        <f t="shared" si="34"/>
        <v>0</v>
      </c>
      <c r="CD10" s="6">
        <f t="shared" si="35"/>
        <v>0</v>
      </c>
      <c r="CE10" s="6">
        <f t="shared" si="36"/>
        <v>0</v>
      </c>
      <c r="CF10" s="6" t="str">
        <f t="shared" si="37"/>
        <v>1/1/1</v>
      </c>
      <c r="CG10" s="6">
        <f t="shared" si="38"/>
        <v>1</v>
      </c>
      <c r="CH10" s="6">
        <f t="shared" si="39"/>
        <v>1</v>
      </c>
      <c r="CI10" s="6">
        <f t="shared" si="40"/>
        <v>1</v>
      </c>
      <c r="CJ10" s="6">
        <f t="shared" si="41"/>
        <v>0</v>
      </c>
      <c r="CK10" s="6">
        <f t="shared" si="42"/>
        <v>0</v>
      </c>
      <c r="CL10" s="6">
        <f t="shared" si="43"/>
        <v>0</v>
      </c>
      <c r="CM10" s="6" t="str">
        <f t="shared" si="44"/>
        <v/>
      </c>
      <c r="CN10" s="6">
        <f t="shared" si="45"/>
        <v>0</v>
      </c>
      <c r="CO10" s="6">
        <f t="shared" si="46"/>
        <v>0</v>
      </c>
      <c r="CP10" s="6">
        <f t="shared" si="47"/>
        <v>0</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60/60/60</v>
      </c>
      <c r="DP10" s="6">
        <f t="shared" si="73"/>
        <v>60</v>
      </c>
      <c r="DQ10" s="6">
        <f t="shared" si="74"/>
        <v>60</v>
      </c>
      <c r="DR10" s="6">
        <f t="shared" si="75"/>
        <v>60</v>
      </c>
      <c r="DS10" s="6">
        <f t="shared" si="76"/>
        <v>0</v>
      </c>
      <c r="DT10" s="6">
        <f t="shared" si="77"/>
        <v>0</v>
      </c>
      <c r="DU10" s="6">
        <f t="shared" si="78"/>
        <v>0</v>
      </c>
      <c r="DV10" s="6" t="str">
        <f t="shared" si="79"/>
        <v>60W/ 60W/ 60W</v>
      </c>
      <c r="DW10" s="6">
        <f t="shared" si="80"/>
        <v>60</v>
      </c>
      <c r="DX10" s="6" t="str">
        <f t="shared" si="81"/>
        <v>60/60/60</v>
      </c>
      <c r="DY10" s="6">
        <f t="shared" si="82"/>
        <v>60</v>
      </c>
      <c r="DZ10" s="6">
        <f t="shared" si="83"/>
        <v>60</v>
      </c>
      <c r="EA10" s="6">
        <f t="shared" si="84"/>
        <v>60</v>
      </c>
      <c r="EB10" s="6">
        <f t="shared" si="85"/>
        <v>0</v>
      </c>
      <c r="EC10" s="6">
        <f t="shared" si="86"/>
        <v>0</v>
      </c>
      <c r="ED10" s="6">
        <f t="shared" si="87"/>
        <v>0</v>
      </c>
      <c r="EE10" s="6" t="str">
        <f t="shared" si="88"/>
        <v>60W/ 60W/ 60W</v>
      </c>
      <c r="EF10" s="6">
        <f t="shared" si="89"/>
        <v>60</v>
      </c>
      <c r="EG10" s="6" t="str">
        <f t="shared" si="90"/>
        <v/>
      </c>
      <c r="EH10" s="6">
        <f t="shared" si="91"/>
        <v>0</v>
      </c>
      <c r="EI10" s="6">
        <f t="shared" si="92"/>
        <v>0</v>
      </c>
      <c r="EJ10" s="6">
        <f t="shared" si="93"/>
        <v>0</v>
      </c>
      <c r="EK10" s="6">
        <f t="shared" si="94"/>
        <v>0</v>
      </c>
      <c r="EL10" s="6">
        <f t="shared" si="95"/>
        <v>0</v>
      </c>
      <c r="EM10" s="6">
        <f t="shared" si="96"/>
        <v>0</v>
      </c>
      <c r="EN10" s="6" t="str">
        <f t="shared" si="97"/>
        <v/>
      </c>
      <c r="EO10" s="6">
        <f t="shared" si="98"/>
        <v>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60</v>
      </c>
      <c r="FR10" s="6" t="str">
        <f t="shared" si="127"/>
        <v>2100</v>
      </c>
      <c r="FS10" s="6" t="str">
        <f t="shared" si="128"/>
        <v>1800</v>
      </c>
      <c r="FT10" s="6" t="str">
        <f t="shared" si="129"/>
        <v/>
      </c>
      <c r="FU10" s="6" t="str">
        <f t="shared" si="130"/>
        <v/>
      </c>
      <c r="FV10" s="6" t="str">
        <f t="shared" si="131"/>
        <v/>
      </c>
      <c r="FW10" s="6" t="str">
        <f t="shared" si="132"/>
        <v/>
      </c>
      <c r="FX10" s="6" t="str">
        <f t="shared" si="133"/>
        <v>28,5/28,5/28,5</v>
      </c>
      <c r="FY10" s="6">
        <f t="shared" si="134"/>
        <v>28.5</v>
      </c>
      <c r="FZ10" s="6">
        <f t="shared" si="135"/>
        <v>28.5</v>
      </c>
      <c r="GA10" s="6">
        <f t="shared" si="136"/>
        <v>28.5</v>
      </c>
      <c r="GB10" s="6">
        <f t="shared" si="137"/>
        <v>0</v>
      </c>
      <c r="GC10" s="6">
        <f t="shared" si="138"/>
        <v>0</v>
      </c>
      <c r="GD10" s="6">
        <f t="shared" si="139"/>
        <v>0</v>
      </c>
      <c r="GE10" s="6" t="str">
        <f t="shared" si="140"/>
        <v>28,5m/ 28,5m/ 28,5m</v>
      </c>
      <c r="GF10" s="6" t="str">
        <f t="shared" si="141"/>
        <v>28,5/28,5/28,5</v>
      </c>
      <c r="GG10" s="6">
        <f t="shared" si="142"/>
        <v>28.5</v>
      </c>
      <c r="GH10" s="6">
        <f t="shared" si="143"/>
        <v>28.5</v>
      </c>
      <c r="GI10" s="6">
        <f t="shared" si="144"/>
        <v>28.5</v>
      </c>
      <c r="GJ10" s="6">
        <f t="shared" si="145"/>
        <v>0</v>
      </c>
      <c r="GK10" s="6">
        <f t="shared" si="146"/>
        <v>0</v>
      </c>
      <c r="GL10" s="6">
        <f t="shared" si="147"/>
        <v>0</v>
      </c>
      <c r="GM10" s="6" t="str">
        <f t="shared" si="148"/>
        <v>28,5m/ 28,5m/ 28,5m</v>
      </c>
      <c r="GN10" s="6" t="str">
        <f t="shared" si="149"/>
        <v/>
      </c>
      <c r="GO10" s="6">
        <f t="shared" si="150"/>
        <v>0</v>
      </c>
      <c r="GP10" s="6">
        <f t="shared" si="151"/>
        <v>0</v>
      </c>
      <c r="GQ10" s="6">
        <f t="shared" si="152"/>
        <v>0</v>
      </c>
      <c r="GR10" s="6">
        <f t="shared" si="153"/>
        <v>0</v>
      </c>
      <c r="GS10" s="6">
        <f t="shared" si="154"/>
        <v>0</v>
      </c>
      <c r="GT10" s="6">
        <f t="shared" si="155"/>
        <v>0</v>
      </c>
      <c r="GU10" s="6" t="str">
        <f t="shared" si="156"/>
        <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1</v>
      </c>
      <c r="HU10" s="6">
        <f t="shared" si="181"/>
        <v>28.5</v>
      </c>
      <c r="HV10" s="6">
        <f t="shared" si="182"/>
        <v>28.5</v>
      </c>
      <c r="HW10" s="6">
        <f t="shared" si="183"/>
        <v>0</v>
      </c>
      <c r="HX10" s="6">
        <f t="shared" si="184"/>
        <v>0</v>
      </c>
      <c r="HY10" s="6">
        <f t="shared" si="185"/>
        <v>0</v>
      </c>
      <c r="HZ10" s="6">
        <f t="shared" si="186"/>
        <v>0</v>
      </c>
      <c r="IA10" s="5">
        <f t="shared" si="187"/>
        <v>28.5</v>
      </c>
      <c r="IB10" s="5">
        <f t="shared" si="188"/>
        <v>2.5</v>
      </c>
      <c r="IC10" s="132" t="str">
        <f t="shared" si="189"/>
        <v>A</v>
      </c>
      <c r="ID10" s="132" t="str">
        <f t="shared" si="190"/>
        <v>03990</v>
      </c>
      <c r="IE10" s="132" t="str">
        <f t="shared" si="191"/>
        <v>181019</v>
      </c>
      <c r="IF10" s="132" t="str">
        <f t="shared" si="192"/>
        <v>TG05</v>
      </c>
      <c r="IG10" s="171">
        <f t="shared" si="193"/>
        <v>43756</v>
      </c>
      <c r="IH10" s="171">
        <f t="shared" si="194"/>
        <v>45583</v>
      </c>
      <c r="II10" s="6">
        <v>37</v>
      </c>
    </row>
    <row r="11" spans="1:243" ht="127.5">
      <c r="A11" s="5">
        <f>Input!A11</f>
        <v>9</v>
      </c>
      <c r="B11" s="132" t="str">
        <f>Profile!$A$3</f>
        <v>VINAPHONE</v>
      </c>
      <c r="C11" s="132" t="str">
        <f>Profile!$F$3</f>
        <v>VINAPHONE</v>
      </c>
      <c r="D11" s="5" t="str">
        <f>Input!B11</f>
        <v>DAI-MO-XOM-THAP-TLM_HNI</v>
      </c>
      <c r="E11" s="107" t="str">
        <f>Input!C11</f>
        <v>Số 475, đường Đại Mỗ, phường Đại Mỗ, quận Nam Từ Liêm, thành phố Hà Nội</v>
      </c>
      <c r="F11" s="5" t="str">
        <f>Input!D11</f>
        <v>Hà Nội</v>
      </c>
      <c r="G11" s="5">
        <f>Input!E11</f>
        <v>105.753192</v>
      </c>
      <c r="H11" s="5">
        <f>Input!F11</f>
        <v>20.995712000000001</v>
      </c>
      <c r="I11" s="5">
        <f>Input!G11</f>
        <v>1</v>
      </c>
      <c r="J11" s="5">
        <f>Input!H11</f>
        <v>3</v>
      </c>
      <c r="K11" s="5" t="str">
        <f t="shared" si="0"/>
        <v>TỔNG CÔNG TY HẠ TẦNG MẠNG;TỔNG CÔNG TY HẠ TẦNG MẠNG;TỔNG CÔNG TY HẠ TẦNG MẠNG</v>
      </c>
      <c r="L11" s="5" t="str">
        <f>Input!J11</f>
        <v>DAI-MO-XOM-THAP-TLM_HNI;DAI-MO-XOM-THAP-TLM_HNI;DAI-MO-XOM-THAP-TLM_HNI</v>
      </c>
      <c r="M11" s="5" t="str">
        <f>Input!K11</f>
        <v>HUAWEI BTS3900;HUAWEI BTS3900;NOKIA FLEXI MULTIRADIO BTS RADIO MODULE AND REMOTE RADIO (FHEL)</v>
      </c>
      <c r="N11" s="5" t="str">
        <f>Input!L11</f>
        <v>3;3;3</v>
      </c>
      <c r="O11" s="5" t="str">
        <f>Input!M11</f>
        <v>2/2/2;2/2/2;1/1/1</v>
      </c>
      <c r="P11" s="5" t="str">
        <f>Input!N11</f>
        <v>80/80/80;80/80/80;60/60/60</v>
      </c>
      <c r="Q11" s="5" t="str">
        <f>Input!O11</f>
        <v>900;1800;1800</v>
      </c>
      <c r="R11" s="5" t="str">
        <f>Input!P11</f>
        <v>31/31/31;31/31/31;31/31/31</v>
      </c>
      <c r="S11" s="152" t="b">
        <f>Input!Q11</f>
        <v>1</v>
      </c>
      <c r="T11" s="5" t="str">
        <f>Input!R11</f>
        <v>A03991181019TG05</v>
      </c>
      <c r="U11" s="5">
        <f>Input!S11</f>
        <v>0</v>
      </c>
      <c r="V11" s="5" t="str">
        <f>Input!T11</f>
        <v>VCC1</v>
      </c>
      <c r="W11" s="5" t="str">
        <f>Input!U11</f>
        <v>1903236/19/TG/TT1</v>
      </c>
      <c r="X11" s="7" t="str">
        <f>TEXT(Input!V11,"dd/mm/yyyy")</f>
        <v>18/10/2019</v>
      </c>
      <c r="Y11" s="5" t="b">
        <f>Input!W11</f>
        <v>0</v>
      </c>
      <c r="Z11" s="152" t="b">
        <f>Input!X11</f>
        <v>0</v>
      </c>
      <c r="AA11" s="5">
        <f t="shared" si="1"/>
        <v>31</v>
      </c>
      <c r="AB11" s="152" t="b">
        <f>Input!Y11</f>
        <v>1</v>
      </c>
      <c r="AC11" s="5">
        <f>VALUE(Input!Z11)</f>
        <v>16</v>
      </c>
      <c r="AD11" s="5" t="b">
        <f>Input!AA11</f>
        <v>0</v>
      </c>
      <c r="AE11" s="5" t="str">
        <f>Input!AB11</f>
        <v>Vũ Văn Giáp</v>
      </c>
      <c r="AF11" s="5" t="str">
        <f>Input!AC11</f>
        <v>Lê Tiến Cường</v>
      </c>
      <c r="AG11" s="132" t="str">
        <f>Options!$J$25</f>
        <v>TRUNG TÂM KIỂM ĐỊNH VÀ CHỨNG NHẬN 1</v>
      </c>
      <c r="AH11" s="132" t="str">
        <f>Options!$J$26</f>
        <v>TP. Hà Nội</v>
      </c>
      <c r="AI11" s="132" t="str">
        <f>Options!$J$29</f>
        <v>GIÁM ĐỐC</v>
      </c>
      <c r="AJ11" s="132" t="str">
        <f>Options!$J$30</f>
        <v/>
      </c>
      <c r="AK11" s="132" t="str">
        <f>Options!$J$31</f>
        <v>Bùi Ngọc Dũng</v>
      </c>
      <c r="AL11" s="6"/>
      <c r="AM11" s="6" t="str">
        <f>INDEX(ApplicantNameList,MATCH(B11,ApplicantIDList,0))</f>
        <v>Tổng Công ty Hạ tầng mạng</v>
      </c>
      <c r="AN11" s="6" t="str">
        <f>INDEX(OperatorNameList,MATCH(C11,OperatorIDList,0))</f>
        <v>TỔNG CÔNG TY HẠ TẦNG MẠNG</v>
      </c>
      <c r="AO11" s="5">
        <f t="shared" si="2"/>
        <v>4</v>
      </c>
      <c r="AP11" s="85" t="str">
        <f t="shared" si="3"/>
        <v>thành phố Hà Nội</v>
      </c>
      <c r="AQ11" s="233" t="str">
        <f t="shared" si="4"/>
        <v>quận Nam Từ Liêm</v>
      </c>
      <c r="AR11" s="233" t="str">
        <f t="shared" si="5"/>
        <v>phường Đại Mỗ</v>
      </c>
      <c r="AS11" s="234" t="str">
        <f>INDEX(CityIDList,MATCH(F11,CityNameList,0))</f>
        <v>HNI</v>
      </c>
      <c r="AT11" s="6" t="str">
        <f>IF(J11&gt;=1,INDEX(OperatorNameList,MATCH(AZ11,OperatorIDList,0)),"")</f>
        <v>TỔNG CÔNG TY HẠ TẦNG MẠNG</v>
      </c>
      <c r="AU11" s="6" t="str">
        <f>IF(J11&gt;=2,INDEX(OperatorNameList,MATCH(BA11,OperatorIDList,0)),"")</f>
        <v>TỔNG CÔNG TY HẠ TẦNG MẠNG</v>
      </c>
      <c r="AV11" s="6" t="str">
        <f>IF(J11&gt;=3,INDEX(OperatorNameList,MATCH(BB11,OperatorIDList,0)),"")</f>
        <v>TỔNG CÔNG TY HẠ TẦNG MẠNG</v>
      </c>
      <c r="AW11" s="6" t="str">
        <f>IF(J11&gt;=4,INDEX(OperatorNameList,MATCH(BC11,OperatorIDList,0)),"")</f>
        <v/>
      </c>
      <c r="AX11" s="6" t="str">
        <f>IF(J11&gt;=5,INDEX(OperatorNameList,MATCH(BD11,OperatorIDList,0)),"")</f>
        <v/>
      </c>
      <c r="AY11" s="6" t="str">
        <f>IF(J11&gt;=6,INDEX(OperatorNameList,MATCH(BE11,OperatorIDList,0)),"")</f>
        <v/>
      </c>
      <c r="AZ11" s="6" t="str">
        <f t="shared" si="6"/>
        <v>VINAPHONE</v>
      </c>
      <c r="BA11" s="6" t="str">
        <f t="shared" si="7"/>
        <v>VINAPHONE</v>
      </c>
      <c r="BB11" s="6" t="str">
        <f t="shared" si="8"/>
        <v>VINAPHONE</v>
      </c>
      <c r="BC11" s="6" t="str">
        <f t="shared" si="9"/>
        <v/>
      </c>
      <c r="BD11" s="6" t="str">
        <f t="shared" si="10"/>
        <v/>
      </c>
      <c r="BE11" s="6" t="str">
        <f t="shared" si="11"/>
        <v/>
      </c>
      <c r="BF11" s="6" t="str">
        <f>Input!I11</f>
        <v>VINAPHONE;VINAPHONE;VINAPHONE</v>
      </c>
      <c r="BG11" s="6" t="str">
        <f t="shared" si="12"/>
        <v>DAI-MO-XOM-THAP-TLM_HNI</v>
      </c>
      <c r="BH11" s="6" t="str">
        <f t="shared" si="13"/>
        <v>DAI-MO-XOM-THAP-TLM_HNI</v>
      </c>
      <c r="BI11" s="6" t="str">
        <f t="shared" si="14"/>
        <v>DAI-MO-XOM-THAP-TLM_HNI</v>
      </c>
      <c r="BJ11" s="6" t="str">
        <f t="shared" si="15"/>
        <v/>
      </c>
      <c r="BK11" s="6" t="str">
        <f t="shared" si="16"/>
        <v/>
      </c>
      <c r="BL11" s="6" t="str">
        <f t="shared" si="17"/>
        <v/>
      </c>
      <c r="BM11" s="6" t="str">
        <f t="shared" si="18"/>
        <v>HUAWEI BTS3900</v>
      </c>
      <c r="BN11" s="6" t="str">
        <f t="shared" si="19"/>
        <v>HUAWEI BTS3900</v>
      </c>
      <c r="BO11" s="6" t="str">
        <f t="shared" si="20"/>
        <v>NOKIA FLEXI MULTIRADIO BTS RADIO MODULE AND REMOTE RADIO (FHEL)</v>
      </c>
      <c r="BP11" s="6" t="str">
        <f t="shared" si="21"/>
        <v/>
      </c>
      <c r="BQ11" s="6" t="str">
        <f t="shared" si="22"/>
        <v/>
      </c>
      <c r="BR11" s="6" t="str">
        <f t="shared" si="23"/>
        <v/>
      </c>
      <c r="BS11" s="6">
        <f t="shared" si="24"/>
        <v>3</v>
      </c>
      <c r="BT11" s="6">
        <f t="shared" si="25"/>
        <v>3</v>
      </c>
      <c r="BU11" s="6">
        <f t="shared" si="26"/>
        <v>3</v>
      </c>
      <c r="BV11" s="6">
        <f t="shared" si="27"/>
        <v>0</v>
      </c>
      <c r="BW11" s="6">
        <f t="shared" si="28"/>
        <v>0</v>
      </c>
      <c r="BX11" s="6">
        <f t="shared" si="29"/>
        <v>0</v>
      </c>
      <c r="BY11" s="6" t="str">
        <f t="shared" si="30"/>
        <v>2/2/2</v>
      </c>
      <c r="BZ11" s="6">
        <f t="shared" si="31"/>
        <v>2</v>
      </c>
      <c r="CA11" s="6">
        <f t="shared" si="32"/>
        <v>2</v>
      </c>
      <c r="CB11" s="6">
        <f t="shared" si="33"/>
        <v>2</v>
      </c>
      <c r="CC11" s="6">
        <f t="shared" si="34"/>
        <v>0</v>
      </c>
      <c r="CD11" s="6">
        <f t="shared" si="35"/>
        <v>0</v>
      </c>
      <c r="CE11" s="6">
        <f t="shared" si="36"/>
        <v>0</v>
      </c>
      <c r="CF11" s="6" t="str">
        <f t="shared" si="37"/>
        <v>2/2/2</v>
      </c>
      <c r="CG11" s="6">
        <f t="shared" si="38"/>
        <v>2</v>
      </c>
      <c r="CH11" s="6">
        <f t="shared" si="39"/>
        <v>2</v>
      </c>
      <c r="CI11" s="6">
        <f t="shared" si="40"/>
        <v>2</v>
      </c>
      <c r="CJ11" s="6">
        <f t="shared" si="41"/>
        <v>0</v>
      </c>
      <c r="CK11" s="6">
        <f t="shared" si="42"/>
        <v>0</v>
      </c>
      <c r="CL11" s="6">
        <f t="shared" si="43"/>
        <v>0</v>
      </c>
      <c r="CM11" s="6" t="str">
        <f t="shared" si="44"/>
        <v>1/1/1</v>
      </c>
      <c r="CN11" s="6">
        <f t="shared" si="45"/>
        <v>1</v>
      </c>
      <c r="CO11" s="6">
        <f t="shared" si="46"/>
        <v>1</v>
      </c>
      <c r="CP11" s="6">
        <f t="shared" si="47"/>
        <v>1</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80/80/80</v>
      </c>
      <c r="DP11" s="6">
        <f t="shared" si="73"/>
        <v>80</v>
      </c>
      <c r="DQ11" s="6">
        <f t="shared" si="74"/>
        <v>80</v>
      </c>
      <c r="DR11" s="6">
        <f t="shared" si="75"/>
        <v>80</v>
      </c>
      <c r="DS11" s="6">
        <f t="shared" si="76"/>
        <v>0</v>
      </c>
      <c r="DT11" s="6">
        <f t="shared" si="77"/>
        <v>0</v>
      </c>
      <c r="DU11" s="6">
        <f t="shared" si="78"/>
        <v>0</v>
      </c>
      <c r="DV11" s="6" t="str">
        <f t="shared" si="79"/>
        <v>80W/ 80W/ 80W</v>
      </c>
      <c r="DW11" s="6">
        <f t="shared" si="80"/>
        <v>80</v>
      </c>
      <c r="DX11" s="6" t="str">
        <f t="shared" si="81"/>
        <v>80/80/80</v>
      </c>
      <c r="DY11" s="6">
        <f t="shared" si="82"/>
        <v>80</v>
      </c>
      <c r="DZ11" s="6">
        <f t="shared" si="83"/>
        <v>80</v>
      </c>
      <c r="EA11" s="6">
        <f t="shared" si="84"/>
        <v>80</v>
      </c>
      <c r="EB11" s="6">
        <f t="shared" si="85"/>
        <v>0</v>
      </c>
      <c r="EC11" s="6">
        <f t="shared" si="86"/>
        <v>0</v>
      </c>
      <c r="ED11" s="6">
        <f t="shared" si="87"/>
        <v>0</v>
      </c>
      <c r="EE11" s="6" t="str">
        <f t="shared" si="88"/>
        <v>80W/ 80W/ 80W</v>
      </c>
      <c r="EF11" s="6">
        <f t="shared" si="89"/>
        <v>80</v>
      </c>
      <c r="EG11" s="6" t="str">
        <f t="shared" si="90"/>
        <v>60/60/60</v>
      </c>
      <c r="EH11" s="6">
        <f t="shared" si="91"/>
        <v>60</v>
      </c>
      <c r="EI11" s="6">
        <f t="shared" si="92"/>
        <v>60</v>
      </c>
      <c r="EJ11" s="6">
        <f t="shared" si="93"/>
        <v>60</v>
      </c>
      <c r="EK11" s="6">
        <f t="shared" si="94"/>
        <v>0</v>
      </c>
      <c r="EL11" s="6">
        <f t="shared" si="95"/>
        <v>0</v>
      </c>
      <c r="EM11" s="6">
        <f t="shared" si="96"/>
        <v>0</v>
      </c>
      <c r="EN11" s="6" t="str">
        <f t="shared" si="97"/>
        <v>60W/ 60W/ 60W</v>
      </c>
      <c r="EO11" s="6">
        <f t="shared" si="98"/>
        <v>60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80</v>
      </c>
      <c r="FR11" s="6" t="str">
        <f t="shared" si="127"/>
        <v>900</v>
      </c>
      <c r="FS11" s="6" t="str">
        <f t="shared" si="128"/>
        <v>1800</v>
      </c>
      <c r="FT11" s="6" t="str">
        <f t="shared" si="129"/>
        <v>1800</v>
      </c>
      <c r="FU11" s="6" t="str">
        <f t="shared" si="130"/>
        <v/>
      </c>
      <c r="FV11" s="6" t="str">
        <f t="shared" si="131"/>
        <v/>
      </c>
      <c r="FW11" s="6" t="str">
        <f t="shared" si="132"/>
        <v/>
      </c>
      <c r="FX11" s="6" t="str">
        <f t="shared" si="133"/>
        <v>31/31/31</v>
      </c>
      <c r="FY11" s="6">
        <f t="shared" si="134"/>
        <v>31</v>
      </c>
      <c r="FZ11" s="6">
        <f t="shared" si="135"/>
        <v>31</v>
      </c>
      <c r="GA11" s="6">
        <f t="shared" si="136"/>
        <v>31</v>
      </c>
      <c r="GB11" s="6">
        <f t="shared" si="137"/>
        <v>0</v>
      </c>
      <c r="GC11" s="6">
        <f t="shared" si="138"/>
        <v>0</v>
      </c>
      <c r="GD11" s="6">
        <f t="shared" si="139"/>
        <v>0</v>
      </c>
      <c r="GE11" s="6" t="str">
        <f t="shared" si="140"/>
        <v>31m/ 31m/ 31m</v>
      </c>
      <c r="GF11" s="6" t="str">
        <f t="shared" si="141"/>
        <v>31/31/31</v>
      </c>
      <c r="GG11" s="6">
        <f t="shared" si="142"/>
        <v>31</v>
      </c>
      <c r="GH11" s="6">
        <f t="shared" si="143"/>
        <v>31</v>
      </c>
      <c r="GI11" s="6">
        <f t="shared" si="144"/>
        <v>31</v>
      </c>
      <c r="GJ11" s="6">
        <f t="shared" si="145"/>
        <v>0</v>
      </c>
      <c r="GK11" s="6">
        <f t="shared" si="146"/>
        <v>0</v>
      </c>
      <c r="GL11" s="6">
        <f t="shared" si="147"/>
        <v>0</v>
      </c>
      <c r="GM11" s="6" t="str">
        <f t="shared" si="148"/>
        <v>31m/ 31m/ 31m</v>
      </c>
      <c r="GN11" s="6" t="str">
        <f t="shared" si="149"/>
        <v>31/31/31</v>
      </c>
      <c r="GO11" s="6">
        <f t="shared" si="150"/>
        <v>31</v>
      </c>
      <c r="GP11" s="6">
        <f t="shared" si="151"/>
        <v>31</v>
      </c>
      <c r="GQ11" s="6">
        <f t="shared" si="152"/>
        <v>31</v>
      </c>
      <c r="GR11" s="6">
        <f t="shared" si="153"/>
        <v>0</v>
      </c>
      <c r="GS11" s="6">
        <f t="shared" si="154"/>
        <v>0</v>
      </c>
      <c r="GT11" s="6">
        <f t="shared" si="155"/>
        <v>0</v>
      </c>
      <c r="GU11" s="6" t="str">
        <f t="shared" si="156"/>
        <v>31m/ 31m/ 31m</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1</v>
      </c>
      <c r="HU11" s="6">
        <f t="shared" si="181"/>
        <v>31</v>
      </c>
      <c r="HV11" s="6">
        <f t="shared" si="182"/>
        <v>31</v>
      </c>
      <c r="HW11" s="6">
        <f t="shared" si="183"/>
        <v>31</v>
      </c>
      <c r="HX11" s="6">
        <f t="shared" si="184"/>
        <v>0</v>
      </c>
      <c r="HY11" s="6">
        <f t="shared" si="185"/>
        <v>0</v>
      </c>
      <c r="HZ11" s="6">
        <f t="shared" si="186"/>
        <v>0</v>
      </c>
      <c r="IA11" s="5">
        <f t="shared" si="187"/>
        <v>31</v>
      </c>
      <c r="IB11" s="5">
        <f t="shared" si="188"/>
        <v>15</v>
      </c>
      <c r="IC11" s="132" t="str">
        <f t="shared" si="189"/>
        <v>A</v>
      </c>
      <c r="ID11" s="132" t="str">
        <f t="shared" si="190"/>
        <v>03991</v>
      </c>
      <c r="IE11" s="132" t="str">
        <f t="shared" si="191"/>
        <v>181019</v>
      </c>
      <c r="IF11" s="132" t="str">
        <f t="shared" si="192"/>
        <v>TG05</v>
      </c>
      <c r="IG11" s="171">
        <f t="shared" si="193"/>
        <v>43756</v>
      </c>
      <c r="IH11" s="171">
        <f t="shared" si="194"/>
        <v>45583</v>
      </c>
      <c r="II11" s="6">
        <v>37</v>
      </c>
    </row>
    <row r="12" spans="1:243" ht="165.75">
      <c r="A12" s="5">
        <f>Input!A12</f>
        <v>10</v>
      </c>
      <c r="B12" s="132" t="str">
        <f>Profile!$A$3</f>
        <v>VINAPHONE</v>
      </c>
      <c r="C12" s="132" t="str">
        <f>Profile!$F$3</f>
        <v>VINAPHONE</v>
      </c>
      <c r="D12" s="5" t="str">
        <f>Input!B12</f>
        <v>LE-QUANG-DAO-43-8-24-NTM_HNI</v>
      </c>
      <c r="E12" s="107" t="str">
        <f>Input!C12</f>
        <v>Số 24, ngách 8/43, đường Lê Quang Đạo, phường Phú Đô, quận Nam Từ Liêm, thành phố Hà Nội</v>
      </c>
      <c r="F12" s="5" t="str">
        <f>Input!D12</f>
        <v>Hà Nội</v>
      </c>
      <c r="G12" s="5">
        <f>Input!E12</f>
        <v>105.76770999999999</v>
      </c>
      <c r="H12" s="5">
        <f>Input!F12</f>
        <v>21.013743999999999</v>
      </c>
      <c r="I12" s="5">
        <f>Input!G12</f>
        <v>1</v>
      </c>
      <c r="J12" s="5">
        <f>Input!H12</f>
        <v>2</v>
      </c>
      <c r="K12" s="5" t="str">
        <f t="shared" si="0"/>
        <v>TỔNG CÔNG TY HẠ TẦNG MẠNG;TỔNG CÔNG TY HẠ TẦNG MẠNG</v>
      </c>
      <c r="L12" s="5" t="str">
        <f>Input!J12</f>
        <v>LE-QUANG-DAO-43-8-24-NTM_HNI;LE-QUANG-DAO-43-8-24-NTM_HNI</v>
      </c>
      <c r="M12" s="5" t="str">
        <f>Input!K12</f>
        <v>NOKIA FLEXI MULTIRADIO BTS RADIO MODULE AND REMOTE RADIO (FRGY);NOKIA FLEXI MULTIRADIO BTS RADIO MODULE AND REMOTE RADIO (FHEL)</v>
      </c>
      <c r="N12" s="5" t="str">
        <f>Input!L12</f>
        <v>3;3</v>
      </c>
      <c r="O12" s="5" t="str">
        <f>Input!M12</f>
        <v>2/2/2;1/1/1</v>
      </c>
      <c r="P12" s="5" t="str">
        <f>Input!N12</f>
        <v>60/60/60;60/60/60</v>
      </c>
      <c r="Q12" s="5" t="str">
        <f>Input!O12</f>
        <v>2100;1800</v>
      </c>
      <c r="R12" s="5" t="str">
        <f>Input!P12</f>
        <v>28,5/28,5/28,5;28,5/28,5/28,5</v>
      </c>
      <c r="S12" s="152" t="b">
        <f>Input!Q12</f>
        <v>1</v>
      </c>
      <c r="T12" s="5" t="str">
        <f>Input!R12</f>
        <v>A03992181019TG05</v>
      </c>
      <c r="U12" s="5">
        <f>Input!S12</f>
        <v>0</v>
      </c>
      <c r="V12" s="5" t="str">
        <f>Input!T12</f>
        <v>VCC1</v>
      </c>
      <c r="W12" s="5" t="str">
        <f>Input!U12</f>
        <v>1902990/19/TG/TT1</v>
      </c>
      <c r="X12" s="7" t="str">
        <f>TEXT(Input!V12,"dd/mm/yyyy")</f>
        <v>18/10/2019</v>
      </c>
      <c r="Y12" s="5" t="b">
        <f>Input!W12</f>
        <v>0</v>
      </c>
      <c r="Z12" s="152" t="b">
        <f>Input!X12</f>
        <v>0</v>
      </c>
      <c r="AA12" s="5">
        <f t="shared" si="1"/>
        <v>28.5</v>
      </c>
      <c r="AB12" s="152" t="b">
        <f>Input!Y12</f>
        <v>1</v>
      </c>
      <c r="AC12" s="5">
        <f>VALUE(Input!Z12)</f>
        <v>26</v>
      </c>
      <c r="AD12" s="5" t="b">
        <f>Input!AA12</f>
        <v>0</v>
      </c>
      <c r="AE12" s="5" t="str">
        <f>Input!AB12</f>
        <v>Vũ Văn Giáp</v>
      </c>
      <c r="AF12" s="5" t="str">
        <f>Input!AC12</f>
        <v>Lê Tiến Cường</v>
      </c>
      <c r="AG12" s="132" t="str">
        <f>Options!$J$25</f>
        <v>TRUNG TÂM KIỂM ĐỊNH VÀ CHỨNG NHẬN 1</v>
      </c>
      <c r="AH12" s="132" t="str">
        <f>Options!$J$26</f>
        <v>TP. Hà Nội</v>
      </c>
      <c r="AI12" s="132" t="str">
        <f>Options!$J$29</f>
        <v>GIÁM ĐỐC</v>
      </c>
      <c r="AJ12" s="132" t="str">
        <f>Options!$J$30</f>
        <v/>
      </c>
      <c r="AK12" s="132" t="str">
        <f>Options!$J$31</f>
        <v>Bùi Ngọc Dũng</v>
      </c>
      <c r="AL12" s="6"/>
      <c r="AM12" s="6" t="str">
        <f>INDEX(ApplicantNameList,MATCH(B12,ApplicantIDList,0))</f>
        <v>Tổng Công ty Hạ tầng mạng</v>
      </c>
      <c r="AN12" s="6" t="str">
        <f>INDEX(OperatorNameList,MATCH(C12,OperatorIDList,0))</f>
        <v>TỔNG CÔNG TY HẠ TẦNG MẠNG</v>
      </c>
      <c r="AO12" s="5">
        <f t="shared" si="2"/>
        <v>5</v>
      </c>
      <c r="AP12" s="85" t="str">
        <f t="shared" si="3"/>
        <v>thành phố Hà Nội</v>
      </c>
      <c r="AQ12" s="233" t="str">
        <f t="shared" si="4"/>
        <v>quận Nam Từ Liêm</v>
      </c>
      <c r="AR12" s="233" t="str">
        <f t="shared" si="5"/>
        <v>phường Phú Đô</v>
      </c>
      <c r="AS12" s="234" t="str">
        <f>INDEX(CityIDList,MATCH(F12,CityNameList,0))</f>
        <v>HNI</v>
      </c>
      <c r="AT12" s="6" t="str">
        <f>IF(J12&gt;=1,INDEX(OperatorNameList,MATCH(AZ12,OperatorIDList,0)),"")</f>
        <v>TỔNG CÔNG TY HẠ TẦNG MẠNG</v>
      </c>
      <c r="AU12" s="6" t="str">
        <f>IF(J12&gt;=2,INDEX(OperatorNameList,MATCH(BA12,OperatorIDList,0)),"")</f>
        <v>TỔNG CÔNG TY HẠ TẦNG MẠNG</v>
      </c>
      <c r="AV12" s="6" t="str">
        <f>IF(J12&gt;=3,INDEX(OperatorNameList,MATCH(BB12,OperatorIDList,0)),"")</f>
        <v/>
      </c>
      <c r="AW12" s="6" t="str">
        <f>IF(J12&gt;=4,INDEX(OperatorNameList,MATCH(BC12,OperatorIDList,0)),"")</f>
        <v/>
      </c>
      <c r="AX12" s="6" t="str">
        <f>IF(J12&gt;=5,INDEX(OperatorNameList,MATCH(BD12,OperatorIDList,0)),"")</f>
        <v/>
      </c>
      <c r="AY12" s="6" t="str">
        <f>IF(J12&gt;=6,INDEX(OperatorNameList,MATCH(BE12,OperatorIDList,0)),"")</f>
        <v/>
      </c>
      <c r="AZ12" s="6" t="str">
        <f t="shared" si="6"/>
        <v>VINAPHONE</v>
      </c>
      <c r="BA12" s="6" t="str">
        <f t="shared" si="7"/>
        <v>VINAPHONE</v>
      </c>
      <c r="BB12" s="6" t="str">
        <f t="shared" si="8"/>
        <v/>
      </c>
      <c r="BC12" s="6" t="str">
        <f t="shared" si="9"/>
        <v/>
      </c>
      <c r="BD12" s="6" t="str">
        <f t="shared" si="10"/>
        <v/>
      </c>
      <c r="BE12" s="6" t="str">
        <f t="shared" si="11"/>
        <v/>
      </c>
      <c r="BF12" s="6" t="str">
        <f>Input!I12</f>
        <v>VINAPHONE;VINAPHONE</v>
      </c>
      <c r="BG12" s="6" t="str">
        <f t="shared" si="12"/>
        <v>LE-QUANG-DAO-43-8-24-NTM_HNI</v>
      </c>
      <c r="BH12" s="6" t="str">
        <f t="shared" si="13"/>
        <v>LE-QUANG-DAO-43-8-24-NTM_HNI</v>
      </c>
      <c r="BI12" s="6" t="str">
        <f t="shared" si="14"/>
        <v/>
      </c>
      <c r="BJ12" s="6" t="str">
        <f t="shared" si="15"/>
        <v/>
      </c>
      <c r="BK12" s="6" t="str">
        <f t="shared" si="16"/>
        <v/>
      </c>
      <c r="BL12" s="6" t="str">
        <f t="shared" si="17"/>
        <v/>
      </c>
      <c r="BM12" s="6" t="str">
        <f t="shared" si="18"/>
        <v>NOKIA FLEXI MULTIRADIO BTS RADIO MODULE AND REMOTE RADIO (FRGY)</v>
      </c>
      <c r="BN12" s="6" t="str">
        <f t="shared" si="19"/>
        <v>NOKIA FLEXI MULTIRADIO BTS RADIO MODULE AND REMOTE RADIO (FHEL)</v>
      </c>
      <c r="BO12" s="6" t="str">
        <f t="shared" si="20"/>
        <v/>
      </c>
      <c r="BP12" s="6" t="str">
        <f t="shared" si="21"/>
        <v/>
      </c>
      <c r="BQ12" s="6" t="str">
        <f t="shared" si="22"/>
        <v/>
      </c>
      <c r="BR12" s="6" t="str">
        <f t="shared" si="23"/>
        <v/>
      </c>
      <c r="BS12" s="6">
        <f t="shared" si="24"/>
        <v>3</v>
      </c>
      <c r="BT12" s="6">
        <f t="shared" si="25"/>
        <v>3</v>
      </c>
      <c r="BU12" s="6">
        <f t="shared" si="26"/>
        <v>0</v>
      </c>
      <c r="BV12" s="6">
        <f t="shared" si="27"/>
        <v>0</v>
      </c>
      <c r="BW12" s="6">
        <f t="shared" si="28"/>
        <v>0</v>
      </c>
      <c r="BX12" s="6">
        <f t="shared" si="29"/>
        <v>0</v>
      </c>
      <c r="BY12" s="6" t="str">
        <f t="shared" si="30"/>
        <v>2/2/2</v>
      </c>
      <c r="BZ12" s="6">
        <f t="shared" si="31"/>
        <v>2</v>
      </c>
      <c r="CA12" s="6">
        <f t="shared" si="32"/>
        <v>2</v>
      </c>
      <c r="CB12" s="6">
        <f t="shared" si="33"/>
        <v>2</v>
      </c>
      <c r="CC12" s="6">
        <f t="shared" si="34"/>
        <v>0</v>
      </c>
      <c r="CD12" s="6">
        <f t="shared" si="35"/>
        <v>0</v>
      </c>
      <c r="CE12" s="6">
        <f t="shared" si="36"/>
        <v>0</v>
      </c>
      <c r="CF12" s="6" t="str">
        <f t="shared" si="37"/>
        <v>1/1/1</v>
      </c>
      <c r="CG12" s="6">
        <f t="shared" si="38"/>
        <v>1</v>
      </c>
      <c r="CH12" s="6">
        <f t="shared" si="39"/>
        <v>1</v>
      </c>
      <c r="CI12" s="6">
        <f t="shared" si="40"/>
        <v>1</v>
      </c>
      <c r="CJ12" s="6">
        <f t="shared" si="41"/>
        <v>0</v>
      </c>
      <c r="CK12" s="6">
        <f t="shared" si="42"/>
        <v>0</v>
      </c>
      <c r="CL12" s="6">
        <f t="shared" si="43"/>
        <v>0</v>
      </c>
      <c r="CM12" s="6" t="str">
        <f t="shared" si="44"/>
        <v/>
      </c>
      <c r="CN12" s="6">
        <f t="shared" si="45"/>
        <v>0</v>
      </c>
      <c r="CO12" s="6">
        <f t="shared" si="46"/>
        <v>0</v>
      </c>
      <c r="CP12" s="6">
        <f t="shared" si="47"/>
        <v>0</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60/60/60</v>
      </c>
      <c r="DP12" s="6">
        <f t="shared" si="73"/>
        <v>60</v>
      </c>
      <c r="DQ12" s="6">
        <f t="shared" si="74"/>
        <v>60</v>
      </c>
      <c r="DR12" s="6">
        <f t="shared" si="75"/>
        <v>60</v>
      </c>
      <c r="DS12" s="6">
        <f t="shared" si="76"/>
        <v>0</v>
      </c>
      <c r="DT12" s="6">
        <f t="shared" si="77"/>
        <v>0</v>
      </c>
      <c r="DU12" s="6">
        <f t="shared" si="78"/>
        <v>0</v>
      </c>
      <c r="DV12" s="6" t="str">
        <f t="shared" si="79"/>
        <v>60W/ 60W/ 60W</v>
      </c>
      <c r="DW12" s="6">
        <f t="shared" si="80"/>
        <v>60</v>
      </c>
      <c r="DX12" s="6" t="str">
        <f t="shared" si="81"/>
        <v>60/60/60</v>
      </c>
      <c r="DY12" s="6">
        <f t="shared" si="82"/>
        <v>60</v>
      </c>
      <c r="DZ12" s="6">
        <f t="shared" si="83"/>
        <v>60</v>
      </c>
      <c r="EA12" s="6">
        <f t="shared" si="84"/>
        <v>60</v>
      </c>
      <c r="EB12" s="6">
        <f t="shared" si="85"/>
        <v>0</v>
      </c>
      <c r="EC12" s="6">
        <f t="shared" si="86"/>
        <v>0</v>
      </c>
      <c r="ED12" s="6">
        <f t="shared" si="87"/>
        <v>0</v>
      </c>
      <c r="EE12" s="6" t="str">
        <f t="shared" si="88"/>
        <v>60W/ 60W/ 60W</v>
      </c>
      <c r="EF12" s="6">
        <f t="shared" si="89"/>
        <v>60</v>
      </c>
      <c r="EG12" s="6" t="str">
        <f t="shared" si="90"/>
        <v/>
      </c>
      <c r="EH12" s="6">
        <f t="shared" si="91"/>
        <v>0</v>
      </c>
      <c r="EI12" s="6">
        <f t="shared" si="92"/>
        <v>0</v>
      </c>
      <c r="EJ12" s="6">
        <f t="shared" si="93"/>
        <v>0</v>
      </c>
      <c r="EK12" s="6">
        <f t="shared" si="94"/>
        <v>0</v>
      </c>
      <c r="EL12" s="6">
        <f t="shared" si="95"/>
        <v>0</v>
      </c>
      <c r="EM12" s="6">
        <f t="shared" si="96"/>
        <v>0</v>
      </c>
      <c r="EN12" s="6" t="str">
        <f t="shared" si="97"/>
        <v/>
      </c>
      <c r="EO12" s="6">
        <f t="shared" si="98"/>
        <v>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60</v>
      </c>
      <c r="FR12" s="6" t="str">
        <f t="shared" si="127"/>
        <v>2100</v>
      </c>
      <c r="FS12" s="6" t="str">
        <f t="shared" si="128"/>
        <v>1800</v>
      </c>
      <c r="FT12" s="6" t="str">
        <f t="shared" si="129"/>
        <v/>
      </c>
      <c r="FU12" s="6" t="str">
        <f t="shared" si="130"/>
        <v/>
      </c>
      <c r="FV12" s="6" t="str">
        <f t="shared" si="131"/>
        <v/>
      </c>
      <c r="FW12" s="6" t="str">
        <f t="shared" si="132"/>
        <v/>
      </c>
      <c r="FX12" s="6" t="str">
        <f t="shared" si="133"/>
        <v>28,5/28,5/28,5</v>
      </c>
      <c r="FY12" s="6">
        <f t="shared" si="134"/>
        <v>28.5</v>
      </c>
      <c r="FZ12" s="6">
        <f t="shared" si="135"/>
        <v>28.5</v>
      </c>
      <c r="GA12" s="6">
        <f t="shared" si="136"/>
        <v>28.5</v>
      </c>
      <c r="GB12" s="6">
        <f t="shared" si="137"/>
        <v>0</v>
      </c>
      <c r="GC12" s="6">
        <f t="shared" si="138"/>
        <v>0</v>
      </c>
      <c r="GD12" s="6">
        <f t="shared" si="139"/>
        <v>0</v>
      </c>
      <c r="GE12" s="6" t="str">
        <f t="shared" si="140"/>
        <v>28,5m/ 28,5m/ 28,5m</v>
      </c>
      <c r="GF12" s="6" t="str">
        <f t="shared" si="141"/>
        <v>28,5/28,5/28,5</v>
      </c>
      <c r="GG12" s="6">
        <f t="shared" si="142"/>
        <v>28.5</v>
      </c>
      <c r="GH12" s="6">
        <f t="shared" si="143"/>
        <v>28.5</v>
      </c>
      <c r="GI12" s="6">
        <f t="shared" si="144"/>
        <v>28.5</v>
      </c>
      <c r="GJ12" s="6">
        <f t="shared" si="145"/>
        <v>0</v>
      </c>
      <c r="GK12" s="6">
        <f t="shared" si="146"/>
        <v>0</v>
      </c>
      <c r="GL12" s="6">
        <f t="shared" si="147"/>
        <v>0</v>
      </c>
      <c r="GM12" s="6" t="str">
        <f t="shared" si="148"/>
        <v>28,5m/ 28,5m/ 28,5m</v>
      </c>
      <c r="GN12" s="6" t="str">
        <f t="shared" si="149"/>
        <v/>
      </c>
      <c r="GO12" s="6">
        <f t="shared" si="150"/>
        <v>0</v>
      </c>
      <c r="GP12" s="6">
        <f t="shared" si="151"/>
        <v>0</v>
      </c>
      <c r="GQ12" s="6">
        <f t="shared" si="152"/>
        <v>0</v>
      </c>
      <c r="GR12" s="6">
        <f t="shared" si="153"/>
        <v>0</v>
      </c>
      <c r="GS12" s="6">
        <f t="shared" si="154"/>
        <v>0</v>
      </c>
      <c r="GT12" s="6">
        <f t="shared" si="155"/>
        <v>0</v>
      </c>
      <c r="GU12" s="6" t="str">
        <f t="shared" si="156"/>
        <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1</v>
      </c>
      <c r="HU12" s="6">
        <f t="shared" si="181"/>
        <v>28.5</v>
      </c>
      <c r="HV12" s="6">
        <f t="shared" si="182"/>
        <v>28.5</v>
      </c>
      <c r="HW12" s="6">
        <f t="shared" si="183"/>
        <v>0</v>
      </c>
      <c r="HX12" s="6">
        <f t="shared" si="184"/>
        <v>0</v>
      </c>
      <c r="HY12" s="6">
        <f t="shared" si="185"/>
        <v>0</v>
      </c>
      <c r="HZ12" s="6">
        <f t="shared" si="186"/>
        <v>0</v>
      </c>
      <c r="IA12" s="5">
        <f t="shared" si="187"/>
        <v>28.5</v>
      </c>
      <c r="IB12" s="5">
        <f t="shared" si="188"/>
        <v>2.5</v>
      </c>
      <c r="IC12" s="132" t="str">
        <f t="shared" si="189"/>
        <v>A</v>
      </c>
      <c r="ID12" s="132" t="str">
        <f t="shared" si="190"/>
        <v>03992</v>
      </c>
      <c r="IE12" s="132" t="str">
        <f t="shared" si="191"/>
        <v>181019</v>
      </c>
      <c r="IF12" s="132" t="str">
        <f t="shared" si="192"/>
        <v>TG05</v>
      </c>
      <c r="IG12" s="171">
        <f t="shared" si="193"/>
        <v>43756</v>
      </c>
      <c r="IH12" s="171">
        <f t="shared" si="194"/>
        <v>45583</v>
      </c>
      <c r="II12" s="6">
        <v>37</v>
      </c>
    </row>
    <row r="13" spans="1:243" ht="127.5">
      <c r="A13" s="5">
        <f>Input!A13</f>
        <v>11</v>
      </c>
      <c r="B13" s="132" t="str">
        <f>Profile!$A$3</f>
        <v>VINAPHONE</v>
      </c>
      <c r="C13" s="132" t="str">
        <f>Profile!$F$3</f>
        <v>VINAPHONE</v>
      </c>
      <c r="D13" s="5" t="str">
        <f>Input!B13</f>
        <v>TAY-MO-THON-LO-TLM_HNI</v>
      </c>
      <c r="E13" s="107" t="str">
        <f>Input!C13</f>
        <v>Số 36, ngõ 193/17/25, phố Cầu Cốc, phường Tây Mỗ, quận Nam Từ Liêm, thành phố Hà Nội</v>
      </c>
      <c r="F13" s="5" t="str">
        <f>Input!D13</f>
        <v>Hà Nội</v>
      </c>
      <c r="G13" s="5">
        <f>Input!E13</f>
        <v>105.744625</v>
      </c>
      <c r="H13" s="5">
        <f>Input!F13</f>
        <v>21.002666999999999</v>
      </c>
      <c r="I13" s="5">
        <f>Input!G13</f>
        <v>1</v>
      </c>
      <c r="J13" s="5">
        <f>Input!H13</f>
        <v>3</v>
      </c>
      <c r="K13" s="5" t="str">
        <f t="shared" si="0"/>
        <v>TỔNG CÔNG TY HẠ TẦNG MẠNG;TỔNG CÔNG TY HẠ TẦNG MẠNG;TỔNG CÔNG TY HẠ TẦNG MẠNG</v>
      </c>
      <c r="L13" s="5" t="str">
        <f>Input!J13</f>
        <v>TAY-MO-THON-LO-TLM_HNI;TAY-MO-THON-LO-TLM_HNI;TAY-MO-THON-LO-TLM_HNI</v>
      </c>
      <c r="M13" s="5" t="str">
        <f>Input!K13</f>
        <v>HUAWEI BTS3900;HUAWEI DBS3900 WCDMA;NOKIA FLEXI MULTIRADIO BTS RADIO MODULE AND REMOTE RADIO (FHEL)</v>
      </c>
      <c r="N13" s="5" t="str">
        <f>Input!L13</f>
        <v>3;3;3</v>
      </c>
      <c r="O13" s="5" t="str">
        <f>Input!M13</f>
        <v>2/2/2;2/2/2;1/1/1</v>
      </c>
      <c r="P13" s="5" t="str">
        <f>Input!N13</f>
        <v>80/80/80;60/60/60;60/60/60</v>
      </c>
      <c r="Q13" s="5" t="str">
        <f>Input!O13</f>
        <v>900;2100;1800</v>
      </c>
      <c r="R13" s="5" t="str">
        <f>Input!P13</f>
        <v>16,5/16,5/16,5;16,5/16,5/16,5;16,5/16,5/16,5</v>
      </c>
      <c r="S13" s="152" t="b">
        <f>Input!Q13</f>
        <v>1</v>
      </c>
      <c r="T13" s="5" t="str">
        <f>Input!R13</f>
        <v>A03993181019TG05</v>
      </c>
      <c r="U13" s="5">
        <f>Input!S13</f>
        <v>0</v>
      </c>
      <c r="V13" s="5" t="str">
        <f>Input!T13</f>
        <v>VCC1</v>
      </c>
      <c r="W13" s="5" t="str">
        <f>Input!U13</f>
        <v>1903235/19/TG/TT1</v>
      </c>
      <c r="X13" s="7" t="str">
        <f>TEXT(Input!V13,"dd/mm/yyyy")</f>
        <v>18/10/2019</v>
      </c>
      <c r="Y13" s="5" t="b">
        <f>Input!W13</f>
        <v>0</v>
      </c>
      <c r="Z13" s="152" t="b">
        <f>Input!X13</f>
        <v>0</v>
      </c>
      <c r="AA13" s="5">
        <f t="shared" si="1"/>
        <v>16.5</v>
      </c>
      <c r="AB13" s="152" t="b">
        <f>Input!Y13</f>
        <v>1</v>
      </c>
      <c r="AC13" s="5">
        <f>VALUE(Input!Z13)</f>
        <v>12</v>
      </c>
      <c r="AD13" s="5" t="b">
        <f>Input!AA13</f>
        <v>0</v>
      </c>
      <c r="AE13" s="5" t="str">
        <f>Input!AB13</f>
        <v>Vũ Văn Giáp</v>
      </c>
      <c r="AF13" s="5" t="str">
        <f>Input!AC13</f>
        <v>Lê Tiến Cường</v>
      </c>
      <c r="AG13" s="132" t="str">
        <f>Options!$J$25</f>
        <v>TRUNG TÂM KIỂM ĐỊNH VÀ CHỨNG NHẬN 1</v>
      </c>
      <c r="AH13" s="132" t="str">
        <f>Options!$J$26</f>
        <v>TP. Hà Nội</v>
      </c>
      <c r="AI13" s="132" t="str">
        <f>Options!$J$29</f>
        <v>GIÁM ĐỐC</v>
      </c>
      <c r="AJ13" s="132" t="str">
        <f>Options!$J$30</f>
        <v/>
      </c>
      <c r="AK13" s="132" t="str">
        <f>Options!$J$31</f>
        <v>Bùi Ngọc Dũng</v>
      </c>
      <c r="AL13" s="6"/>
      <c r="AM13" s="6" t="str">
        <f>INDEX(ApplicantNameList,MATCH(B13,ApplicantIDList,0))</f>
        <v>Tổng Công ty Hạ tầng mạng</v>
      </c>
      <c r="AN13" s="6" t="str">
        <f>INDEX(OperatorNameList,MATCH(C13,OperatorIDList,0))</f>
        <v>TỔNG CÔNG TY HẠ TẦNG MẠNG</v>
      </c>
      <c r="AO13" s="5">
        <f t="shared" si="2"/>
        <v>5</v>
      </c>
      <c r="AP13" s="85" t="str">
        <f t="shared" si="3"/>
        <v>thành phố Hà Nội</v>
      </c>
      <c r="AQ13" s="233" t="str">
        <f t="shared" si="4"/>
        <v>quận Nam Từ Liêm</v>
      </c>
      <c r="AR13" s="233" t="str">
        <f t="shared" si="5"/>
        <v>phường Tây Mỗ</v>
      </c>
      <c r="AS13" s="234" t="str">
        <f>INDEX(CityIDList,MATCH(F13,CityNameList,0))</f>
        <v>HNI</v>
      </c>
      <c r="AT13" s="6" t="str">
        <f>IF(J13&gt;=1,INDEX(OperatorNameList,MATCH(AZ13,OperatorIDList,0)),"")</f>
        <v>TỔNG CÔNG TY HẠ TẦNG MẠNG</v>
      </c>
      <c r="AU13" s="6" t="str">
        <f>IF(J13&gt;=2,INDEX(OperatorNameList,MATCH(BA13,OperatorIDList,0)),"")</f>
        <v>TỔNG CÔNG TY HẠ TẦNG MẠNG</v>
      </c>
      <c r="AV13" s="6" t="str">
        <f>IF(J13&gt;=3,INDEX(OperatorNameList,MATCH(BB13,OperatorIDList,0)),"")</f>
        <v>TỔNG CÔNG TY HẠ TẦNG MẠNG</v>
      </c>
      <c r="AW13" s="6" t="str">
        <f>IF(J13&gt;=4,INDEX(OperatorNameList,MATCH(BC13,OperatorIDList,0)),"")</f>
        <v/>
      </c>
      <c r="AX13" s="6" t="str">
        <f>IF(J13&gt;=5,INDEX(OperatorNameList,MATCH(BD13,OperatorIDList,0)),"")</f>
        <v/>
      </c>
      <c r="AY13" s="6" t="str">
        <f>IF(J13&gt;=6,INDEX(OperatorNameList,MATCH(BE13,OperatorIDList,0)),"")</f>
        <v/>
      </c>
      <c r="AZ13" s="6" t="str">
        <f t="shared" si="6"/>
        <v>VINAPHONE</v>
      </c>
      <c r="BA13" s="6" t="str">
        <f t="shared" si="7"/>
        <v>VINAPHONE</v>
      </c>
      <c r="BB13" s="6" t="str">
        <f t="shared" si="8"/>
        <v>VINAPHONE</v>
      </c>
      <c r="BC13" s="6" t="str">
        <f t="shared" si="9"/>
        <v/>
      </c>
      <c r="BD13" s="6" t="str">
        <f t="shared" si="10"/>
        <v/>
      </c>
      <c r="BE13" s="6" t="str">
        <f t="shared" si="11"/>
        <v/>
      </c>
      <c r="BF13" s="6" t="str">
        <f>Input!I13</f>
        <v>VINAPHONE;VINAPHONE;VINAPHONE</v>
      </c>
      <c r="BG13" s="6" t="str">
        <f t="shared" si="12"/>
        <v>TAY-MO-THON-LO-TLM_HNI</v>
      </c>
      <c r="BH13" s="6" t="str">
        <f t="shared" si="13"/>
        <v>TAY-MO-THON-LO-TLM_HNI</v>
      </c>
      <c r="BI13" s="6" t="str">
        <f t="shared" si="14"/>
        <v>TAY-MO-THON-LO-TLM_HNI</v>
      </c>
      <c r="BJ13" s="6" t="str">
        <f t="shared" si="15"/>
        <v/>
      </c>
      <c r="BK13" s="6" t="str">
        <f t="shared" si="16"/>
        <v/>
      </c>
      <c r="BL13" s="6" t="str">
        <f t="shared" si="17"/>
        <v/>
      </c>
      <c r="BM13" s="6" t="str">
        <f t="shared" si="18"/>
        <v>HUAWEI BTS3900</v>
      </c>
      <c r="BN13" s="6" t="str">
        <f t="shared" si="19"/>
        <v>HUAWEI DBS3900 WCDMA</v>
      </c>
      <c r="BO13" s="6" t="str">
        <f t="shared" si="20"/>
        <v>NOKIA FLEXI MULTIRADIO BTS RADIO MODULE AND REMOTE RADIO (FHEL)</v>
      </c>
      <c r="BP13" s="6" t="str">
        <f t="shared" si="21"/>
        <v/>
      </c>
      <c r="BQ13" s="6" t="str">
        <f t="shared" si="22"/>
        <v/>
      </c>
      <c r="BR13" s="6" t="str">
        <f t="shared" si="23"/>
        <v/>
      </c>
      <c r="BS13" s="6">
        <f t="shared" si="24"/>
        <v>3</v>
      </c>
      <c r="BT13" s="6">
        <f t="shared" si="25"/>
        <v>3</v>
      </c>
      <c r="BU13" s="6">
        <f t="shared" si="26"/>
        <v>3</v>
      </c>
      <c r="BV13" s="6">
        <f t="shared" si="27"/>
        <v>0</v>
      </c>
      <c r="BW13" s="6">
        <f t="shared" si="28"/>
        <v>0</v>
      </c>
      <c r="BX13" s="6">
        <f t="shared" si="29"/>
        <v>0</v>
      </c>
      <c r="BY13" s="6" t="str">
        <f t="shared" si="30"/>
        <v>2/2/2</v>
      </c>
      <c r="BZ13" s="6">
        <f t="shared" si="31"/>
        <v>2</v>
      </c>
      <c r="CA13" s="6">
        <f t="shared" si="32"/>
        <v>2</v>
      </c>
      <c r="CB13" s="6">
        <f t="shared" si="33"/>
        <v>2</v>
      </c>
      <c r="CC13" s="6">
        <f t="shared" si="34"/>
        <v>0</v>
      </c>
      <c r="CD13" s="6">
        <f t="shared" si="35"/>
        <v>0</v>
      </c>
      <c r="CE13" s="6">
        <f t="shared" si="36"/>
        <v>0</v>
      </c>
      <c r="CF13" s="6" t="str">
        <f t="shared" si="37"/>
        <v>2/2/2</v>
      </c>
      <c r="CG13" s="6">
        <f t="shared" si="38"/>
        <v>2</v>
      </c>
      <c r="CH13" s="6">
        <f t="shared" si="39"/>
        <v>2</v>
      </c>
      <c r="CI13" s="6">
        <f t="shared" si="40"/>
        <v>2</v>
      </c>
      <c r="CJ13" s="6">
        <f t="shared" si="41"/>
        <v>0</v>
      </c>
      <c r="CK13" s="6">
        <f t="shared" si="42"/>
        <v>0</v>
      </c>
      <c r="CL13" s="6">
        <f t="shared" si="43"/>
        <v>0</v>
      </c>
      <c r="CM13" s="6" t="str">
        <f t="shared" si="44"/>
        <v>1/1/1</v>
      </c>
      <c r="CN13" s="6">
        <f t="shared" si="45"/>
        <v>1</v>
      </c>
      <c r="CO13" s="6">
        <f t="shared" si="46"/>
        <v>1</v>
      </c>
      <c r="CP13" s="6">
        <f t="shared" si="47"/>
        <v>1</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80/80/80</v>
      </c>
      <c r="DP13" s="6">
        <f t="shared" si="73"/>
        <v>80</v>
      </c>
      <c r="DQ13" s="6">
        <f t="shared" si="74"/>
        <v>80</v>
      </c>
      <c r="DR13" s="6">
        <f t="shared" si="75"/>
        <v>80</v>
      </c>
      <c r="DS13" s="6">
        <f t="shared" si="76"/>
        <v>0</v>
      </c>
      <c r="DT13" s="6">
        <f t="shared" si="77"/>
        <v>0</v>
      </c>
      <c r="DU13" s="6">
        <f t="shared" si="78"/>
        <v>0</v>
      </c>
      <c r="DV13" s="6" t="str">
        <f t="shared" si="79"/>
        <v>80W/ 80W/ 80W</v>
      </c>
      <c r="DW13" s="6">
        <f t="shared" si="80"/>
        <v>80</v>
      </c>
      <c r="DX13" s="6" t="str">
        <f t="shared" si="81"/>
        <v>60/60/60</v>
      </c>
      <c r="DY13" s="6">
        <f t="shared" si="82"/>
        <v>60</v>
      </c>
      <c r="DZ13" s="6">
        <f t="shared" si="83"/>
        <v>60</v>
      </c>
      <c r="EA13" s="6">
        <f t="shared" si="84"/>
        <v>60</v>
      </c>
      <c r="EB13" s="6">
        <f t="shared" si="85"/>
        <v>0</v>
      </c>
      <c r="EC13" s="6">
        <f t="shared" si="86"/>
        <v>0</v>
      </c>
      <c r="ED13" s="6">
        <f t="shared" si="87"/>
        <v>0</v>
      </c>
      <c r="EE13" s="6" t="str">
        <f t="shared" si="88"/>
        <v>60W/ 60W/ 60W</v>
      </c>
      <c r="EF13" s="6">
        <f t="shared" si="89"/>
        <v>60</v>
      </c>
      <c r="EG13" s="6" t="str">
        <f t="shared" si="90"/>
        <v>60/60/60</v>
      </c>
      <c r="EH13" s="6">
        <f t="shared" si="91"/>
        <v>60</v>
      </c>
      <c r="EI13" s="6">
        <f t="shared" si="92"/>
        <v>60</v>
      </c>
      <c r="EJ13" s="6">
        <f t="shared" si="93"/>
        <v>60</v>
      </c>
      <c r="EK13" s="6">
        <f t="shared" si="94"/>
        <v>0</v>
      </c>
      <c r="EL13" s="6">
        <f t="shared" si="95"/>
        <v>0</v>
      </c>
      <c r="EM13" s="6">
        <f t="shared" si="96"/>
        <v>0</v>
      </c>
      <c r="EN13" s="6" t="str">
        <f t="shared" si="97"/>
        <v>60W/ 60W/ 60W</v>
      </c>
      <c r="EO13" s="6">
        <f t="shared" si="98"/>
        <v>60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80</v>
      </c>
      <c r="FR13" s="6" t="str">
        <f t="shared" si="127"/>
        <v>900</v>
      </c>
      <c r="FS13" s="6" t="str">
        <f t="shared" si="128"/>
        <v>2100</v>
      </c>
      <c r="FT13" s="6" t="str">
        <f t="shared" si="129"/>
        <v>1800</v>
      </c>
      <c r="FU13" s="6" t="str">
        <f t="shared" si="130"/>
        <v/>
      </c>
      <c r="FV13" s="6" t="str">
        <f t="shared" si="131"/>
        <v/>
      </c>
      <c r="FW13" s="6" t="str">
        <f t="shared" si="132"/>
        <v/>
      </c>
      <c r="FX13" s="6" t="str">
        <f t="shared" si="133"/>
        <v>16,5/16,5/16,5</v>
      </c>
      <c r="FY13" s="6">
        <f t="shared" si="134"/>
        <v>16.5</v>
      </c>
      <c r="FZ13" s="6">
        <f t="shared" si="135"/>
        <v>16.5</v>
      </c>
      <c r="GA13" s="6">
        <f t="shared" si="136"/>
        <v>16.5</v>
      </c>
      <c r="GB13" s="6">
        <f t="shared" si="137"/>
        <v>0</v>
      </c>
      <c r="GC13" s="6">
        <f t="shared" si="138"/>
        <v>0</v>
      </c>
      <c r="GD13" s="6">
        <f t="shared" si="139"/>
        <v>0</v>
      </c>
      <c r="GE13" s="6" t="str">
        <f t="shared" si="140"/>
        <v>16,5m/ 16,5m/ 16,5m</v>
      </c>
      <c r="GF13" s="6" t="str">
        <f t="shared" si="141"/>
        <v>16,5/16,5/16,5</v>
      </c>
      <c r="GG13" s="6">
        <f t="shared" si="142"/>
        <v>16.5</v>
      </c>
      <c r="GH13" s="6">
        <f t="shared" si="143"/>
        <v>16.5</v>
      </c>
      <c r="GI13" s="6">
        <f t="shared" si="144"/>
        <v>16.5</v>
      </c>
      <c r="GJ13" s="6">
        <f t="shared" si="145"/>
        <v>0</v>
      </c>
      <c r="GK13" s="6">
        <f t="shared" si="146"/>
        <v>0</v>
      </c>
      <c r="GL13" s="6">
        <f t="shared" si="147"/>
        <v>0</v>
      </c>
      <c r="GM13" s="6" t="str">
        <f t="shared" si="148"/>
        <v>16,5m/ 16,5m/ 16,5m</v>
      </c>
      <c r="GN13" s="6" t="str">
        <f t="shared" si="149"/>
        <v>16,5/16,5/16,5</v>
      </c>
      <c r="GO13" s="6">
        <f t="shared" si="150"/>
        <v>16.5</v>
      </c>
      <c r="GP13" s="6">
        <f t="shared" si="151"/>
        <v>16.5</v>
      </c>
      <c r="GQ13" s="6">
        <f t="shared" si="152"/>
        <v>16.5</v>
      </c>
      <c r="GR13" s="6">
        <f t="shared" si="153"/>
        <v>0</v>
      </c>
      <c r="GS13" s="6">
        <f t="shared" si="154"/>
        <v>0</v>
      </c>
      <c r="GT13" s="6">
        <f t="shared" si="155"/>
        <v>0</v>
      </c>
      <c r="GU13" s="6" t="str">
        <f t="shared" si="156"/>
        <v>16,5m/ 16,5m/ 16,5m</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1</v>
      </c>
      <c r="HU13" s="6">
        <f t="shared" si="181"/>
        <v>16.5</v>
      </c>
      <c r="HV13" s="6">
        <f t="shared" si="182"/>
        <v>16.5</v>
      </c>
      <c r="HW13" s="6">
        <f t="shared" si="183"/>
        <v>16.5</v>
      </c>
      <c r="HX13" s="6">
        <f t="shared" si="184"/>
        <v>0</v>
      </c>
      <c r="HY13" s="6">
        <f t="shared" si="185"/>
        <v>0</v>
      </c>
      <c r="HZ13" s="6">
        <f t="shared" si="186"/>
        <v>0</v>
      </c>
      <c r="IA13" s="5">
        <f t="shared" si="187"/>
        <v>16.5</v>
      </c>
      <c r="IB13" s="5">
        <f t="shared" si="188"/>
        <v>4.5</v>
      </c>
      <c r="IC13" s="132" t="str">
        <f t="shared" si="189"/>
        <v>A</v>
      </c>
      <c r="ID13" s="132" t="str">
        <f t="shared" si="190"/>
        <v>03993</v>
      </c>
      <c r="IE13" s="132" t="str">
        <f t="shared" si="191"/>
        <v>181019</v>
      </c>
      <c r="IF13" s="132" t="str">
        <f t="shared" si="192"/>
        <v>TG05</v>
      </c>
      <c r="IG13" s="171">
        <f t="shared" si="193"/>
        <v>43756</v>
      </c>
      <c r="IH13" s="171">
        <f t="shared" si="194"/>
        <v>45583</v>
      </c>
      <c r="II13" s="6">
        <v>37</v>
      </c>
    </row>
    <row r="14" spans="1:243" ht="127.5">
      <c r="A14" s="5">
        <f>Input!A14</f>
        <v>12</v>
      </c>
      <c r="B14" s="132" t="str">
        <f>Profile!$A$3</f>
        <v>VINAPHONE</v>
      </c>
      <c r="C14" s="132" t="str">
        <f>Profile!$F$3</f>
        <v>VINAPHONE</v>
      </c>
      <c r="D14" s="5" t="str">
        <f>Input!B14</f>
        <v>XUAN-PHUONG-80-66-NTL_HNI</v>
      </c>
      <c r="E14" s="107" t="str">
        <f>Input!C14</f>
        <v>Số 66, ngõ 80, đường Xuân Phương, phường Phương Canh, quận Nam Từ Liêm, thành phố Hà Nội</v>
      </c>
      <c r="F14" s="5" t="str">
        <f>Input!D14</f>
        <v>Hà Nội</v>
      </c>
      <c r="G14" s="5">
        <f>Input!E14</f>
        <v>105.73210400000001</v>
      </c>
      <c r="H14" s="5">
        <f>Input!F14</f>
        <v>21.050927999999999</v>
      </c>
      <c r="I14" s="5">
        <f>Input!G14</f>
        <v>1</v>
      </c>
      <c r="J14" s="5">
        <f>Input!H14</f>
        <v>3</v>
      </c>
      <c r="K14" s="5" t="str">
        <f t="shared" si="0"/>
        <v>TỔNG CÔNG TY HẠ TẦNG MẠNG;TỔNG CÔNG TY HẠ TẦNG MẠNG;TỔNG CÔNG TY HẠ TẦNG MẠNG</v>
      </c>
      <c r="L14" s="5" t="str">
        <f>Input!J14</f>
        <v>XUAN-PHUONG-80-66-NTL_HNI;XUAN-PHUONG-80-66-NTL_HNI;XUAN-PHUONG-80-66-NTL_HNI</v>
      </c>
      <c r="M14" s="5" t="str">
        <f>Input!K14</f>
        <v>HUAWEI BTS3900;HUAWEI DBS3900 WCDMA;NOKIA FLEXI MULTIRADIO BTS RADIO MODULE AND REMOTE RADIO (FHEL)</v>
      </c>
      <c r="N14" s="5" t="str">
        <f>Input!L14</f>
        <v>3;3;3</v>
      </c>
      <c r="O14" s="5" t="str">
        <f>Input!M14</f>
        <v>2/2/2;2/2/2;1/1/1</v>
      </c>
      <c r="P14" s="5" t="str">
        <f>Input!N14</f>
        <v>80/80/80;60/60/60;60/60/60</v>
      </c>
      <c r="Q14" s="5" t="str">
        <f>Input!O14</f>
        <v>900;2100;1800</v>
      </c>
      <c r="R14" s="5" t="str">
        <f>Input!P14</f>
        <v>18/18/18;18/18/18;18/18/18</v>
      </c>
      <c r="S14" s="152" t="b">
        <f>Input!Q14</f>
        <v>1</v>
      </c>
      <c r="T14" s="5" t="str">
        <f>Input!R14</f>
        <v>A03994181019TG05</v>
      </c>
      <c r="U14" s="5">
        <f>Input!S14</f>
        <v>0</v>
      </c>
      <c r="V14" s="5" t="str">
        <f>Input!T14</f>
        <v>VCC1</v>
      </c>
      <c r="W14" s="5" t="str">
        <f>Input!U14</f>
        <v>1903226/19/TG/TT1</v>
      </c>
      <c r="X14" s="7" t="str">
        <f>TEXT(Input!V14,"dd/mm/yyyy")</f>
        <v>18/10/2019</v>
      </c>
      <c r="Y14" s="5" t="b">
        <f>Input!W14</f>
        <v>0</v>
      </c>
      <c r="Z14" s="152" t="b">
        <f>Input!X14</f>
        <v>0</v>
      </c>
      <c r="AA14" s="5">
        <f t="shared" si="1"/>
        <v>18</v>
      </c>
      <c r="AB14" s="152" t="b">
        <f>Input!Y14</f>
        <v>1</v>
      </c>
      <c r="AC14" s="5">
        <f>VALUE(Input!Z14)</f>
        <v>12</v>
      </c>
      <c r="AD14" s="5" t="b">
        <f>Input!AA14</f>
        <v>0</v>
      </c>
      <c r="AE14" s="5" t="str">
        <f>Input!AB14</f>
        <v>Vũ Văn Giáp</v>
      </c>
      <c r="AF14" s="5" t="str">
        <f>Input!AC14</f>
        <v>Lê Tiến Cường</v>
      </c>
      <c r="AG14" s="132" t="str">
        <f>Options!$J$25</f>
        <v>TRUNG TÂM KIỂM ĐỊNH VÀ CHỨNG NHẬN 1</v>
      </c>
      <c r="AH14" s="132" t="str">
        <f>Options!$J$26</f>
        <v>TP. Hà Nội</v>
      </c>
      <c r="AI14" s="132" t="str">
        <f>Options!$J$29</f>
        <v>GIÁM ĐỐC</v>
      </c>
      <c r="AJ14" s="132" t="str">
        <f>Options!$J$30</f>
        <v/>
      </c>
      <c r="AK14" s="132" t="str">
        <f>Options!$J$31</f>
        <v>Bùi Ngọc Dũng</v>
      </c>
      <c r="AL14" s="6"/>
      <c r="AM14" s="6" t="str">
        <f>INDEX(ApplicantNameList,MATCH(B14,ApplicantIDList,0))</f>
        <v>Tổng Công ty Hạ tầng mạng</v>
      </c>
      <c r="AN14" s="6" t="str">
        <f>INDEX(OperatorNameList,MATCH(C14,OperatorIDList,0))</f>
        <v>TỔNG CÔNG TY HẠ TẦNG MẠNG</v>
      </c>
      <c r="AO14" s="5">
        <f t="shared" si="2"/>
        <v>5</v>
      </c>
      <c r="AP14" s="85" t="str">
        <f t="shared" si="3"/>
        <v>thành phố Hà Nội</v>
      </c>
      <c r="AQ14" s="233" t="str">
        <f t="shared" si="4"/>
        <v>quận Nam Từ Liêm</v>
      </c>
      <c r="AR14" s="233" t="str">
        <f t="shared" si="5"/>
        <v>phường Phương Canh</v>
      </c>
      <c r="AS14" s="234" t="str">
        <f>INDEX(CityIDList,MATCH(F14,CityNameList,0))</f>
        <v>HNI</v>
      </c>
      <c r="AT14" s="6" t="str">
        <f>IF(J14&gt;=1,INDEX(OperatorNameList,MATCH(AZ14,OperatorIDList,0)),"")</f>
        <v>TỔNG CÔNG TY HẠ TẦNG MẠNG</v>
      </c>
      <c r="AU14" s="6" t="str">
        <f>IF(J14&gt;=2,INDEX(OperatorNameList,MATCH(BA14,OperatorIDList,0)),"")</f>
        <v>TỔNG CÔNG TY HẠ TẦNG MẠNG</v>
      </c>
      <c r="AV14" s="6" t="str">
        <f>IF(J14&gt;=3,INDEX(OperatorNameList,MATCH(BB14,OperatorIDList,0)),"")</f>
        <v>TỔNG CÔNG TY HẠ TẦNG MẠNG</v>
      </c>
      <c r="AW14" s="6" t="str">
        <f>IF(J14&gt;=4,INDEX(OperatorNameList,MATCH(BC14,OperatorIDList,0)),"")</f>
        <v/>
      </c>
      <c r="AX14" s="6" t="str">
        <f>IF(J14&gt;=5,INDEX(OperatorNameList,MATCH(BD14,OperatorIDList,0)),"")</f>
        <v/>
      </c>
      <c r="AY14" s="6" t="str">
        <f>IF(J14&gt;=6,INDEX(OperatorNameList,MATCH(BE14,OperatorIDList,0)),"")</f>
        <v/>
      </c>
      <c r="AZ14" s="6" t="str">
        <f t="shared" si="6"/>
        <v>VINAPHONE</v>
      </c>
      <c r="BA14" s="6" t="str">
        <f t="shared" si="7"/>
        <v>VINAPHONE</v>
      </c>
      <c r="BB14" s="6" t="str">
        <f t="shared" si="8"/>
        <v>VINAPHONE</v>
      </c>
      <c r="BC14" s="6" t="str">
        <f t="shared" si="9"/>
        <v/>
      </c>
      <c r="BD14" s="6" t="str">
        <f t="shared" si="10"/>
        <v/>
      </c>
      <c r="BE14" s="6" t="str">
        <f t="shared" si="11"/>
        <v/>
      </c>
      <c r="BF14" s="6" t="str">
        <f>Input!I14</f>
        <v>VINAPHONE;VINAPHONE;VINAPHONE</v>
      </c>
      <c r="BG14" s="6" t="str">
        <f t="shared" si="12"/>
        <v>XUAN-PHUONG-80-66-NTL_HNI</v>
      </c>
      <c r="BH14" s="6" t="str">
        <f t="shared" si="13"/>
        <v>XUAN-PHUONG-80-66-NTL_HNI</v>
      </c>
      <c r="BI14" s="6" t="str">
        <f t="shared" si="14"/>
        <v>XUAN-PHUONG-80-66-NTL_HNI</v>
      </c>
      <c r="BJ14" s="6" t="str">
        <f t="shared" si="15"/>
        <v/>
      </c>
      <c r="BK14" s="6" t="str">
        <f t="shared" si="16"/>
        <v/>
      </c>
      <c r="BL14" s="6" t="str">
        <f t="shared" si="17"/>
        <v/>
      </c>
      <c r="BM14" s="6" t="str">
        <f t="shared" si="18"/>
        <v>HUAWEI BTS3900</v>
      </c>
      <c r="BN14" s="6" t="str">
        <f t="shared" si="19"/>
        <v>HUAWEI DBS3900 WCDMA</v>
      </c>
      <c r="BO14" s="6" t="str">
        <f t="shared" si="20"/>
        <v>NOKIA FLEXI MULTIRADIO BTS RADIO MODULE AND REMOTE RADIO (FHEL)</v>
      </c>
      <c r="BP14" s="6" t="str">
        <f t="shared" si="21"/>
        <v/>
      </c>
      <c r="BQ14" s="6" t="str">
        <f t="shared" si="22"/>
        <v/>
      </c>
      <c r="BR14" s="6" t="str">
        <f t="shared" si="23"/>
        <v/>
      </c>
      <c r="BS14" s="6">
        <f t="shared" si="24"/>
        <v>3</v>
      </c>
      <c r="BT14" s="6">
        <f t="shared" si="25"/>
        <v>3</v>
      </c>
      <c r="BU14" s="6">
        <f t="shared" si="26"/>
        <v>3</v>
      </c>
      <c r="BV14" s="6">
        <f t="shared" si="27"/>
        <v>0</v>
      </c>
      <c r="BW14" s="6">
        <f t="shared" si="28"/>
        <v>0</v>
      </c>
      <c r="BX14" s="6">
        <f t="shared" si="29"/>
        <v>0</v>
      </c>
      <c r="BY14" s="6" t="str">
        <f t="shared" si="30"/>
        <v>2/2/2</v>
      </c>
      <c r="BZ14" s="6">
        <f t="shared" si="31"/>
        <v>2</v>
      </c>
      <c r="CA14" s="6">
        <f t="shared" si="32"/>
        <v>2</v>
      </c>
      <c r="CB14" s="6">
        <f t="shared" si="33"/>
        <v>2</v>
      </c>
      <c r="CC14" s="6">
        <f t="shared" si="34"/>
        <v>0</v>
      </c>
      <c r="CD14" s="6">
        <f t="shared" si="35"/>
        <v>0</v>
      </c>
      <c r="CE14" s="6">
        <f t="shared" si="36"/>
        <v>0</v>
      </c>
      <c r="CF14" s="6" t="str">
        <f t="shared" si="37"/>
        <v>2/2/2</v>
      </c>
      <c r="CG14" s="6">
        <f t="shared" si="38"/>
        <v>2</v>
      </c>
      <c r="CH14" s="6">
        <f t="shared" si="39"/>
        <v>2</v>
      </c>
      <c r="CI14" s="6">
        <f t="shared" si="40"/>
        <v>2</v>
      </c>
      <c r="CJ14" s="6">
        <f t="shared" si="41"/>
        <v>0</v>
      </c>
      <c r="CK14" s="6">
        <f t="shared" si="42"/>
        <v>0</v>
      </c>
      <c r="CL14" s="6">
        <f t="shared" si="43"/>
        <v>0</v>
      </c>
      <c r="CM14" s="6" t="str">
        <f t="shared" si="44"/>
        <v>1/1/1</v>
      </c>
      <c r="CN14" s="6">
        <f t="shared" si="45"/>
        <v>1</v>
      </c>
      <c r="CO14" s="6">
        <f t="shared" si="46"/>
        <v>1</v>
      </c>
      <c r="CP14" s="6">
        <f t="shared" si="47"/>
        <v>1</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80/80/80</v>
      </c>
      <c r="DP14" s="6">
        <f t="shared" si="73"/>
        <v>80</v>
      </c>
      <c r="DQ14" s="6">
        <f t="shared" si="74"/>
        <v>80</v>
      </c>
      <c r="DR14" s="6">
        <f t="shared" si="75"/>
        <v>80</v>
      </c>
      <c r="DS14" s="6">
        <f t="shared" si="76"/>
        <v>0</v>
      </c>
      <c r="DT14" s="6">
        <f t="shared" si="77"/>
        <v>0</v>
      </c>
      <c r="DU14" s="6">
        <f t="shared" si="78"/>
        <v>0</v>
      </c>
      <c r="DV14" s="6" t="str">
        <f t="shared" si="79"/>
        <v>80W/ 80W/ 80W</v>
      </c>
      <c r="DW14" s="6">
        <f t="shared" si="80"/>
        <v>80</v>
      </c>
      <c r="DX14" s="6" t="str">
        <f t="shared" si="81"/>
        <v>60/60/60</v>
      </c>
      <c r="DY14" s="6">
        <f t="shared" si="82"/>
        <v>60</v>
      </c>
      <c r="DZ14" s="6">
        <f t="shared" si="83"/>
        <v>60</v>
      </c>
      <c r="EA14" s="6">
        <f t="shared" si="84"/>
        <v>60</v>
      </c>
      <c r="EB14" s="6">
        <f t="shared" si="85"/>
        <v>0</v>
      </c>
      <c r="EC14" s="6">
        <f t="shared" si="86"/>
        <v>0</v>
      </c>
      <c r="ED14" s="6">
        <f t="shared" si="87"/>
        <v>0</v>
      </c>
      <c r="EE14" s="6" t="str">
        <f t="shared" si="88"/>
        <v>60W/ 60W/ 60W</v>
      </c>
      <c r="EF14" s="6">
        <f t="shared" si="89"/>
        <v>60</v>
      </c>
      <c r="EG14" s="6" t="str">
        <f t="shared" si="90"/>
        <v>60/60/60</v>
      </c>
      <c r="EH14" s="6">
        <f t="shared" si="91"/>
        <v>60</v>
      </c>
      <c r="EI14" s="6">
        <f t="shared" si="92"/>
        <v>60</v>
      </c>
      <c r="EJ14" s="6">
        <f t="shared" si="93"/>
        <v>60</v>
      </c>
      <c r="EK14" s="6">
        <f t="shared" si="94"/>
        <v>0</v>
      </c>
      <c r="EL14" s="6">
        <f t="shared" si="95"/>
        <v>0</v>
      </c>
      <c r="EM14" s="6">
        <f t="shared" si="96"/>
        <v>0</v>
      </c>
      <c r="EN14" s="6" t="str">
        <f t="shared" si="97"/>
        <v>60W/ 60W/ 60W</v>
      </c>
      <c r="EO14" s="6">
        <f t="shared" si="98"/>
        <v>60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80</v>
      </c>
      <c r="FR14" s="6" t="str">
        <f t="shared" si="127"/>
        <v>900</v>
      </c>
      <c r="FS14" s="6" t="str">
        <f t="shared" si="128"/>
        <v>2100</v>
      </c>
      <c r="FT14" s="6" t="str">
        <f t="shared" si="129"/>
        <v>1800</v>
      </c>
      <c r="FU14" s="6" t="str">
        <f t="shared" si="130"/>
        <v/>
      </c>
      <c r="FV14" s="6" t="str">
        <f t="shared" si="131"/>
        <v/>
      </c>
      <c r="FW14" s="6" t="str">
        <f t="shared" si="132"/>
        <v/>
      </c>
      <c r="FX14" s="6" t="str">
        <f t="shared" si="133"/>
        <v>18/18/18</v>
      </c>
      <c r="FY14" s="6">
        <f t="shared" si="134"/>
        <v>18</v>
      </c>
      <c r="FZ14" s="6">
        <f t="shared" si="135"/>
        <v>18</v>
      </c>
      <c r="GA14" s="6">
        <f t="shared" si="136"/>
        <v>18</v>
      </c>
      <c r="GB14" s="6">
        <f t="shared" si="137"/>
        <v>0</v>
      </c>
      <c r="GC14" s="6">
        <f t="shared" si="138"/>
        <v>0</v>
      </c>
      <c r="GD14" s="6">
        <f t="shared" si="139"/>
        <v>0</v>
      </c>
      <c r="GE14" s="6" t="str">
        <f t="shared" si="140"/>
        <v>18m/ 18m/ 18m</v>
      </c>
      <c r="GF14" s="6" t="str">
        <f t="shared" si="141"/>
        <v>18/18/18</v>
      </c>
      <c r="GG14" s="6">
        <f t="shared" si="142"/>
        <v>18</v>
      </c>
      <c r="GH14" s="6">
        <f t="shared" si="143"/>
        <v>18</v>
      </c>
      <c r="GI14" s="6">
        <f t="shared" si="144"/>
        <v>18</v>
      </c>
      <c r="GJ14" s="6">
        <f t="shared" si="145"/>
        <v>0</v>
      </c>
      <c r="GK14" s="6">
        <f t="shared" si="146"/>
        <v>0</v>
      </c>
      <c r="GL14" s="6">
        <f t="shared" si="147"/>
        <v>0</v>
      </c>
      <c r="GM14" s="6" t="str">
        <f t="shared" si="148"/>
        <v>18m/ 18m/ 18m</v>
      </c>
      <c r="GN14" s="6" t="str">
        <f t="shared" si="149"/>
        <v>18/18/18</v>
      </c>
      <c r="GO14" s="6">
        <f t="shared" si="150"/>
        <v>18</v>
      </c>
      <c r="GP14" s="6">
        <f t="shared" si="151"/>
        <v>18</v>
      </c>
      <c r="GQ14" s="6">
        <f t="shared" si="152"/>
        <v>18</v>
      </c>
      <c r="GR14" s="6">
        <f t="shared" si="153"/>
        <v>0</v>
      </c>
      <c r="GS14" s="6">
        <f t="shared" si="154"/>
        <v>0</v>
      </c>
      <c r="GT14" s="6">
        <f t="shared" si="155"/>
        <v>0</v>
      </c>
      <c r="GU14" s="6" t="str">
        <f t="shared" si="156"/>
        <v>18m/ 18m/ 18m</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1</v>
      </c>
      <c r="HU14" s="6">
        <f t="shared" si="181"/>
        <v>18</v>
      </c>
      <c r="HV14" s="6">
        <f t="shared" si="182"/>
        <v>18</v>
      </c>
      <c r="HW14" s="6">
        <f t="shared" si="183"/>
        <v>18</v>
      </c>
      <c r="HX14" s="6">
        <f t="shared" si="184"/>
        <v>0</v>
      </c>
      <c r="HY14" s="6">
        <f t="shared" si="185"/>
        <v>0</v>
      </c>
      <c r="HZ14" s="6">
        <f t="shared" si="186"/>
        <v>0</v>
      </c>
      <c r="IA14" s="5">
        <f t="shared" si="187"/>
        <v>18</v>
      </c>
      <c r="IB14" s="5">
        <f t="shared" si="188"/>
        <v>6</v>
      </c>
      <c r="IC14" s="132" t="str">
        <f t="shared" si="189"/>
        <v>A</v>
      </c>
      <c r="ID14" s="132" t="str">
        <f t="shared" si="190"/>
        <v>03994</v>
      </c>
      <c r="IE14" s="132" t="str">
        <f t="shared" si="191"/>
        <v>181019</v>
      </c>
      <c r="IF14" s="132" t="str">
        <f t="shared" si="192"/>
        <v>TG05</v>
      </c>
      <c r="IG14" s="171">
        <f t="shared" si="193"/>
        <v>43756</v>
      </c>
      <c r="IH14" s="171">
        <f t="shared" si="194"/>
        <v>45583</v>
      </c>
      <c r="II14" s="6">
        <v>37</v>
      </c>
    </row>
    <row r="15" spans="1:243" ht="63.75">
      <c r="A15" s="5">
        <f>Input!A15</f>
        <v>13</v>
      </c>
      <c r="B15" s="132" t="str">
        <f>Profile!$A$3</f>
        <v>VINAPHONE</v>
      </c>
      <c r="C15" s="132" t="str">
        <f>Profile!$F$3</f>
        <v>VINAPHONE</v>
      </c>
      <c r="D15" s="5" t="str">
        <f>Input!B15</f>
        <v>VINASHIN-TRAN-THU-DO-HMI_HNI</v>
      </c>
      <c r="E15" s="107" t="str">
        <f>Input!C15</f>
        <v>Lô CC1, đường Trần Thủ Độ, phường Hoàng Liệt, quận Hoàng Mai, thành phố Hà Nội</v>
      </c>
      <c r="F15" s="5" t="str">
        <f>Input!D15</f>
        <v>Hà Nội</v>
      </c>
      <c r="G15" s="5">
        <f>Input!E15</f>
        <v>105.847146</v>
      </c>
      <c r="H15" s="5">
        <f>Input!F15</f>
        <v>20.960182</v>
      </c>
      <c r="I15" s="5">
        <f>Input!G15</f>
        <v>1</v>
      </c>
      <c r="J15" s="5">
        <f>Input!H15</f>
        <v>2</v>
      </c>
      <c r="K15" s="5" t="str">
        <f t="shared" si="0"/>
        <v>TỔNG CÔNG TY HẠ TẦNG MẠNG;TỔNG CÔNG TY HẠ TẦNG MẠNG</v>
      </c>
      <c r="L15" s="5" t="str">
        <f>Input!J15</f>
        <v>VINASHIN-TRAN-THU-DO-HMI_HNI;VINASHIN-TRAN-THU-DO-HMI_HNI</v>
      </c>
      <c r="M15" s="5" t="str">
        <f>Input!K15</f>
        <v>HUAWEI BTS3900;HUAWEI DBS3900 WCDMA</v>
      </c>
      <c r="N15" s="5" t="str">
        <f>Input!L15</f>
        <v>3;3</v>
      </c>
      <c r="O15" s="5" t="str">
        <f>Input!M15</f>
        <v>2/2/2;2/2/2</v>
      </c>
      <c r="P15" s="5" t="str">
        <f>Input!N15</f>
        <v>80/80/80;60/60/60</v>
      </c>
      <c r="Q15" s="5" t="str">
        <f>Input!O15</f>
        <v>1800;2100</v>
      </c>
      <c r="R15" s="5" t="str">
        <f>Input!P15</f>
        <v>33,5/33,5/33,5;33,5/33,5/33,5</v>
      </c>
      <c r="S15" s="152" t="b">
        <f>Input!Q15</f>
        <v>1</v>
      </c>
      <c r="T15" s="5" t="str">
        <f>Input!R15</f>
        <v>A03995181019TG05</v>
      </c>
      <c r="U15" s="5">
        <f>Input!S15</f>
        <v>0</v>
      </c>
      <c r="V15" s="5" t="str">
        <f>Input!T15</f>
        <v>VCC1</v>
      </c>
      <c r="W15" s="5" t="str">
        <f>Input!U15</f>
        <v>1902974/19/TG/TT1</v>
      </c>
      <c r="X15" s="7" t="str">
        <f>TEXT(Input!V15,"dd/mm/yyyy")</f>
        <v>18/10/2019</v>
      </c>
      <c r="Y15" s="5" t="b">
        <f>Input!W15</f>
        <v>0</v>
      </c>
      <c r="Z15" s="152" t="b">
        <f>Input!X15</f>
        <v>0</v>
      </c>
      <c r="AA15" s="5">
        <f t="shared" si="1"/>
        <v>33.5</v>
      </c>
      <c r="AB15" s="152" t="b">
        <f>Input!Y15</f>
        <v>1</v>
      </c>
      <c r="AC15" s="5">
        <f>VALUE(Input!Z15)</f>
        <v>30</v>
      </c>
      <c r="AD15" s="5" t="b">
        <f>Input!AA15</f>
        <v>0</v>
      </c>
      <c r="AE15" s="5" t="str">
        <f>Input!AB15</f>
        <v>Vũ Văn Giáp</v>
      </c>
      <c r="AF15" s="5" t="str">
        <f>Input!AC15</f>
        <v>Lê Tiến Cường</v>
      </c>
      <c r="AG15" s="132" t="str">
        <f>Options!$J$25</f>
        <v>TRUNG TÂM KIỂM ĐỊNH VÀ CHỨNG NHẬN 1</v>
      </c>
      <c r="AH15" s="132" t="str">
        <f>Options!$J$26</f>
        <v>TP. Hà Nội</v>
      </c>
      <c r="AI15" s="132" t="str">
        <f>Options!$J$29</f>
        <v>GIÁM ĐỐC</v>
      </c>
      <c r="AJ15" s="132" t="str">
        <f>Options!$J$30</f>
        <v/>
      </c>
      <c r="AK15" s="132" t="str">
        <f>Options!$J$31</f>
        <v>Bùi Ngọc Dũng</v>
      </c>
      <c r="AL15" s="6"/>
      <c r="AM15" s="6" t="str">
        <f>INDEX(ApplicantNameList,MATCH(B15,ApplicantIDList,0))</f>
        <v>Tổng Công ty Hạ tầng mạng</v>
      </c>
      <c r="AN15" s="6" t="str">
        <f>INDEX(OperatorNameList,MATCH(C15,OperatorIDList,0))</f>
        <v>TỔNG CÔNG TY HẠ TẦNG MẠNG</v>
      </c>
      <c r="AO15" s="5">
        <f t="shared" si="2"/>
        <v>4</v>
      </c>
      <c r="AP15" s="85" t="str">
        <f t="shared" si="3"/>
        <v>thành phố Hà Nội</v>
      </c>
      <c r="AQ15" s="233" t="str">
        <f t="shared" si="4"/>
        <v>quận Hoàng Mai</v>
      </c>
      <c r="AR15" s="233" t="str">
        <f t="shared" si="5"/>
        <v>phường Hoàng Liệt</v>
      </c>
      <c r="AS15" s="234" t="str">
        <f>INDEX(CityIDList,MATCH(F15,CityNameList,0))</f>
        <v>HNI</v>
      </c>
      <c r="AT15" s="6" t="str">
        <f>IF(J15&gt;=1,INDEX(OperatorNameList,MATCH(AZ15,OperatorIDList,0)),"")</f>
        <v>TỔNG CÔNG TY HẠ TẦNG MẠNG</v>
      </c>
      <c r="AU15" s="6" t="str">
        <f>IF(J15&gt;=2,INDEX(OperatorNameList,MATCH(BA15,OperatorIDList,0)),"")</f>
        <v>TỔNG CÔNG TY HẠ TẦNG MẠNG</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VINAPHONE</v>
      </c>
      <c r="BA15" s="6" t="str">
        <f t="shared" si="7"/>
        <v>VINAPHONE</v>
      </c>
      <c r="BB15" s="6" t="str">
        <f t="shared" si="8"/>
        <v/>
      </c>
      <c r="BC15" s="6" t="str">
        <f t="shared" si="9"/>
        <v/>
      </c>
      <c r="BD15" s="6" t="str">
        <f t="shared" si="10"/>
        <v/>
      </c>
      <c r="BE15" s="6" t="str">
        <f t="shared" si="11"/>
        <v/>
      </c>
      <c r="BF15" s="6" t="str">
        <f>Input!I15</f>
        <v>VINAPHONE;VINAPHONE</v>
      </c>
      <c r="BG15" s="6" t="str">
        <f t="shared" si="12"/>
        <v>VINASHIN-TRAN-THU-DO-HMI_HNI</v>
      </c>
      <c r="BH15" s="6" t="str">
        <f t="shared" si="13"/>
        <v>VINASHIN-TRAN-THU-DO-HMI_HNI</v>
      </c>
      <c r="BI15" s="6" t="str">
        <f t="shared" si="14"/>
        <v/>
      </c>
      <c r="BJ15" s="6" t="str">
        <f t="shared" si="15"/>
        <v/>
      </c>
      <c r="BK15" s="6" t="str">
        <f t="shared" si="16"/>
        <v/>
      </c>
      <c r="BL15" s="6" t="str">
        <f t="shared" si="17"/>
        <v/>
      </c>
      <c r="BM15" s="6" t="str">
        <f t="shared" si="18"/>
        <v>HUAWEI BTS3900</v>
      </c>
      <c r="BN15" s="6" t="str">
        <f t="shared" si="19"/>
        <v>HUAWEI DBS3900 WCDMA</v>
      </c>
      <c r="BO15" s="6" t="str">
        <f t="shared" si="20"/>
        <v/>
      </c>
      <c r="BP15" s="6" t="str">
        <f t="shared" si="21"/>
        <v/>
      </c>
      <c r="BQ15" s="6" t="str">
        <f t="shared" si="22"/>
        <v/>
      </c>
      <c r="BR15" s="6" t="str">
        <f t="shared" si="23"/>
        <v/>
      </c>
      <c r="BS15" s="6">
        <f t="shared" si="24"/>
        <v>3</v>
      </c>
      <c r="BT15" s="6">
        <f t="shared" si="25"/>
        <v>3</v>
      </c>
      <c r="BU15" s="6">
        <f t="shared" si="26"/>
        <v>0</v>
      </c>
      <c r="BV15" s="6">
        <f t="shared" si="27"/>
        <v>0</v>
      </c>
      <c r="BW15" s="6">
        <f t="shared" si="28"/>
        <v>0</v>
      </c>
      <c r="BX15" s="6">
        <f t="shared" si="29"/>
        <v>0</v>
      </c>
      <c r="BY15" s="6" t="str">
        <f t="shared" si="30"/>
        <v>2/2/2</v>
      </c>
      <c r="BZ15" s="6">
        <f t="shared" si="31"/>
        <v>2</v>
      </c>
      <c r="CA15" s="6">
        <f t="shared" si="32"/>
        <v>2</v>
      </c>
      <c r="CB15" s="6">
        <f t="shared" si="33"/>
        <v>2</v>
      </c>
      <c r="CC15" s="6">
        <f t="shared" si="34"/>
        <v>0</v>
      </c>
      <c r="CD15" s="6">
        <f t="shared" si="35"/>
        <v>0</v>
      </c>
      <c r="CE15" s="6">
        <f t="shared" si="36"/>
        <v>0</v>
      </c>
      <c r="CF15" s="6" t="str">
        <f t="shared" si="37"/>
        <v>2/2/2</v>
      </c>
      <c r="CG15" s="6">
        <f t="shared" si="38"/>
        <v>2</v>
      </c>
      <c r="CH15" s="6">
        <f t="shared" si="39"/>
        <v>2</v>
      </c>
      <c r="CI15" s="6">
        <f t="shared" si="40"/>
        <v>2</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80/80/80</v>
      </c>
      <c r="DP15" s="6">
        <f t="shared" si="73"/>
        <v>80</v>
      </c>
      <c r="DQ15" s="6">
        <f t="shared" si="74"/>
        <v>80</v>
      </c>
      <c r="DR15" s="6">
        <f t="shared" si="75"/>
        <v>80</v>
      </c>
      <c r="DS15" s="6">
        <f t="shared" si="76"/>
        <v>0</v>
      </c>
      <c r="DT15" s="6">
        <f t="shared" si="77"/>
        <v>0</v>
      </c>
      <c r="DU15" s="6">
        <f t="shared" si="78"/>
        <v>0</v>
      </c>
      <c r="DV15" s="6" t="str">
        <f t="shared" si="79"/>
        <v>80W/ 80W/ 80W</v>
      </c>
      <c r="DW15" s="6">
        <f t="shared" si="80"/>
        <v>80</v>
      </c>
      <c r="DX15" s="6" t="str">
        <f t="shared" si="81"/>
        <v>60/60/60</v>
      </c>
      <c r="DY15" s="6">
        <f t="shared" si="82"/>
        <v>60</v>
      </c>
      <c r="DZ15" s="6">
        <f t="shared" si="83"/>
        <v>60</v>
      </c>
      <c r="EA15" s="6">
        <f t="shared" si="84"/>
        <v>60</v>
      </c>
      <c r="EB15" s="6">
        <f t="shared" si="85"/>
        <v>0</v>
      </c>
      <c r="EC15" s="6">
        <f t="shared" si="86"/>
        <v>0</v>
      </c>
      <c r="ED15" s="6">
        <f t="shared" si="87"/>
        <v>0</v>
      </c>
      <c r="EE15" s="6" t="str">
        <f t="shared" si="88"/>
        <v>60W/ 60W/ 60W</v>
      </c>
      <c r="EF15" s="6">
        <f t="shared" si="89"/>
        <v>60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80</v>
      </c>
      <c r="FR15" s="6" t="str">
        <f t="shared" si="127"/>
        <v>1800</v>
      </c>
      <c r="FS15" s="6" t="str">
        <f t="shared" si="128"/>
        <v>2100</v>
      </c>
      <c r="FT15" s="6" t="str">
        <f t="shared" si="129"/>
        <v/>
      </c>
      <c r="FU15" s="6" t="str">
        <f t="shared" si="130"/>
        <v/>
      </c>
      <c r="FV15" s="6" t="str">
        <f t="shared" si="131"/>
        <v/>
      </c>
      <c r="FW15" s="6" t="str">
        <f t="shared" si="132"/>
        <v/>
      </c>
      <c r="FX15" s="6" t="str">
        <f t="shared" si="133"/>
        <v>33,5/33,5/33,5</v>
      </c>
      <c r="FY15" s="6">
        <f t="shared" si="134"/>
        <v>33.5</v>
      </c>
      <c r="FZ15" s="6">
        <f t="shared" si="135"/>
        <v>33.5</v>
      </c>
      <c r="GA15" s="6">
        <f t="shared" si="136"/>
        <v>33.5</v>
      </c>
      <c r="GB15" s="6">
        <f t="shared" si="137"/>
        <v>0</v>
      </c>
      <c r="GC15" s="6">
        <f t="shared" si="138"/>
        <v>0</v>
      </c>
      <c r="GD15" s="6">
        <f t="shared" si="139"/>
        <v>0</v>
      </c>
      <c r="GE15" s="6" t="str">
        <f t="shared" si="140"/>
        <v>33,5m/ 33,5m/ 33,5m</v>
      </c>
      <c r="GF15" s="6" t="str">
        <f t="shared" si="141"/>
        <v>33,5/33,5/33,5</v>
      </c>
      <c r="GG15" s="6">
        <f t="shared" si="142"/>
        <v>33.5</v>
      </c>
      <c r="GH15" s="6">
        <f t="shared" si="143"/>
        <v>33.5</v>
      </c>
      <c r="GI15" s="6">
        <f t="shared" si="144"/>
        <v>33.5</v>
      </c>
      <c r="GJ15" s="6">
        <f t="shared" si="145"/>
        <v>0</v>
      </c>
      <c r="GK15" s="6">
        <f t="shared" si="146"/>
        <v>0</v>
      </c>
      <c r="GL15" s="6">
        <f t="shared" si="147"/>
        <v>0</v>
      </c>
      <c r="GM15" s="6" t="str">
        <f t="shared" si="148"/>
        <v>33,5m/ 33,5m/ 33,5m</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1</v>
      </c>
      <c r="HU15" s="6">
        <f t="shared" si="181"/>
        <v>33.5</v>
      </c>
      <c r="HV15" s="6">
        <f t="shared" si="182"/>
        <v>33.5</v>
      </c>
      <c r="HW15" s="6">
        <f t="shared" si="183"/>
        <v>0</v>
      </c>
      <c r="HX15" s="6">
        <f t="shared" si="184"/>
        <v>0</v>
      </c>
      <c r="HY15" s="6">
        <f t="shared" si="185"/>
        <v>0</v>
      </c>
      <c r="HZ15" s="6">
        <f t="shared" si="186"/>
        <v>0</v>
      </c>
      <c r="IA15" s="5">
        <f t="shared" si="187"/>
        <v>33.5</v>
      </c>
      <c r="IB15" s="5">
        <f t="shared" si="188"/>
        <v>3.5</v>
      </c>
      <c r="IC15" s="132" t="str">
        <f t="shared" si="189"/>
        <v>A</v>
      </c>
      <c r="ID15" s="132" t="str">
        <f t="shared" si="190"/>
        <v>03995</v>
      </c>
      <c r="IE15" s="132" t="str">
        <f t="shared" si="191"/>
        <v>181019</v>
      </c>
      <c r="IF15" s="132" t="str">
        <f t="shared" si="192"/>
        <v>TG05</v>
      </c>
      <c r="IG15" s="171">
        <f t="shared" si="193"/>
        <v>43756</v>
      </c>
      <c r="IH15" s="171">
        <f t="shared" si="194"/>
        <v>45583</v>
      </c>
      <c r="II15" s="6">
        <v>37</v>
      </c>
    </row>
    <row r="16" spans="1:243" ht="165.75">
      <c r="A16" s="5">
        <f>Input!A16</f>
        <v>14</v>
      </c>
      <c r="B16" s="132" t="str">
        <f>Profile!$A$3</f>
        <v>VINAPHONE</v>
      </c>
      <c r="C16" s="132" t="str">
        <f>Profile!$F$3</f>
        <v>VINAPHONE</v>
      </c>
      <c r="D16" s="5" t="str">
        <f>Input!B16</f>
        <v>THUY-LINH-95-8-6A-HMI_HNI</v>
      </c>
      <c r="E16" s="107" t="str">
        <f>Input!C16</f>
        <v>Số 6A, ngõ 95/8, phố Thúy Lĩnh, phường Lĩnh Nam, quận Hoàng Mai, thành phố Hà Nội</v>
      </c>
      <c r="F16" s="5" t="str">
        <f>Input!D16</f>
        <v>Hà Nội</v>
      </c>
      <c r="G16" s="5">
        <f>Input!E16</f>
        <v>105.89388599999999</v>
      </c>
      <c r="H16" s="5">
        <f>Input!F16</f>
        <v>20.975974000000001</v>
      </c>
      <c r="I16" s="5">
        <f>Input!G16</f>
        <v>1</v>
      </c>
      <c r="J16" s="5">
        <f>Input!H16</f>
        <v>2</v>
      </c>
      <c r="K16" s="5" t="str">
        <f t="shared" si="0"/>
        <v>TỔNG CÔNG TY HẠ TẦNG MẠNG;TỔNG CÔNG TY HẠ TẦNG MẠNG</v>
      </c>
      <c r="L16" s="5" t="str">
        <f>Input!J16</f>
        <v>THUY-LINH-95-8-6A-HMI_HNI;THUY-LINH-95-8-6A-HMI_HNI</v>
      </c>
      <c r="M16" s="5" t="str">
        <f>Input!K16</f>
        <v>NOKIA FLEXI MULTIRADIO BTS RADIO MODULE AND REMOTE RADIO (FRGY);NOKIA FLEXI MULTIRADIO BTS RADIO MODULE AND REMOTE RADIO (FHEL)</v>
      </c>
      <c r="N16" s="5" t="str">
        <f>Input!L16</f>
        <v>3;3</v>
      </c>
      <c r="O16" s="5" t="str">
        <f>Input!M16</f>
        <v>2/2/2;1/1/1</v>
      </c>
      <c r="P16" s="5" t="str">
        <f>Input!N16</f>
        <v>60/60/60;60/60/60</v>
      </c>
      <c r="Q16" s="5" t="str">
        <f>Input!O16</f>
        <v>2100;1800</v>
      </c>
      <c r="R16" s="5" t="str">
        <f>Input!P16</f>
        <v>24/24/24;24/24/24</v>
      </c>
      <c r="S16" s="152" t="b">
        <f>Input!Q16</f>
        <v>1</v>
      </c>
      <c r="T16" s="5" t="str">
        <f>Input!R16</f>
        <v>A03996181019TG05</v>
      </c>
      <c r="U16" s="5">
        <f>Input!S16</f>
        <v>0</v>
      </c>
      <c r="V16" s="5" t="str">
        <f>Input!T16</f>
        <v>VCC1</v>
      </c>
      <c r="W16" s="5" t="str">
        <f>Input!U16</f>
        <v>1902971/19/TG/TT1</v>
      </c>
      <c r="X16" s="7" t="str">
        <f>TEXT(Input!V16,"dd/mm/yyyy")</f>
        <v>18/10/2019</v>
      </c>
      <c r="Y16" s="5" t="b">
        <f>Input!W16</f>
        <v>0</v>
      </c>
      <c r="Z16" s="152" t="b">
        <f>Input!X16</f>
        <v>0</v>
      </c>
      <c r="AA16" s="5">
        <f t="shared" si="1"/>
        <v>24</v>
      </c>
      <c r="AB16" s="152" t="b">
        <f>Input!Y16</f>
        <v>1</v>
      </c>
      <c r="AC16" s="5">
        <f>VALUE(Input!Z16)</f>
        <v>20</v>
      </c>
      <c r="AD16" s="5" t="b">
        <f>Input!AA16</f>
        <v>0</v>
      </c>
      <c r="AE16" s="5" t="str">
        <f>Input!AB16</f>
        <v>Vũ Văn Giáp</v>
      </c>
      <c r="AF16" s="5" t="str">
        <f>Input!AC16</f>
        <v>Lê Tiến Cường</v>
      </c>
      <c r="AG16" s="132" t="str">
        <f>Options!$J$25</f>
        <v>TRUNG TÂM KIỂM ĐỊNH VÀ CHỨNG NHẬN 1</v>
      </c>
      <c r="AH16" s="132" t="str">
        <f>Options!$J$26</f>
        <v>TP. Hà Nội</v>
      </c>
      <c r="AI16" s="132" t="str">
        <f>Options!$J$29</f>
        <v>GIÁM ĐỐC</v>
      </c>
      <c r="AJ16" s="132" t="str">
        <f>Options!$J$30</f>
        <v/>
      </c>
      <c r="AK16" s="132" t="str">
        <f>Options!$J$31</f>
        <v>Bùi Ngọc Dũng</v>
      </c>
      <c r="AL16" s="6"/>
      <c r="AM16" s="6" t="str">
        <f>INDEX(ApplicantNameList,MATCH(B16,ApplicantIDList,0))</f>
        <v>Tổng Công ty Hạ tầng mạng</v>
      </c>
      <c r="AN16" s="6" t="str">
        <f>INDEX(OperatorNameList,MATCH(C16,OperatorIDList,0))</f>
        <v>TỔNG CÔNG TY HẠ TẦNG MẠNG</v>
      </c>
      <c r="AO16" s="5">
        <f t="shared" si="2"/>
        <v>5</v>
      </c>
      <c r="AP16" s="85" t="str">
        <f t="shared" si="3"/>
        <v>thành phố Hà Nội</v>
      </c>
      <c r="AQ16" s="233" t="str">
        <f t="shared" si="4"/>
        <v>quận Hoàng Mai</v>
      </c>
      <c r="AR16" s="233" t="str">
        <f t="shared" si="5"/>
        <v>phường Lĩnh Nam</v>
      </c>
      <c r="AS16" s="234" t="str">
        <f>INDEX(CityIDList,MATCH(F16,CityNameList,0))</f>
        <v>HNI</v>
      </c>
      <c r="AT16" s="6" t="str">
        <f>IF(J16&gt;=1,INDEX(OperatorNameList,MATCH(AZ16,OperatorIDList,0)),"")</f>
        <v>TỔNG CÔNG TY HẠ TẦNG MẠNG</v>
      </c>
      <c r="AU16" s="6" t="str">
        <f>IF(J16&gt;=2,INDEX(OperatorNameList,MATCH(BA16,OperatorIDList,0)),"")</f>
        <v>TỔNG CÔNG TY HẠ TẦNG MẠNG</v>
      </c>
      <c r="AV16" s="6" t="str">
        <f>IF(J16&gt;=3,INDEX(OperatorNameList,MATCH(BB16,OperatorIDList,0)),"")</f>
        <v/>
      </c>
      <c r="AW16" s="6" t="str">
        <f>IF(J16&gt;=4,INDEX(OperatorNameList,MATCH(BC16,OperatorIDList,0)),"")</f>
        <v/>
      </c>
      <c r="AX16" s="6" t="str">
        <f>IF(J16&gt;=5,INDEX(OperatorNameList,MATCH(BD16,OperatorIDList,0)),"")</f>
        <v/>
      </c>
      <c r="AY16" s="6" t="str">
        <f>IF(J16&gt;=6,INDEX(OperatorNameList,MATCH(BE16,OperatorIDList,0)),"")</f>
        <v/>
      </c>
      <c r="AZ16" s="6" t="str">
        <f t="shared" si="6"/>
        <v>VINAPHONE</v>
      </c>
      <c r="BA16" s="6" t="str">
        <f t="shared" si="7"/>
        <v>VINAPHONE</v>
      </c>
      <c r="BB16" s="6" t="str">
        <f t="shared" si="8"/>
        <v/>
      </c>
      <c r="BC16" s="6" t="str">
        <f t="shared" si="9"/>
        <v/>
      </c>
      <c r="BD16" s="6" t="str">
        <f t="shared" si="10"/>
        <v/>
      </c>
      <c r="BE16" s="6" t="str">
        <f t="shared" si="11"/>
        <v/>
      </c>
      <c r="BF16" s="6" t="str">
        <f>Input!I16</f>
        <v>VINAPHONE;VINAPHONE</v>
      </c>
      <c r="BG16" s="6" t="str">
        <f t="shared" si="12"/>
        <v>THUY-LINH-95-8-6A-HMI_HNI</v>
      </c>
      <c r="BH16" s="6" t="str">
        <f t="shared" si="13"/>
        <v>THUY-LINH-95-8-6A-HMI_HNI</v>
      </c>
      <c r="BI16" s="6" t="str">
        <f t="shared" si="14"/>
        <v/>
      </c>
      <c r="BJ16" s="6" t="str">
        <f t="shared" si="15"/>
        <v/>
      </c>
      <c r="BK16" s="6" t="str">
        <f t="shared" si="16"/>
        <v/>
      </c>
      <c r="BL16" s="6" t="str">
        <f t="shared" si="17"/>
        <v/>
      </c>
      <c r="BM16" s="6" t="str">
        <f t="shared" si="18"/>
        <v>NOKIA FLEXI MULTIRADIO BTS RADIO MODULE AND REMOTE RADIO (FRGY)</v>
      </c>
      <c r="BN16" s="6" t="str">
        <f t="shared" si="19"/>
        <v>NOKIA FLEXI MULTIRADIO BTS RADIO MODULE AND REMOTE RADIO (FHEL)</v>
      </c>
      <c r="BO16" s="6" t="str">
        <f t="shared" si="20"/>
        <v/>
      </c>
      <c r="BP16" s="6" t="str">
        <f t="shared" si="21"/>
        <v/>
      </c>
      <c r="BQ16" s="6" t="str">
        <f t="shared" si="22"/>
        <v/>
      </c>
      <c r="BR16" s="6" t="str">
        <f t="shared" si="23"/>
        <v/>
      </c>
      <c r="BS16" s="6">
        <f t="shared" si="24"/>
        <v>3</v>
      </c>
      <c r="BT16" s="6">
        <f t="shared" si="25"/>
        <v>3</v>
      </c>
      <c r="BU16" s="6">
        <f t="shared" si="26"/>
        <v>0</v>
      </c>
      <c r="BV16" s="6">
        <f t="shared" si="27"/>
        <v>0</v>
      </c>
      <c r="BW16" s="6">
        <f t="shared" si="28"/>
        <v>0</v>
      </c>
      <c r="BX16" s="6">
        <f t="shared" si="29"/>
        <v>0</v>
      </c>
      <c r="BY16" s="6" t="str">
        <f t="shared" si="30"/>
        <v>2/2/2</v>
      </c>
      <c r="BZ16" s="6">
        <f t="shared" si="31"/>
        <v>2</v>
      </c>
      <c r="CA16" s="6">
        <f t="shared" si="32"/>
        <v>2</v>
      </c>
      <c r="CB16" s="6">
        <f t="shared" si="33"/>
        <v>2</v>
      </c>
      <c r="CC16" s="6">
        <f t="shared" si="34"/>
        <v>0</v>
      </c>
      <c r="CD16" s="6">
        <f t="shared" si="35"/>
        <v>0</v>
      </c>
      <c r="CE16" s="6">
        <f t="shared" si="36"/>
        <v>0</v>
      </c>
      <c r="CF16" s="6" t="str">
        <f t="shared" si="37"/>
        <v>1/1/1</v>
      </c>
      <c r="CG16" s="6">
        <f t="shared" si="38"/>
        <v>1</v>
      </c>
      <c r="CH16" s="6">
        <f t="shared" si="39"/>
        <v>1</v>
      </c>
      <c r="CI16" s="6">
        <f t="shared" si="40"/>
        <v>1</v>
      </c>
      <c r="CJ16" s="6">
        <f t="shared" si="41"/>
        <v>0</v>
      </c>
      <c r="CK16" s="6">
        <f t="shared" si="42"/>
        <v>0</v>
      </c>
      <c r="CL16" s="6">
        <f t="shared" si="43"/>
        <v>0</v>
      </c>
      <c r="CM16" s="6" t="str">
        <f t="shared" si="44"/>
        <v/>
      </c>
      <c r="CN16" s="6">
        <f t="shared" si="45"/>
        <v>0</v>
      </c>
      <c r="CO16" s="6">
        <f t="shared" si="46"/>
        <v>0</v>
      </c>
      <c r="CP16" s="6">
        <f t="shared" si="47"/>
        <v>0</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60/60/60</v>
      </c>
      <c r="DP16" s="6">
        <f t="shared" si="73"/>
        <v>60</v>
      </c>
      <c r="DQ16" s="6">
        <f t="shared" si="74"/>
        <v>60</v>
      </c>
      <c r="DR16" s="6">
        <f t="shared" si="75"/>
        <v>60</v>
      </c>
      <c r="DS16" s="6">
        <f t="shared" si="76"/>
        <v>0</v>
      </c>
      <c r="DT16" s="6">
        <f t="shared" si="77"/>
        <v>0</v>
      </c>
      <c r="DU16" s="6">
        <f t="shared" si="78"/>
        <v>0</v>
      </c>
      <c r="DV16" s="6" t="str">
        <f t="shared" si="79"/>
        <v>60W/ 60W/ 60W</v>
      </c>
      <c r="DW16" s="6">
        <f t="shared" si="80"/>
        <v>60</v>
      </c>
      <c r="DX16" s="6" t="str">
        <f t="shared" si="81"/>
        <v>60/60/60</v>
      </c>
      <c r="DY16" s="6">
        <f t="shared" si="82"/>
        <v>60</v>
      </c>
      <c r="DZ16" s="6">
        <f t="shared" si="83"/>
        <v>60</v>
      </c>
      <c r="EA16" s="6">
        <f t="shared" si="84"/>
        <v>60</v>
      </c>
      <c r="EB16" s="6">
        <f t="shared" si="85"/>
        <v>0</v>
      </c>
      <c r="EC16" s="6">
        <f t="shared" si="86"/>
        <v>0</v>
      </c>
      <c r="ED16" s="6">
        <f t="shared" si="87"/>
        <v>0</v>
      </c>
      <c r="EE16" s="6" t="str">
        <f t="shared" si="88"/>
        <v>60W/ 60W/ 60W</v>
      </c>
      <c r="EF16" s="6">
        <f t="shared" si="89"/>
        <v>60</v>
      </c>
      <c r="EG16" s="6" t="str">
        <f t="shared" si="90"/>
        <v/>
      </c>
      <c r="EH16" s="6">
        <f t="shared" si="91"/>
        <v>0</v>
      </c>
      <c r="EI16" s="6">
        <f t="shared" si="92"/>
        <v>0</v>
      </c>
      <c r="EJ16" s="6">
        <f t="shared" si="93"/>
        <v>0</v>
      </c>
      <c r="EK16" s="6">
        <f t="shared" si="94"/>
        <v>0</v>
      </c>
      <c r="EL16" s="6">
        <f t="shared" si="95"/>
        <v>0</v>
      </c>
      <c r="EM16" s="6">
        <f t="shared" si="96"/>
        <v>0</v>
      </c>
      <c r="EN16" s="6" t="str">
        <f t="shared" si="97"/>
        <v/>
      </c>
      <c r="EO16" s="6">
        <f t="shared" si="98"/>
        <v>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60</v>
      </c>
      <c r="FR16" s="6" t="str">
        <f t="shared" si="127"/>
        <v>2100</v>
      </c>
      <c r="FS16" s="6" t="str">
        <f t="shared" si="128"/>
        <v>1800</v>
      </c>
      <c r="FT16" s="6" t="str">
        <f t="shared" si="129"/>
        <v/>
      </c>
      <c r="FU16" s="6" t="str">
        <f t="shared" si="130"/>
        <v/>
      </c>
      <c r="FV16" s="6" t="str">
        <f t="shared" si="131"/>
        <v/>
      </c>
      <c r="FW16" s="6" t="str">
        <f t="shared" si="132"/>
        <v/>
      </c>
      <c r="FX16" s="6" t="str">
        <f t="shared" si="133"/>
        <v>24/24/24</v>
      </c>
      <c r="FY16" s="6">
        <f t="shared" si="134"/>
        <v>24</v>
      </c>
      <c r="FZ16" s="6">
        <f t="shared" si="135"/>
        <v>24</v>
      </c>
      <c r="GA16" s="6">
        <f t="shared" si="136"/>
        <v>24</v>
      </c>
      <c r="GB16" s="6">
        <f t="shared" si="137"/>
        <v>0</v>
      </c>
      <c r="GC16" s="6">
        <f t="shared" si="138"/>
        <v>0</v>
      </c>
      <c r="GD16" s="6">
        <f t="shared" si="139"/>
        <v>0</v>
      </c>
      <c r="GE16" s="6" t="str">
        <f t="shared" si="140"/>
        <v>24m/ 24m/ 24m</v>
      </c>
      <c r="GF16" s="6" t="str">
        <f t="shared" si="141"/>
        <v>24/24/24</v>
      </c>
      <c r="GG16" s="6">
        <f t="shared" si="142"/>
        <v>24</v>
      </c>
      <c r="GH16" s="6">
        <f t="shared" si="143"/>
        <v>24</v>
      </c>
      <c r="GI16" s="6">
        <f t="shared" si="144"/>
        <v>24</v>
      </c>
      <c r="GJ16" s="6">
        <f t="shared" si="145"/>
        <v>0</v>
      </c>
      <c r="GK16" s="6">
        <f t="shared" si="146"/>
        <v>0</v>
      </c>
      <c r="GL16" s="6">
        <f t="shared" si="147"/>
        <v>0</v>
      </c>
      <c r="GM16" s="6" t="str">
        <f t="shared" si="148"/>
        <v>24m/ 24m/ 24m</v>
      </c>
      <c r="GN16" s="6" t="str">
        <f t="shared" si="149"/>
        <v/>
      </c>
      <c r="GO16" s="6">
        <f t="shared" si="150"/>
        <v>0</v>
      </c>
      <c r="GP16" s="6">
        <f t="shared" si="151"/>
        <v>0</v>
      </c>
      <c r="GQ16" s="6">
        <f t="shared" si="152"/>
        <v>0</v>
      </c>
      <c r="GR16" s="6">
        <f t="shared" si="153"/>
        <v>0</v>
      </c>
      <c r="GS16" s="6">
        <f t="shared" si="154"/>
        <v>0</v>
      </c>
      <c r="GT16" s="6">
        <f t="shared" si="155"/>
        <v>0</v>
      </c>
      <c r="GU16" s="6" t="str">
        <f t="shared" si="156"/>
        <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1</v>
      </c>
      <c r="HU16" s="6">
        <f t="shared" si="181"/>
        <v>24</v>
      </c>
      <c r="HV16" s="6">
        <f t="shared" si="182"/>
        <v>24</v>
      </c>
      <c r="HW16" s="6">
        <f t="shared" si="183"/>
        <v>0</v>
      </c>
      <c r="HX16" s="6">
        <f t="shared" si="184"/>
        <v>0</v>
      </c>
      <c r="HY16" s="6">
        <f t="shared" si="185"/>
        <v>0</v>
      </c>
      <c r="HZ16" s="6">
        <f t="shared" si="186"/>
        <v>0</v>
      </c>
      <c r="IA16" s="5">
        <f t="shared" si="187"/>
        <v>24</v>
      </c>
      <c r="IB16" s="5">
        <f t="shared" si="188"/>
        <v>4</v>
      </c>
      <c r="IC16" s="132" t="str">
        <f t="shared" si="189"/>
        <v>A</v>
      </c>
      <c r="ID16" s="132" t="str">
        <f t="shared" si="190"/>
        <v>03996</v>
      </c>
      <c r="IE16" s="132" t="str">
        <f t="shared" si="191"/>
        <v>181019</v>
      </c>
      <c r="IF16" s="132" t="str">
        <f t="shared" si="192"/>
        <v>TG05</v>
      </c>
      <c r="IG16" s="171">
        <f t="shared" si="193"/>
        <v>43756</v>
      </c>
      <c r="IH16" s="171">
        <f t="shared" si="194"/>
        <v>45583</v>
      </c>
      <c r="II16" s="6">
        <v>37</v>
      </c>
    </row>
    <row r="17" spans="1:243" ht="165.75">
      <c r="A17" s="5">
        <f>Input!A17</f>
        <v>15</v>
      </c>
      <c r="B17" s="132" t="str">
        <f>Profile!$A$3</f>
        <v>VINAPHONE</v>
      </c>
      <c r="C17" s="132" t="str">
        <f>Profile!$F$3</f>
        <v>VINAPHONE</v>
      </c>
      <c r="D17" s="5" t="str">
        <f>Input!B17</f>
        <v>CC-LINH-NAM-282-NO2-HMI_HNI</v>
      </c>
      <c r="E17" s="107" t="str">
        <f>Input!C17</f>
        <v>Chung cư NO2, số 282, phố Lĩnh Nam, phường Lĩnh Nam, quận Hoàng Mai, thành phố Hà Nội</v>
      </c>
      <c r="F17" s="5" t="str">
        <f>Input!D17</f>
        <v>Hà Nội</v>
      </c>
      <c r="G17" s="5">
        <f>Input!E17</f>
        <v>105.878833</v>
      </c>
      <c r="H17" s="5">
        <f>Input!F17</f>
        <v>20.981013000000001</v>
      </c>
      <c r="I17" s="5">
        <f>Input!G17</f>
        <v>1</v>
      </c>
      <c r="J17" s="5">
        <f>Input!H17</f>
        <v>2</v>
      </c>
      <c r="K17" s="5" t="str">
        <f t="shared" si="0"/>
        <v>TỔNG CÔNG TY HẠ TẦNG MẠNG;TỔNG CÔNG TY HẠ TẦNG MẠNG</v>
      </c>
      <c r="L17" s="5" t="str">
        <f>Input!J17</f>
        <v>CC-LINH-NAM-282-NO2-HMI_HNI;CC-LINH-NAM-282-NO2-HMI_HNI</v>
      </c>
      <c r="M17" s="5" t="str">
        <f>Input!K17</f>
        <v>NOKIA FLEXI MULTIRADIO BTS RADIO MODULE AND REMOTE RADIO (FRGY);NOKIA FLEXI MULTIRADIO BTS RADIO MODULE AND REMOTE RADIO (FHEL)</v>
      </c>
      <c r="N17" s="5" t="str">
        <f>Input!L17</f>
        <v>1;1</v>
      </c>
      <c r="O17" s="5" t="str">
        <f>Input!M17</f>
        <v>2/;1/</v>
      </c>
      <c r="P17" s="5" t="str">
        <f>Input!N17</f>
        <v>60/;60/</v>
      </c>
      <c r="Q17" s="5" t="str">
        <f>Input!O17</f>
        <v>2100;1800</v>
      </c>
      <c r="R17" s="5" t="str">
        <f>Input!P17</f>
        <v>52;52</v>
      </c>
      <c r="S17" s="152" t="b">
        <f>Input!Q17</f>
        <v>1</v>
      </c>
      <c r="T17" s="5" t="str">
        <f>Input!R17</f>
        <v>A03997181019TG05</v>
      </c>
      <c r="U17" s="5">
        <f>Input!S17</f>
        <v>0</v>
      </c>
      <c r="V17" s="5" t="str">
        <f>Input!T17</f>
        <v>VCC1</v>
      </c>
      <c r="W17" s="5" t="str">
        <f>Input!U17</f>
        <v>1902976/19/TG/TT1</v>
      </c>
      <c r="X17" s="7" t="str">
        <f>TEXT(Input!V17,"dd/mm/yyyy")</f>
        <v>18/10/2019</v>
      </c>
      <c r="Y17" s="5" t="b">
        <f>Input!W17</f>
        <v>0</v>
      </c>
      <c r="Z17" s="152" t="b">
        <f>Input!X17</f>
        <v>0</v>
      </c>
      <c r="AA17" s="5">
        <f t="shared" si="1"/>
        <v>52</v>
      </c>
      <c r="AB17" s="152" t="b">
        <f>Input!Y17</f>
        <v>1</v>
      </c>
      <c r="AC17" s="5">
        <f>VALUE(Input!Z17)</f>
        <v>50</v>
      </c>
      <c r="AD17" s="5" t="b">
        <f>Input!AA17</f>
        <v>0</v>
      </c>
      <c r="AE17" s="5" t="str">
        <f>Input!AB17</f>
        <v>Vũ Văn Giáp</v>
      </c>
      <c r="AF17" s="5" t="str">
        <f>Input!AC17</f>
        <v>Lê Tiến Cường</v>
      </c>
      <c r="AG17" s="132" t="str">
        <f>Options!$J$25</f>
        <v>TRUNG TÂM KIỂM ĐỊNH VÀ CHỨNG NHẬN 1</v>
      </c>
      <c r="AH17" s="132" t="str">
        <f>Options!$J$26</f>
        <v>TP. Hà Nội</v>
      </c>
      <c r="AI17" s="132" t="str">
        <f>Options!$J$29</f>
        <v>GIÁM ĐỐC</v>
      </c>
      <c r="AJ17" s="132" t="str">
        <f>Options!$J$30</f>
        <v/>
      </c>
      <c r="AK17" s="132" t="str">
        <f>Options!$J$31</f>
        <v>Bùi Ngọc Dũng</v>
      </c>
      <c r="AL17" s="6"/>
      <c r="AM17" s="6" t="str">
        <f>INDEX(ApplicantNameList,MATCH(B17,ApplicantIDList,0))</f>
        <v>Tổng Công ty Hạ tầng mạng</v>
      </c>
      <c r="AN17" s="6" t="str">
        <f>INDEX(OperatorNameList,MATCH(C17,OperatorIDList,0))</f>
        <v>TỔNG CÔNG TY HẠ TẦNG MẠNG</v>
      </c>
      <c r="AO17" s="5">
        <f t="shared" si="2"/>
        <v>5</v>
      </c>
      <c r="AP17" s="85" t="str">
        <f t="shared" si="3"/>
        <v>thành phố Hà Nội</v>
      </c>
      <c r="AQ17" s="233" t="str">
        <f t="shared" si="4"/>
        <v>quận Hoàng Mai</v>
      </c>
      <c r="AR17" s="233" t="str">
        <f t="shared" si="5"/>
        <v>phường Lĩnh Nam</v>
      </c>
      <c r="AS17" s="234" t="str">
        <f>INDEX(CityIDList,MATCH(F17,CityNameList,0))</f>
        <v>HNI</v>
      </c>
      <c r="AT17" s="6" t="str">
        <f>IF(J17&gt;=1,INDEX(OperatorNameList,MATCH(AZ17,OperatorIDList,0)),"")</f>
        <v>TỔNG CÔNG TY HẠ TẦNG MẠNG</v>
      </c>
      <c r="AU17" s="6" t="str">
        <f>IF(J17&gt;=2,INDEX(OperatorNameList,MATCH(BA17,OperatorIDList,0)),"")</f>
        <v>TỔNG CÔNG TY HẠ TẦNG MẠNG</v>
      </c>
      <c r="AV17" s="6" t="str">
        <f>IF(J17&gt;=3,INDEX(OperatorNameList,MATCH(BB17,OperatorIDList,0)),"")</f>
        <v/>
      </c>
      <c r="AW17" s="6" t="str">
        <f>IF(J17&gt;=4,INDEX(OperatorNameList,MATCH(BC17,OperatorIDList,0)),"")</f>
        <v/>
      </c>
      <c r="AX17" s="6" t="str">
        <f>IF(J17&gt;=5,INDEX(OperatorNameList,MATCH(BD17,OperatorIDList,0)),"")</f>
        <v/>
      </c>
      <c r="AY17" s="6" t="str">
        <f>IF(J17&gt;=6,INDEX(OperatorNameList,MATCH(BE17,OperatorIDList,0)),"")</f>
        <v/>
      </c>
      <c r="AZ17" s="6" t="str">
        <f t="shared" si="6"/>
        <v>VINAPHONE</v>
      </c>
      <c r="BA17" s="6" t="str">
        <f t="shared" si="7"/>
        <v>VINAPHONE</v>
      </c>
      <c r="BB17" s="6" t="str">
        <f t="shared" si="8"/>
        <v/>
      </c>
      <c r="BC17" s="6" t="str">
        <f t="shared" si="9"/>
        <v/>
      </c>
      <c r="BD17" s="6" t="str">
        <f t="shared" si="10"/>
        <v/>
      </c>
      <c r="BE17" s="6" t="str">
        <f t="shared" si="11"/>
        <v/>
      </c>
      <c r="BF17" s="6" t="str">
        <f>Input!I17</f>
        <v>VINAPHONE;VINAPHONE</v>
      </c>
      <c r="BG17" s="6" t="str">
        <f t="shared" si="12"/>
        <v>CC-LINH-NAM-282-NO2-HMI_HNI</v>
      </c>
      <c r="BH17" s="6" t="str">
        <f t="shared" si="13"/>
        <v>CC-LINH-NAM-282-NO2-HMI_HNI</v>
      </c>
      <c r="BI17" s="6" t="str">
        <f t="shared" si="14"/>
        <v/>
      </c>
      <c r="BJ17" s="6" t="str">
        <f t="shared" si="15"/>
        <v/>
      </c>
      <c r="BK17" s="6" t="str">
        <f t="shared" si="16"/>
        <v/>
      </c>
      <c r="BL17" s="6" t="str">
        <f t="shared" si="17"/>
        <v/>
      </c>
      <c r="BM17" s="6" t="str">
        <f t="shared" si="18"/>
        <v>NOKIA FLEXI MULTIRADIO BTS RADIO MODULE AND REMOTE RADIO (FRGY)</v>
      </c>
      <c r="BN17" s="6" t="str">
        <f t="shared" si="19"/>
        <v>NOKIA FLEXI MULTIRADIO BTS RADIO MODULE AND REMOTE RADIO (FHEL)</v>
      </c>
      <c r="BO17" s="6" t="str">
        <f t="shared" si="20"/>
        <v/>
      </c>
      <c r="BP17" s="6" t="str">
        <f t="shared" si="21"/>
        <v/>
      </c>
      <c r="BQ17" s="6" t="str">
        <f t="shared" si="22"/>
        <v/>
      </c>
      <c r="BR17" s="6" t="str">
        <f t="shared" si="23"/>
        <v/>
      </c>
      <c r="BS17" s="6">
        <f t="shared" si="24"/>
        <v>1</v>
      </c>
      <c r="BT17" s="6">
        <f t="shared" si="25"/>
        <v>1</v>
      </c>
      <c r="BU17" s="6">
        <f t="shared" si="26"/>
        <v>0</v>
      </c>
      <c r="BV17" s="6">
        <f t="shared" si="27"/>
        <v>0</v>
      </c>
      <c r="BW17" s="6">
        <f t="shared" si="28"/>
        <v>0</v>
      </c>
      <c r="BX17" s="6">
        <f t="shared" si="29"/>
        <v>0</v>
      </c>
      <c r="BY17" s="6" t="str">
        <f t="shared" si="30"/>
        <v>2/</v>
      </c>
      <c r="BZ17" s="6">
        <f t="shared" si="31"/>
        <v>2</v>
      </c>
      <c r="CA17" s="6">
        <f t="shared" si="32"/>
        <v>0</v>
      </c>
      <c r="CB17" s="6">
        <f t="shared" si="33"/>
        <v>0</v>
      </c>
      <c r="CC17" s="6">
        <f t="shared" si="34"/>
        <v>0</v>
      </c>
      <c r="CD17" s="6">
        <f t="shared" si="35"/>
        <v>0</v>
      </c>
      <c r="CE17" s="6">
        <f t="shared" si="36"/>
        <v>0</v>
      </c>
      <c r="CF17" s="6" t="str">
        <f t="shared" si="37"/>
        <v>1/</v>
      </c>
      <c r="CG17" s="6">
        <f t="shared" si="38"/>
        <v>1</v>
      </c>
      <c r="CH17" s="6">
        <f t="shared" si="39"/>
        <v>0</v>
      </c>
      <c r="CI17" s="6">
        <f t="shared" si="40"/>
        <v>0</v>
      </c>
      <c r="CJ17" s="6">
        <f t="shared" si="41"/>
        <v>0</v>
      </c>
      <c r="CK17" s="6">
        <f t="shared" si="42"/>
        <v>0</v>
      </c>
      <c r="CL17" s="6">
        <f t="shared" si="43"/>
        <v>0</v>
      </c>
      <c r="CM17" s="6" t="str">
        <f t="shared" si="44"/>
        <v/>
      </c>
      <c r="CN17" s="6">
        <f t="shared" si="45"/>
        <v>0</v>
      </c>
      <c r="CO17" s="6">
        <f t="shared" si="46"/>
        <v>0</v>
      </c>
      <c r="CP17" s="6">
        <f t="shared" si="47"/>
        <v>0</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60/</v>
      </c>
      <c r="DP17" s="6">
        <f t="shared" si="73"/>
        <v>60</v>
      </c>
      <c r="DQ17" s="6">
        <f t="shared" si="74"/>
        <v>0</v>
      </c>
      <c r="DR17" s="6">
        <f t="shared" si="75"/>
        <v>0</v>
      </c>
      <c r="DS17" s="6">
        <f t="shared" si="76"/>
        <v>0</v>
      </c>
      <c r="DT17" s="6">
        <f t="shared" si="77"/>
        <v>0</v>
      </c>
      <c r="DU17" s="6">
        <f t="shared" si="78"/>
        <v>0</v>
      </c>
      <c r="DV17" s="6" t="str">
        <f t="shared" si="79"/>
        <v>60W</v>
      </c>
      <c r="DW17" s="6">
        <f t="shared" si="80"/>
        <v>60</v>
      </c>
      <c r="DX17" s="6" t="str">
        <f t="shared" si="81"/>
        <v>60/</v>
      </c>
      <c r="DY17" s="6">
        <f t="shared" si="82"/>
        <v>60</v>
      </c>
      <c r="DZ17" s="6">
        <f t="shared" si="83"/>
        <v>0</v>
      </c>
      <c r="EA17" s="6">
        <f t="shared" si="84"/>
        <v>0</v>
      </c>
      <c r="EB17" s="6">
        <f t="shared" si="85"/>
        <v>0</v>
      </c>
      <c r="EC17" s="6">
        <f t="shared" si="86"/>
        <v>0</v>
      </c>
      <c r="ED17" s="6">
        <f t="shared" si="87"/>
        <v>0</v>
      </c>
      <c r="EE17" s="6" t="str">
        <f t="shared" si="88"/>
        <v>60W</v>
      </c>
      <c r="EF17" s="6">
        <f t="shared" si="89"/>
        <v>60</v>
      </c>
      <c r="EG17" s="6" t="str">
        <f t="shared" si="90"/>
        <v/>
      </c>
      <c r="EH17" s="6">
        <f t="shared" si="91"/>
        <v>0</v>
      </c>
      <c r="EI17" s="6">
        <f t="shared" si="92"/>
        <v>0</v>
      </c>
      <c r="EJ17" s="6">
        <f t="shared" si="93"/>
        <v>0</v>
      </c>
      <c r="EK17" s="6">
        <f t="shared" si="94"/>
        <v>0</v>
      </c>
      <c r="EL17" s="6">
        <f t="shared" si="95"/>
        <v>0</v>
      </c>
      <c r="EM17" s="6">
        <f t="shared" si="96"/>
        <v>0</v>
      </c>
      <c r="EN17" s="6" t="str">
        <f t="shared" si="97"/>
        <v/>
      </c>
      <c r="EO17" s="6">
        <f t="shared" si="98"/>
        <v>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60</v>
      </c>
      <c r="FR17" s="6" t="str">
        <f t="shared" si="127"/>
        <v>2100</v>
      </c>
      <c r="FS17" s="6" t="str">
        <f t="shared" si="128"/>
        <v>1800</v>
      </c>
      <c r="FT17" s="6" t="str">
        <f t="shared" si="129"/>
        <v/>
      </c>
      <c r="FU17" s="6" t="str">
        <f t="shared" si="130"/>
        <v/>
      </c>
      <c r="FV17" s="6" t="str">
        <f t="shared" si="131"/>
        <v/>
      </c>
      <c r="FW17" s="6" t="str">
        <f t="shared" si="132"/>
        <v/>
      </c>
      <c r="FX17" s="6" t="str">
        <f t="shared" si="133"/>
        <v>52</v>
      </c>
      <c r="FY17" s="6">
        <f t="shared" si="134"/>
        <v>52</v>
      </c>
      <c r="FZ17" s="6">
        <f t="shared" si="135"/>
        <v>0</v>
      </c>
      <c r="GA17" s="6">
        <f t="shared" si="136"/>
        <v>0</v>
      </c>
      <c r="GB17" s="6">
        <f t="shared" si="137"/>
        <v>0</v>
      </c>
      <c r="GC17" s="6">
        <f t="shared" si="138"/>
        <v>0</v>
      </c>
      <c r="GD17" s="6">
        <f t="shared" si="139"/>
        <v>0</v>
      </c>
      <c r="GE17" s="6" t="str">
        <f t="shared" si="140"/>
        <v>52m</v>
      </c>
      <c r="GF17" s="6" t="str">
        <f t="shared" si="141"/>
        <v>52</v>
      </c>
      <c r="GG17" s="6">
        <f t="shared" si="142"/>
        <v>52</v>
      </c>
      <c r="GH17" s="6">
        <f t="shared" si="143"/>
        <v>0</v>
      </c>
      <c r="GI17" s="6">
        <f t="shared" si="144"/>
        <v>0</v>
      </c>
      <c r="GJ17" s="6">
        <f t="shared" si="145"/>
        <v>0</v>
      </c>
      <c r="GK17" s="6">
        <f t="shared" si="146"/>
        <v>0</v>
      </c>
      <c r="GL17" s="6">
        <f t="shared" si="147"/>
        <v>0</v>
      </c>
      <c r="GM17" s="6" t="str">
        <f t="shared" si="148"/>
        <v>52m</v>
      </c>
      <c r="GN17" s="6" t="str">
        <f t="shared" si="149"/>
        <v/>
      </c>
      <c r="GO17" s="6">
        <f t="shared" si="150"/>
        <v>0</v>
      </c>
      <c r="GP17" s="6">
        <f t="shared" si="151"/>
        <v>0</v>
      </c>
      <c r="GQ17" s="6">
        <f t="shared" si="152"/>
        <v>0</v>
      </c>
      <c r="GR17" s="6">
        <f t="shared" si="153"/>
        <v>0</v>
      </c>
      <c r="GS17" s="6">
        <f t="shared" si="154"/>
        <v>0</v>
      </c>
      <c r="GT17" s="6">
        <f t="shared" si="155"/>
        <v>0</v>
      </c>
      <c r="GU17" s="6" t="str">
        <f t="shared" si="156"/>
        <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1</v>
      </c>
      <c r="HU17" s="6">
        <f t="shared" si="181"/>
        <v>52</v>
      </c>
      <c r="HV17" s="6">
        <f t="shared" si="182"/>
        <v>52</v>
      </c>
      <c r="HW17" s="6">
        <f t="shared" si="183"/>
        <v>0</v>
      </c>
      <c r="HX17" s="6">
        <f t="shared" si="184"/>
        <v>0</v>
      </c>
      <c r="HY17" s="6">
        <f t="shared" si="185"/>
        <v>0</v>
      </c>
      <c r="HZ17" s="6">
        <f t="shared" si="186"/>
        <v>0</v>
      </c>
      <c r="IA17" s="5">
        <f t="shared" si="187"/>
        <v>52</v>
      </c>
      <c r="IB17" s="5">
        <f t="shared" si="188"/>
        <v>2</v>
      </c>
      <c r="IC17" s="132" t="str">
        <f t="shared" si="189"/>
        <v>A</v>
      </c>
      <c r="ID17" s="132" t="str">
        <f t="shared" si="190"/>
        <v>03997</v>
      </c>
      <c r="IE17" s="132" t="str">
        <f t="shared" si="191"/>
        <v>181019</v>
      </c>
      <c r="IF17" s="132" t="str">
        <f t="shared" si="192"/>
        <v>TG05</v>
      </c>
      <c r="IG17" s="171">
        <f t="shared" si="193"/>
        <v>43756</v>
      </c>
      <c r="IH17" s="171">
        <f t="shared" si="194"/>
        <v>45583</v>
      </c>
      <c r="II17" s="6">
        <v>37</v>
      </c>
    </row>
    <row r="18" spans="1:243" ht="165.75">
      <c r="A18" s="5">
        <f>Input!A18</f>
        <v>16</v>
      </c>
      <c r="B18" s="132" t="str">
        <f>Profile!$A$3</f>
        <v>VINAPHONE</v>
      </c>
      <c r="C18" s="132" t="str">
        <f>Profile!$F$3</f>
        <v>VINAPHONE</v>
      </c>
      <c r="D18" s="5" t="str">
        <f>Input!B18</f>
        <v>THINH-LIET-42-197-30-8-HMI_HNI</v>
      </c>
      <c r="E18" s="107" t="str">
        <f>Input!C18</f>
        <v>Số 8, Ngõ 42/197/30, phố Thịnh Liệt, phường Thịnh Liệt, quận Hoàng Mai, thành phố Hà Nội</v>
      </c>
      <c r="F18" s="5" t="str">
        <f>Input!D18</f>
        <v>Hà Nội</v>
      </c>
      <c r="G18" s="5">
        <f>Input!E18</f>
        <v>105.850808</v>
      </c>
      <c r="H18" s="5">
        <f>Input!F18</f>
        <v>20.971896999999998</v>
      </c>
      <c r="I18" s="5">
        <f>Input!G18</f>
        <v>1</v>
      </c>
      <c r="J18" s="5">
        <f>Input!H18</f>
        <v>2</v>
      </c>
      <c r="K18" s="5" t="str">
        <f t="shared" si="0"/>
        <v>TỔNG CÔNG TY HẠ TẦNG MẠNG;TỔNG CÔNG TY HẠ TẦNG MẠNG</v>
      </c>
      <c r="L18" s="5" t="str">
        <f>Input!J18</f>
        <v>THINH-LIET-42-197-30-8-HMI_HNI;THINH-LIET-42-197-30-8-HMI_HNI</v>
      </c>
      <c r="M18" s="5" t="str">
        <f>Input!K18</f>
        <v>NOKIA FLEXI MULTIRADIO BTS RADIO MODULE AND REMOTE RADIO (FRGY);NOKIA FLEXI MULTIRADIO BTS RADIO MODULE AND REMOTE RADIO (FHEL)</v>
      </c>
      <c r="N18" s="5" t="str">
        <f>Input!L18</f>
        <v>3;3</v>
      </c>
      <c r="O18" s="5" t="str">
        <f>Input!M18</f>
        <v>2/2/2;1/1/1</v>
      </c>
      <c r="P18" s="5" t="str">
        <f>Input!N18</f>
        <v>60/60/60;60/60/60</v>
      </c>
      <c r="Q18" s="5" t="str">
        <f>Input!O18</f>
        <v>2100;1800</v>
      </c>
      <c r="R18" s="5" t="str">
        <f>Input!P18</f>
        <v>19,5/19,5/19,5;19,5/19,5/19,5</v>
      </c>
      <c r="S18" s="152" t="b">
        <f>Input!Q18</f>
        <v>1</v>
      </c>
      <c r="T18" s="5" t="str">
        <f>Input!R18</f>
        <v>A03998181019TG05</v>
      </c>
      <c r="U18" s="5">
        <f>Input!S18</f>
        <v>0</v>
      </c>
      <c r="V18" s="5" t="str">
        <f>Input!T18</f>
        <v>VCC1</v>
      </c>
      <c r="W18" s="5" t="str">
        <f>Input!U18</f>
        <v>1902977/19/TG/TT1</v>
      </c>
      <c r="X18" s="7" t="str">
        <f>TEXT(Input!V18,"dd/mm/yyyy")</f>
        <v>18/10/2019</v>
      </c>
      <c r="Y18" s="5" t="b">
        <f>Input!W18</f>
        <v>0</v>
      </c>
      <c r="Z18" s="152" t="b">
        <f>Input!X18</f>
        <v>0</v>
      </c>
      <c r="AA18" s="5">
        <f t="shared" si="1"/>
        <v>19.5</v>
      </c>
      <c r="AB18" s="152" t="b">
        <f>Input!Y18</f>
        <v>1</v>
      </c>
      <c r="AC18" s="5">
        <f>VALUE(Input!Z18)</f>
        <v>12</v>
      </c>
      <c r="AD18" s="5" t="b">
        <f>Input!AA18</f>
        <v>0</v>
      </c>
      <c r="AE18" s="5" t="str">
        <f>Input!AB18</f>
        <v>Vũ Văn Giáp</v>
      </c>
      <c r="AF18" s="5" t="str">
        <f>Input!AC18</f>
        <v>Lê Tiến Cường</v>
      </c>
      <c r="AG18" s="132" t="str">
        <f>Options!$J$25</f>
        <v>TRUNG TÂM KIỂM ĐỊNH VÀ CHỨNG NHẬN 1</v>
      </c>
      <c r="AH18" s="132" t="str">
        <f>Options!$J$26</f>
        <v>TP. Hà Nội</v>
      </c>
      <c r="AI18" s="132" t="str">
        <f>Options!$J$29</f>
        <v>GIÁM ĐỐC</v>
      </c>
      <c r="AJ18" s="132" t="str">
        <f>Options!$J$30</f>
        <v/>
      </c>
      <c r="AK18" s="132" t="str">
        <f>Options!$J$31</f>
        <v>Bùi Ngọc Dũng</v>
      </c>
      <c r="AL18" s="6"/>
      <c r="AM18" s="6" t="str">
        <f>INDEX(ApplicantNameList,MATCH(B18,ApplicantIDList,0))</f>
        <v>Tổng Công ty Hạ tầng mạng</v>
      </c>
      <c r="AN18" s="6" t="str">
        <f>INDEX(OperatorNameList,MATCH(C18,OperatorIDList,0))</f>
        <v>TỔNG CÔNG TY HẠ TẦNG MẠNG</v>
      </c>
      <c r="AO18" s="5">
        <f t="shared" si="2"/>
        <v>5</v>
      </c>
      <c r="AP18" s="85" t="str">
        <f t="shared" si="3"/>
        <v>thành phố Hà Nội</v>
      </c>
      <c r="AQ18" s="233" t="str">
        <f t="shared" si="4"/>
        <v>quận Hoàng Mai</v>
      </c>
      <c r="AR18" s="233" t="str">
        <f t="shared" si="5"/>
        <v>phường Thịnh Liệt</v>
      </c>
      <c r="AS18" s="234" t="str">
        <f>INDEX(CityIDList,MATCH(F18,CityNameList,0))</f>
        <v>HNI</v>
      </c>
      <c r="AT18" s="6" t="str">
        <f>IF(J18&gt;=1,INDEX(OperatorNameList,MATCH(AZ18,OperatorIDList,0)),"")</f>
        <v>TỔNG CÔNG TY HẠ TẦNG MẠNG</v>
      </c>
      <c r="AU18" s="6" t="str">
        <f>IF(J18&gt;=2,INDEX(OperatorNameList,MATCH(BA18,OperatorIDList,0)),"")</f>
        <v>TỔNG CÔNG TY HẠ TẦNG MẠNG</v>
      </c>
      <c r="AV18" s="6" t="str">
        <f>IF(J18&gt;=3,INDEX(OperatorNameList,MATCH(BB18,OperatorIDList,0)),"")</f>
        <v/>
      </c>
      <c r="AW18" s="6" t="str">
        <f>IF(J18&gt;=4,INDEX(OperatorNameList,MATCH(BC18,OperatorIDList,0)),"")</f>
        <v/>
      </c>
      <c r="AX18" s="6" t="str">
        <f>IF(J18&gt;=5,INDEX(OperatorNameList,MATCH(BD18,OperatorIDList,0)),"")</f>
        <v/>
      </c>
      <c r="AY18" s="6" t="str">
        <f>IF(J18&gt;=6,INDEX(OperatorNameList,MATCH(BE18,OperatorIDList,0)),"")</f>
        <v/>
      </c>
      <c r="AZ18" s="6" t="str">
        <f t="shared" si="6"/>
        <v>VINAPHONE</v>
      </c>
      <c r="BA18" s="6" t="str">
        <f t="shared" si="7"/>
        <v>VINAPHONE</v>
      </c>
      <c r="BB18" s="6" t="str">
        <f t="shared" si="8"/>
        <v/>
      </c>
      <c r="BC18" s="6" t="str">
        <f t="shared" si="9"/>
        <v/>
      </c>
      <c r="BD18" s="6" t="str">
        <f t="shared" si="10"/>
        <v/>
      </c>
      <c r="BE18" s="6" t="str">
        <f t="shared" si="11"/>
        <v/>
      </c>
      <c r="BF18" s="6" t="str">
        <f>Input!I18</f>
        <v>VINAPHONE;VINAPHONE</v>
      </c>
      <c r="BG18" s="6" t="str">
        <f t="shared" si="12"/>
        <v>THINH-LIET-42-197-30-8-HMI_HNI</v>
      </c>
      <c r="BH18" s="6" t="str">
        <f t="shared" si="13"/>
        <v>THINH-LIET-42-197-30-8-HMI_HNI</v>
      </c>
      <c r="BI18" s="6" t="str">
        <f t="shared" si="14"/>
        <v/>
      </c>
      <c r="BJ18" s="6" t="str">
        <f t="shared" si="15"/>
        <v/>
      </c>
      <c r="BK18" s="6" t="str">
        <f t="shared" si="16"/>
        <v/>
      </c>
      <c r="BL18" s="6" t="str">
        <f t="shared" si="17"/>
        <v/>
      </c>
      <c r="BM18" s="6" t="str">
        <f t="shared" si="18"/>
        <v>NOKIA FLEXI MULTIRADIO BTS RADIO MODULE AND REMOTE RADIO (FRGY)</v>
      </c>
      <c r="BN18" s="6" t="str">
        <f t="shared" si="19"/>
        <v>NOKIA FLEXI MULTIRADIO BTS RADIO MODULE AND REMOTE RADIO (FHEL)</v>
      </c>
      <c r="BO18" s="6" t="str">
        <f t="shared" si="20"/>
        <v/>
      </c>
      <c r="BP18" s="6" t="str">
        <f t="shared" si="21"/>
        <v/>
      </c>
      <c r="BQ18" s="6" t="str">
        <f t="shared" si="22"/>
        <v/>
      </c>
      <c r="BR18" s="6" t="str">
        <f t="shared" si="23"/>
        <v/>
      </c>
      <c r="BS18" s="6">
        <f t="shared" si="24"/>
        <v>3</v>
      </c>
      <c r="BT18" s="6">
        <f t="shared" si="25"/>
        <v>3</v>
      </c>
      <c r="BU18" s="6">
        <f t="shared" si="26"/>
        <v>0</v>
      </c>
      <c r="BV18" s="6">
        <f t="shared" si="27"/>
        <v>0</v>
      </c>
      <c r="BW18" s="6">
        <f t="shared" si="28"/>
        <v>0</v>
      </c>
      <c r="BX18" s="6">
        <f t="shared" si="29"/>
        <v>0</v>
      </c>
      <c r="BY18" s="6" t="str">
        <f t="shared" si="30"/>
        <v>2/2/2</v>
      </c>
      <c r="BZ18" s="6">
        <f t="shared" si="31"/>
        <v>2</v>
      </c>
      <c r="CA18" s="6">
        <f t="shared" si="32"/>
        <v>2</v>
      </c>
      <c r="CB18" s="6">
        <f t="shared" si="33"/>
        <v>2</v>
      </c>
      <c r="CC18" s="6">
        <f t="shared" si="34"/>
        <v>0</v>
      </c>
      <c r="CD18" s="6">
        <f t="shared" si="35"/>
        <v>0</v>
      </c>
      <c r="CE18" s="6">
        <f t="shared" si="36"/>
        <v>0</v>
      </c>
      <c r="CF18" s="6" t="str">
        <f t="shared" si="37"/>
        <v>1/1/1</v>
      </c>
      <c r="CG18" s="6">
        <f t="shared" si="38"/>
        <v>1</v>
      </c>
      <c r="CH18" s="6">
        <f t="shared" si="39"/>
        <v>1</v>
      </c>
      <c r="CI18" s="6">
        <f t="shared" si="40"/>
        <v>1</v>
      </c>
      <c r="CJ18" s="6">
        <f t="shared" si="41"/>
        <v>0</v>
      </c>
      <c r="CK18" s="6">
        <f t="shared" si="42"/>
        <v>0</v>
      </c>
      <c r="CL18" s="6">
        <f t="shared" si="43"/>
        <v>0</v>
      </c>
      <c r="CM18" s="6" t="str">
        <f t="shared" si="44"/>
        <v/>
      </c>
      <c r="CN18" s="6">
        <f t="shared" si="45"/>
        <v>0</v>
      </c>
      <c r="CO18" s="6">
        <f t="shared" si="46"/>
        <v>0</v>
      </c>
      <c r="CP18" s="6">
        <f t="shared" si="47"/>
        <v>0</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60/60/60</v>
      </c>
      <c r="DP18" s="6">
        <f t="shared" si="73"/>
        <v>60</v>
      </c>
      <c r="DQ18" s="6">
        <f t="shared" si="74"/>
        <v>60</v>
      </c>
      <c r="DR18" s="6">
        <f t="shared" si="75"/>
        <v>60</v>
      </c>
      <c r="DS18" s="6">
        <f t="shared" si="76"/>
        <v>0</v>
      </c>
      <c r="DT18" s="6">
        <f t="shared" si="77"/>
        <v>0</v>
      </c>
      <c r="DU18" s="6">
        <f t="shared" si="78"/>
        <v>0</v>
      </c>
      <c r="DV18" s="6" t="str">
        <f t="shared" si="79"/>
        <v>60W/ 60W/ 60W</v>
      </c>
      <c r="DW18" s="6">
        <f t="shared" si="80"/>
        <v>60</v>
      </c>
      <c r="DX18" s="6" t="str">
        <f t="shared" si="81"/>
        <v>60/60/60</v>
      </c>
      <c r="DY18" s="6">
        <f t="shared" si="82"/>
        <v>60</v>
      </c>
      <c r="DZ18" s="6">
        <f t="shared" si="83"/>
        <v>60</v>
      </c>
      <c r="EA18" s="6">
        <f t="shared" si="84"/>
        <v>60</v>
      </c>
      <c r="EB18" s="6">
        <f t="shared" si="85"/>
        <v>0</v>
      </c>
      <c r="EC18" s="6">
        <f t="shared" si="86"/>
        <v>0</v>
      </c>
      <c r="ED18" s="6">
        <f t="shared" si="87"/>
        <v>0</v>
      </c>
      <c r="EE18" s="6" t="str">
        <f t="shared" si="88"/>
        <v>60W/ 60W/ 60W</v>
      </c>
      <c r="EF18" s="6">
        <f t="shared" si="89"/>
        <v>60</v>
      </c>
      <c r="EG18" s="6" t="str">
        <f t="shared" si="90"/>
        <v/>
      </c>
      <c r="EH18" s="6">
        <f t="shared" si="91"/>
        <v>0</v>
      </c>
      <c r="EI18" s="6">
        <f t="shared" si="92"/>
        <v>0</v>
      </c>
      <c r="EJ18" s="6">
        <f t="shared" si="93"/>
        <v>0</v>
      </c>
      <c r="EK18" s="6">
        <f t="shared" si="94"/>
        <v>0</v>
      </c>
      <c r="EL18" s="6">
        <f t="shared" si="95"/>
        <v>0</v>
      </c>
      <c r="EM18" s="6">
        <f t="shared" si="96"/>
        <v>0</v>
      </c>
      <c r="EN18" s="6" t="str">
        <f t="shared" si="97"/>
        <v/>
      </c>
      <c r="EO18" s="6">
        <f t="shared" si="98"/>
        <v>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60</v>
      </c>
      <c r="FR18" s="6" t="str">
        <f t="shared" si="127"/>
        <v>2100</v>
      </c>
      <c r="FS18" s="6" t="str">
        <f t="shared" si="128"/>
        <v>1800</v>
      </c>
      <c r="FT18" s="6" t="str">
        <f t="shared" si="129"/>
        <v/>
      </c>
      <c r="FU18" s="6" t="str">
        <f t="shared" si="130"/>
        <v/>
      </c>
      <c r="FV18" s="6" t="str">
        <f t="shared" si="131"/>
        <v/>
      </c>
      <c r="FW18" s="6" t="str">
        <f t="shared" si="132"/>
        <v/>
      </c>
      <c r="FX18" s="6" t="str">
        <f t="shared" si="133"/>
        <v>19,5/19,5/19,5</v>
      </c>
      <c r="FY18" s="6">
        <f t="shared" si="134"/>
        <v>19.5</v>
      </c>
      <c r="FZ18" s="6">
        <f t="shared" si="135"/>
        <v>19.5</v>
      </c>
      <c r="GA18" s="6">
        <f t="shared" si="136"/>
        <v>19.5</v>
      </c>
      <c r="GB18" s="6">
        <f t="shared" si="137"/>
        <v>0</v>
      </c>
      <c r="GC18" s="6">
        <f t="shared" si="138"/>
        <v>0</v>
      </c>
      <c r="GD18" s="6">
        <f t="shared" si="139"/>
        <v>0</v>
      </c>
      <c r="GE18" s="6" t="str">
        <f t="shared" si="140"/>
        <v>19,5m/ 19,5m/ 19,5m</v>
      </c>
      <c r="GF18" s="6" t="str">
        <f t="shared" si="141"/>
        <v>19,5/19,5/19,5</v>
      </c>
      <c r="GG18" s="6">
        <f t="shared" si="142"/>
        <v>19.5</v>
      </c>
      <c r="GH18" s="6">
        <f t="shared" si="143"/>
        <v>19.5</v>
      </c>
      <c r="GI18" s="6">
        <f t="shared" si="144"/>
        <v>19.5</v>
      </c>
      <c r="GJ18" s="6">
        <f t="shared" si="145"/>
        <v>0</v>
      </c>
      <c r="GK18" s="6">
        <f t="shared" si="146"/>
        <v>0</v>
      </c>
      <c r="GL18" s="6">
        <f t="shared" si="147"/>
        <v>0</v>
      </c>
      <c r="GM18" s="6" t="str">
        <f t="shared" si="148"/>
        <v>19,5m/ 19,5m/ 19,5m</v>
      </c>
      <c r="GN18" s="6" t="str">
        <f t="shared" si="149"/>
        <v/>
      </c>
      <c r="GO18" s="6">
        <f t="shared" si="150"/>
        <v>0</v>
      </c>
      <c r="GP18" s="6">
        <f t="shared" si="151"/>
        <v>0</v>
      </c>
      <c r="GQ18" s="6">
        <f t="shared" si="152"/>
        <v>0</v>
      </c>
      <c r="GR18" s="6">
        <f t="shared" si="153"/>
        <v>0</v>
      </c>
      <c r="GS18" s="6">
        <f t="shared" si="154"/>
        <v>0</v>
      </c>
      <c r="GT18" s="6">
        <f t="shared" si="155"/>
        <v>0</v>
      </c>
      <c r="GU18" s="6" t="str">
        <f t="shared" si="156"/>
        <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1</v>
      </c>
      <c r="HU18" s="6">
        <f t="shared" si="181"/>
        <v>19.5</v>
      </c>
      <c r="HV18" s="6">
        <f t="shared" si="182"/>
        <v>19.5</v>
      </c>
      <c r="HW18" s="6">
        <f t="shared" si="183"/>
        <v>0</v>
      </c>
      <c r="HX18" s="6">
        <f t="shared" si="184"/>
        <v>0</v>
      </c>
      <c r="HY18" s="6">
        <f t="shared" si="185"/>
        <v>0</v>
      </c>
      <c r="HZ18" s="6">
        <f t="shared" si="186"/>
        <v>0</v>
      </c>
      <c r="IA18" s="5">
        <f t="shared" si="187"/>
        <v>19.5</v>
      </c>
      <c r="IB18" s="5">
        <f t="shared" si="188"/>
        <v>7.5</v>
      </c>
      <c r="IC18" s="132" t="str">
        <f t="shared" si="189"/>
        <v>A</v>
      </c>
      <c r="ID18" s="132" t="str">
        <f t="shared" si="190"/>
        <v>03998</v>
      </c>
      <c r="IE18" s="132" t="str">
        <f t="shared" si="191"/>
        <v>181019</v>
      </c>
      <c r="IF18" s="132" t="str">
        <f t="shared" si="192"/>
        <v>TG05</v>
      </c>
      <c r="IG18" s="171">
        <f t="shared" si="193"/>
        <v>43756</v>
      </c>
      <c r="IH18" s="171">
        <f t="shared" si="194"/>
        <v>45583</v>
      </c>
      <c r="II18" s="6">
        <v>37</v>
      </c>
    </row>
    <row r="19" spans="1:243" ht="165.75">
      <c r="A19" s="5">
        <f>Input!A19</f>
        <v>17</v>
      </c>
      <c r="B19" s="132" t="str">
        <f>Profile!$A$3</f>
        <v>VINAPHONE</v>
      </c>
      <c r="C19" s="132" t="str">
        <f>Profile!$F$3</f>
        <v>VINAPHONE</v>
      </c>
      <c r="D19" s="5" t="str">
        <f>Input!B19</f>
        <v>LUONG-KHANH-THIEN-51-11-1-HMI_HNI</v>
      </c>
      <c r="E19" s="107" t="str">
        <f>Input!C19</f>
        <v>Số 1, ngõ 11/51, phố Lương Khánh Thiện, phường Tương Mai, quận Hoàng Mai, thành phố Hà Nội</v>
      </c>
      <c r="F19" s="5" t="str">
        <f>Input!D19</f>
        <v>Hà Nội</v>
      </c>
      <c r="G19" s="5">
        <f>Input!E19</f>
        <v>105.851466</v>
      </c>
      <c r="H19" s="5">
        <f>Input!F19</f>
        <v>20.985776999999999</v>
      </c>
      <c r="I19" s="5">
        <f>Input!G19</f>
        <v>1</v>
      </c>
      <c r="J19" s="5">
        <f>Input!H19</f>
        <v>2</v>
      </c>
      <c r="K19" s="5" t="str">
        <f t="shared" si="0"/>
        <v>TỔNG CÔNG TY HẠ TẦNG MẠNG;TỔNG CÔNG TY HẠ TẦNG MẠNG</v>
      </c>
      <c r="L19" s="5" t="str">
        <f>Input!J19</f>
        <v>LUONG-KHANH-THIEN-51-11-1-HMI_HNI;LUONG-KHANH-THIEN-51-11-1-HMI_HNI</v>
      </c>
      <c r="M19" s="5" t="str">
        <f>Input!K19</f>
        <v>NOKIA FLEXI MULTIRADIO BTS RADIO MODULE AND REMOTE RADIO (FRGY);NOKIA FLEXI MULTIRADIO BTS RADIO MODULE AND REMOTE RADIO (FHEL)</v>
      </c>
      <c r="N19" s="5" t="str">
        <f>Input!L19</f>
        <v>3;3</v>
      </c>
      <c r="O19" s="5" t="str">
        <f>Input!M19</f>
        <v>2/2/2;1/1/1</v>
      </c>
      <c r="P19" s="5" t="str">
        <f>Input!N19</f>
        <v>60/60/60;60/60/60</v>
      </c>
      <c r="Q19" s="5" t="str">
        <f>Input!O19</f>
        <v>2100;1800</v>
      </c>
      <c r="R19" s="5" t="str">
        <f>Input!P19</f>
        <v>27,5/27,5/27,5;27,5/27,5/27,5</v>
      </c>
      <c r="S19" s="152" t="b">
        <f>Input!Q19</f>
        <v>1</v>
      </c>
      <c r="T19" s="5" t="str">
        <f>Input!R19</f>
        <v>A03999181019TG05</v>
      </c>
      <c r="U19" s="5">
        <f>Input!S19</f>
        <v>0</v>
      </c>
      <c r="V19" s="5" t="str">
        <f>Input!T19</f>
        <v>VCC1</v>
      </c>
      <c r="W19" s="5" t="str">
        <f>Input!U19</f>
        <v>1902969/19/TG/TT1</v>
      </c>
      <c r="X19" s="7" t="str">
        <f>TEXT(Input!V19,"dd/mm/yyyy")</f>
        <v>18/10/2019</v>
      </c>
      <c r="Y19" s="5" t="b">
        <f>Input!W19</f>
        <v>0</v>
      </c>
      <c r="Z19" s="152" t="b">
        <f>Input!X19</f>
        <v>0</v>
      </c>
      <c r="AA19" s="5">
        <f t="shared" si="1"/>
        <v>27.5</v>
      </c>
      <c r="AB19" s="152" t="b">
        <f>Input!Y19</f>
        <v>1</v>
      </c>
      <c r="AC19" s="5">
        <f>VALUE(Input!Z19)</f>
        <v>24</v>
      </c>
      <c r="AD19" s="5" t="b">
        <f>Input!AA19</f>
        <v>0</v>
      </c>
      <c r="AE19" s="5" t="str">
        <f>Input!AB19</f>
        <v>Vũ Văn Giáp</v>
      </c>
      <c r="AF19" s="5" t="str">
        <f>Input!AC19</f>
        <v>Lê Tiến Cường</v>
      </c>
      <c r="AG19" s="132" t="str">
        <f>Options!$J$25</f>
        <v>TRUNG TÂM KIỂM ĐỊNH VÀ CHỨNG NHẬN 1</v>
      </c>
      <c r="AH19" s="132" t="str">
        <f>Options!$J$26</f>
        <v>TP. Hà Nội</v>
      </c>
      <c r="AI19" s="132" t="str">
        <f>Options!$J$29</f>
        <v>GIÁM ĐỐC</v>
      </c>
      <c r="AJ19" s="132" t="str">
        <f>Options!$J$30</f>
        <v/>
      </c>
      <c r="AK19" s="132" t="str">
        <f>Options!$J$31</f>
        <v>Bùi Ngọc Dũng</v>
      </c>
      <c r="AL19" s="6"/>
      <c r="AM19" s="6" t="str">
        <f>INDEX(ApplicantNameList,MATCH(B19,ApplicantIDList,0))</f>
        <v>Tổng Công ty Hạ tầng mạng</v>
      </c>
      <c r="AN19" s="6" t="str">
        <f>INDEX(OperatorNameList,MATCH(C19,OperatorIDList,0))</f>
        <v>TỔNG CÔNG TY HẠ TẦNG MẠNG</v>
      </c>
      <c r="AO19" s="5">
        <f t="shared" si="2"/>
        <v>5</v>
      </c>
      <c r="AP19" s="85" t="str">
        <f t="shared" si="3"/>
        <v>thành phố Hà Nội</v>
      </c>
      <c r="AQ19" s="233" t="str">
        <f t="shared" si="4"/>
        <v>quận Hoàng Mai</v>
      </c>
      <c r="AR19" s="233" t="str">
        <f t="shared" si="5"/>
        <v>phường Tương Mai</v>
      </c>
      <c r="AS19" s="234" t="str">
        <f>INDEX(CityIDList,MATCH(F19,CityNameList,0))</f>
        <v>HNI</v>
      </c>
      <c r="AT19" s="6" t="str">
        <f>IF(J19&gt;=1,INDEX(OperatorNameList,MATCH(AZ19,OperatorIDList,0)),"")</f>
        <v>TỔNG CÔNG TY HẠ TẦNG MẠNG</v>
      </c>
      <c r="AU19" s="6" t="str">
        <f>IF(J19&gt;=2,INDEX(OperatorNameList,MATCH(BA19,OperatorIDList,0)),"")</f>
        <v>TỔNG CÔNG TY HẠ TẦNG MẠNG</v>
      </c>
      <c r="AV19" s="6" t="str">
        <f>IF(J19&gt;=3,INDEX(OperatorNameList,MATCH(BB19,OperatorIDList,0)),"")</f>
        <v/>
      </c>
      <c r="AW19" s="6" t="str">
        <f>IF(J19&gt;=4,INDEX(OperatorNameList,MATCH(BC19,OperatorIDList,0)),"")</f>
        <v/>
      </c>
      <c r="AX19" s="6" t="str">
        <f>IF(J19&gt;=5,INDEX(OperatorNameList,MATCH(BD19,OperatorIDList,0)),"")</f>
        <v/>
      </c>
      <c r="AY19" s="6" t="str">
        <f>IF(J19&gt;=6,INDEX(OperatorNameList,MATCH(BE19,OperatorIDList,0)),"")</f>
        <v/>
      </c>
      <c r="AZ19" s="6" t="str">
        <f t="shared" si="6"/>
        <v>VINAPHONE</v>
      </c>
      <c r="BA19" s="6" t="str">
        <f t="shared" si="7"/>
        <v>VINAPHONE</v>
      </c>
      <c r="BB19" s="6" t="str">
        <f t="shared" si="8"/>
        <v/>
      </c>
      <c r="BC19" s="6" t="str">
        <f t="shared" si="9"/>
        <v/>
      </c>
      <c r="BD19" s="6" t="str">
        <f t="shared" si="10"/>
        <v/>
      </c>
      <c r="BE19" s="6" t="str">
        <f t="shared" si="11"/>
        <v/>
      </c>
      <c r="BF19" s="6" t="str">
        <f>Input!I19</f>
        <v>VINAPHONE;VINAPHONE</v>
      </c>
      <c r="BG19" s="6" t="str">
        <f t="shared" si="12"/>
        <v>LUONG-KHANH-THIEN-51-11-1-HMI_HNI</v>
      </c>
      <c r="BH19" s="6" t="str">
        <f t="shared" si="13"/>
        <v>LUONG-KHANH-THIEN-51-11-1-HMI_HNI</v>
      </c>
      <c r="BI19" s="6" t="str">
        <f t="shared" si="14"/>
        <v/>
      </c>
      <c r="BJ19" s="6" t="str">
        <f t="shared" si="15"/>
        <v/>
      </c>
      <c r="BK19" s="6" t="str">
        <f t="shared" si="16"/>
        <v/>
      </c>
      <c r="BL19" s="6" t="str">
        <f t="shared" si="17"/>
        <v/>
      </c>
      <c r="BM19" s="6" t="str">
        <f t="shared" si="18"/>
        <v>NOKIA FLEXI MULTIRADIO BTS RADIO MODULE AND REMOTE RADIO (FRGY)</v>
      </c>
      <c r="BN19" s="6" t="str">
        <f t="shared" si="19"/>
        <v>NOKIA FLEXI MULTIRADIO BTS RADIO MODULE AND REMOTE RADIO (FHEL)</v>
      </c>
      <c r="BO19" s="6" t="str">
        <f t="shared" si="20"/>
        <v/>
      </c>
      <c r="BP19" s="6" t="str">
        <f t="shared" si="21"/>
        <v/>
      </c>
      <c r="BQ19" s="6" t="str">
        <f t="shared" si="22"/>
        <v/>
      </c>
      <c r="BR19" s="6" t="str">
        <f t="shared" si="23"/>
        <v/>
      </c>
      <c r="BS19" s="6">
        <f t="shared" si="24"/>
        <v>3</v>
      </c>
      <c r="BT19" s="6">
        <f t="shared" si="25"/>
        <v>3</v>
      </c>
      <c r="BU19" s="6">
        <f t="shared" si="26"/>
        <v>0</v>
      </c>
      <c r="BV19" s="6">
        <f t="shared" si="27"/>
        <v>0</v>
      </c>
      <c r="BW19" s="6">
        <f t="shared" si="28"/>
        <v>0</v>
      </c>
      <c r="BX19" s="6">
        <f t="shared" si="29"/>
        <v>0</v>
      </c>
      <c r="BY19" s="6" t="str">
        <f t="shared" si="30"/>
        <v>2/2/2</v>
      </c>
      <c r="BZ19" s="6">
        <f t="shared" si="31"/>
        <v>2</v>
      </c>
      <c r="CA19" s="6">
        <f t="shared" si="32"/>
        <v>2</v>
      </c>
      <c r="CB19" s="6">
        <f t="shared" si="33"/>
        <v>2</v>
      </c>
      <c r="CC19" s="6">
        <f t="shared" si="34"/>
        <v>0</v>
      </c>
      <c r="CD19" s="6">
        <f t="shared" si="35"/>
        <v>0</v>
      </c>
      <c r="CE19" s="6">
        <f t="shared" si="36"/>
        <v>0</v>
      </c>
      <c r="CF19" s="6" t="str">
        <f t="shared" si="37"/>
        <v>1/1/1</v>
      </c>
      <c r="CG19" s="6">
        <f t="shared" si="38"/>
        <v>1</v>
      </c>
      <c r="CH19" s="6">
        <f t="shared" si="39"/>
        <v>1</v>
      </c>
      <c r="CI19" s="6">
        <f t="shared" si="40"/>
        <v>1</v>
      </c>
      <c r="CJ19" s="6">
        <f t="shared" si="41"/>
        <v>0</v>
      </c>
      <c r="CK19" s="6">
        <f t="shared" si="42"/>
        <v>0</v>
      </c>
      <c r="CL19" s="6">
        <f t="shared" si="43"/>
        <v>0</v>
      </c>
      <c r="CM19" s="6" t="str">
        <f t="shared" si="44"/>
        <v/>
      </c>
      <c r="CN19" s="6">
        <f t="shared" si="45"/>
        <v>0</v>
      </c>
      <c r="CO19" s="6">
        <f t="shared" si="46"/>
        <v>0</v>
      </c>
      <c r="CP19" s="6">
        <f t="shared" si="47"/>
        <v>0</v>
      </c>
      <c r="CQ19" s="6">
        <f t="shared" si="48"/>
        <v>0</v>
      </c>
      <c r="CR19" s="6">
        <f t="shared" si="49"/>
        <v>0</v>
      </c>
      <c r="CS19" s="6">
        <f t="shared" si="50"/>
        <v>0</v>
      </c>
      <c r="CT19" s="6" t="str">
        <f t="shared" si="51"/>
        <v/>
      </c>
      <c r="CU19" s="6">
        <f t="shared" si="52"/>
        <v>0</v>
      </c>
      <c r="CV19" s="6">
        <f t="shared" si="53"/>
        <v>0</v>
      </c>
      <c r="CW19" s="6">
        <f t="shared" si="54"/>
        <v>0</v>
      </c>
      <c r="CX19" s="6">
        <f t="shared" si="55"/>
        <v>0</v>
      </c>
      <c r="CY19" s="6">
        <f t="shared" si="56"/>
        <v>0</v>
      </c>
      <c r="CZ19" s="6">
        <f t="shared" si="57"/>
        <v>0</v>
      </c>
      <c r="DA19" s="6" t="str">
        <f t="shared" si="58"/>
        <v/>
      </c>
      <c r="DB19" s="6">
        <f t="shared" si="59"/>
        <v>0</v>
      </c>
      <c r="DC19" s="6">
        <f t="shared" si="60"/>
        <v>0</v>
      </c>
      <c r="DD19" s="6">
        <f t="shared" si="61"/>
        <v>0</v>
      </c>
      <c r="DE19" s="6">
        <f t="shared" si="62"/>
        <v>0</v>
      </c>
      <c r="DF19" s="6">
        <f t="shared" si="63"/>
        <v>0</v>
      </c>
      <c r="DG19" s="6">
        <f t="shared" si="64"/>
        <v>0</v>
      </c>
      <c r="DH19" s="6" t="str">
        <f t="shared" si="65"/>
        <v/>
      </c>
      <c r="DI19" s="6">
        <f t="shared" si="66"/>
        <v>0</v>
      </c>
      <c r="DJ19" s="6">
        <f t="shared" si="67"/>
        <v>0</v>
      </c>
      <c r="DK19" s="6">
        <f t="shared" si="68"/>
        <v>0</v>
      </c>
      <c r="DL19" s="6">
        <f t="shared" si="69"/>
        <v>0</v>
      </c>
      <c r="DM19" s="6">
        <f t="shared" si="70"/>
        <v>0</v>
      </c>
      <c r="DN19" s="6">
        <f t="shared" si="71"/>
        <v>0</v>
      </c>
      <c r="DO19" s="6" t="str">
        <f t="shared" si="72"/>
        <v>60/60/60</v>
      </c>
      <c r="DP19" s="6">
        <f t="shared" si="73"/>
        <v>60</v>
      </c>
      <c r="DQ19" s="6">
        <f t="shared" si="74"/>
        <v>60</v>
      </c>
      <c r="DR19" s="6">
        <f t="shared" si="75"/>
        <v>60</v>
      </c>
      <c r="DS19" s="6">
        <f t="shared" si="76"/>
        <v>0</v>
      </c>
      <c r="DT19" s="6">
        <f t="shared" si="77"/>
        <v>0</v>
      </c>
      <c r="DU19" s="6">
        <f t="shared" si="78"/>
        <v>0</v>
      </c>
      <c r="DV19" s="6" t="str">
        <f t="shared" si="79"/>
        <v>60W/ 60W/ 60W</v>
      </c>
      <c r="DW19" s="6">
        <f t="shared" si="80"/>
        <v>60</v>
      </c>
      <c r="DX19" s="6" t="str">
        <f t="shared" si="81"/>
        <v>60/60/60</v>
      </c>
      <c r="DY19" s="6">
        <f t="shared" si="82"/>
        <v>60</v>
      </c>
      <c r="DZ19" s="6">
        <f t="shared" si="83"/>
        <v>60</v>
      </c>
      <c r="EA19" s="6">
        <f t="shared" si="84"/>
        <v>60</v>
      </c>
      <c r="EB19" s="6">
        <f t="shared" si="85"/>
        <v>0</v>
      </c>
      <c r="EC19" s="6">
        <f t="shared" si="86"/>
        <v>0</v>
      </c>
      <c r="ED19" s="6">
        <f t="shared" si="87"/>
        <v>0</v>
      </c>
      <c r="EE19" s="6" t="str">
        <f t="shared" si="88"/>
        <v>60W/ 60W/ 60W</v>
      </c>
      <c r="EF19" s="6">
        <f t="shared" si="89"/>
        <v>60</v>
      </c>
      <c r="EG19" s="6" t="str">
        <f t="shared" si="90"/>
        <v/>
      </c>
      <c r="EH19" s="6">
        <f t="shared" si="91"/>
        <v>0</v>
      </c>
      <c r="EI19" s="6">
        <f t="shared" si="92"/>
        <v>0</v>
      </c>
      <c r="EJ19" s="6">
        <f t="shared" si="93"/>
        <v>0</v>
      </c>
      <c r="EK19" s="6">
        <f t="shared" si="94"/>
        <v>0</v>
      </c>
      <c r="EL19" s="6">
        <f t="shared" si="95"/>
        <v>0</v>
      </c>
      <c r="EM19" s="6">
        <f t="shared" si="96"/>
        <v>0</v>
      </c>
      <c r="EN19" s="6" t="str">
        <f t="shared" si="97"/>
        <v/>
      </c>
      <c r="EO19" s="6">
        <f t="shared" si="98"/>
        <v>0</v>
      </c>
      <c r="EP19" s="6" t="str">
        <f t="shared" si="99"/>
        <v/>
      </c>
      <c r="EQ19" s="6">
        <f t="shared" si="100"/>
        <v>0</v>
      </c>
      <c r="ER19" s="6">
        <f t="shared" si="101"/>
        <v>0</v>
      </c>
      <c r="ES19" s="6">
        <f t="shared" si="102"/>
        <v>0</v>
      </c>
      <c r="ET19" s="6">
        <f t="shared" si="103"/>
        <v>0</v>
      </c>
      <c r="EU19" s="6">
        <f t="shared" si="104"/>
        <v>0</v>
      </c>
      <c r="EV19" s="6">
        <f t="shared" si="105"/>
        <v>0</v>
      </c>
      <c r="EW19" s="6" t="str">
        <f t="shared" si="106"/>
        <v/>
      </c>
      <c r="EX19" s="6">
        <f t="shared" si="107"/>
        <v>0</v>
      </c>
      <c r="EY19" s="6" t="str">
        <f t="shared" si="108"/>
        <v/>
      </c>
      <c r="EZ19" s="6">
        <f t="shared" si="109"/>
        <v>0</v>
      </c>
      <c r="FA19" s="6">
        <f t="shared" si="110"/>
        <v>0</v>
      </c>
      <c r="FB19" s="6">
        <f t="shared" si="111"/>
        <v>0</v>
      </c>
      <c r="FC19" s="6">
        <f t="shared" si="112"/>
        <v>0</v>
      </c>
      <c r="FD19" s="6">
        <f t="shared" si="113"/>
        <v>0</v>
      </c>
      <c r="FE19" s="6">
        <f t="shared" si="114"/>
        <v>0</v>
      </c>
      <c r="FF19" s="6" t="str">
        <f t="shared" si="115"/>
        <v/>
      </c>
      <c r="FG19" s="6">
        <f t="shared" si="116"/>
        <v>0</v>
      </c>
      <c r="FH19" s="6" t="str">
        <f t="shared" si="117"/>
        <v/>
      </c>
      <c r="FI19" s="6">
        <f t="shared" si="118"/>
        <v>0</v>
      </c>
      <c r="FJ19" s="6">
        <f t="shared" si="119"/>
        <v>0</v>
      </c>
      <c r="FK19" s="6">
        <f t="shared" si="120"/>
        <v>0</v>
      </c>
      <c r="FL19" s="6">
        <f t="shared" si="121"/>
        <v>0</v>
      </c>
      <c r="FM19" s="6">
        <f t="shared" si="122"/>
        <v>0</v>
      </c>
      <c r="FN19" s="6">
        <f t="shared" si="123"/>
        <v>0</v>
      </c>
      <c r="FO19" s="6" t="str">
        <f t="shared" si="124"/>
        <v/>
      </c>
      <c r="FP19" s="6">
        <f t="shared" si="125"/>
        <v>0</v>
      </c>
      <c r="FQ19" s="6">
        <f t="shared" si="126"/>
        <v>60</v>
      </c>
      <c r="FR19" s="6" t="str">
        <f t="shared" si="127"/>
        <v>2100</v>
      </c>
      <c r="FS19" s="6" t="str">
        <f t="shared" si="128"/>
        <v>1800</v>
      </c>
      <c r="FT19" s="6" t="str">
        <f t="shared" si="129"/>
        <v/>
      </c>
      <c r="FU19" s="6" t="str">
        <f t="shared" si="130"/>
        <v/>
      </c>
      <c r="FV19" s="6" t="str">
        <f t="shared" si="131"/>
        <v/>
      </c>
      <c r="FW19" s="6" t="str">
        <f t="shared" si="132"/>
        <v/>
      </c>
      <c r="FX19" s="6" t="str">
        <f t="shared" si="133"/>
        <v>27,5/27,5/27,5</v>
      </c>
      <c r="FY19" s="6">
        <f t="shared" si="134"/>
        <v>27.5</v>
      </c>
      <c r="FZ19" s="6">
        <f t="shared" si="135"/>
        <v>27.5</v>
      </c>
      <c r="GA19" s="6">
        <f t="shared" si="136"/>
        <v>27.5</v>
      </c>
      <c r="GB19" s="6">
        <f t="shared" si="137"/>
        <v>0</v>
      </c>
      <c r="GC19" s="6">
        <f t="shared" si="138"/>
        <v>0</v>
      </c>
      <c r="GD19" s="6">
        <f t="shared" si="139"/>
        <v>0</v>
      </c>
      <c r="GE19" s="6" t="str">
        <f t="shared" si="140"/>
        <v>27,5m/ 27,5m/ 27,5m</v>
      </c>
      <c r="GF19" s="6" t="str">
        <f t="shared" si="141"/>
        <v>27,5/27,5/27,5</v>
      </c>
      <c r="GG19" s="6">
        <f t="shared" si="142"/>
        <v>27.5</v>
      </c>
      <c r="GH19" s="6">
        <f t="shared" si="143"/>
        <v>27.5</v>
      </c>
      <c r="GI19" s="6">
        <f t="shared" si="144"/>
        <v>27.5</v>
      </c>
      <c r="GJ19" s="6">
        <f t="shared" si="145"/>
        <v>0</v>
      </c>
      <c r="GK19" s="6">
        <f t="shared" si="146"/>
        <v>0</v>
      </c>
      <c r="GL19" s="6">
        <f t="shared" si="147"/>
        <v>0</v>
      </c>
      <c r="GM19" s="6" t="str">
        <f t="shared" si="148"/>
        <v>27,5m/ 27,5m/ 27,5m</v>
      </c>
      <c r="GN19" s="6" t="str">
        <f t="shared" si="149"/>
        <v/>
      </c>
      <c r="GO19" s="6">
        <f t="shared" si="150"/>
        <v>0</v>
      </c>
      <c r="GP19" s="6">
        <f t="shared" si="151"/>
        <v>0</v>
      </c>
      <c r="GQ19" s="6">
        <f t="shared" si="152"/>
        <v>0</v>
      </c>
      <c r="GR19" s="6">
        <f t="shared" si="153"/>
        <v>0</v>
      </c>
      <c r="GS19" s="6">
        <f t="shared" si="154"/>
        <v>0</v>
      </c>
      <c r="GT19" s="6">
        <f t="shared" si="155"/>
        <v>0</v>
      </c>
      <c r="GU19" s="6" t="str">
        <f t="shared" si="156"/>
        <v/>
      </c>
      <c r="GV19" s="6" t="str">
        <f t="shared" si="157"/>
        <v/>
      </c>
      <c r="GW19" s="6">
        <f t="shared" si="158"/>
        <v>0</v>
      </c>
      <c r="GX19" s="6">
        <f t="shared" si="159"/>
        <v>0</v>
      </c>
      <c r="GY19" s="6">
        <f t="shared" si="160"/>
        <v>0</v>
      </c>
      <c r="GZ19" s="6">
        <f t="shared" si="161"/>
        <v>0</v>
      </c>
      <c r="HA19" s="6">
        <f t="shared" si="162"/>
        <v>0</v>
      </c>
      <c r="HB19" s="6">
        <f t="shared" si="163"/>
        <v>0</v>
      </c>
      <c r="HC19" s="6" t="str">
        <f t="shared" si="164"/>
        <v/>
      </c>
      <c r="HD19" s="6" t="str">
        <f t="shared" si="165"/>
        <v/>
      </c>
      <c r="HE19" s="6">
        <f t="shared" si="166"/>
        <v>0</v>
      </c>
      <c r="HF19" s="6">
        <f t="shared" si="167"/>
        <v>0</v>
      </c>
      <c r="HG19" s="6">
        <f t="shared" si="168"/>
        <v>0</v>
      </c>
      <c r="HH19" s="6">
        <f t="shared" si="169"/>
        <v>0</v>
      </c>
      <c r="HI19" s="6">
        <f t="shared" si="170"/>
        <v>0</v>
      </c>
      <c r="HJ19" s="6">
        <f t="shared" si="171"/>
        <v>0</v>
      </c>
      <c r="HK19" s="6" t="str">
        <f t="shared" si="172"/>
        <v/>
      </c>
      <c r="HL19" s="6" t="str">
        <f t="shared" si="173"/>
        <v/>
      </c>
      <c r="HM19" s="6">
        <f t="shared" si="174"/>
        <v>0</v>
      </c>
      <c r="HN19" s="6">
        <f t="shared" si="175"/>
        <v>0</v>
      </c>
      <c r="HO19" s="6">
        <f t="shared" si="176"/>
        <v>0</v>
      </c>
      <c r="HP19" s="6">
        <f t="shared" si="177"/>
        <v>0</v>
      </c>
      <c r="HQ19" s="6">
        <f t="shared" si="178"/>
        <v>0</v>
      </c>
      <c r="HR19" s="6">
        <f t="shared" si="179"/>
        <v>0</v>
      </c>
      <c r="HS19" s="6" t="str">
        <f t="shared" si="180"/>
        <v/>
      </c>
      <c r="HT19" s="6" t="str">
        <f>INDEX(LabNameList,MATCH(V19,LabIDList,0))</f>
        <v>Trung tâm Kiểm định và Chứng nhận 1</v>
      </c>
      <c r="HU19" s="6">
        <f t="shared" si="181"/>
        <v>27.5</v>
      </c>
      <c r="HV19" s="6">
        <f t="shared" si="182"/>
        <v>27.5</v>
      </c>
      <c r="HW19" s="6">
        <f t="shared" si="183"/>
        <v>0</v>
      </c>
      <c r="HX19" s="6">
        <f t="shared" si="184"/>
        <v>0</v>
      </c>
      <c r="HY19" s="6">
        <f t="shared" si="185"/>
        <v>0</v>
      </c>
      <c r="HZ19" s="6">
        <f t="shared" si="186"/>
        <v>0</v>
      </c>
      <c r="IA19" s="5">
        <f t="shared" si="187"/>
        <v>27.5</v>
      </c>
      <c r="IB19" s="5">
        <f t="shared" si="188"/>
        <v>3.5</v>
      </c>
      <c r="IC19" s="132" t="str">
        <f t="shared" si="189"/>
        <v>A</v>
      </c>
      <c r="ID19" s="132" t="str">
        <f t="shared" si="190"/>
        <v>03999</v>
      </c>
      <c r="IE19" s="132" t="str">
        <f t="shared" si="191"/>
        <v>181019</v>
      </c>
      <c r="IF19" s="132" t="str">
        <f t="shared" si="192"/>
        <v>TG05</v>
      </c>
      <c r="IG19" s="171">
        <f t="shared" si="193"/>
        <v>43756</v>
      </c>
      <c r="IH19" s="171">
        <f t="shared" si="194"/>
        <v>45583</v>
      </c>
      <c r="II19" s="6">
        <v>37</v>
      </c>
    </row>
    <row r="20" spans="1:243" ht="165.75">
      <c r="A20" s="5">
        <f>Input!A20</f>
        <v>18</v>
      </c>
      <c r="B20" s="132" t="str">
        <f>Profile!$A$3</f>
        <v>VINAPHONE</v>
      </c>
      <c r="C20" s="132" t="str">
        <f>Profile!$F$3</f>
        <v>VINAPHONE</v>
      </c>
      <c r="D20" s="5" t="str">
        <f>Input!B20</f>
        <v>NGOC-HOI-8-44-HMI_HNI</v>
      </c>
      <c r="E20" s="107" t="str">
        <f>Input!C20</f>
        <v>Số 44, ngõ 8, đường Ngọc Hồi, phường Hoàng Liệt, quận Hoàng Mai, thành phố Hà Nội</v>
      </c>
      <c r="F20" s="5" t="str">
        <f>Input!D20</f>
        <v>Hà Nội</v>
      </c>
      <c r="G20" s="5">
        <f>Input!E20</f>
        <v>105.840384</v>
      </c>
      <c r="H20" s="5">
        <f>Input!F20</f>
        <v>20.962544999999999</v>
      </c>
      <c r="I20" s="5">
        <f>Input!G20</f>
        <v>1</v>
      </c>
      <c r="J20" s="5">
        <f>Input!H20</f>
        <v>2</v>
      </c>
      <c r="K20" s="5" t="str">
        <f t="shared" si="0"/>
        <v>TỔNG CÔNG TY HẠ TẦNG MẠNG;TỔNG CÔNG TY HẠ TẦNG MẠNG</v>
      </c>
      <c r="L20" s="5" t="str">
        <f>Input!J20</f>
        <v>NGOC-HOI-8-44-HMI_HNI;NGOC-HOI-8-44-HMI_HNI</v>
      </c>
      <c r="M20" s="5" t="str">
        <f>Input!K20</f>
        <v>NOKIA FLEXI MULTIRADIO BTS RADIO MODULE AND REMOTE RADIO (FRGY);NOKIA FLEXI MULTIRADIO BTS RADIO MODULE AND REMOTE RADIO (FHEL)</v>
      </c>
      <c r="N20" s="5" t="str">
        <f>Input!L20</f>
        <v>3;3</v>
      </c>
      <c r="O20" s="5" t="str">
        <f>Input!M20</f>
        <v>2/2/2;1/1/1</v>
      </c>
      <c r="P20" s="5" t="str">
        <f>Input!N20</f>
        <v>60/60/60;60/60/60</v>
      </c>
      <c r="Q20" s="5" t="str">
        <f>Input!O20</f>
        <v>2100;1800</v>
      </c>
      <c r="R20" s="5" t="str">
        <f>Input!P20</f>
        <v>22/22/22;22/22/22</v>
      </c>
      <c r="S20" s="152" t="b">
        <f>Input!Q20</f>
        <v>1</v>
      </c>
      <c r="T20" s="5" t="str">
        <f>Input!R20</f>
        <v>A04000181019TG05</v>
      </c>
      <c r="U20" s="5">
        <f>Input!S20</f>
        <v>0</v>
      </c>
      <c r="V20" s="5" t="str">
        <f>Input!T20</f>
        <v>VCC1</v>
      </c>
      <c r="W20" s="5" t="str">
        <f>Input!U20</f>
        <v>1902970/19/TG/TT1</v>
      </c>
      <c r="X20" s="7" t="str">
        <f>TEXT(Input!V20,"dd/mm/yyyy")</f>
        <v>18/10/2019</v>
      </c>
      <c r="Y20" s="5" t="b">
        <f>Input!W20</f>
        <v>0</v>
      </c>
      <c r="Z20" s="152" t="b">
        <f>Input!X20</f>
        <v>0</v>
      </c>
      <c r="AA20" s="5">
        <f t="shared" si="1"/>
        <v>22</v>
      </c>
      <c r="AB20" s="152" t="b">
        <f>Input!Y20</f>
        <v>1</v>
      </c>
      <c r="AC20" s="5">
        <f>VALUE(Input!Z20)</f>
        <v>12</v>
      </c>
      <c r="AD20" s="5" t="b">
        <f>Input!AA20</f>
        <v>0</v>
      </c>
      <c r="AE20" s="5" t="str">
        <f>Input!AB20</f>
        <v>Vũ Văn Giáp</v>
      </c>
      <c r="AF20" s="5" t="str">
        <f>Input!AC20</f>
        <v>Lê Tiến Cường</v>
      </c>
      <c r="AG20" s="132" t="str">
        <f>Options!$J$25</f>
        <v>TRUNG TÂM KIỂM ĐỊNH VÀ CHỨNG NHẬN 1</v>
      </c>
      <c r="AH20" s="132" t="str">
        <f>Options!$J$26</f>
        <v>TP. Hà Nội</v>
      </c>
      <c r="AI20" s="132" t="str">
        <f>Options!$J$29</f>
        <v>GIÁM ĐỐC</v>
      </c>
      <c r="AJ20" s="132" t="str">
        <f>Options!$J$30</f>
        <v/>
      </c>
      <c r="AK20" s="132" t="str">
        <f>Options!$J$31</f>
        <v>Bùi Ngọc Dũng</v>
      </c>
      <c r="AL20" s="6"/>
      <c r="AM20" s="6" t="str">
        <f>INDEX(ApplicantNameList,MATCH(B20,ApplicantIDList,0))</f>
        <v>Tổng Công ty Hạ tầng mạng</v>
      </c>
      <c r="AN20" s="6" t="str">
        <f>INDEX(OperatorNameList,MATCH(C20,OperatorIDList,0))</f>
        <v>TỔNG CÔNG TY HẠ TẦNG MẠNG</v>
      </c>
      <c r="AO20" s="5">
        <f t="shared" si="2"/>
        <v>5</v>
      </c>
      <c r="AP20" s="85" t="str">
        <f t="shared" si="3"/>
        <v>thành phố Hà Nội</v>
      </c>
      <c r="AQ20" s="233" t="str">
        <f t="shared" si="4"/>
        <v>quận Hoàng Mai</v>
      </c>
      <c r="AR20" s="233" t="str">
        <f t="shared" si="5"/>
        <v>phường Hoàng Liệt</v>
      </c>
      <c r="AS20" s="234" t="str">
        <f>INDEX(CityIDList,MATCH(F20,CityNameList,0))</f>
        <v>HNI</v>
      </c>
      <c r="AT20" s="6" t="str">
        <f>IF(J20&gt;=1,INDEX(OperatorNameList,MATCH(AZ20,OperatorIDList,0)),"")</f>
        <v>TỔNG CÔNG TY HẠ TẦNG MẠNG</v>
      </c>
      <c r="AU20" s="6" t="str">
        <f>IF(J20&gt;=2,INDEX(OperatorNameList,MATCH(BA20,OperatorIDList,0)),"")</f>
        <v>TỔNG CÔNG TY HẠ TẦNG MẠNG</v>
      </c>
      <c r="AV20" s="6" t="str">
        <f>IF(J20&gt;=3,INDEX(OperatorNameList,MATCH(BB20,OperatorIDList,0)),"")</f>
        <v/>
      </c>
      <c r="AW20" s="6" t="str">
        <f>IF(J20&gt;=4,INDEX(OperatorNameList,MATCH(BC20,OperatorIDList,0)),"")</f>
        <v/>
      </c>
      <c r="AX20" s="6" t="str">
        <f>IF(J20&gt;=5,INDEX(OperatorNameList,MATCH(BD20,OperatorIDList,0)),"")</f>
        <v/>
      </c>
      <c r="AY20" s="6" t="str">
        <f>IF(J20&gt;=6,INDEX(OperatorNameList,MATCH(BE20,OperatorIDList,0)),"")</f>
        <v/>
      </c>
      <c r="AZ20" s="6" t="str">
        <f t="shared" si="6"/>
        <v>VINAPHONE</v>
      </c>
      <c r="BA20" s="6" t="str">
        <f t="shared" si="7"/>
        <v>VINAPHONE</v>
      </c>
      <c r="BB20" s="6" t="str">
        <f t="shared" si="8"/>
        <v/>
      </c>
      <c r="BC20" s="6" t="str">
        <f t="shared" si="9"/>
        <v/>
      </c>
      <c r="BD20" s="6" t="str">
        <f t="shared" si="10"/>
        <v/>
      </c>
      <c r="BE20" s="6" t="str">
        <f t="shared" si="11"/>
        <v/>
      </c>
      <c r="BF20" s="6" t="str">
        <f>Input!I20</f>
        <v>VINAPHONE;VINAPHONE</v>
      </c>
      <c r="BG20" s="6" t="str">
        <f t="shared" si="12"/>
        <v>NGOC-HOI-8-44-HMI_HNI</v>
      </c>
      <c r="BH20" s="6" t="str">
        <f t="shared" si="13"/>
        <v>NGOC-HOI-8-44-HMI_HNI</v>
      </c>
      <c r="BI20" s="6" t="str">
        <f t="shared" si="14"/>
        <v/>
      </c>
      <c r="BJ20" s="6" t="str">
        <f t="shared" si="15"/>
        <v/>
      </c>
      <c r="BK20" s="6" t="str">
        <f t="shared" si="16"/>
        <v/>
      </c>
      <c r="BL20" s="6" t="str">
        <f t="shared" si="17"/>
        <v/>
      </c>
      <c r="BM20" s="6" t="str">
        <f t="shared" si="18"/>
        <v>NOKIA FLEXI MULTIRADIO BTS RADIO MODULE AND REMOTE RADIO (FRGY)</v>
      </c>
      <c r="BN20" s="6" t="str">
        <f t="shared" si="19"/>
        <v>NOKIA FLEXI MULTIRADIO BTS RADIO MODULE AND REMOTE RADIO (FHEL)</v>
      </c>
      <c r="BO20" s="6" t="str">
        <f t="shared" si="20"/>
        <v/>
      </c>
      <c r="BP20" s="6" t="str">
        <f t="shared" si="21"/>
        <v/>
      </c>
      <c r="BQ20" s="6" t="str">
        <f t="shared" si="22"/>
        <v/>
      </c>
      <c r="BR20" s="6" t="str">
        <f t="shared" si="23"/>
        <v/>
      </c>
      <c r="BS20" s="6">
        <f t="shared" si="24"/>
        <v>3</v>
      </c>
      <c r="BT20" s="6">
        <f t="shared" si="25"/>
        <v>3</v>
      </c>
      <c r="BU20" s="6">
        <f t="shared" si="26"/>
        <v>0</v>
      </c>
      <c r="BV20" s="6">
        <f t="shared" si="27"/>
        <v>0</v>
      </c>
      <c r="BW20" s="6">
        <f t="shared" si="28"/>
        <v>0</v>
      </c>
      <c r="BX20" s="6">
        <f t="shared" si="29"/>
        <v>0</v>
      </c>
      <c r="BY20" s="6" t="str">
        <f t="shared" si="30"/>
        <v>2/2/2</v>
      </c>
      <c r="BZ20" s="6">
        <f t="shared" si="31"/>
        <v>2</v>
      </c>
      <c r="CA20" s="6">
        <f t="shared" si="32"/>
        <v>2</v>
      </c>
      <c r="CB20" s="6">
        <f t="shared" si="33"/>
        <v>2</v>
      </c>
      <c r="CC20" s="6">
        <f t="shared" si="34"/>
        <v>0</v>
      </c>
      <c r="CD20" s="6">
        <f t="shared" si="35"/>
        <v>0</v>
      </c>
      <c r="CE20" s="6">
        <f t="shared" si="36"/>
        <v>0</v>
      </c>
      <c r="CF20" s="6" t="str">
        <f t="shared" si="37"/>
        <v>1/1/1</v>
      </c>
      <c r="CG20" s="6">
        <f t="shared" si="38"/>
        <v>1</v>
      </c>
      <c r="CH20" s="6">
        <f t="shared" si="39"/>
        <v>1</v>
      </c>
      <c r="CI20" s="6">
        <f t="shared" si="40"/>
        <v>1</v>
      </c>
      <c r="CJ20" s="6">
        <f t="shared" si="41"/>
        <v>0</v>
      </c>
      <c r="CK20" s="6">
        <f t="shared" si="42"/>
        <v>0</v>
      </c>
      <c r="CL20" s="6">
        <f t="shared" si="43"/>
        <v>0</v>
      </c>
      <c r="CM20" s="6" t="str">
        <f t="shared" si="44"/>
        <v/>
      </c>
      <c r="CN20" s="6">
        <f t="shared" si="45"/>
        <v>0</v>
      </c>
      <c r="CO20" s="6">
        <f t="shared" si="46"/>
        <v>0</v>
      </c>
      <c r="CP20" s="6">
        <f t="shared" si="47"/>
        <v>0</v>
      </c>
      <c r="CQ20" s="6">
        <f t="shared" si="48"/>
        <v>0</v>
      </c>
      <c r="CR20" s="6">
        <f t="shared" si="49"/>
        <v>0</v>
      </c>
      <c r="CS20" s="6">
        <f t="shared" si="50"/>
        <v>0</v>
      </c>
      <c r="CT20" s="6" t="str">
        <f t="shared" si="51"/>
        <v/>
      </c>
      <c r="CU20" s="6">
        <f t="shared" si="52"/>
        <v>0</v>
      </c>
      <c r="CV20" s="6">
        <f t="shared" si="53"/>
        <v>0</v>
      </c>
      <c r="CW20" s="6">
        <f t="shared" si="54"/>
        <v>0</v>
      </c>
      <c r="CX20" s="6">
        <f t="shared" si="55"/>
        <v>0</v>
      </c>
      <c r="CY20" s="6">
        <f t="shared" si="56"/>
        <v>0</v>
      </c>
      <c r="CZ20" s="6">
        <f t="shared" si="57"/>
        <v>0</v>
      </c>
      <c r="DA20" s="6" t="str">
        <f t="shared" si="58"/>
        <v/>
      </c>
      <c r="DB20" s="6">
        <f t="shared" si="59"/>
        <v>0</v>
      </c>
      <c r="DC20" s="6">
        <f t="shared" si="60"/>
        <v>0</v>
      </c>
      <c r="DD20" s="6">
        <f t="shared" si="61"/>
        <v>0</v>
      </c>
      <c r="DE20" s="6">
        <f t="shared" si="62"/>
        <v>0</v>
      </c>
      <c r="DF20" s="6">
        <f t="shared" si="63"/>
        <v>0</v>
      </c>
      <c r="DG20" s="6">
        <f t="shared" si="64"/>
        <v>0</v>
      </c>
      <c r="DH20" s="6" t="str">
        <f t="shared" si="65"/>
        <v/>
      </c>
      <c r="DI20" s="6">
        <f t="shared" si="66"/>
        <v>0</v>
      </c>
      <c r="DJ20" s="6">
        <f t="shared" si="67"/>
        <v>0</v>
      </c>
      <c r="DK20" s="6">
        <f t="shared" si="68"/>
        <v>0</v>
      </c>
      <c r="DL20" s="6">
        <f t="shared" si="69"/>
        <v>0</v>
      </c>
      <c r="DM20" s="6">
        <f t="shared" si="70"/>
        <v>0</v>
      </c>
      <c r="DN20" s="6">
        <f t="shared" si="71"/>
        <v>0</v>
      </c>
      <c r="DO20" s="6" t="str">
        <f t="shared" si="72"/>
        <v>60/60/60</v>
      </c>
      <c r="DP20" s="6">
        <f t="shared" si="73"/>
        <v>60</v>
      </c>
      <c r="DQ20" s="6">
        <f t="shared" si="74"/>
        <v>60</v>
      </c>
      <c r="DR20" s="6">
        <f t="shared" si="75"/>
        <v>60</v>
      </c>
      <c r="DS20" s="6">
        <f t="shared" si="76"/>
        <v>0</v>
      </c>
      <c r="DT20" s="6">
        <f t="shared" si="77"/>
        <v>0</v>
      </c>
      <c r="DU20" s="6">
        <f t="shared" si="78"/>
        <v>0</v>
      </c>
      <c r="DV20" s="6" t="str">
        <f t="shared" si="79"/>
        <v>60W/ 60W/ 60W</v>
      </c>
      <c r="DW20" s="6">
        <f t="shared" si="80"/>
        <v>60</v>
      </c>
      <c r="DX20" s="6" t="str">
        <f t="shared" si="81"/>
        <v>60/60/60</v>
      </c>
      <c r="DY20" s="6">
        <f t="shared" si="82"/>
        <v>60</v>
      </c>
      <c r="DZ20" s="6">
        <f t="shared" si="83"/>
        <v>60</v>
      </c>
      <c r="EA20" s="6">
        <f t="shared" si="84"/>
        <v>60</v>
      </c>
      <c r="EB20" s="6">
        <f t="shared" si="85"/>
        <v>0</v>
      </c>
      <c r="EC20" s="6">
        <f t="shared" si="86"/>
        <v>0</v>
      </c>
      <c r="ED20" s="6">
        <f t="shared" si="87"/>
        <v>0</v>
      </c>
      <c r="EE20" s="6" t="str">
        <f t="shared" si="88"/>
        <v>60W/ 60W/ 60W</v>
      </c>
      <c r="EF20" s="6">
        <f t="shared" si="89"/>
        <v>60</v>
      </c>
      <c r="EG20" s="6" t="str">
        <f t="shared" si="90"/>
        <v/>
      </c>
      <c r="EH20" s="6">
        <f t="shared" si="91"/>
        <v>0</v>
      </c>
      <c r="EI20" s="6">
        <f t="shared" si="92"/>
        <v>0</v>
      </c>
      <c r="EJ20" s="6">
        <f t="shared" si="93"/>
        <v>0</v>
      </c>
      <c r="EK20" s="6">
        <f t="shared" si="94"/>
        <v>0</v>
      </c>
      <c r="EL20" s="6">
        <f t="shared" si="95"/>
        <v>0</v>
      </c>
      <c r="EM20" s="6">
        <f t="shared" si="96"/>
        <v>0</v>
      </c>
      <c r="EN20" s="6" t="str">
        <f t="shared" si="97"/>
        <v/>
      </c>
      <c r="EO20" s="6">
        <f t="shared" si="98"/>
        <v>0</v>
      </c>
      <c r="EP20" s="6" t="str">
        <f t="shared" si="99"/>
        <v/>
      </c>
      <c r="EQ20" s="6">
        <f t="shared" si="100"/>
        <v>0</v>
      </c>
      <c r="ER20" s="6">
        <f t="shared" si="101"/>
        <v>0</v>
      </c>
      <c r="ES20" s="6">
        <f t="shared" si="102"/>
        <v>0</v>
      </c>
      <c r="ET20" s="6">
        <f t="shared" si="103"/>
        <v>0</v>
      </c>
      <c r="EU20" s="6">
        <f t="shared" si="104"/>
        <v>0</v>
      </c>
      <c r="EV20" s="6">
        <f t="shared" si="105"/>
        <v>0</v>
      </c>
      <c r="EW20" s="6" t="str">
        <f t="shared" si="106"/>
        <v/>
      </c>
      <c r="EX20" s="6">
        <f t="shared" si="107"/>
        <v>0</v>
      </c>
      <c r="EY20" s="6" t="str">
        <f t="shared" si="108"/>
        <v/>
      </c>
      <c r="EZ20" s="6">
        <f t="shared" si="109"/>
        <v>0</v>
      </c>
      <c r="FA20" s="6">
        <f t="shared" si="110"/>
        <v>0</v>
      </c>
      <c r="FB20" s="6">
        <f t="shared" si="111"/>
        <v>0</v>
      </c>
      <c r="FC20" s="6">
        <f t="shared" si="112"/>
        <v>0</v>
      </c>
      <c r="FD20" s="6">
        <f t="shared" si="113"/>
        <v>0</v>
      </c>
      <c r="FE20" s="6">
        <f t="shared" si="114"/>
        <v>0</v>
      </c>
      <c r="FF20" s="6" t="str">
        <f t="shared" si="115"/>
        <v/>
      </c>
      <c r="FG20" s="6">
        <f t="shared" si="116"/>
        <v>0</v>
      </c>
      <c r="FH20" s="6" t="str">
        <f t="shared" si="117"/>
        <v/>
      </c>
      <c r="FI20" s="6">
        <f t="shared" si="118"/>
        <v>0</v>
      </c>
      <c r="FJ20" s="6">
        <f t="shared" si="119"/>
        <v>0</v>
      </c>
      <c r="FK20" s="6">
        <f t="shared" si="120"/>
        <v>0</v>
      </c>
      <c r="FL20" s="6">
        <f t="shared" si="121"/>
        <v>0</v>
      </c>
      <c r="FM20" s="6">
        <f t="shared" si="122"/>
        <v>0</v>
      </c>
      <c r="FN20" s="6">
        <f t="shared" si="123"/>
        <v>0</v>
      </c>
      <c r="FO20" s="6" t="str">
        <f t="shared" si="124"/>
        <v/>
      </c>
      <c r="FP20" s="6">
        <f t="shared" si="125"/>
        <v>0</v>
      </c>
      <c r="FQ20" s="6">
        <f t="shared" si="126"/>
        <v>60</v>
      </c>
      <c r="FR20" s="6" t="str">
        <f t="shared" si="127"/>
        <v>2100</v>
      </c>
      <c r="FS20" s="6" t="str">
        <f t="shared" si="128"/>
        <v>1800</v>
      </c>
      <c r="FT20" s="6" t="str">
        <f t="shared" si="129"/>
        <v/>
      </c>
      <c r="FU20" s="6" t="str">
        <f t="shared" si="130"/>
        <v/>
      </c>
      <c r="FV20" s="6" t="str">
        <f t="shared" si="131"/>
        <v/>
      </c>
      <c r="FW20" s="6" t="str">
        <f t="shared" si="132"/>
        <v/>
      </c>
      <c r="FX20" s="6" t="str">
        <f t="shared" si="133"/>
        <v>22/22/22</v>
      </c>
      <c r="FY20" s="6">
        <f t="shared" si="134"/>
        <v>22</v>
      </c>
      <c r="FZ20" s="6">
        <f t="shared" si="135"/>
        <v>22</v>
      </c>
      <c r="GA20" s="6">
        <f t="shared" si="136"/>
        <v>22</v>
      </c>
      <c r="GB20" s="6">
        <f t="shared" si="137"/>
        <v>0</v>
      </c>
      <c r="GC20" s="6">
        <f t="shared" si="138"/>
        <v>0</v>
      </c>
      <c r="GD20" s="6">
        <f t="shared" si="139"/>
        <v>0</v>
      </c>
      <c r="GE20" s="6" t="str">
        <f t="shared" si="140"/>
        <v>22m/ 22m/ 22m</v>
      </c>
      <c r="GF20" s="6" t="str">
        <f t="shared" si="141"/>
        <v>22/22/22</v>
      </c>
      <c r="GG20" s="6">
        <f t="shared" si="142"/>
        <v>22</v>
      </c>
      <c r="GH20" s="6">
        <f t="shared" si="143"/>
        <v>22</v>
      </c>
      <c r="GI20" s="6">
        <f t="shared" si="144"/>
        <v>22</v>
      </c>
      <c r="GJ20" s="6">
        <f t="shared" si="145"/>
        <v>0</v>
      </c>
      <c r="GK20" s="6">
        <f t="shared" si="146"/>
        <v>0</v>
      </c>
      <c r="GL20" s="6">
        <f t="shared" si="147"/>
        <v>0</v>
      </c>
      <c r="GM20" s="6" t="str">
        <f t="shared" si="148"/>
        <v>22m/ 22m/ 22m</v>
      </c>
      <c r="GN20" s="6" t="str">
        <f t="shared" si="149"/>
        <v/>
      </c>
      <c r="GO20" s="6">
        <f t="shared" si="150"/>
        <v>0</v>
      </c>
      <c r="GP20" s="6">
        <f t="shared" si="151"/>
        <v>0</v>
      </c>
      <c r="GQ20" s="6">
        <f t="shared" si="152"/>
        <v>0</v>
      </c>
      <c r="GR20" s="6">
        <f t="shared" si="153"/>
        <v>0</v>
      </c>
      <c r="GS20" s="6">
        <f t="shared" si="154"/>
        <v>0</v>
      </c>
      <c r="GT20" s="6">
        <f t="shared" si="155"/>
        <v>0</v>
      </c>
      <c r="GU20" s="6" t="str">
        <f t="shared" si="156"/>
        <v/>
      </c>
      <c r="GV20" s="6" t="str">
        <f t="shared" si="157"/>
        <v/>
      </c>
      <c r="GW20" s="6">
        <f t="shared" si="158"/>
        <v>0</v>
      </c>
      <c r="GX20" s="6">
        <f t="shared" si="159"/>
        <v>0</v>
      </c>
      <c r="GY20" s="6">
        <f t="shared" si="160"/>
        <v>0</v>
      </c>
      <c r="GZ20" s="6">
        <f t="shared" si="161"/>
        <v>0</v>
      </c>
      <c r="HA20" s="6">
        <f t="shared" si="162"/>
        <v>0</v>
      </c>
      <c r="HB20" s="6">
        <f t="shared" si="163"/>
        <v>0</v>
      </c>
      <c r="HC20" s="6" t="str">
        <f t="shared" si="164"/>
        <v/>
      </c>
      <c r="HD20" s="6" t="str">
        <f t="shared" si="165"/>
        <v/>
      </c>
      <c r="HE20" s="6">
        <f t="shared" si="166"/>
        <v>0</v>
      </c>
      <c r="HF20" s="6">
        <f t="shared" si="167"/>
        <v>0</v>
      </c>
      <c r="HG20" s="6">
        <f t="shared" si="168"/>
        <v>0</v>
      </c>
      <c r="HH20" s="6">
        <f t="shared" si="169"/>
        <v>0</v>
      </c>
      <c r="HI20" s="6">
        <f t="shared" si="170"/>
        <v>0</v>
      </c>
      <c r="HJ20" s="6">
        <f t="shared" si="171"/>
        <v>0</v>
      </c>
      <c r="HK20" s="6" t="str">
        <f t="shared" si="172"/>
        <v/>
      </c>
      <c r="HL20" s="6" t="str">
        <f t="shared" si="173"/>
        <v/>
      </c>
      <c r="HM20" s="6">
        <f t="shared" si="174"/>
        <v>0</v>
      </c>
      <c r="HN20" s="6">
        <f t="shared" si="175"/>
        <v>0</v>
      </c>
      <c r="HO20" s="6">
        <f t="shared" si="176"/>
        <v>0</v>
      </c>
      <c r="HP20" s="6">
        <f t="shared" si="177"/>
        <v>0</v>
      </c>
      <c r="HQ20" s="6">
        <f t="shared" si="178"/>
        <v>0</v>
      </c>
      <c r="HR20" s="6">
        <f t="shared" si="179"/>
        <v>0</v>
      </c>
      <c r="HS20" s="6" t="str">
        <f t="shared" si="180"/>
        <v/>
      </c>
      <c r="HT20" s="6" t="str">
        <f>INDEX(LabNameList,MATCH(V20,LabIDList,0))</f>
        <v>Trung tâm Kiểm định và Chứng nhận 1</v>
      </c>
      <c r="HU20" s="6">
        <f t="shared" si="181"/>
        <v>22</v>
      </c>
      <c r="HV20" s="6">
        <f t="shared" si="182"/>
        <v>22</v>
      </c>
      <c r="HW20" s="6">
        <f t="shared" si="183"/>
        <v>0</v>
      </c>
      <c r="HX20" s="6">
        <f t="shared" si="184"/>
        <v>0</v>
      </c>
      <c r="HY20" s="6">
        <f t="shared" si="185"/>
        <v>0</v>
      </c>
      <c r="HZ20" s="6">
        <f t="shared" si="186"/>
        <v>0</v>
      </c>
      <c r="IA20" s="5">
        <f t="shared" si="187"/>
        <v>22</v>
      </c>
      <c r="IB20" s="5">
        <f t="shared" si="188"/>
        <v>10</v>
      </c>
      <c r="IC20" s="132" t="str">
        <f t="shared" si="189"/>
        <v>A</v>
      </c>
      <c r="ID20" s="132" t="str">
        <f t="shared" si="190"/>
        <v>04000</v>
      </c>
      <c r="IE20" s="132" t="str">
        <f t="shared" si="191"/>
        <v>181019</v>
      </c>
      <c r="IF20" s="132" t="str">
        <f t="shared" si="192"/>
        <v>TG05</v>
      </c>
      <c r="IG20" s="171">
        <f t="shared" si="193"/>
        <v>43756</v>
      </c>
      <c r="IH20" s="171">
        <f t="shared" si="194"/>
        <v>45583</v>
      </c>
      <c r="II20" s="6">
        <v>37</v>
      </c>
    </row>
    <row r="21" spans="1:243" ht="165.75">
      <c r="A21" s="5">
        <f>Input!A21</f>
        <v>19</v>
      </c>
      <c r="B21" s="132" t="str">
        <f>Profile!$A$3</f>
        <v>VINAPHONE</v>
      </c>
      <c r="C21" s="132" t="str">
        <f>Profile!$F$3</f>
        <v>VINAPHONE</v>
      </c>
      <c r="D21" s="5" t="str">
        <f>Input!B21</f>
        <v>NGOC-HOI-161-20-HMI_HNI</v>
      </c>
      <c r="E21" s="107" t="str">
        <f>Input!C21</f>
        <v>Số 6A, ngách 20, ngõ 161, đường Ngọc Hồi, phường Hoàng Liệt, quận Hoàng Mai, thành phố Hà Nội</v>
      </c>
      <c r="F21" s="5" t="str">
        <f>Input!D21</f>
        <v>Hà Nội</v>
      </c>
      <c r="G21" s="5">
        <f>Input!E21</f>
        <v>105.844472</v>
      </c>
      <c r="H21" s="5">
        <f>Input!F21</f>
        <v>20.955057</v>
      </c>
      <c r="I21" s="5">
        <f>Input!G21</f>
        <v>1</v>
      </c>
      <c r="J21" s="5">
        <f>Input!H21</f>
        <v>2</v>
      </c>
      <c r="K21" s="5" t="str">
        <f t="shared" si="0"/>
        <v>TỔNG CÔNG TY HẠ TẦNG MẠNG;TỔNG CÔNG TY HẠ TẦNG MẠNG</v>
      </c>
      <c r="L21" s="5" t="str">
        <f>Input!J21</f>
        <v>NGOC-HOI-161-20-HMI_HNI;NGOC-HOI-161-20-HMI_HNI</v>
      </c>
      <c r="M21" s="5" t="str">
        <f>Input!K21</f>
        <v>NOKIA FLEXI MULTIRADIO BTS RADIO MODULE AND REMOTE RADIO (FRGY);NOKIA FLEXI MULTIRADIO BTS RADIO MODULE AND REMOTE RADIO (FHEL)</v>
      </c>
      <c r="N21" s="5" t="str">
        <f>Input!L21</f>
        <v>3;3</v>
      </c>
      <c r="O21" s="5" t="str">
        <f>Input!M21</f>
        <v>2/2/2;1/1/1</v>
      </c>
      <c r="P21" s="5" t="str">
        <f>Input!N21</f>
        <v>60/60/60;60/60/60</v>
      </c>
      <c r="Q21" s="5" t="str">
        <f>Input!O21</f>
        <v>2100;1800</v>
      </c>
      <c r="R21" s="5" t="str">
        <f>Input!P21</f>
        <v>24/24/24;24/24/24</v>
      </c>
      <c r="S21" s="152" t="b">
        <f>Input!Q21</f>
        <v>1</v>
      </c>
      <c r="T21" s="5" t="str">
        <f>Input!R21</f>
        <v>A04001181019TG05</v>
      </c>
      <c r="U21" s="5">
        <f>Input!S21</f>
        <v>0</v>
      </c>
      <c r="V21" s="5" t="str">
        <f>Input!T21</f>
        <v>VCC1</v>
      </c>
      <c r="W21" s="5" t="str">
        <f>Input!U21</f>
        <v>1902972/19/TG/TT1</v>
      </c>
      <c r="X21" s="7" t="str">
        <f>TEXT(Input!V21,"dd/mm/yyyy")</f>
        <v>18/10/2019</v>
      </c>
      <c r="Y21" s="5" t="b">
        <f>Input!W21</f>
        <v>0</v>
      </c>
      <c r="Z21" s="152" t="b">
        <f>Input!X21</f>
        <v>0</v>
      </c>
      <c r="AA21" s="5">
        <f t="shared" si="1"/>
        <v>24</v>
      </c>
      <c r="AB21" s="152" t="b">
        <f>Input!Y21</f>
        <v>1</v>
      </c>
      <c r="AC21" s="5">
        <f>VALUE(Input!Z21)</f>
        <v>20</v>
      </c>
      <c r="AD21" s="5" t="b">
        <f>Input!AA21</f>
        <v>0</v>
      </c>
      <c r="AE21" s="5" t="str">
        <f>Input!AB21</f>
        <v>Vũ Văn Giáp</v>
      </c>
      <c r="AF21" s="5" t="str">
        <f>Input!AC21</f>
        <v>Lê Tiến Cường</v>
      </c>
      <c r="AG21" s="132" t="str">
        <f>Options!$J$25</f>
        <v>TRUNG TÂM KIỂM ĐỊNH VÀ CHỨNG NHẬN 1</v>
      </c>
      <c r="AH21" s="132" t="str">
        <f>Options!$J$26</f>
        <v>TP. Hà Nội</v>
      </c>
      <c r="AI21" s="132" t="str">
        <f>Options!$J$29</f>
        <v>GIÁM ĐỐC</v>
      </c>
      <c r="AJ21" s="132" t="str">
        <f>Options!$J$30</f>
        <v/>
      </c>
      <c r="AK21" s="132" t="str">
        <f>Options!$J$31</f>
        <v>Bùi Ngọc Dũng</v>
      </c>
      <c r="AL21" s="6"/>
      <c r="AM21" s="6" t="str">
        <f>INDEX(ApplicantNameList,MATCH(B21,ApplicantIDList,0))</f>
        <v>Tổng Công ty Hạ tầng mạng</v>
      </c>
      <c r="AN21" s="6" t="str">
        <f>INDEX(OperatorNameList,MATCH(C21,OperatorIDList,0))</f>
        <v>TỔNG CÔNG TY HẠ TẦNG MẠNG</v>
      </c>
      <c r="AO21" s="5">
        <f t="shared" si="2"/>
        <v>6</v>
      </c>
      <c r="AP21" s="85" t="str">
        <f t="shared" si="3"/>
        <v>thành phố Hà Nội</v>
      </c>
      <c r="AQ21" s="233" t="str">
        <f t="shared" si="4"/>
        <v>quận Hoàng Mai</v>
      </c>
      <c r="AR21" s="233" t="str">
        <f t="shared" si="5"/>
        <v>phường Hoàng Liệt</v>
      </c>
      <c r="AS21" s="234" t="str">
        <f>INDEX(CityIDList,MATCH(F21,CityNameList,0))</f>
        <v>HNI</v>
      </c>
      <c r="AT21" s="6" t="str">
        <f>IF(J21&gt;=1,INDEX(OperatorNameList,MATCH(AZ21,OperatorIDList,0)),"")</f>
        <v>TỔNG CÔNG TY HẠ TẦNG MẠNG</v>
      </c>
      <c r="AU21" s="6" t="str">
        <f>IF(J21&gt;=2,INDEX(OperatorNameList,MATCH(BA21,OperatorIDList,0)),"")</f>
        <v>TỔNG CÔNG TY HẠ TẦNG MẠNG</v>
      </c>
      <c r="AV21" s="6" t="str">
        <f>IF(J21&gt;=3,INDEX(OperatorNameList,MATCH(BB21,OperatorIDList,0)),"")</f>
        <v/>
      </c>
      <c r="AW21" s="6" t="str">
        <f>IF(J21&gt;=4,INDEX(OperatorNameList,MATCH(BC21,OperatorIDList,0)),"")</f>
        <v/>
      </c>
      <c r="AX21" s="6" t="str">
        <f>IF(J21&gt;=5,INDEX(OperatorNameList,MATCH(BD21,OperatorIDList,0)),"")</f>
        <v/>
      </c>
      <c r="AY21" s="6" t="str">
        <f>IF(J21&gt;=6,INDEX(OperatorNameList,MATCH(BE21,OperatorIDList,0)),"")</f>
        <v/>
      </c>
      <c r="AZ21" s="6" t="str">
        <f t="shared" si="6"/>
        <v>VINAPHONE</v>
      </c>
      <c r="BA21" s="6" t="str">
        <f t="shared" si="7"/>
        <v>VINAPHONE</v>
      </c>
      <c r="BB21" s="6" t="str">
        <f t="shared" si="8"/>
        <v/>
      </c>
      <c r="BC21" s="6" t="str">
        <f t="shared" si="9"/>
        <v/>
      </c>
      <c r="BD21" s="6" t="str">
        <f t="shared" si="10"/>
        <v/>
      </c>
      <c r="BE21" s="6" t="str">
        <f t="shared" si="11"/>
        <v/>
      </c>
      <c r="BF21" s="6" t="str">
        <f>Input!I21</f>
        <v>VINAPHONE;VINAPHONE</v>
      </c>
      <c r="BG21" s="6" t="str">
        <f t="shared" si="12"/>
        <v>NGOC-HOI-161-20-HMI_HNI</v>
      </c>
      <c r="BH21" s="6" t="str">
        <f t="shared" si="13"/>
        <v>NGOC-HOI-161-20-HMI_HNI</v>
      </c>
      <c r="BI21" s="6" t="str">
        <f t="shared" si="14"/>
        <v/>
      </c>
      <c r="BJ21" s="6" t="str">
        <f t="shared" si="15"/>
        <v/>
      </c>
      <c r="BK21" s="6" t="str">
        <f t="shared" si="16"/>
        <v/>
      </c>
      <c r="BL21" s="6" t="str">
        <f t="shared" si="17"/>
        <v/>
      </c>
      <c r="BM21" s="6" t="str">
        <f t="shared" si="18"/>
        <v>NOKIA FLEXI MULTIRADIO BTS RADIO MODULE AND REMOTE RADIO (FRGY)</v>
      </c>
      <c r="BN21" s="6" t="str">
        <f t="shared" si="19"/>
        <v>NOKIA FLEXI MULTIRADIO BTS RADIO MODULE AND REMOTE RADIO (FHEL)</v>
      </c>
      <c r="BO21" s="6" t="str">
        <f t="shared" si="20"/>
        <v/>
      </c>
      <c r="BP21" s="6" t="str">
        <f t="shared" si="21"/>
        <v/>
      </c>
      <c r="BQ21" s="6" t="str">
        <f t="shared" si="22"/>
        <v/>
      </c>
      <c r="BR21" s="6" t="str">
        <f t="shared" si="23"/>
        <v/>
      </c>
      <c r="BS21" s="6">
        <f t="shared" si="24"/>
        <v>3</v>
      </c>
      <c r="BT21" s="6">
        <f t="shared" si="25"/>
        <v>3</v>
      </c>
      <c r="BU21" s="6">
        <f t="shared" si="26"/>
        <v>0</v>
      </c>
      <c r="BV21" s="6">
        <f t="shared" si="27"/>
        <v>0</v>
      </c>
      <c r="BW21" s="6">
        <f t="shared" si="28"/>
        <v>0</v>
      </c>
      <c r="BX21" s="6">
        <f t="shared" si="29"/>
        <v>0</v>
      </c>
      <c r="BY21" s="6" t="str">
        <f t="shared" si="30"/>
        <v>2/2/2</v>
      </c>
      <c r="BZ21" s="6">
        <f t="shared" si="31"/>
        <v>2</v>
      </c>
      <c r="CA21" s="6">
        <f t="shared" si="32"/>
        <v>2</v>
      </c>
      <c r="CB21" s="6">
        <f t="shared" si="33"/>
        <v>2</v>
      </c>
      <c r="CC21" s="6">
        <f t="shared" si="34"/>
        <v>0</v>
      </c>
      <c r="CD21" s="6">
        <f t="shared" si="35"/>
        <v>0</v>
      </c>
      <c r="CE21" s="6">
        <f t="shared" si="36"/>
        <v>0</v>
      </c>
      <c r="CF21" s="6" t="str">
        <f t="shared" si="37"/>
        <v>1/1/1</v>
      </c>
      <c r="CG21" s="6">
        <f t="shared" si="38"/>
        <v>1</v>
      </c>
      <c r="CH21" s="6">
        <f t="shared" si="39"/>
        <v>1</v>
      </c>
      <c r="CI21" s="6">
        <f t="shared" si="40"/>
        <v>1</v>
      </c>
      <c r="CJ21" s="6">
        <f t="shared" si="41"/>
        <v>0</v>
      </c>
      <c r="CK21" s="6">
        <f t="shared" si="42"/>
        <v>0</v>
      </c>
      <c r="CL21" s="6">
        <f t="shared" si="43"/>
        <v>0</v>
      </c>
      <c r="CM21" s="6" t="str">
        <f t="shared" si="44"/>
        <v/>
      </c>
      <c r="CN21" s="6">
        <f t="shared" si="45"/>
        <v>0</v>
      </c>
      <c r="CO21" s="6">
        <f t="shared" si="46"/>
        <v>0</v>
      </c>
      <c r="CP21" s="6">
        <f t="shared" si="47"/>
        <v>0</v>
      </c>
      <c r="CQ21" s="6">
        <f t="shared" si="48"/>
        <v>0</v>
      </c>
      <c r="CR21" s="6">
        <f t="shared" si="49"/>
        <v>0</v>
      </c>
      <c r="CS21" s="6">
        <f t="shared" si="50"/>
        <v>0</v>
      </c>
      <c r="CT21" s="6" t="str">
        <f t="shared" si="51"/>
        <v/>
      </c>
      <c r="CU21" s="6">
        <f t="shared" si="52"/>
        <v>0</v>
      </c>
      <c r="CV21" s="6">
        <f t="shared" si="53"/>
        <v>0</v>
      </c>
      <c r="CW21" s="6">
        <f t="shared" si="54"/>
        <v>0</v>
      </c>
      <c r="CX21" s="6">
        <f t="shared" si="55"/>
        <v>0</v>
      </c>
      <c r="CY21" s="6">
        <f t="shared" si="56"/>
        <v>0</v>
      </c>
      <c r="CZ21" s="6">
        <f t="shared" si="57"/>
        <v>0</v>
      </c>
      <c r="DA21" s="6" t="str">
        <f t="shared" si="58"/>
        <v/>
      </c>
      <c r="DB21" s="6">
        <f t="shared" si="59"/>
        <v>0</v>
      </c>
      <c r="DC21" s="6">
        <f t="shared" si="60"/>
        <v>0</v>
      </c>
      <c r="DD21" s="6">
        <f t="shared" si="61"/>
        <v>0</v>
      </c>
      <c r="DE21" s="6">
        <f t="shared" si="62"/>
        <v>0</v>
      </c>
      <c r="DF21" s="6">
        <f t="shared" si="63"/>
        <v>0</v>
      </c>
      <c r="DG21" s="6">
        <f t="shared" si="64"/>
        <v>0</v>
      </c>
      <c r="DH21" s="6" t="str">
        <f t="shared" si="65"/>
        <v/>
      </c>
      <c r="DI21" s="6">
        <f t="shared" si="66"/>
        <v>0</v>
      </c>
      <c r="DJ21" s="6">
        <f t="shared" si="67"/>
        <v>0</v>
      </c>
      <c r="DK21" s="6">
        <f t="shared" si="68"/>
        <v>0</v>
      </c>
      <c r="DL21" s="6">
        <f t="shared" si="69"/>
        <v>0</v>
      </c>
      <c r="DM21" s="6">
        <f t="shared" si="70"/>
        <v>0</v>
      </c>
      <c r="DN21" s="6">
        <f t="shared" si="71"/>
        <v>0</v>
      </c>
      <c r="DO21" s="6" t="str">
        <f t="shared" si="72"/>
        <v>60/60/60</v>
      </c>
      <c r="DP21" s="6">
        <f t="shared" si="73"/>
        <v>60</v>
      </c>
      <c r="DQ21" s="6">
        <f t="shared" si="74"/>
        <v>60</v>
      </c>
      <c r="DR21" s="6">
        <f t="shared" si="75"/>
        <v>60</v>
      </c>
      <c r="DS21" s="6">
        <f t="shared" si="76"/>
        <v>0</v>
      </c>
      <c r="DT21" s="6">
        <f t="shared" si="77"/>
        <v>0</v>
      </c>
      <c r="DU21" s="6">
        <f t="shared" si="78"/>
        <v>0</v>
      </c>
      <c r="DV21" s="6" t="str">
        <f t="shared" si="79"/>
        <v>60W/ 60W/ 60W</v>
      </c>
      <c r="DW21" s="6">
        <f t="shared" si="80"/>
        <v>60</v>
      </c>
      <c r="DX21" s="6" t="str">
        <f t="shared" si="81"/>
        <v>60/60/60</v>
      </c>
      <c r="DY21" s="6">
        <f t="shared" si="82"/>
        <v>60</v>
      </c>
      <c r="DZ21" s="6">
        <f t="shared" si="83"/>
        <v>60</v>
      </c>
      <c r="EA21" s="6">
        <f t="shared" si="84"/>
        <v>60</v>
      </c>
      <c r="EB21" s="6">
        <f t="shared" si="85"/>
        <v>0</v>
      </c>
      <c r="EC21" s="6">
        <f t="shared" si="86"/>
        <v>0</v>
      </c>
      <c r="ED21" s="6">
        <f t="shared" si="87"/>
        <v>0</v>
      </c>
      <c r="EE21" s="6" t="str">
        <f t="shared" si="88"/>
        <v>60W/ 60W/ 60W</v>
      </c>
      <c r="EF21" s="6">
        <f t="shared" si="89"/>
        <v>60</v>
      </c>
      <c r="EG21" s="6" t="str">
        <f t="shared" si="90"/>
        <v/>
      </c>
      <c r="EH21" s="6">
        <f t="shared" si="91"/>
        <v>0</v>
      </c>
      <c r="EI21" s="6">
        <f t="shared" si="92"/>
        <v>0</v>
      </c>
      <c r="EJ21" s="6">
        <f t="shared" si="93"/>
        <v>0</v>
      </c>
      <c r="EK21" s="6">
        <f t="shared" si="94"/>
        <v>0</v>
      </c>
      <c r="EL21" s="6">
        <f t="shared" si="95"/>
        <v>0</v>
      </c>
      <c r="EM21" s="6">
        <f t="shared" si="96"/>
        <v>0</v>
      </c>
      <c r="EN21" s="6" t="str">
        <f t="shared" si="97"/>
        <v/>
      </c>
      <c r="EO21" s="6">
        <f t="shared" si="98"/>
        <v>0</v>
      </c>
      <c r="EP21" s="6" t="str">
        <f t="shared" si="99"/>
        <v/>
      </c>
      <c r="EQ21" s="6">
        <f t="shared" si="100"/>
        <v>0</v>
      </c>
      <c r="ER21" s="6">
        <f t="shared" si="101"/>
        <v>0</v>
      </c>
      <c r="ES21" s="6">
        <f t="shared" si="102"/>
        <v>0</v>
      </c>
      <c r="ET21" s="6">
        <f t="shared" si="103"/>
        <v>0</v>
      </c>
      <c r="EU21" s="6">
        <f t="shared" si="104"/>
        <v>0</v>
      </c>
      <c r="EV21" s="6">
        <f t="shared" si="105"/>
        <v>0</v>
      </c>
      <c r="EW21" s="6" t="str">
        <f t="shared" si="106"/>
        <v/>
      </c>
      <c r="EX21" s="6">
        <f t="shared" si="107"/>
        <v>0</v>
      </c>
      <c r="EY21" s="6" t="str">
        <f t="shared" si="108"/>
        <v/>
      </c>
      <c r="EZ21" s="6">
        <f t="shared" si="109"/>
        <v>0</v>
      </c>
      <c r="FA21" s="6">
        <f t="shared" si="110"/>
        <v>0</v>
      </c>
      <c r="FB21" s="6">
        <f t="shared" si="111"/>
        <v>0</v>
      </c>
      <c r="FC21" s="6">
        <f t="shared" si="112"/>
        <v>0</v>
      </c>
      <c r="FD21" s="6">
        <f t="shared" si="113"/>
        <v>0</v>
      </c>
      <c r="FE21" s="6">
        <f t="shared" si="114"/>
        <v>0</v>
      </c>
      <c r="FF21" s="6" t="str">
        <f t="shared" si="115"/>
        <v/>
      </c>
      <c r="FG21" s="6">
        <f t="shared" si="116"/>
        <v>0</v>
      </c>
      <c r="FH21" s="6" t="str">
        <f t="shared" si="117"/>
        <v/>
      </c>
      <c r="FI21" s="6">
        <f t="shared" si="118"/>
        <v>0</v>
      </c>
      <c r="FJ21" s="6">
        <f t="shared" si="119"/>
        <v>0</v>
      </c>
      <c r="FK21" s="6">
        <f t="shared" si="120"/>
        <v>0</v>
      </c>
      <c r="FL21" s="6">
        <f t="shared" si="121"/>
        <v>0</v>
      </c>
      <c r="FM21" s="6">
        <f t="shared" si="122"/>
        <v>0</v>
      </c>
      <c r="FN21" s="6">
        <f t="shared" si="123"/>
        <v>0</v>
      </c>
      <c r="FO21" s="6" t="str">
        <f t="shared" si="124"/>
        <v/>
      </c>
      <c r="FP21" s="6">
        <f t="shared" si="125"/>
        <v>0</v>
      </c>
      <c r="FQ21" s="6">
        <f t="shared" si="126"/>
        <v>60</v>
      </c>
      <c r="FR21" s="6" t="str">
        <f t="shared" si="127"/>
        <v>2100</v>
      </c>
      <c r="FS21" s="6" t="str">
        <f t="shared" si="128"/>
        <v>1800</v>
      </c>
      <c r="FT21" s="6" t="str">
        <f t="shared" si="129"/>
        <v/>
      </c>
      <c r="FU21" s="6" t="str">
        <f t="shared" si="130"/>
        <v/>
      </c>
      <c r="FV21" s="6" t="str">
        <f t="shared" si="131"/>
        <v/>
      </c>
      <c r="FW21" s="6" t="str">
        <f t="shared" si="132"/>
        <v/>
      </c>
      <c r="FX21" s="6" t="str">
        <f t="shared" si="133"/>
        <v>24/24/24</v>
      </c>
      <c r="FY21" s="6">
        <f t="shared" si="134"/>
        <v>24</v>
      </c>
      <c r="FZ21" s="6">
        <f t="shared" si="135"/>
        <v>24</v>
      </c>
      <c r="GA21" s="6">
        <f t="shared" si="136"/>
        <v>24</v>
      </c>
      <c r="GB21" s="6">
        <f t="shared" si="137"/>
        <v>0</v>
      </c>
      <c r="GC21" s="6">
        <f t="shared" si="138"/>
        <v>0</v>
      </c>
      <c r="GD21" s="6">
        <f t="shared" si="139"/>
        <v>0</v>
      </c>
      <c r="GE21" s="6" t="str">
        <f t="shared" si="140"/>
        <v>24m/ 24m/ 24m</v>
      </c>
      <c r="GF21" s="6" t="str">
        <f t="shared" si="141"/>
        <v>24/24/24</v>
      </c>
      <c r="GG21" s="6">
        <f t="shared" si="142"/>
        <v>24</v>
      </c>
      <c r="GH21" s="6">
        <f t="shared" si="143"/>
        <v>24</v>
      </c>
      <c r="GI21" s="6">
        <f t="shared" si="144"/>
        <v>24</v>
      </c>
      <c r="GJ21" s="6">
        <f t="shared" si="145"/>
        <v>0</v>
      </c>
      <c r="GK21" s="6">
        <f t="shared" si="146"/>
        <v>0</v>
      </c>
      <c r="GL21" s="6">
        <f t="shared" si="147"/>
        <v>0</v>
      </c>
      <c r="GM21" s="6" t="str">
        <f t="shared" si="148"/>
        <v>24m/ 24m/ 24m</v>
      </c>
      <c r="GN21" s="6" t="str">
        <f t="shared" si="149"/>
        <v/>
      </c>
      <c r="GO21" s="6">
        <f t="shared" si="150"/>
        <v>0</v>
      </c>
      <c r="GP21" s="6">
        <f t="shared" si="151"/>
        <v>0</v>
      </c>
      <c r="GQ21" s="6">
        <f t="shared" si="152"/>
        <v>0</v>
      </c>
      <c r="GR21" s="6">
        <f t="shared" si="153"/>
        <v>0</v>
      </c>
      <c r="GS21" s="6">
        <f t="shared" si="154"/>
        <v>0</v>
      </c>
      <c r="GT21" s="6">
        <f t="shared" si="155"/>
        <v>0</v>
      </c>
      <c r="GU21" s="6" t="str">
        <f t="shared" si="156"/>
        <v/>
      </c>
      <c r="GV21" s="6" t="str">
        <f t="shared" si="157"/>
        <v/>
      </c>
      <c r="GW21" s="6">
        <f t="shared" si="158"/>
        <v>0</v>
      </c>
      <c r="GX21" s="6">
        <f t="shared" si="159"/>
        <v>0</v>
      </c>
      <c r="GY21" s="6">
        <f t="shared" si="160"/>
        <v>0</v>
      </c>
      <c r="GZ21" s="6">
        <f t="shared" si="161"/>
        <v>0</v>
      </c>
      <c r="HA21" s="6">
        <f t="shared" si="162"/>
        <v>0</v>
      </c>
      <c r="HB21" s="6">
        <f t="shared" si="163"/>
        <v>0</v>
      </c>
      <c r="HC21" s="6" t="str">
        <f t="shared" si="164"/>
        <v/>
      </c>
      <c r="HD21" s="6" t="str">
        <f t="shared" si="165"/>
        <v/>
      </c>
      <c r="HE21" s="6">
        <f t="shared" si="166"/>
        <v>0</v>
      </c>
      <c r="HF21" s="6">
        <f t="shared" si="167"/>
        <v>0</v>
      </c>
      <c r="HG21" s="6">
        <f t="shared" si="168"/>
        <v>0</v>
      </c>
      <c r="HH21" s="6">
        <f t="shared" si="169"/>
        <v>0</v>
      </c>
      <c r="HI21" s="6">
        <f t="shared" si="170"/>
        <v>0</v>
      </c>
      <c r="HJ21" s="6">
        <f t="shared" si="171"/>
        <v>0</v>
      </c>
      <c r="HK21" s="6" t="str">
        <f t="shared" si="172"/>
        <v/>
      </c>
      <c r="HL21" s="6" t="str">
        <f t="shared" si="173"/>
        <v/>
      </c>
      <c r="HM21" s="6">
        <f t="shared" si="174"/>
        <v>0</v>
      </c>
      <c r="HN21" s="6">
        <f t="shared" si="175"/>
        <v>0</v>
      </c>
      <c r="HO21" s="6">
        <f t="shared" si="176"/>
        <v>0</v>
      </c>
      <c r="HP21" s="6">
        <f t="shared" si="177"/>
        <v>0</v>
      </c>
      <c r="HQ21" s="6">
        <f t="shared" si="178"/>
        <v>0</v>
      </c>
      <c r="HR21" s="6">
        <f t="shared" si="179"/>
        <v>0</v>
      </c>
      <c r="HS21" s="6" t="str">
        <f t="shared" si="180"/>
        <v/>
      </c>
      <c r="HT21" s="6" t="str">
        <f>INDEX(LabNameList,MATCH(V21,LabIDList,0))</f>
        <v>Trung tâm Kiểm định và Chứng nhận 1</v>
      </c>
      <c r="HU21" s="6">
        <f t="shared" si="181"/>
        <v>24</v>
      </c>
      <c r="HV21" s="6">
        <f t="shared" si="182"/>
        <v>24</v>
      </c>
      <c r="HW21" s="6">
        <f t="shared" si="183"/>
        <v>0</v>
      </c>
      <c r="HX21" s="6">
        <f t="shared" si="184"/>
        <v>0</v>
      </c>
      <c r="HY21" s="6">
        <f t="shared" si="185"/>
        <v>0</v>
      </c>
      <c r="HZ21" s="6">
        <f t="shared" si="186"/>
        <v>0</v>
      </c>
      <c r="IA21" s="5">
        <f t="shared" si="187"/>
        <v>24</v>
      </c>
      <c r="IB21" s="5">
        <f t="shared" si="188"/>
        <v>4</v>
      </c>
      <c r="IC21" s="132" t="str">
        <f t="shared" si="189"/>
        <v>A</v>
      </c>
      <c r="ID21" s="132" t="str">
        <f t="shared" si="190"/>
        <v>04001</v>
      </c>
      <c r="IE21" s="132" t="str">
        <f t="shared" si="191"/>
        <v>181019</v>
      </c>
      <c r="IF21" s="132" t="str">
        <f t="shared" si="192"/>
        <v>TG05</v>
      </c>
      <c r="IG21" s="171">
        <f t="shared" si="193"/>
        <v>43756</v>
      </c>
      <c r="IH21" s="171">
        <f t="shared" si="194"/>
        <v>45583</v>
      </c>
      <c r="II21" s="6">
        <v>37</v>
      </c>
    </row>
    <row r="22" spans="1:243" ht="63.75">
      <c r="A22" s="5">
        <f>Input!A22</f>
        <v>20</v>
      </c>
      <c r="B22" s="132" t="str">
        <f>Profile!$A$3</f>
        <v>VINAPHONE</v>
      </c>
      <c r="C22" s="132" t="str">
        <f>Profile!$F$3</f>
        <v>VINAPHONE</v>
      </c>
      <c r="D22" s="5" t="str">
        <f>Input!B22</f>
        <v>TU-HIEP-CO-KHI-Z179-TTI_HNI</v>
      </c>
      <c r="E22" s="107" t="str">
        <f>Input!C22</f>
        <v>Công ty Cơ khí Z179, Km12, Quốc Lộ 1A, xã Tứ Hiệp, huyện Thanh Trì, thành phố Hà Nội</v>
      </c>
      <c r="F22" s="5" t="str">
        <f>Input!D22</f>
        <v>Hà Nội</v>
      </c>
      <c r="G22" s="5">
        <f>Input!E22</f>
        <v>105.84561100000001</v>
      </c>
      <c r="H22" s="5">
        <f>Input!F22</f>
        <v>20.936084999999999</v>
      </c>
      <c r="I22" s="5">
        <f>Input!G22</f>
        <v>1</v>
      </c>
      <c r="J22" s="5">
        <f>Input!H22</f>
        <v>2</v>
      </c>
      <c r="K22" s="5" t="str">
        <f t="shared" si="0"/>
        <v>TỔNG CÔNG TY HẠ TẦNG MẠNG;TỔNG CÔNG TY HẠ TẦNG MẠNG</v>
      </c>
      <c r="L22" s="5" t="str">
        <f>Input!J22</f>
        <v>TU-HIEP-CO-KHI-Z179-TTI_HNI;TU-HIEP-CO-KHI-Z179-TTI_HNI</v>
      </c>
      <c r="M22" s="5" t="str">
        <f>Input!K22</f>
        <v>HUAWEI BTS3900;HUAWEI DBS3900 WCDMA</v>
      </c>
      <c r="N22" s="5" t="str">
        <f>Input!L22</f>
        <v>3;3</v>
      </c>
      <c r="O22" s="5" t="str">
        <f>Input!M22</f>
        <v>2/2/2;2/2/2</v>
      </c>
      <c r="P22" s="5" t="str">
        <f>Input!N22</f>
        <v>80/80/80;60/60/60</v>
      </c>
      <c r="Q22" s="5" t="str">
        <f>Input!O22</f>
        <v>900;2100</v>
      </c>
      <c r="R22" s="5" t="str">
        <f>Input!P22</f>
        <v>27/27/27;27/27/27</v>
      </c>
      <c r="S22" s="152" t="b">
        <f>Input!Q22</f>
        <v>1</v>
      </c>
      <c r="T22" s="5" t="str">
        <f>Input!R22</f>
        <v>A04002181019TG05</v>
      </c>
      <c r="U22" s="5">
        <f>Input!S22</f>
        <v>0</v>
      </c>
      <c r="V22" s="5" t="str">
        <f>Input!T22</f>
        <v>VCC1</v>
      </c>
      <c r="W22" s="5" t="str">
        <f>Input!U22</f>
        <v>1903240/19/TG/TT1</v>
      </c>
      <c r="X22" s="7" t="str">
        <f>TEXT(Input!V22,"dd/mm/yyyy")</f>
        <v>18/10/2019</v>
      </c>
      <c r="Y22" s="5" t="b">
        <f>Input!W22</f>
        <v>0</v>
      </c>
      <c r="Z22" s="152" t="b">
        <f>Input!X22</f>
        <v>0</v>
      </c>
      <c r="AA22" s="5">
        <f t="shared" si="1"/>
        <v>27</v>
      </c>
      <c r="AB22" s="152" t="b">
        <f>Input!Y22</f>
        <v>1</v>
      </c>
      <c r="AC22" s="5">
        <f>VALUE(Input!Z22)</f>
        <v>12</v>
      </c>
      <c r="AD22" s="5" t="b">
        <f>Input!AA22</f>
        <v>0</v>
      </c>
      <c r="AE22" s="5" t="str">
        <f>Input!AB22</f>
        <v>Vũ Văn Giáp</v>
      </c>
      <c r="AF22" s="5" t="str">
        <f>Input!AC22</f>
        <v>Lê Tiến Cường</v>
      </c>
      <c r="AG22" s="132" t="str">
        <f>Options!$J$25</f>
        <v>TRUNG TÂM KIỂM ĐỊNH VÀ CHỨNG NHẬN 1</v>
      </c>
      <c r="AH22" s="132" t="str">
        <f>Options!$J$26</f>
        <v>TP. Hà Nội</v>
      </c>
      <c r="AI22" s="132" t="str">
        <f>Options!$J$29</f>
        <v>GIÁM ĐỐC</v>
      </c>
      <c r="AJ22" s="132" t="str">
        <f>Options!$J$30</f>
        <v/>
      </c>
      <c r="AK22" s="132" t="str">
        <f>Options!$J$31</f>
        <v>Bùi Ngọc Dũng</v>
      </c>
      <c r="AL22" s="6"/>
      <c r="AM22" s="6" t="str">
        <f>INDEX(ApplicantNameList,MATCH(B22,ApplicantIDList,0))</f>
        <v>Tổng Công ty Hạ tầng mạng</v>
      </c>
      <c r="AN22" s="6" t="str">
        <f>INDEX(OperatorNameList,MATCH(C22,OperatorIDList,0))</f>
        <v>TỔNG CÔNG TY HẠ TẦNG MẠNG</v>
      </c>
      <c r="AO22" s="5">
        <f t="shared" si="2"/>
        <v>5</v>
      </c>
      <c r="AP22" s="85" t="str">
        <f t="shared" si="3"/>
        <v>thành phố Hà Nội</v>
      </c>
      <c r="AQ22" s="233" t="str">
        <f t="shared" si="4"/>
        <v>huyện Thanh Trì</v>
      </c>
      <c r="AR22" s="233" t="str">
        <f t="shared" si="5"/>
        <v>xã Tứ Hiệp</v>
      </c>
      <c r="AS22" s="234" t="str">
        <f>INDEX(CityIDList,MATCH(F22,CityNameList,0))</f>
        <v>HNI</v>
      </c>
      <c r="AT22" s="6" t="str">
        <f>IF(J22&gt;=1,INDEX(OperatorNameList,MATCH(AZ22,OperatorIDList,0)),"")</f>
        <v>TỔNG CÔNG TY HẠ TẦNG MẠNG</v>
      </c>
      <c r="AU22" s="6" t="str">
        <f>IF(J22&gt;=2,INDEX(OperatorNameList,MATCH(BA22,OperatorIDList,0)),"")</f>
        <v>TỔNG CÔNG TY HẠ TẦNG MẠNG</v>
      </c>
      <c r="AV22" s="6" t="str">
        <f>IF(J22&gt;=3,INDEX(OperatorNameList,MATCH(BB22,OperatorIDList,0)),"")</f>
        <v/>
      </c>
      <c r="AW22" s="6" t="str">
        <f>IF(J22&gt;=4,INDEX(OperatorNameList,MATCH(BC22,OperatorIDList,0)),"")</f>
        <v/>
      </c>
      <c r="AX22" s="6" t="str">
        <f>IF(J22&gt;=5,INDEX(OperatorNameList,MATCH(BD22,OperatorIDList,0)),"")</f>
        <v/>
      </c>
      <c r="AY22" s="6" t="str">
        <f>IF(J22&gt;=6,INDEX(OperatorNameList,MATCH(BE22,OperatorIDList,0)),"")</f>
        <v/>
      </c>
      <c r="AZ22" s="6" t="str">
        <f t="shared" si="6"/>
        <v>VINAPHONE</v>
      </c>
      <c r="BA22" s="6" t="str">
        <f t="shared" si="7"/>
        <v>VINAPHONE</v>
      </c>
      <c r="BB22" s="6" t="str">
        <f t="shared" si="8"/>
        <v/>
      </c>
      <c r="BC22" s="6" t="str">
        <f t="shared" si="9"/>
        <v/>
      </c>
      <c r="BD22" s="6" t="str">
        <f t="shared" si="10"/>
        <v/>
      </c>
      <c r="BE22" s="6" t="str">
        <f t="shared" si="11"/>
        <v/>
      </c>
      <c r="BF22" s="6" t="str">
        <f>Input!I22</f>
        <v>VINAPHONE;VINAPHONE</v>
      </c>
      <c r="BG22" s="6" t="str">
        <f t="shared" si="12"/>
        <v>TU-HIEP-CO-KHI-Z179-TTI_HNI</v>
      </c>
      <c r="BH22" s="6" t="str">
        <f t="shared" si="13"/>
        <v>TU-HIEP-CO-KHI-Z179-TTI_HNI</v>
      </c>
      <c r="BI22" s="6" t="str">
        <f t="shared" si="14"/>
        <v/>
      </c>
      <c r="BJ22" s="6" t="str">
        <f t="shared" si="15"/>
        <v/>
      </c>
      <c r="BK22" s="6" t="str">
        <f t="shared" si="16"/>
        <v/>
      </c>
      <c r="BL22" s="6" t="str">
        <f t="shared" si="17"/>
        <v/>
      </c>
      <c r="BM22" s="6" t="str">
        <f t="shared" si="18"/>
        <v>HUAWEI BTS3900</v>
      </c>
      <c r="BN22" s="6" t="str">
        <f t="shared" si="19"/>
        <v>HUAWEI DBS3900 WCDMA</v>
      </c>
      <c r="BO22" s="6" t="str">
        <f t="shared" si="20"/>
        <v/>
      </c>
      <c r="BP22" s="6" t="str">
        <f t="shared" si="21"/>
        <v/>
      </c>
      <c r="BQ22" s="6" t="str">
        <f t="shared" si="22"/>
        <v/>
      </c>
      <c r="BR22" s="6" t="str">
        <f t="shared" si="23"/>
        <v/>
      </c>
      <c r="BS22" s="6">
        <f t="shared" si="24"/>
        <v>3</v>
      </c>
      <c r="BT22" s="6">
        <f t="shared" si="25"/>
        <v>3</v>
      </c>
      <c r="BU22" s="6">
        <f t="shared" si="26"/>
        <v>0</v>
      </c>
      <c r="BV22" s="6">
        <f t="shared" si="27"/>
        <v>0</v>
      </c>
      <c r="BW22" s="6">
        <f t="shared" si="28"/>
        <v>0</v>
      </c>
      <c r="BX22" s="6">
        <f t="shared" si="29"/>
        <v>0</v>
      </c>
      <c r="BY22" s="6" t="str">
        <f t="shared" si="30"/>
        <v>2/2/2</v>
      </c>
      <c r="BZ22" s="6">
        <f t="shared" si="31"/>
        <v>2</v>
      </c>
      <c r="CA22" s="6">
        <f t="shared" si="32"/>
        <v>2</v>
      </c>
      <c r="CB22" s="6">
        <f t="shared" si="33"/>
        <v>2</v>
      </c>
      <c r="CC22" s="6">
        <f t="shared" si="34"/>
        <v>0</v>
      </c>
      <c r="CD22" s="6">
        <f t="shared" si="35"/>
        <v>0</v>
      </c>
      <c r="CE22" s="6">
        <f t="shared" si="36"/>
        <v>0</v>
      </c>
      <c r="CF22" s="6" t="str">
        <f t="shared" si="37"/>
        <v>2/2/2</v>
      </c>
      <c r="CG22" s="6">
        <f t="shared" si="38"/>
        <v>2</v>
      </c>
      <c r="CH22" s="6">
        <f t="shared" si="39"/>
        <v>2</v>
      </c>
      <c r="CI22" s="6">
        <f t="shared" si="40"/>
        <v>2</v>
      </c>
      <c r="CJ22" s="6">
        <f t="shared" si="41"/>
        <v>0</v>
      </c>
      <c r="CK22" s="6">
        <f t="shared" si="42"/>
        <v>0</v>
      </c>
      <c r="CL22" s="6">
        <f t="shared" si="43"/>
        <v>0</v>
      </c>
      <c r="CM22" s="6" t="str">
        <f t="shared" si="44"/>
        <v/>
      </c>
      <c r="CN22" s="6">
        <f t="shared" si="45"/>
        <v>0</v>
      </c>
      <c r="CO22" s="6">
        <f t="shared" si="46"/>
        <v>0</v>
      </c>
      <c r="CP22" s="6">
        <f t="shared" si="47"/>
        <v>0</v>
      </c>
      <c r="CQ22" s="6">
        <f t="shared" si="48"/>
        <v>0</v>
      </c>
      <c r="CR22" s="6">
        <f t="shared" si="49"/>
        <v>0</v>
      </c>
      <c r="CS22" s="6">
        <f t="shared" si="50"/>
        <v>0</v>
      </c>
      <c r="CT22" s="6" t="str">
        <f t="shared" si="51"/>
        <v/>
      </c>
      <c r="CU22" s="6">
        <f t="shared" si="52"/>
        <v>0</v>
      </c>
      <c r="CV22" s="6">
        <f t="shared" si="53"/>
        <v>0</v>
      </c>
      <c r="CW22" s="6">
        <f t="shared" si="54"/>
        <v>0</v>
      </c>
      <c r="CX22" s="6">
        <f t="shared" si="55"/>
        <v>0</v>
      </c>
      <c r="CY22" s="6">
        <f t="shared" si="56"/>
        <v>0</v>
      </c>
      <c r="CZ22" s="6">
        <f t="shared" si="57"/>
        <v>0</v>
      </c>
      <c r="DA22" s="6" t="str">
        <f t="shared" si="58"/>
        <v/>
      </c>
      <c r="DB22" s="6">
        <f t="shared" si="59"/>
        <v>0</v>
      </c>
      <c r="DC22" s="6">
        <f t="shared" si="60"/>
        <v>0</v>
      </c>
      <c r="DD22" s="6">
        <f t="shared" si="61"/>
        <v>0</v>
      </c>
      <c r="DE22" s="6">
        <f t="shared" si="62"/>
        <v>0</v>
      </c>
      <c r="DF22" s="6">
        <f t="shared" si="63"/>
        <v>0</v>
      </c>
      <c r="DG22" s="6">
        <f t="shared" si="64"/>
        <v>0</v>
      </c>
      <c r="DH22" s="6" t="str">
        <f t="shared" si="65"/>
        <v/>
      </c>
      <c r="DI22" s="6">
        <f t="shared" si="66"/>
        <v>0</v>
      </c>
      <c r="DJ22" s="6">
        <f t="shared" si="67"/>
        <v>0</v>
      </c>
      <c r="DK22" s="6">
        <f t="shared" si="68"/>
        <v>0</v>
      </c>
      <c r="DL22" s="6">
        <f t="shared" si="69"/>
        <v>0</v>
      </c>
      <c r="DM22" s="6">
        <f t="shared" si="70"/>
        <v>0</v>
      </c>
      <c r="DN22" s="6">
        <f t="shared" si="71"/>
        <v>0</v>
      </c>
      <c r="DO22" s="6" t="str">
        <f t="shared" si="72"/>
        <v>80/80/80</v>
      </c>
      <c r="DP22" s="6">
        <f t="shared" si="73"/>
        <v>80</v>
      </c>
      <c r="DQ22" s="6">
        <f t="shared" si="74"/>
        <v>80</v>
      </c>
      <c r="DR22" s="6">
        <f t="shared" si="75"/>
        <v>80</v>
      </c>
      <c r="DS22" s="6">
        <f t="shared" si="76"/>
        <v>0</v>
      </c>
      <c r="DT22" s="6">
        <f t="shared" si="77"/>
        <v>0</v>
      </c>
      <c r="DU22" s="6">
        <f t="shared" si="78"/>
        <v>0</v>
      </c>
      <c r="DV22" s="6" t="str">
        <f t="shared" si="79"/>
        <v>80W/ 80W/ 80W</v>
      </c>
      <c r="DW22" s="6">
        <f t="shared" si="80"/>
        <v>80</v>
      </c>
      <c r="DX22" s="6" t="str">
        <f t="shared" si="81"/>
        <v>60/60/60</v>
      </c>
      <c r="DY22" s="6">
        <f t="shared" si="82"/>
        <v>60</v>
      </c>
      <c r="DZ22" s="6">
        <f t="shared" si="83"/>
        <v>60</v>
      </c>
      <c r="EA22" s="6">
        <f t="shared" si="84"/>
        <v>60</v>
      </c>
      <c r="EB22" s="6">
        <f t="shared" si="85"/>
        <v>0</v>
      </c>
      <c r="EC22" s="6">
        <f t="shared" si="86"/>
        <v>0</v>
      </c>
      <c r="ED22" s="6">
        <f t="shared" si="87"/>
        <v>0</v>
      </c>
      <c r="EE22" s="6" t="str">
        <f t="shared" si="88"/>
        <v>60W/ 60W/ 60W</v>
      </c>
      <c r="EF22" s="6">
        <f t="shared" si="89"/>
        <v>60</v>
      </c>
      <c r="EG22" s="6" t="str">
        <f t="shared" si="90"/>
        <v/>
      </c>
      <c r="EH22" s="6">
        <f t="shared" si="91"/>
        <v>0</v>
      </c>
      <c r="EI22" s="6">
        <f t="shared" si="92"/>
        <v>0</v>
      </c>
      <c r="EJ22" s="6">
        <f t="shared" si="93"/>
        <v>0</v>
      </c>
      <c r="EK22" s="6">
        <f t="shared" si="94"/>
        <v>0</v>
      </c>
      <c r="EL22" s="6">
        <f t="shared" si="95"/>
        <v>0</v>
      </c>
      <c r="EM22" s="6">
        <f t="shared" si="96"/>
        <v>0</v>
      </c>
      <c r="EN22" s="6" t="str">
        <f t="shared" si="97"/>
        <v/>
      </c>
      <c r="EO22" s="6">
        <f t="shared" si="98"/>
        <v>0</v>
      </c>
      <c r="EP22" s="6" t="str">
        <f t="shared" si="99"/>
        <v/>
      </c>
      <c r="EQ22" s="6">
        <f t="shared" si="100"/>
        <v>0</v>
      </c>
      <c r="ER22" s="6">
        <f t="shared" si="101"/>
        <v>0</v>
      </c>
      <c r="ES22" s="6">
        <f t="shared" si="102"/>
        <v>0</v>
      </c>
      <c r="ET22" s="6">
        <f t="shared" si="103"/>
        <v>0</v>
      </c>
      <c r="EU22" s="6">
        <f t="shared" si="104"/>
        <v>0</v>
      </c>
      <c r="EV22" s="6">
        <f t="shared" si="105"/>
        <v>0</v>
      </c>
      <c r="EW22" s="6" t="str">
        <f t="shared" si="106"/>
        <v/>
      </c>
      <c r="EX22" s="6">
        <f t="shared" si="107"/>
        <v>0</v>
      </c>
      <c r="EY22" s="6" t="str">
        <f t="shared" si="108"/>
        <v/>
      </c>
      <c r="EZ22" s="6">
        <f t="shared" si="109"/>
        <v>0</v>
      </c>
      <c r="FA22" s="6">
        <f t="shared" si="110"/>
        <v>0</v>
      </c>
      <c r="FB22" s="6">
        <f t="shared" si="111"/>
        <v>0</v>
      </c>
      <c r="FC22" s="6">
        <f t="shared" si="112"/>
        <v>0</v>
      </c>
      <c r="FD22" s="6">
        <f t="shared" si="113"/>
        <v>0</v>
      </c>
      <c r="FE22" s="6">
        <f t="shared" si="114"/>
        <v>0</v>
      </c>
      <c r="FF22" s="6" t="str">
        <f t="shared" si="115"/>
        <v/>
      </c>
      <c r="FG22" s="6">
        <f t="shared" si="116"/>
        <v>0</v>
      </c>
      <c r="FH22" s="6" t="str">
        <f t="shared" si="117"/>
        <v/>
      </c>
      <c r="FI22" s="6">
        <f t="shared" si="118"/>
        <v>0</v>
      </c>
      <c r="FJ22" s="6">
        <f t="shared" si="119"/>
        <v>0</v>
      </c>
      <c r="FK22" s="6">
        <f t="shared" si="120"/>
        <v>0</v>
      </c>
      <c r="FL22" s="6">
        <f t="shared" si="121"/>
        <v>0</v>
      </c>
      <c r="FM22" s="6">
        <f t="shared" si="122"/>
        <v>0</v>
      </c>
      <c r="FN22" s="6">
        <f t="shared" si="123"/>
        <v>0</v>
      </c>
      <c r="FO22" s="6" t="str">
        <f t="shared" si="124"/>
        <v/>
      </c>
      <c r="FP22" s="6">
        <f t="shared" si="125"/>
        <v>0</v>
      </c>
      <c r="FQ22" s="6">
        <f t="shared" si="126"/>
        <v>80</v>
      </c>
      <c r="FR22" s="6" t="str">
        <f t="shared" si="127"/>
        <v>900</v>
      </c>
      <c r="FS22" s="6" t="str">
        <f t="shared" si="128"/>
        <v>2100</v>
      </c>
      <c r="FT22" s="6" t="str">
        <f t="shared" si="129"/>
        <v/>
      </c>
      <c r="FU22" s="6" t="str">
        <f t="shared" si="130"/>
        <v/>
      </c>
      <c r="FV22" s="6" t="str">
        <f t="shared" si="131"/>
        <v/>
      </c>
      <c r="FW22" s="6" t="str">
        <f t="shared" si="132"/>
        <v/>
      </c>
      <c r="FX22" s="6" t="str">
        <f t="shared" si="133"/>
        <v>27/27/27</v>
      </c>
      <c r="FY22" s="6">
        <f t="shared" si="134"/>
        <v>27</v>
      </c>
      <c r="FZ22" s="6">
        <f t="shared" si="135"/>
        <v>27</v>
      </c>
      <c r="GA22" s="6">
        <f t="shared" si="136"/>
        <v>27</v>
      </c>
      <c r="GB22" s="6">
        <f t="shared" si="137"/>
        <v>0</v>
      </c>
      <c r="GC22" s="6">
        <f t="shared" si="138"/>
        <v>0</v>
      </c>
      <c r="GD22" s="6">
        <f t="shared" si="139"/>
        <v>0</v>
      </c>
      <c r="GE22" s="6" t="str">
        <f t="shared" si="140"/>
        <v>27m/ 27m/ 27m</v>
      </c>
      <c r="GF22" s="6" t="str">
        <f t="shared" si="141"/>
        <v>27/27/27</v>
      </c>
      <c r="GG22" s="6">
        <f t="shared" si="142"/>
        <v>27</v>
      </c>
      <c r="GH22" s="6">
        <f t="shared" si="143"/>
        <v>27</v>
      </c>
      <c r="GI22" s="6">
        <f t="shared" si="144"/>
        <v>27</v>
      </c>
      <c r="GJ22" s="6">
        <f t="shared" si="145"/>
        <v>0</v>
      </c>
      <c r="GK22" s="6">
        <f t="shared" si="146"/>
        <v>0</v>
      </c>
      <c r="GL22" s="6">
        <f t="shared" si="147"/>
        <v>0</v>
      </c>
      <c r="GM22" s="6" t="str">
        <f t="shared" si="148"/>
        <v>27m/ 27m/ 27m</v>
      </c>
      <c r="GN22" s="6" t="str">
        <f t="shared" si="149"/>
        <v/>
      </c>
      <c r="GO22" s="6">
        <f t="shared" si="150"/>
        <v>0</v>
      </c>
      <c r="GP22" s="6">
        <f t="shared" si="151"/>
        <v>0</v>
      </c>
      <c r="GQ22" s="6">
        <f t="shared" si="152"/>
        <v>0</v>
      </c>
      <c r="GR22" s="6">
        <f t="shared" si="153"/>
        <v>0</v>
      </c>
      <c r="GS22" s="6">
        <f t="shared" si="154"/>
        <v>0</v>
      </c>
      <c r="GT22" s="6">
        <f t="shared" si="155"/>
        <v>0</v>
      </c>
      <c r="GU22" s="6" t="str">
        <f t="shared" si="156"/>
        <v/>
      </c>
      <c r="GV22" s="6" t="str">
        <f t="shared" si="157"/>
        <v/>
      </c>
      <c r="GW22" s="6">
        <f t="shared" si="158"/>
        <v>0</v>
      </c>
      <c r="GX22" s="6">
        <f t="shared" si="159"/>
        <v>0</v>
      </c>
      <c r="GY22" s="6">
        <f t="shared" si="160"/>
        <v>0</v>
      </c>
      <c r="GZ22" s="6">
        <f t="shared" si="161"/>
        <v>0</v>
      </c>
      <c r="HA22" s="6">
        <f t="shared" si="162"/>
        <v>0</v>
      </c>
      <c r="HB22" s="6">
        <f t="shared" si="163"/>
        <v>0</v>
      </c>
      <c r="HC22" s="6" t="str">
        <f t="shared" si="164"/>
        <v/>
      </c>
      <c r="HD22" s="6" t="str">
        <f t="shared" si="165"/>
        <v/>
      </c>
      <c r="HE22" s="6">
        <f t="shared" si="166"/>
        <v>0</v>
      </c>
      <c r="HF22" s="6">
        <f t="shared" si="167"/>
        <v>0</v>
      </c>
      <c r="HG22" s="6">
        <f t="shared" si="168"/>
        <v>0</v>
      </c>
      <c r="HH22" s="6">
        <f t="shared" si="169"/>
        <v>0</v>
      </c>
      <c r="HI22" s="6">
        <f t="shared" si="170"/>
        <v>0</v>
      </c>
      <c r="HJ22" s="6">
        <f t="shared" si="171"/>
        <v>0</v>
      </c>
      <c r="HK22" s="6" t="str">
        <f t="shared" si="172"/>
        <v/>
      </c>
      <c r="HL22" s="6" t="str">
        <f t="shared" si="173"/>
        <v/>
      </c>
      <c r="HM22" s="6">
        <f t="shared" si="174"/>
        <v>0</v>
      </c>
      <c r="HN22" s="6">
        <f t="shared" si="175"/>
        <v>0</v>
      </c>
      <c r="HO22" s="6">
        <f t="shared" si="176"/>
        <v>0</v>
      </c>
      <c r="HP22" s="6">
        <f t="shared" si="177"/>
        <v>0</v>
      </c>
      <c r="HQ22" s="6">
        <f t="shared" si="178"/>
        <v>0</v>
      </c>
      <c r="HR22" s="6">
        <f t="shared" si="179"/>
        <v>0</v>
      </c>
      <c r="HS22" s="6" t="str">
        <f t="shared" si="180"/>
        <v/>
      </c>
      <c r="HT22" s="6" t="str">
        <f>INDEX(LabNameList,MATCH(V22,LabIDList,0))</f>
        <v>Trung tâm Kiểm định và Chứng nhận 1</v>
      </c>
      <c r="HU22" s="6">
        <f t="shared" si="181"/>
        <v>27</v>
      </c>
      <c r="HV22" s="6">
        <f t="shared" si="182"/>
        <v>27</v>
      </c>
      <c r="HW22" s="6">
        <f t="shared" si="183"/>
        <v>0</v>
      </c>
      <c r="HX22" s="6">
        <f t="shared" si="184"/>
        <v>0</v>
      </c>
      <c r="HY22" s="6">
        <f t="shared" si="185"/>
        <v>0</v>
      </c>
      <c r="HZ22" s="6">
        <f t="shared" si="186"/>
        <v>0</v>
      </c>
      <c r="IA22" s="5">
        <f t="shared" si="187"/>
        <v>27</v>
      </c>
      <c r="IB22" s="5">
        <f t="shared" si="188"/>
        <v>15</v>
      </c>
      <c r="IC22" s="132" t="str">
        <f t="shared" si="189"/>
        <v>A</v>
      </c>
      <c r="ID22" s="132" t="str">
        <f t="shared" si="190"/>
        <v>04002</v>
      </c>
      <c r="IE22" s="132" t="str">
        <f t="shared" si="191"/>
        <v>181019</v>
      </c>
      <c r="IF22" s="132" t="str">
        <f t="shared" si="192"/>
        <v>TG05</v>
      </c>
      <c r="IG22" s="171">
        <f t="shared" si="193"/>
        <v>43756</v>
      </c>
      <c r="IH22" s="171">
        <f t="shared" si="194"/>
        <v>45583</v>
      </c>
      <c r="II22" s="6">
        <v>37</v>
      </c>
    </row>
    <row r="23" spans="1:243" ht="127.5">
      <c r="A23" s="5">
        <f>Input!A23</f>
        <v>21</v>
      </c>
      <c r="B23" s="132" t="str">
        <f>Profile!$A$3</f>
        <v>VINAPHONE</v>
      </c>
      <c r="C23" s="132" t="str">
        <f>Profile!$F$3</f>
        <v>VINAPHONE</v>
      </c>
      <c r="D23" s="5" t="str">
        <f>Input!B23</f>
        <v>TU-HIEP-TD8-TTI_HNI</v>
      </c>
      <c r="E23" s="107" t="str">
        <f>Input!C23</f>
        <v>Khu D8, xã Tứ Hiệp, huyện Thanh Trì, thành phố Hà Nội</v>
      </c>
      <c r="F23" s="5" t="str">
        <f>Input!D23</f>
        <v>Hà Nội</v>
      </c>
      <c r="G23" s="5">
        <f>Input!E23</f>
        <v>105.84544</v>
      </c>
      <c r="H23" s="5">
        <f>Input!F23</f>
        <v>20.940650000000002</v>
      </c>
      <c r="I23" s="5">
        <f>Input!G23</f>
        <v>1</v>
      </c>
      <c r="J23" s="5">
        <f>Input!H23</f>
        <v>3</v>
      </c>
      <c r="K23" s="5" t="str">
        <f t="shared" si="0"/>
        <v>TỔNG CÔNG TY HẠ TẦNG MẠNG;TỔNG CÔNG TY HẠ TẦNG MẠNG;TỔNG CÔNG TY HẠ TẦNG MẠNG</v>
      </c>
      <c r="L23" s="5" t="str">
        <f>Input!J23</f>
        <v>TU-HIEP-TD8-TTI_HNI;TU-HIEP-TD8-TTI_HNI;TU-HIEP-TD8-TTI_HNI</v>
      </c>
      <c r="M23" s="5" t="str">
        <f>Input!K23</f>
        <v>HUAWEI BTS3900;HUAWEI DBS3900 WCDMA;NOKIA FLEXI MULTIRADIO BTS RADIO MODULE AND REMOTE RADIO (FHEL)</v>
      </c>
      <c r="N23" s="5" t="str">
        <f>Input!L23</f>
        <v>3;3;3</v>
      </c>
      <c r="O23" s="5" t="str">
        <f>Input!M23</f>
        <v>2/2/2;2/2/2;1/1/1</v>
      </c>
      <c r="P23" s="5" t="str">
        <f>Input!N23</f>
        <v>80/80/80;60/60/60;60/60/60</v>
      </c>
      <c r="Q23" s="5" t="str">
        <f>Input!O23</f>
        <v>900;2100;1800</v>
      </c>
      <c r="R23" s="5" t="str">
        <f>Input!P23</f>
        <v>21/21/21;19/19/19;21/21/21</v>
      </c>
      <c r="S23" s="152" t="b">
        <f>Input!Q23</f>
        <v>1</v>
      </c>
      <c r="T23" s="5" t="str">
        <f>Input!R23</f>
        <v>A04003181019TG05</v>
      </c>
      <c r="U23" s="5">
        <f>Input!S23</f>
        <v>0</v>
      </c>
      <c r="V23" s="5" t="str">
        <f>Input!T23</f>
        <v>VCC1</v>
      </c>
      <c r="W23" s="5" t="str">
        <f>Input!U23</f>
        <v>1902979/19/TG/TT1</v>
      </c>
      <c r="X23" s="7" t="str">
        <f>TEXT(Input!V23,"dd/mm/yyyy")</f>
        <v>18/10/2019</v>
      </c>
      <c r="Y23" s="5" t="b">
        <f>Input!W23</f>
        <v>0</v>
      </c>
      <c r="Z23" s="152" t="b">
        <f>Input!X23</f>
        <v>0</v>
      </c>
      <c r="AA23" s="5">
        <f t="shared" si="1"/>
        <v>19</v>
      </c>
      <c r="AB23" s="152" t="b">
        <f>Input!Y23</f>
        <v>1</v>
      </c>
      <c r="AC23" s="5">
        <f>VALUE(Input!Z23)</f>
        <v>12</v>
      </c>
      <c r="AD23" s="5" t="b">
        <f>Input!AA23</f>
        <v>0</v>
      </c>
      <c r="AE23" s="5" t="str">
        <f>Input!AB23</f>
        <v>Vũ Văn Giáp</v>
      </c>
      <c r="AF23" s="5" t="str">
        <f>Input!AC23</f>
        <v>Lê Tiến Cường</v>
      </c>
      <c r="AG23" s="132" t="str">
        <f>Options!$J$25</f>
        <v>TRUNG TÂM KIỂM ĐỊNH VÀ CHỨNG NHẬN 1</v>
      </c>
      <c r="AH23" s="132" t="str">
        <f>Options!$J$26</f>
        <v>TP. Hà Nội</v>
      </c>
      <c r="AI23" s="132" t="str">
        <f>Options!$J$29</f>
        <v>GIÁM ĐỐC</v>
      </c>
      <c r="AJ23" s="132" t="str">
        <f>Options!$J$30</f>
        <v/>
      </c>
      <c r="AK23" s="132" t="str">
        <f>Options!$J$31</f>
        <v>Bùi Ngọc Dũng</v>
      </c>
      <c r="AL23" s="6"/>
      <c r="AM23" s="6" t="str">
        <f>INDEX(ApplicantNameList,MATCH(B23,ApplicantIDList,0))</f>
        <v>Tổng Công ty Hạ tầng mạng</v>
      </c>
      <c r="AN23" s="6" t="str">
        <f>INDEX(OperatorNameList,MATCH(C23,OperatorIDList,0))</f>
        <v>TỔNG CÔNG TY HẠ TẦNG MẠNG</v>
      </c>
      <c r="AO23" s="5">
        <f t="shared" si="2"/>
        <v>3</v>
      </c>
      <c r="AP23" s="85" t="str">
        <f t="shared" si="3"/>
        <v>thành phố Hà Nội</v>
      </c>
      <c r="AQ23" s="233" t="str">
        <f t="shared" si="4"/>
        <v>huyện Thanh Trì</v>
      </c>
      <c r="AR23" s="233" t="str">
        <f t="shared" si="5"/>
        <v>xã Tứ Hiệp</v>
      </c>
      <c r="AS23" s="234" t="str">
        <f>INDEX(CityIDList,MATCH(F23,CityNameList,0))</f>
        <v>HNI</v>
      </c>
      <c r="AT23" s="6" t="str">
        <f>IF(J23&gt;=1,INDEX(OperatorNameList,MATCH(AZ23,OperatorIDList,0)),"")</f>
        <v>TỔNG CÔNG TY HẠ TẦNG MẠNG</v>
      </c>
      <c r="AU23" s="6" t="str">
        <f>IF(J23&gt;=2,INDEX(OperatorNameList,MATCH(BA23,OperatorIDList,0)),"")</f>
        <v>TỔNG CÔNG TY HẠ TẦNG MẠNG</v>
      </c>
      <c r="AV23" s="6" t="str">
        <f>IF(J23&gt;=3,INDEX(OperatorNameList,MATCH(BB23,OperatorIDList,0)),"")</f>
        <v>TỔNG CÔNG TY HẠ TẦNG MẠNG</v>
      </c>
      <c r="AW23" s="6" t="str">
        <f>IF(J23&gt;=4,INDEX(OperatorNameList,MATCH(BC23,OperatorIDList,0)),"")</f>
        <v/>
      </c>
      <c r="AX23" s="6" t="str">
        <f>IF(J23&gt;=5,INDEX(OperatorNameList,MATCH(BD23,OperatorIDList,0)),"")</f>
        <v/>
      </c>
      <c r="AY23" s="6" t="str">
        <f>IF(J23&gt;=6,INDEX(OperatorNameList,MATCH(BE23,OperatorIDList,0)),"")</f>
        <v/>
      </c>
      <c r="AZ23" s="6" t="str">
        <f t="shared" si="6"/>
        <v>VINAPHONE</v>
      </c>
      <c r="BA23" s="6" t="str">
        <f t="shared" si="7"/>
        <v>VINAPHONE</v>
      </c>
      <c r="BB23" s="6" t="str">
        <f t="shared" si="8"/>
        <v>VINAPHONE</v>
      </c>
      <c r="BC23" s="6" t="str">
        <f t="shared" si="9"/>
        <v/>
      </c>
      <c r="BD23" s="6" t="str">
        <f t="shared" si="10"/>
        <v/>
      </c>
      <c r="BE23" s="6" t="str">
        <f t="shared" si="11"/>
        <v/>
      </c>
      <c r="BF23" s="6" t="str">
        <f>Input!I23</f>
        <v>VINAPHONE;VINAPHONE;VINAPHONE</v>
      </c>
      <c r="BG23" s="6" t="str">
        <f t="shared" si="12"/>
        <v>TU-HIEP-TD8-TTI_HNI</v>
      </c>
      <c r="BH23" s="6" t="str">
        <f t="shared" si="13"/>
        <v>TU-HIEP-TD8-TTI_HNI</v>
      </c>
      <c r="BI23" s="6" t="str">
        <f t="shared" si="14"/>
        <v>TU-HIEP-TD8-TTI_HNI</v>
      </c>
      <c r="BJ23" s="6" t="str">
        <f t="shared" si="15"/>
        <v/>
      </c>
      <c r="BK23" s="6" t="str">
        <f t="shared" si="16"/>
        <v/>
      </c>
      <c r="BL23" s="6" t="str">
        <f t="shared" si="17"/>
        <v/>
      </c>
      <c r="BM23" s="6" t="str">
        <f t="shared" si="18"/>
        <v>HUAWEI BTS3900</v>
      </c>
      <c r="BN23" s="6" t="str">
        <f t="shared" si="19"/>
        <v>HUAWEI DBS3900 WCDMA</v>
      </c>
      <c r="BO23" s="6" t="str">
        <f t="shared" si="20"/>
        <v>NOKIA FLEXI MULTIRADIO BTS RADIO MODULE AND REMOTE RADIO (FHEL)</v>
      </c>
      <c r="BP23" s="6" t="str">
        <f t="shared" si="21"/>
        <v/>
      </c>
      <c r="BQ23" s="6" t="str">
        <f t="shared" si="22"/>
        <v/>
      </c>
      <c r="BR23" s="6" t="str">
        <f t="shared" si="23"/>
        <v/>
      </c>
      <c r="BS23" s="6">
        <f t="shared" si="24"/>
        <v>3</v>
      </c>
      <c r="BT23" s="6">
        <f t="shared" si="25"/>
        <v>3</v>
      </c>
      <c r="BU23" s="6">
        <f t="shared" si="26"/>
        <v>3</v>
      </c>
      <c r="BV23" s="6">
        <f t="shared" si="27"/>
        <v>0</v>
      </c>
      <c r="BW23" s="6">
        <f t="shared" si="28"/>
        <v>0</v>
      </c>
      <c r="BX23" s="6">
        <f t="shared" si="29"/>
        <v>0</v>
      </c>
      <c r="BY23" s="6" t="str">
        <f t="shared" si="30"/>
        <v>2/2/2</v>
      </c>
      <c r="BZ23" s="6">
        <f t="shared" si="31"/>
        <v>2</v>
      </c>
      <c r="CA23" s="6">
        <f t="shared" si="32"/>
        <v>2</v>
      </c>
      <c r="CB23" s="6">
        <f t="shared" si="33"/>
        <v>2</v>
      </c>
      <c r="CC23" s="6">
        <f t="shared" si="34"/>
        <v>0</v>
      </c>
      <c r="CD23" s="6">
        <f t="shared" si="35"/>
        <v>0</v>
      </c>
      <c r="CE23" s="6">
        <f t="shared" si="36"/>
        <v>0</v>
      </c>
      <c r="CF23" s="6" t="str">
        <f t="shared" si="37"/>
        <v>2/2/2</v>
      </c>
      <c r="CG23" s="6">
        <f t="shared" si="38"/>
        <v>2</v>
      </c>
      <c r="CH23" s="6">
        <f t="shared" si="39"/>
        <v>2</v>
      </c>
      <c r="CI23" s="6">
        <f t="shared" si="40"/>
        <v>2</v>
      </c>
      <c r="CJ23" s="6">
        <f t="shared" si="41"/>
        <v>0</v>
      </c>
      <c r="CK23" s="6">
        <f t="shared" si="42"/>
        <v>0</v>
      </c>
      <c r="CL23" s="6">
        <f t="shared" si="43"/>
        <v>0</v>
      </c>
      <c r="CM23" s="6" t="str">
        <f t="shared" si="44"/>
        <v>1/1/1</v>
      </c>
      <c r="CN23" s="6">
        <f t="shared" si="45"/>
        <v>1</v>
      </c>
      <c r="CO23" s="6">
        <f t="shared" si="46"/>
        <v>1</v>
      </c>
      <c r="CP23" s="6">
        <f t="shared" si="47"/>
        <v>1</v>
      </c>
      <c r="CQ23" s="6">
        <f t="shared" si="48"/>
        <v>0</v>
      </c>
      <c r="CR23" s="6">
        <f t="shared" si="49"/>
        <v>0</v>
      </c>
      <c r="CS23" s="6">
        <f t="shared" si="50"/>
        <v>0</v>
      </c>
      <c r="CT23" s="6" t="str">
        <f t="shared" si="51"/>
        <v/>
      </c>
      <c r="CU23" s="6">
        <f t="shared" si="52"/>
        <v>0</v>
      </c>
      <c r="CV23" s="6">
        <f t="shared" si="53"/>
        <v>0</v>
      </c>
      <c r="CW23" s="6">
        <f t="shared" si="54"/>
        <v>0</v>
      </c>
      <c r="CX23" s="6">
        <f t="shared" si="55"/>
        <v>0</v>
      </c>
      <c r="CY23" s="6">
        <f t="shared" si="56"/>
        <v>0</v>
      </c>
      <c r="CZ23" s="6">
        <f t="shared" si="57"/>
        <v>0</v>
      </c>
      <c r="DA23" s="6" t="str">
        <f t="shared" si="58"/>
        <v/>
      </c>
      <c r="DB23" s="6">
        <f t="shared" si="59"/>
        <v>0</v>
      </c>
      <c r="DC23" s="6">
        <f t="shared" si="60"/>
        <v>0</v>
      </c>
      <c r="DD23" s="6">
        <f t="shared" si="61"/>
        <v>0</v>
      </c>
      <c r="DE23" s="6">
        <f t="shared" si="62"/>
        <v>0</v>
      </c>
      <c r="DF23" s="6">
        <f t="shared" si="63"/>
        <v>0</v>
      </c>
      <c r="DG23" s="6">
        <f t="shared" si="64"/>
        <v>0</v>
      </c>
      <c r="DH23" s="6" t="str">
        <f t="shared" si="65"/>
        <v/>
      </c>
      <c r="DI23" s="6">
        <f t="shared" si="66"/>
        <v>0</v>
      </c>
      <c r="DJ23" s="6">
        <f t="shared" si="67"/>
        <v>0</v>
      </c>
      <c r="DK23" s="6">
        <f t="shared" si="68"/>
        <v>0</v>
      </c>
      <c r="DL23" s="6">
        <f t="shared" si="69"/>
        <v>0</v>
      </c>
      <c r="DM23" s="6">
        <f t="shared" si="70"/>
        <v>0</v>
      </c>
      <c r="DN23" s="6">
        <f t="shared" si="71"/>
        <v>0</v>
      </c>
      <c r="DO23" s="6" t="str">
        <f t="shared" si="72"/>
        <v>80/80/80</v>
      </c>
      <c r="DP23" s="6">
        <f t="shared" si="73"/>
        <v>80</v>
      </c>
      <c r="DQ23" s="6">
        <f t="shared" si="74"/>
        <v>80</v>
      </c>
      <c r="DR23" s="6">
        <f t="shared" si="75"/>
        <v>80</v>
      </c>
      <c r="DS23" s="6">
        <f t="shared" si="76"/>
        <v>0</v>
      </c>
      <c r="DT23" s="6">
        <f t="shared" si="77"/>
        <v>0</v>
      </c>
      <c r="DU23" s="6">
        <f t="shared" si="78"/>
        <v>0</v>
      </c>
      <c r="DV23" s="6" t="str">
        <f t="shared" si="79"/>
        <v>80W/ 80W/ 80W</v>
      </c>
      <c r="DW23" s="6">
        <f t="shared" si="80"/>
        <v>80</v>
      </c>
      <c r="DX23" s="6" t="str">
        <f t="shared" si="81"/>
        <v>60/60/60</v>
      </c>
      <c r="DY23" s="6">
        <f t="shared" si="82"/>
        <v>60</v>
      </c>
      <c r="DZ23" s="6">
        <f t="shared" si="83"/>
        <v>60</v>
      </c>
      <c r="EA23" s="6">
        <f t="shared" si="84"/>
        <v>60</v>
      </c>
      <c r="EB23" s="6">
        <f t="shared" si="85"/>
        <v>0</v>
      </c>
      <c r="EC23" s="6">
        <f t="shared" si="86"/>
        <v>0</v>
      </c>
      <c r="ED23" s="6">
        <f t="shared" si="87"/>
        <v>0</v>
      </c>
      <c r="EE23" s="6" t="str">
        <f t="shared" si="88"/>
        <v>60W/ 60W/ 60W</v>
      </c>
      <c r="EF23" s="6">
        <f t="shared" si="89"/>
        <v>60</v>
      </c>
      <c r="EG23" s="6" t="str">
        <f t="shared" si="90"/>
        <v>60/60/60</v>
      </c>
      <c r="EH23" s="6">
        <f t="shared" si="91"/>
        <v>60</v>
      </c>
      <c r="EI23" s="6">
        <f t="shared" si="92"/>
        <v>60</v>
      </c>
      <c r="EJ23" s="6">
        <f t="shared" si="93"/>
        <v>60</v>
      </c>
      <c r="EK23" s="6">
        <f t="shared" si="94"/>
        <v>0</v>
      </c>
      <c r="EL23" s="6">
        <f t="shared" si="95"/>
        <v>0</v>
      </c>
      <c r="EM23" s="6">
        <f t="shared" si="96"/>
        <v>0</v>
      </c>
      <c r="EN23" s="6" t="str">
        <f t="shared" si="97"/>
        <v>60W/ 60W/ 60W</v>
      </c>
      <c r="EO23" s="6">
        <f t="shared" si="98"/>
        <v>60</v>
      </c>
      <c r="EP23" s="6" t="str">
        <f t="shared" si="99"/>
        <v/>
      </c>
      <c r="EQ23" s="6">
        <f t="shared" si="100"/>
        <v>0</v>
      </c>
      <c r="ER23" s="6">
        <f t="shared" si="101"/>
        <v>0</v>
      </c>
      <c r="ES23" s="6">
        <f t="shared" si="102"/>
        <v>0</v>
      </c>
      <c r="ET23" s="6">
        <f t="shared" si="103"/>
        <v>0</v>
      </c>
      <c r="EU23" s="6">
        <f t="shared" si="104"/>
        <v>0</v>
      </c>
      <c r="EV23" s="6">
        <f t="shared" si="105"/>
        <v>0</v>
      </c>
      <c r="EW23" s="6" t="str">
        <f t="shared" si="106"/>
        <v/>
      </c>
      <c r="EX23" s="6">
        <f t="shared" si="107"/>
        <v>0</v>
      </c>
      <c r="EY23" s="6" t="str">
        <f t="shared" si="108"/>
        <v/>
      </c>
      <c r="EZ23" s="6">
        <f t="shared" si="109"/>
        <v>0</v>
      </c>
      <c r="FA23" s="6">
        <f t="shared" si="110"/>
        <v>0</v>
      </c>
      <c r="FB23" s="6">
        <f t="shared" si="111"/>
        <v>0</v>
      </c>
      <c r="FC23" s="6">
        <f t="shared" si="112"/>
        <v>0</v>
      </c>
      <c r="FD23" s="6">
        <f t="shared" si="113"/>
        <v>0</v>
      </c>
      <c r="FE23" s="6">
        <f t="shared" si="114"/>
        <v>0</v>
      </c>
      <c r="FF23" s="6" t="str">
        <f t="shared" si="115"/>
        <v/>
      </c>
      <c r="FG23" s="6">
        <f t="shared" si="116"/>
        <v>0</v>
      </c>
      <c r="FH23" s="6" t="str">
        <f t="shared" si="117"/>
        <v/>
      </c>
      <c r="FI23" s="6">
        <f t="shared" si="118"/>
        <v>0</v>
      </c>
      <c r="FJ23" s="6">
        <f t="shared" si="119"/>
        <v>0</v>
      </c>
      <c r="FK23" s="6">
        <f t="shared" si="120"/>
        <v>0</v>
      </c>
      <c r="FL23" s="6">
        <f t="shared" si="121"/>
        <v>0</v>
      </c>
      <c r="FM23" s="6">
        <f t="shared" si="122"/>
        <v>0</v>
      </c>
      <c r="FN23" s="6">
        <f t="shared" si="123"/>
        <v>0</v>
      </c>
      <c r="FO23" s="6" t="str">
        <f t="shared" si="124"/>
        <v/>
      </c>
      <c r="FP23" s="6">
        <f t="shared" si="125"/>
        <v>0</v>
      </c>
      <c r="FQ23" s="6">
        <f t="shared" si="126"/>
        <v>80</v>
      </c>
      <c r="FR23" s="6" t="str">
        <f t="shared" si="127"/>
        <v>900</v>
      </c>
      <c r="FS23" s="6" t="str">
        <f t="shared" si="128"/>
        <v>2100</v>
      </c>
      <c r="FT23" s="6" t="str">
        <f t="shared" si="129"/>
        <v>1800</v>
      </c>
      <c r="FU23" s="6" t="str">
        <f t="shared" si="130"/>
        <v/>
      </c>
      <c r="FV23" s="6" t="str">
        <f t="shared" si="131"/>
        <v/>
      </c>
      <c r="FW23" s="6" t="str">
        <f t="shared" si="132"/>
        <v/>
      </c>
      <c r="FX23" s="6" t="str">
        <f t="shared" si="133"/>
        <v>21/21/21</v>
      </c>
      <c r="FY23" s="6">
        <f t="shared" si="134"/>
        <v>21</v>
      </c>
      <c r="FZ23" s="6">
        <f t="shared" si="135"/>
        <v>21</v>
      </c>
      <c r="GA23" s="6">
        <f t="shared" si="136"/>
        <v>21</v>
      </c>
      <c r="GB23" s="6">
        <f t="shared" si="137"/>
        <v>0</v>
      </c>
      <c r="GC23" s="6">
        <f t="shared" si="138"/>
        <v>0</v>
      </c>
      <c r="GD23" s="6">
        <f t="shared" si="139"/>
        <v>0</v>
      </c>
      <c r="GE23" s="6" t="str">
        <f t="shared" si="140"/>
        <v>21m/ 21m/ 21m</v>
      </c>
      <c r="GF23" s="6" t="str">
        <f t="shared" si="141"/>
        <v>19/19/19</v>
      </c>
      <c r="GG23" s="6">
        <f t="shared" si="142"/>
        <v>19</v>
      </c>
      <c r="GH23" s="6">
        <f t="shared" si="143"/>
        <v>19</v>
      </c>
      <c r="GI23" s="6">
        <f t="shared" si="144"/>
        <v>19</v>
      </c>
      <c r="GJ23" s="6">
        <f t="shared" si="145"/>
        <v>0</v>
      </c>
      <c r="GK23" s="6">
        <f t="shared" si="146"/>
        <v>0</v>
      </c>
      <c r="GL23" s="6">
        <f t="shared" si="147"/>
        <v>0</v>
      </c>
      <c r="GM23" s="6" t="str">
        <f t="shared" si="148"/>
        <v>19m/ 19m/ 19m</v>
      </c>
      <c r="GN23" s="6" t="str">
        <f t="shared" si="149"/>
        <v>21/21/21</v>
      </c>
      <c r="GO23" s="6">
        <f t="shared" si="150"/>
        <v>21</v>
      </c>
      <c r="GP23" s="6">
        <f t="shared" si="151"/>
        <v>21</v>
      </c>
      <c r="GQ23" s="6">
        <f t="shared" si="152"/>
        <v>21</v>
      </c>
      <c r="GR23" s="6">
        <f t="shared" si="153"/>
        <v>0</v>
      </c>
      <c r="GS23" s="6">
        <f t="shared" si="154"/>
        <v>0</v>
      </c>
      <c r="GT23" s="6">
        <f t="shared" si="155"/>
        <v>0</v>
      </c>
      <c r="GU23" s="6" t="str">
        <f t="shared" si="156"/>
        <v>21m/ 21m/ 21m</v>
      </c>
      <c r="GV23" s="6" t="str">
        <f t="shared" si="157"/>
        <v/>
      </c>
      <c r="GW23" s="6">
        <f t="shared" si="158"/>
        <v>0</v>
      </c>
      <c r="GX23" s="6">
        <f t="shared" si="159"/>
        <v>0</v>
      </c>
      <c r="GY23" s="6">
        <f t="shared" si="160"/>
        <v>0</v>
      </c>
      <c r="GZ23" s="6">
        <f t="shared" si="161"/>
        <v>0</v>
      </c>
      <c r="HA23" s="6">
        <f t="shared" si="162"/>
        <v>0</v>
      </c>
      <c r="HB23" s="6">
        <f t="shared" si="163"/>
        <v>0</v>
      </c>
      <c r="HC23" s="6" t="str">
        <f t="shared" si="164"/>
        <v/>
      </c>
      <c r="HD23" s="6" t="str">
        <f t="shared" si="165"/>
        <v/>
      </c>
      <c r="HE23" s="6">
        <f t="shared" si="166"/>
        <v>0</v>
      </c>
      <c r="HF23" s="6">
        <f t="shared" si="167"/>
        <v>0</v>
      </c>
      <c r="HG23" s="6">
        <f t="shared" si="168"/>
        <v>0</v>
      </c>
      <c r="HH23" s="6">
        <f t="shared" si="169"/>
        <v>0</v>
      </c>
      <c r="HI23" s="6">
        <f t="shared" si="170"/>
        <v>0</v>
      </c>
      <c r="HJ23" s="6">
        <f t="shared" si="171"/>
        <v>0</v>
      </c>
      <c r="HK23" s="6" t="str">
        <f t="shared" si="172"/>
        <v/>
      </c>
      <c r="HL23" s="6" t="str">
        <f t="shared" si="173"/>
        <v/>
      </c>
      <c r="HM23" s="6">
        <f t="shared" si="174"/>
        <v>0</v>
      </c>
      <c r="HN23" s="6">
        <f t="shared" si="175"/>
        <v>0</v>
      </c>
      <c r="HO23" s="6">
        <f t="shared" si="176"/>
        <v>0</v>
      </c>
      <c r="HP23" s="6">
        <f t="shared" si="177"/>
        <v>0</v>
      </c>
      <c r="HQ23" s="6">
        <f t="shared" si="178"/>
        <v>0</v>
      </c>
      <c r="HR23" s="6">
        <f t="shared" si="179"/>
        <v>0</v>
      </c>
      <c r="HS23" s="6" t="str">
        <f t="shared" si="180"/>
        <v/>
      </c>
      <c r="HT23" s="6" t="str">
        <f>INDEX(LabNameList,MATCH(V23,LabIDList,0))</f>
        <v>Trung tâm Kiểm định và Chứng nhận 1</v>
      </c>
      <c r="HU23" s="6">
        <f t="shared" si="181"/>
        <v>21</v>
      </c>
      <c r="HV23" s="6">
        <f t="shared" si="182"/>
        <v>19</v>
      </c>
      <c r="HW23" s="6">
        <f t="shared" si="183"/>
        <v>21</v>
      </c>
      <c r="HX23" s="6">
        <f t="shared" si="184"/>
        <v>0</v>
      </c>
      <c r="HY23" s="6">
        <f t="shared" si="185"/>
        <v>0</v>
      </c>
      <c r="HZ23" s="6">
        <f t="shared" si="186"/>
        <v>0</v>
      </c>
      <c r="IA23" s="5">
        <f t="shared" si="187"/>
        <v>19</v>
      </c>
      <c r="IB23" s="5">
        <f t="shared" si="188"/>
        <v>7</v>
      </c>
      <c r="IC23" s="132" t="str">
        <f t="shared" si="189"/>
        <v>A</v>
      </c>
      <c r="ID23" s="132" t="str">
        <f t="shared" si="190"/>
        <v>04003</v>
      </c>
      <c r="IE23" s="132" t="str">
        <f t="shared" si="191"/>
        <v>181019</v>
      </c>
      <c r="IF23" s="132" t="str">
        <f t="shared" si="192"/>
        <v>TG05</v>
      </c>
      <c r="IG23" s="171">
        <f t="shared" si="193"/>
        <v>43756</v>
      </c>
      <c r="IH23" s="171">
        <f t="shared" si="194"/>
        <v>45583</v>
      </c>
      <c r="II23" s="6">
        <v>37</v>
      </c>
    </row>
    <row r="24" spans="1:243" ht="153">
      <c r="A24" s="5">
        <f>Input!A24</f>
        <v>22</v>
      </c>
      <c r="B24" s="132" t="str">
        <f>Profile!$A$3</f>
        <v>VINAPHONE</v>
      </c>
      <c r="C24" s="132" t="str">
        <f>Profile!$F$3</f>
        <v>VINAPHONE</v>
      </c>
      <c r="D24" s="5" t="str">
        <f>Input!B24</f>
        <v>VINH-QUYNH-TTI_HNI</v>
      </c>
      <c r="E24" s="107" t="str">
        <f>Input!C24</f>
        <v>Ủy ban nhân dân xã Vĩnh Quỳnh, xã Vĩnh Quỳnh, huyện Thanh Trì, thành phố Hà Nội</v>
      </c>
      <c r="F24" s="5" t="str">
        <f>Input!D24</f>
        <v>Hà Nội</v>
      </c>
      <c r="G24" s="5">
        <f>Input!E24</f>
        <v>105.830701</v>
      </c>
      <c r="H24" s="5">
        <f>Input!F24</f>
        <v>20.936440000000001</v>
      </c>
      <c r="I24" s="5">
        <f>Input!G24</f>
        <v>1</v>
      </c>
      <c r="J24" s="5">
        <f>Input!H24</f>
        <v>4</v>
      </c>
      <c r="K24" s="5" t="str">
        <f t="shared" si="0"/>
        <v>TỔNG CÔNG TY HẠ TẦNG MẠNG;TỔNG CÔNG TY HẠ TẦNG MẠNG;TỔNG CÔNG TY HẠ TẦNG MẠNG;TỔNG CÔNG TY HẠ TẦNG MẠNG</v>
      </c>
      <c r="L24" s="5" t="str">
        <f>Input!J24</f>
        <v>VINH-QUYNH-TTI_HNI;VINH-QUYNH-TTI_HNI;VINH-QUYNH-TTI_HNI;VINH-QUYNH-TTI_HNI</v>
      </c>
      <c r="M24" s="5" t="str">
        <f>Input!K24</f>
        <v>HUAWEI BTS3900;HUAWEI BTS3900;HUAWEI DBS3900 WCDMA;NOKIA FLEXI MULTIRADIO BTS RADIO MODULE AND REMOTE RADIO (FHEL)</v>
      </c>
      <c r="N24" s="5" t="str">
        <f>Input!L24</f>
        <v>3;3;3;3</v>
      </c>
      <c r="O24" s="5" t="str">
        <f>Input!M24</f>
        <v>2/2/2;2/2/2;2/2/2;1/1/1</v>
      </c>
      <c r="P24" s="5" t="str">
        <f>Input!N24</f>
        <v>80/80/80;80/80/80;60/60/60;60/60/60</v>
      </c>
      <c r="Q24" s="5" t="str">
        <f>Input!O24</f>
        <v>900;1800;2100;1800</v>
      </c>
      <c r="R24" s="5" t="str">
        <f>Input!P24</f>
        <v>26/26/26;26/26/26;26/26/26;26/26/26</v>
      </c>
      <c r="S24" s="152" t="b">
        <f>Input!Q24</f>
        <v>1</v>
      </c>
      <c r="T24" s="5" t="str">
        <f>Input!R24</f>
        <v>A04004181019TG05</v>
      </c>
      <c r="U24" s="5">
        <f>Input!S24</f>
        <v>0</v>
      </c>
      <c r="V24" s="5" t="str">
        <f>Input!T24</f>
        <v>VCC1</v>
      </c>
      <c r="W24" s="5" t="str">
        <f>Input!U24</f>
        <v>1903244/19/TG/TT1</v>
      </c>
      <c r="X24" s="7" t="str">
        <f>TEXT(Input!V24,"dd/mm/yyyy")</f>
        <v>18/10/2019</v>
      </c>
      <c r="Y24" s="5" t="b">
        <f>Input!W24</f>
        <v>0</v>
      </c>
      <c r="Z24" s="152" t="b">
        <f>Input!X24</f>
        <v>0</v>
      </c>
      <c r="AA24" s="5">
        <f t="shared" si="1"/>
        <v>26</v>
      </c>
      <c r="AB24" s="152" t="b">
        <f>Input!Y24</f>
        <v>1</v>
      </c>
      <c r="AC24" s="5">
        <f>VALUE(Input!Z24)</f>
        <v>8</v>
      </c>
      <c r="AD24" s="5" t="b">
        <f>Input!AA24</f>
        <v>0</v>
      </c>
      <c r="AE24" s="5" t="str">
        <f>Input!AB24</f>
        <v>Vũ Văn Giáp</v>
      </c>
      <c r="AF24" s="5" t="str">
        <f>Input!AC24</f>
        <v>Lê Tiến Cường</v>
      </c>
      <c r="AG24" s="132" t="str">
        <f>Options!$J$25</f>
        <v>TRUNG TÂM KIỂM ĐỊNH VÀ CHỨNG NHẬN 1</v>
      </c>
      <c r="AH24" s="132" t="str">
        <f>Options!$J$26</f>
        <v>TP. Hà Nội</v>
      </c>
      <c r="AI24" s="132" t="str">
        <f>Options!$J$29</f>
        <v>GIÁM ĐỐC</v>
      </c>
      <c r="AJ24" s="132" t="str">
        <f>Options!$J$30</f>
        <v/>
      </c>
      <c r="AK24" s="132" t="str">
        <f>Options!$J$31</f>
        <v>Bùi Ngọc Dũng</v>
      </c>
      <c r="AL24" s="6"/>
      <c r="AM24" s="6" t="str">
        <f>INDEX(ApplicantNameList,MATCH(B24,ApplicantIDList,0))</f>
        <v>Tổng Công ty Hạ tầng mạng</v>
      </c>
      <c r="AN24" s="6" t="str">
        <f>INDEX(OperatorNameList,MATCH(C24,OperatorIDList,0))</f>
        <v>TỔNG CÔNG TY HẠ TẦNG MẠNG</v>
      </c>
      <c r="AO24" s="5">
        <f t="shared" si="2"/>
        <v>3</v>
      </c>
      <c r="AP24" s="85" t="str">
        <f t="shared" si="3"/>
        <v>thành phố Hà Nội</v>
      </c>
      <c r="AQ24" s="233" t="str">
        <f t="shared" si="4"/>
        <v>huyện Thanh Trì</v>
      </c>
      <c r="AR24" s="233" t="str">
        <f t="shared" si="5"/>
        <v>xã Vĩnh Quỳnh</v>
      </c>
      <c r="AS24" s="234" t="str">
        <f>INDEX(CityIDList,MATCH(F24,CityNameList,0))</f>
        <v>HNI</v>
      </c>
      <c r="AT24" s="6" t="str">
        <f>IF(J24&gt;=1,INDEX(OperatorNameList,MATCH(AZ24,OperatorIDList,0)),"")</f>
        <v>TỔNG CÔNG TY HẠ TẦNG MẠNG</v>
      </c>
      <c r="AU24" s="6" t="str">
        <f>IF(J24&gt;=2,INDEX(OperatorNameList,MATCH(BA24,OperatorIDList,0)),"")</f>
        <v>TỔNG CÔNG TY HẠ TẦNG MẠNG</v>
      </c>
      <c r="AV24" s="6" t="str">
        <f>IF(J24&gt;=3,INDEX(OperatorNameList,MATCH(BB24,OperatorIDList,0)),"")</f>
        <v>TỔNG CÔNG TY HẠ TẦNG MẠNG</v>
      </c>
      <c r="AW24" s="6" t="str">
        <f>IF(J24&gt;=4,INDEX(OperatorNameList,MATCH(BC24,OperatorIDList,0)),"")</f>
        <v>TỔNG CÔNG TY HẠ TẦNG MẠNG</v>
      </c>
      <c r="AX24" s="6" t="str">
        <f>IF(J24&gt;=5,INDEX(OperatorNameList,MATCH(BD24,OperatorIDList,0)),"")</f>
        <v/>
      </c>
      <c r="AY24" s="6" t="str">
        <f>IF(J24&gt;=6,INDEX(OperatorNameList,MATCH(BE24,OperatorIDList,0)),"")</f>
        <v/>
      </c>
      <c r="AZ24" s="6" t="str">
        <f t="shared" si="6"/>
        <v>VINAPHONE</v>
      </c>
      <c r="BA24" s="6" t="str">
        <f t="shared" si="7"/>
        <v>VINAPHONE</v>
      </c>
      <c r="BB24" s="6" t="str">
        <f t="shared" si="8"/>
        <v>VINAPHONE</v>
      </c>
      <c r="BC24" s="6" t="str">
        <f t="shared" si="9"/>
        <v>VINAPHONE</v>
      </c>
      <c r="BD24" s="6" t="str">
        <f t="shared" si="10"/>
        <v/>
      </c>
      <c r="BE24" s="6" t="str">
        <f t="shared" si="11"/>
        <v/>
      </c>
      <c r="BF24" s="6" t="str">
        <f>Input!I24</f>
        <v>VINAPHONE;VINAPHONE;VINAPHONE;VINAPHONE</v>
      </c>
      <c r="BG24" s="6" t="str">
        <f t="shared" si="12"/>
        <v>VINH-QUYNH-TTI_HNI</v>
      </c>
      <c r="BH24" s="6" t="str">
        <f t="shared" si="13"/>
        <v>VINH-QUYNH-TTI_HNI</v>
      </c>
      <c r="BI24" s="6" t="str">
        <f t="shared" si="14"/>
        <v>VINH-QUYNH-TTI_HNI</v>
      </c>
      <c r="BJ24" s="6" t="str">
        <f t="shared" si="15"/>
        <v>VINH-QUYNH-TTI_HNI</v>
      </c>
      <c r="BK24" s="6" t="str">
        <f t="shared" si="16"/>
        <v/>
      </c>
      <c r="BL24" s="6" t="str">
        <f t="shared" si="17"/>
        <v/>
      </c>
      <c r="BM24" s="6" t="str">
        <f t="shared" si="18"/>
        <v>HUAWEI BTS3900</v>
      </c>
      <c r="BN24" s="6" t="str">
        <f t="shared" si="19"/>
        <v>HUAWEI BTS3900</v>
      </c>
      <c r="BO24" s="6" t="str">
        <f t="shared" si="20"/>
        <v>HUAWEI DBS3900 WCDMA</v>
      </c>
      <c r="BP24" s="6" t="str">
        <f t="shared" si="21"/>
        <v>NOKIA FLEXI MULTIRADIO BTS RADIO MODULE AND REMOTE RADIO (FHEL)</v>
      </c>
      <c r="BQ24" s="6" t="str">
        <f t="shared" si="22"/>
        <v/>
      </c>
      <c r="BR24" s="6" t="str">
        <f t="shared" si="23"/>
        <v/>
      </c>
      <c r="BS24" s="6">
        <f t="shared" si="24"/>
        <v>3</v>
      </c>
      <c r="BT24" s="6">
        <f t="shared" si="25"/>
        <v>3</v>
      </c>
      <c r="BU24" s="6">
        <f t="shared" si="26"/>
        <v>3</v>
      </c>
      <c r="BV24" s="6">
        <f t="shared" si="27"/>
        <v>3</v>
      </c>
      <c r="BW24" s="6">
        <f t="shared" si="28"/>
        <v>0</v>
      </c>
      <c r="BX24" s="6">
        <f t="shared" si="29"/>
        <v>0</v>
      </c>
      <c r="BY24" s="6" t="str">
        <f t="shared" si="30"/>
        <v>2/2/2</v>
      </c>
      <c r="BZ24" s="6">
        <f t="shared" si="31"/>
        <v>2</v>
      </c>
      <c r="CA24" s="6">
        <f t="shared" si="32"/>
        <v>2</v>
      </c>
      <c r="CB24" s="6">
        <f t="shared" si="33"/>
        <v>2</v>
      </c>
      <c r="CC24" s="6">
        <f t="shared" si="34"/>
        <v>0</v>
      </c>
      <c r="CD24" s="6">
        <f t="shared" si="35"/>
        <v>0</v>
      </c>
      <c r="CE24" s="6">
        <f t="shared" si="36"/>
        <v>0</v>
      </c>
      <c r="CF24" s="6" t="str">
        <f t="shared" si="37"/>
        <v>2/2/2</v>
      </c>
      <c r="CG24" s="6">
        <f t="shared" si="38"/>
        <v>2</v>
      </c>
      <c r="CH24" s="6">
        <f t="shared" si="39"/>
        <v>2</v>
      </c>
      <c r="CI24" s="6">
        <f t="shared" si="40"/>
        <v>2</v>
      </c>
      <c r="CJ24" s="6">
        <f t="shared" si="41"/>
        <v>0</v>
      </c>
      <c r="CK24" s="6">
        <f t="shared" si="42"/>
        <v>0</v>
      </c>
      <c r="CL24" s="6">
        <f t="shared" si="43"/>
        <v>0</v>
      </c>
      <c r="CM24" s="6" t="str">
        <f t="shared" si="44"/>
        <v>2/2/2</v>
      </c>
      <c r="CN24" s="6">
        <f t="shared" si="45"/>
        <v>2</v>
      </c>
      <c r="CO24" s="6">
        <f t="shared" si="46"/>
        <v>2</v>
      </c>
      <c r="CP24" s="6">
        <f t="shared" si="47"/>
        <v>2</v>
      </c>
      <c r="CQ24" s="6">
        <f t="shared" si="48"/>
        <v>0</v>
      </c>
      <c r="CR24" s="6">
        <f t="shared" si="49"/>
        <v>0</v>
      </c>
      <c r="CS24" s="6">
        <f t="shared" si="50"/>
        <v>0</v>
      </c>
      <c r="CT24" s="6" t="str">
        <f t="shared" si="51"/>
        <v>1/1/1</v>
      </c>
      <c r="CU24" s="6">
        <f t="shared" si="52"/>
        <v>1</v>
      </c>
      <c r="CV24" s="6">
        <f t="shared" si="53"/>
        <v>1</v>
      </c>
      <c r="CW24" s="6">
        <f t="shared" si="54"/>
        <v>1</v>
      </c>
      <c r="CX24" s="6">
        <f t="shared" si="55"/>
        <v>0</v>
      </c>
      <c r="CY24" s="6">
        <f t="shared" si="56"/>
        <v>0</v>
      </c>
      <c r="CZ24" s="6">
        <f t="shared" si="57"/>
        <v>0</v>
      </c>
      <c r="DA24" s="6" t="str">
        <f t="shared" si="58"/>
        <v/>
      </c>
      <c r="DB24" s="6">
        <f t="shared" si="59"/>
        <v>0</v>
      </c>
      <c r="DC24" s="6">
        <f t="shared" si="60"/>
        <v>0</v>
      </c>
      <c r="DD24" s="6">
        <f t="shared" si="61"/>
        <v>0</v>
      </c>
      <c r="DE24" s="6">
        <f t="shared" si="62"/>
        <v>0</v>
      </c>
      <c r="DF24" s="6">
        <f t="shared" si="63"/>
        <v>0</v>
      </c>
      <c r="DG24" s="6">
        <f t="shared" si="64"/>
        <v>0</v>
      </c>
      <c r="DH24" s="6" t="str">
        <f t="shared" si="65"/>
        <v/>
      </c>
      <c r="DI24" s="6">
        <f t="shared" si="66"/>
        <v>0</v>
      </c>
      <c r="DJ24" s="6">
        <f t="shared" si="67"/>
        <v>0</v>
      </c>
      <c r="DK24" s="6">
        <f t="shared" si="68"/>
        <v>0</v>
      </c>
      <c r="DL24" s="6">
        <f t="shared" si="69"/>
        <v>0</v>
      </c>
      <c r="DM24" s="6">
        <f t="shared" si="70"/>
        <v>0</v>
      </c>
      <c r="DN24" s="6">
        <f t="shared" si="71"/>
        <v>0</v>
      </c>
      <c r="DO24" s="6" t="str">
        <f t="shared" si="72"/>
        <v>80/80/80</v>
      </c>
      <c r="DP24" s="6">
        <f t="shared" si="73"/>
        <v>80</v>
      </c>
      <c r="DQ24" s="6">
        <f t="shared" si="74"/>
        <v>80</v>
      </c>
      <c r="DR24" s="6">
        <f t="shared" si="75"/>
        <v>80</v>
      </c>
      <c r="DS24" s="6">
        <f t="shared" si="76"/>
        <v>0</v>
      </c>
      <c r="DT24" s="6">
        <f t="shared" si="77"/>
        <v>0</v>
      </c>
      <c r="DU24" s="6">
        <f t="shared" si="78"/>
        <v>0</v>
      </c>
      <c r="DV24" s="6" t="str">
        <f t="shared" si="79"/>
        <v>80W/ 80W/ 80W</v>
      </c>
      <c r="DW24" s="6">
        <f t="shared" si="80"/>
        <v>80</v>
      </c>
      <c r="DX24" s="6" t="str">
        <f t="shared" si="81"/>
        <v>80/80/80</v>
      </c>
      <c r="DY24" s="6">
        <f t="shared" si="82"/>
        <v>80</v>
      </c>
      <c r="DZ24" s="6">
        <f t="shared" si="83"/>
        <v>80</v>
      </c>
      <c r="EA24" s="6">
        <f t="shared" si="84"/>
        <v>80</v>
      </c>
      <c r="EB24" s="6">
        <f t="shared" si="85"/>
        <v>0</v>
      </c>
      <c r="EC24" s="6">
        <f t="shared" si="86"/>
        <v>0</v>
      </c>
      <c r="ED24" s="6">
        <f t="shared" si="87"/>
        <v>0</v>
      </c>
      <c r="EE24" s="6" t="str">
        <f t="shared" si="88"/>
        <v>80W/ 80W/ 80W</v>
      </c>
      <c r="EF24" s="6">
        <f t="shared" si="89"/>
        <v>80</v>
      </c>
      <c r="EG24" s="6" t="str">
        <f t="shared" si="90"/>
        <v>60/60/60</v>
      </c>
      <c r="EH24" s="6">
        <f t="shared" si="91"/>
        <v>60</v>
      </c>
      <c r="EI24" s="6">
        <f t="shared" si="92"/>
        <v>60</v>
      </c>
      <c r="EJ24" s="6">
        <f t="shared" si="93"/>
        <v>60</v>
      </c>
      <c r="EK24" s="6">
        <f t="shared" si="94"/>
        <v>0</v>
      </c>
      <c r="EL24" s="6">
        <f t="shared" si="95"/>
        <v>0</v>
      </c>
      <c r="EM24" s="6">
        <f t="shared" si="96"/>
        <v>0</v>
      </c>
      <c r="EN24" s="6" t="str">
        <f t="shared" si="97"/>
        <v>60W/ 60W/ 60W</v>
      </c>
      <c r="EO24" s="6">
        <f t="shared" si="98"/>
        <v>60</v>
      </c>
      <c r="EP24" s="6" t="str">
        <f t="shared" si="99"/>
        <v>60/60/60</v>
      </c>
      <c r="EQ24" s="6">
        <f t="shared" si="100"/>
        <v>60</v>
      </c>
      <c r="ER24" s="6">
        <f t="shared" si="101"/>
        <v>60</v>
      </c>
      <c r="ES24" s="6">
        <f t="shared" si="102"/>
        <v>60</v>
      </c>
      <c r="ET24" s="6">
        <f t="shared" si="103"/>
        <v>0</v>
      </c>
      <c r="EU24" s="6">
        <f t="shared" si="104"/>
        <v>0</v>
      </c>
      <c r="EV24" s="6">
        <f t="shared" si="105"/>
        <v>0</v>
      </c>
      <c r="EW24" s="6" t="str">
        <f t="shared" si="106"/>
        <v>60W/ 60W/ 60W</v>
      </c>
      <c r="EX24" s="6">
        <f t="shared" si="107"/>
        <v>60</v>
      </c>
      <c r="EY24" s="6" t="str">
        <f t="shared" si="108"/>
        <v/>
      </c>
      <c r="EZ24" s="6">
        <f t="shared" si="109"/>
        <v>0</v>
      </c>
      <c r="FA24" s="6">
        <f t="shared" si="110"/>
        <v>0</v>
      </c>
      <c r="FB24" s="6">
        <f t="shared" si="111"/>
        <v>0</v>
      </c>
      <c r="FC24" s="6">
        <f t="shared" si="112"/>
        <v>0</v>
      </c>
      <c r="FD24" s="6">
        <f t="shared" si="113"/>
        <v>0</v>
      </c>
      <c r="FE24" s="6">
        <f t="shared" si="114"/>
        <v>0</v>
      </c>
      <c r="FF24" s="6" t="str">
        <f t="shared" si="115"/>
        <v/>
      </c>
      <c r="FG24" s="6">
        <f t="shared" si="116"/>
        <v>0</v>
      </c>
      <c r="FH24" s="6" t="str">
        <f t="shared" si="117"/>
        <v/>
      </c>
      <c r="FI24" s="6">
        <f t="shared" si="118"/>
        <v>0</v>
      </c>
      <c r="FJ24" s="6">
        <f t="shared" si="119"/>
        <v>0</v>
      </c>
      <c r="FK24" s="6">
        <f t="shared" si="120"/>
        <v>0</v>
      </c>
      <c r="FL24" s="6">
        <f t="shared" si="121"/>
        <v>0</v>
      </c>
      <c r="FM24" s="6">
        <f t="shared" si="122"/>
        <v>0</v>
      </c>
      <c r="FN24" s="6">
        <f t="shared" si="123"/>
        <v>0</v>
      </c>
      <c r="FO24" s="6" t="str">
        <f t="shared" si="124"/>
        <v/>
      </c>
      <c r="FP24" s="6">
        <f t="shared" si="125"/>
        <v>0</v>
      </c>
      <c r="FQ24" s="6">
        <f t="shared" si="126"/>
        <v>80</v>
      </c>
      <c r="FR24" s="6" t="str">
        <f t="shared" si="127"/>
        <v>900</v>
      </c>
      <c r="FS24" s="6" t="str">
        <f t="shared" si="128"/>
        <v>1800</v>
      </c>
      <c r="FT24" s="6" t="str">
        <f t="shared" si="129"/>
        <v>2100</v>
      </c>
      <c r="FU24" s="6" t="str">
        <f t="shared" si="130"/>
        <v>1800</v>
      </c>
      <c r="FV24" s="6" t="str">
        <f t="shared" si="131"/>
        <v/>
      </c>
      <c r="FW24" s="6" t="str">
        <f t="shared" si="132"/>
        <v/>
      </c>
      <c r="FX24" s="6" t="str">
        <f t="shared" si="133"/>
        <v>26/26/26</v>
      </c>
      <c r="FY24" s="6">
        <f t="shared" si="134"/>
        <v>26</v>
      </c>
      <c r="FZ24" s="6">
        <f t="shared" si="135"/>
        <v>26</v>
      </c>
      <c r="GA24" s="6">
        <f t="shared" si="136"/>
        <v>26</v>
      </c>
      <c r="GB24" s="6">
        <f t="shared" si="137"/>
        <v>0</v>
      </c>
      <c r="GC24" s="6">
        <f t="shared" si="138"/>
        <v>0</v>
      </c>
      <c r="GD24" s="6">
        <f t="shared" si="139"/>
        <v>0</v>
      </c>
      <c r="GE24" s="6" t="str">
        <f t="shared" si="140"/>
        <v>26m/ 26m/ 26m</v>
      </c>
      <c r="GF24" s="6" t="str">
        <f t="shared" si="141"/>
        <v>26/26/26</v>
      </c>
      <c r="GG24" s="6">
        <f t="shared" si="142"/>
        <v>26</v>
      </c>
      <c r="GH24" s="6">
        <f t="shared" si="143"/>
        <v>26</v>
      </c>
      <c r="GI24" s="6">
        <f t="shared" si="144"/>
        <v>26</v>
      </c>
      <c r="GJ24" s="6">
        <f t="shared" si="145"/>
        <v>0</v>
      </c>
      <c r="GK24" s="6">
        <f t="shared" si="146"/>
        <v>0</v>
      </c>
      <c r="GL24" s="6">
        <f t="shared" si="147"/>
        <v>0</v>
      </c>
      <c r="GM24" s="6" t="str">
        <f t="shared" si="148"/>
        <v>26m/ 26m/ 26m</v>
      </c>
      <c r="GN24" s="6" t="str">
        <f t="shared" si="149"/>
        <v>26/26/26</v>
      </c>
      <c r="GO24" s="6">
        <f t="shared" si="150"/>
        <v>26</v>
      </c>
      <c r="GP24" s="6">
        <f t="shared" si="151"/>
        <v>26</v>
      </c>
      <c r="GQ24" s="6">
        <f t="shared" si="152"/>
        <v>26</v>
      </c>
      <c r="GR24" s="6">
        <f t="shared" si="153"/>
        <v>0</v>
      </c>
      <c r="GS24" s="6">
        <f t="shared" si="154"/>
        <v>0</v>
      </c>
      <c r="GT24" s="6">
        <f t="shared" si="155"/>
        <v>0</v>
      </c>
      <c r="GU24" s="6" t="str">
        <f t="shared" si="156"/>
        <v>26m/ 26m/ 26m</v>
      </c>
      <c r="GV24" s="6" t="str">
        <f t="shared" si="157"/>
        <v>26/26/26</v>
      </c>
      <c r="GW24" s="6">
        <f t="shared" si="158"/>
        <v>26</v>
      </c>
      <c r="GX24" s="6">
        <f t="shared" si="159"/>
        <v>26</v>
      </c>
      <c r="GY24" s="6">
        <f t="shared" si="160"/>
        <v>26</v>
      </c>
      <c r="GZ24" s="6">
        <f t="shared" si="161"/>
        <v>0</v>
      </c>
      <c r="HA24" s="6">
        <f t="shared" si="162"/>
        <v>0</v>
      </c>
      <c r="HB24" s="6">
        <f t="shared" si="163"/>
        <v>0</v>
      </c>
      <c r="HC24" s="6" t="str">
        <f t="shared" si="164"/>
        <v>26m/ 26m/ 26m</v>
      </c>
      <c r="HD24" s="6" t="str">
        <f t="shared" si="165"/>
        <v/>
      </c>
      <c r="HE24" s="6">
        <f t="shared" si="166"/>
        <v>0</v>
      </c>
      <c r="HF24" s="6">
        <f t="shared" si="167"/>
        <v>0</v>
      </c>
      <c r="HG24" s="6">
        <f t="shared" si="168"/>
        <v>0</v>
      </c>
      <c r="HH24" s="6">
        <f t="shared" si="169"/>
        <v>0</v>
      </c>
      <c r="HI24" s="6">
        <f t="shared" si="170"/>
        <v>0</v>
      </c>
      <c r="HJ24" s="6">
        <f t="shared" si="171"/>
        <v>0</v>
      </c>
      <c r="HK24" s="6" t="str">
        <f t="shared" si="172"/>
        <v/>
      </c>
      <c r="HL24" s="6" t="str">
        <f t="shared" si="173"/>
        <v/>
      </c>
      <c r="HM24" s="6">
        <f t="shared" si="174"/>
        <v>0</v>
      </c>
      <c r="HN24" s="6">
        <f t="shared" si="175"/>
        <v>0</v>
      </c>
      <c r="HO24" s="6">
        <f t="shared" si="176"/>
        <v>0</v>
      </c>
      <c r="HP24" s="6">
        <f t="shared" si="177"/>
        <v>0</v>
      </c>
      <c r="HQ24" s="6">
        <f t="shared" si="178"/>
        <v>0</v>
      </c>
      <c r="HR24" s="6">
        <f t="shared" si="179"/>
        <v>0</v>
      </c>
      <c r="HS24" s="6" t="str">
        <f t="shared" si="180"/>
        <v/>
      </c>
      <c r="HT24" s="6" t="str">
        <f>INDEX(LabNameList,MATCH(V24,LabIDList,0))</f>
        <v>Trung tâm Kiểm định và Chứng nhận 1</v>
      </c>
      <c r="HU24" s="6">
        <f t="shared" si="181"/>
        <v>26</v>
      </c>
      <c r="HV24" s="6">
        <f t="shared" si="182"/>
        <v>26</v>
      </c>
      <c r="HW24" s="6">
        <f t="shared" si="183"/>
        <v>26</v>
      </c>
      <c r="HX24" s="6">
        <f t="shared" si="184"/>
        <v>26</v>
      </c>
      <c r="HY24" s="6">
        <f t="shared" si="185"/>
        <v>0</v>
      </c>
      <c r="HZ24" s="6">
        <f t="shared" si="186"/>
        <v>0</v>
      </c>
      <c r="IA24" s="5">
        <f t="shared" si="187"/>
        <v>26</v>
      </c>
      <c r="IB24" s="5">
        <f t="shared" si="188"/>
        <v>18</v>
      </c>
      <c r="IC24" s="132" t="str">
        <f t="shared" si="189"/>
        <v>A</v>
      </c>
      <c r="ID24" s="132" t="str">
        <f t="shared" si="190"/>
        <v>04004</v>
      </c>
      <c r="IE24" s="132" t="str">
        <f t="shared" si="191"/>
        <v>181019</v>
      </c>
      <c r="IF24" s="132" t="str">
        <f t="shared" si="192"/>
        <v>TG05</v>
      </c>
      <c r="IG24" s="171">
        <f t="shared" si="193"/>
        <v>43756</v>
      </c>
      <c r="IH24" s="171">
        <f t="shared" si="194"/>
        <v>45583</v>
      </c>
      <c r="II24" s="6">
        <v>37</v>
      </c>
    </row>
    <row r="25" spans="1:243" ht="165.75">
      <c r="A25" s="5">
        <f>Input!A25</f>
        <v>23</v>
      </c>
      <c r="B25" s="132" t="str">
        <f>Profile!$A$3</f>
        <v>VINAPHONE</v>
      </c>
      <c r="C25" s="132" t="str">
        <f>Profile!$F$3</f>
        <v>VINAPHONE</v>
      </c>
      <c r="D25" s="5" t="str">
        <f>Input!B25</f>
        <v>DONG-LA-LA-TINH-HDC_HNI</v>
      </c>
      <c r="E25" s="107" t="str">
        <f>Input!C25</f>
        <v>Thôn La Tinh, xã Đông La, huyện Hoài Đức, thành phố Hà Nội</v>
      </c>
      <c r="F25" s="5" t="str">
        <f>Input!D25</f>
        <v>Hà Nội</v>
      </c>
      <c r="G25" s="5">
        <f>Input!E25</f>
        <v>105.735023</v>
      </c>
      <c r="H25" s="5">
        <f>Input!F25</f>
        <v>20.964811000000001</v>
      </c>
      <c r="I25" s="5">
        <f>Input!G25</f>
        <v>1</v>
      </c>
      <c r="J25" s="5">
        <f>Input!H25</f>
        <v>2</v>
      </c>
      <c r="K25" s="5" t="str">
        <f t="shared" si="0"/>
        <v>TỔNG CÔNG TY HẠ TẦNG MẠNG;TỔNG CÔNG TY HẠ TẦNG MẠNG</v>
      </c>
      <c r="L25" s="5" t="str">
        <f>Input!J25</f>
        <v>DONG-LA-LA-TINH-HDC_HNI;DONG-LA-LA-TINH-HDC_HNI</v>
      </c>
      <c r="M25" s="5" t="str">
        <f>Input!K25</f>
        <v>NOKIA FLEXI MULTIRADIO BTS RADIO MODULE AND REMOTE RADIO (FRGY);NOKIA FLEXI MULTIRADIO BTS RADIO MODULE AND REMOTE RADIO (FHEL)</v>
      </c>
      <c r="N25" s="5" t="str">
        <f>Input!L25</f>
        <v>3;3</v>
      </c>
      <c r="O25" s="5" t="str">
        <f>Input!M25</f>
        <v>2/2/2;1/1/1</v>
      </c>
      <c r="P25" s="5" t="str">
        <f>Input!N25</f>
        <v>60/60/60;60/60/60</v>
      </c>
      <c r="Q25" s="5" t="str">
        <f>Input!O25</f>
        <v>2100;1800</v>
      </c>
      <c r="R25" s="5" t="str">
        <f>Input!P25</f>
        <v>43/43/43;43/43/43</v>
      </c>
      <c r="S25" s="152" t="b">
        <f>Input!Q25</f>
        <v>1</v>
      </c>
      <c r="T25" s="5" t="str">
        <f>Input!R25</f>
        <v>A04005181019TG05</v>
      </c>
      <c r="U25" s="5">
        <f>Input!S25</f>
        <v>0</v>
      </c>
      <c r="V25" s="5" t="str">
        <f>Input!T25</f>
        <v>VCC1</v>
      </c>
      <c r="W25" s="5" t="str">
        <f>Input!U25</f>
        <v>1902953/19/TG/TT1</v>
      </c>
      <c r="X25" s="7" t="str">
        <f>TEXT(Input!V25,"dd/mm/yyyy")</f>
        <v>18/10/2019</v>
      </c>
      <c r="Y25" s="5" t="b">
        <f>Input!W25</f>
        <v>1</v>
      </c>
      <c r="Z25" s="152" t="b">
        <f>Input!X25</f>
        <v>1</v>
      </c>
      <c r="AA25" s="5">
        <f t="shared" si="1"/>
        <v>43</v>
      </c>
      <c r="AB25" s="152" t="b">
        <f>Input!Y25</f>
        <v>1</v>
      </c>
      <c r="AC25" s="5">
        <f>VALUE(Input!Z25)</f>
        <v>5</v>
      </c>
      <c r="AD25" s="5" t="b">
        <f>Input!AA25</f>
        <v>0</v>
      </c>
      <c r="AE25" s="5" t="str">
        <f>Input!AB25</f>
        <v>Vũ Văn Giáp</v>
      </c>
      <c r="AF25" s="5" t="str">
        <f>Input!AC25</f>
        <v>Lê Tiến Cường</v>
      </c>
      <c r="AG25" s="132" t="str">
        <f>Options!$J$25</f>
        <v>TRUNG TÂM KIỂM ĐỊNH VÀ CHỨNG NHẬN 1</v>
      </c>
      <c r="AH25" s="132" t="str">
        <f>Options!$J$26</f>
        <v>TP. Hà Nội</v>
      </c>
      <c r="AI25" s="132" t="str">
        <f>Options!$J$29</f>
        <v>GIÁM ĐỐC</v>
      </c>
      <c r="AJ25" s="132" t="str">
        <f>Options!$J$30</f>
        <v/>
      </c>
      <c r="AK25" s="132" t="str">
        <f>Options!$J$31</f>
        <v>Bùi Ngọc Dũng</v>
      </c>
      <c r="AL25" s="6"/>
      <c r="AM25" s="6" t="str">
        <f>INDEX(ApplicantNameList,MATCH(B25,ApplicantIDList,0))</f>
        <v>Tổng Công ty Hạ tầng mạng</v>
      </c>
      <c r="AN25" s="6" t="str">
        <f>INDEX(OperatorNameList,MATCH(C25,OperatorIDList,0))</f>
        <v>TỔNG CÔNG TY HẠ TẦNG MẠNG</v>
      </c>
      <c r="AO25" s="5">
        <f t="shared" si="2"/>
        <v>3</v>
      </c>
      <c r="AP25" s="85" t="str">
        <f t="shared" si="3"/>
        <v>thành phố Hà Nội</v>
      </c>
      <c r="AQ25" s="233" t="str">
        <f t="shared" si="4"/>
        <v>huyện Hoài Đức</v>
      </c>
      <c r="AR25" s="233" t="str">
        <f t="shared" si="5"/>
        <v>xã Đông La</v>
      </c>
      <c r="AS25" s="234" t="str">
        <f>INDEX(CityIDList,MATCH(F25,CityNameList,0))</f>
        <v>HNI</v>
      </c>
      <c r="AT25" s="6" t="str">
        <f>IF(J25&gt;=1,INDEX(OperatorNameList,MATCH(AZ25,OperatorIDList,0)),"")</f>
        <v>TỔNG CÔNG TY HẠ TẦNG MẠNG</v>
      </c>
      <c r="AU25" s="6" t="str">
        <f>IF(J25&gt;=2,INDEX(OperatorNameList,MATCH(BA25,OperatorIDList,0)),"")</f>
        <v>TỔNG CÔNG TY HẠ TẦNG MẠNG</v>
      </c>
      <c r="AV25" s="6" t="str">
        <f>IF(J25&gt;=3,INDEX(OperatorNameList,MATCH(BB25,OperatorIDList,0)),"")</f>
        <v/>
      </c>
      <c r="AW25" s="6" t="str">
        <f>IF(J25&gt;=4,INDEX(OperatorNameList,MATCH(BC25,OperatorIDList,0)),"")</f>
        <v/>
      </c>
      <c r="AX25" s="6" t="str">
        <f>IF(J25&gt;=5,INDEX(OperatorNameList,MATCH(BD25,OperatorIDList,0)),"")</f>
        <v/>
      </c>
      <c r="AY25" s="6" t="str">
        <f>IF(J25&gt;=6,INDEX(OperatorNameList,MATCH(BE25,OperatorIDList,0)),"")</f>
        <v/>
      </c>
      <c r="AZ25" s="6" t="str">
        <f t="shared" si="6"/>
        <v>VINAPHONE</v>
      </c>
      <c r="BA25" s="6" t="str">
        <f t="shared" si="7"/>
        <v>VINAPHONE</v>
      </c>
      <c r="BB25" s="6" t="str">
        <f t="shared" si="8"/>
        <v/>
      </c>
      <c r="BC25" s="6" t="str">
        <f t="shared" si="9"/>
        <v/>
      </c>
      <c r="BD25" s="6" t="str">
        <f t="shared" si="10"/>
        <v/>
      </c>
      <c r="BE25" s="6" t="str">
        <f t="shared" si="11"/>
        <v/>
      </c>
      <c r="BF25" s="6" t="str">
        <f>Input!I25</f>
        <v>VINAPHONE;VINAPHONE</v>
      </c>
      <c r="BG25" s="6" t="str">
        <f t="shared" si="12"/>
        <v>DONG-LA-LA-TINH-HDC_HNI</v>
      </c>
      <c r="BH25" s="6" t="str">
        <f t="shared" si="13"/>
        <v>DONG-LA-LA-TINH-HDC_HNI</v>
      </c>
      <c r="BI25" s="6" t="str">
        <f t="shared" si="14"/>
        <v/>
      </c>
      <c r="BJ25" s="6" t="str">
        <f t="shared" si="15"/>
        <v/>
      </c>
      <c r="BK25" s="6" t="str">
        <f t="shared" si="16"/>
        <v/>
      </c>
      <c r="BL25" s="6" t="str">
        <f t="shared" si="17"/>
        <v/>
      </c>
      <c r="BM25" s="6" t="str">
        <f t="shared" si="18"/>
        <v>NOKIA FLEXI MULTIRADIO BTS RADIO MODULE AND REMOTE RADIO (FRGY)</v>
      </c>
      <c r="BN25" s="6" t="str">
        <f t="shared" si="19"/>
        <v>NOKIA FLEXI MULTIRADIO BTS RADIO MODULE AND REMOTE RADIO (FHEL)</v>
      </c>
      <c r="BO25" s="6" t="str">
        <f t="shared" si="20"/>
        <v/>
      </c>
      <c r="BP25" s="6" t="str">
        <f t="shared" si="21"/>
        <v/>
      </c>
      <c r="BQ25" s="6" t="str">
        <f t="shared" si="22"/>
        <v/>
      </c>
      <c r="BR25" s="6" t="str">
        <f t="shared" si="23"/>
        <v/>
      </c>
      <c r="BS25" s="6">
        <f t="shared" si="24"/>
        <v>3</v>
      </c>
      <c r="BT25" s="6">
        <f t="shared" si="25"/>
        <v>3</v>
      </c>
      <c r="BU25" s="6">
        <f t="shared" si="26"/>
        <v>0</v>
      </c>
      <c r="BV25" s="6">
        <f t="shared" si="27"/>
        <v>0</v>
      </c>
      <c r="BW25" s="6">
        <f t="shared" si="28"/>
        <v>0</v>
      </c>
      <c r="BX25" s="6">
        <f t="shared" si="29"/>
        <v>0</v>
      </c>
      <c r="BY25" s="6" t="str">
        <f t="shared" si="30"/>
        <v>2/2/2</v>
      </c>
      <c r="BZ25" s="6">
        <f t="shared" si="31"/>
        <v>2</v>
      </c>
      <c r="CA25" s="6">
        <f t="shared" si="32"/>
        <v>2</v>
      </c>
      <c r="CB25" s="6">
        <f t="shared" si="33"/>
        <v>2</v>
      </c>
      <c r="CC25" s="6">
        <f t="shared" si="34"/>
        <v>0</v>
      </c>
      <c r="CD25" s="6">
        <f t="shared" si="35"/>
        <v>0</v>
      </c>
      <c r="CE25" s="6">
        <f t="shared" si="36"/>
        <v>0</v>
      </c>
      <c r="CF25" s="6" t="str">
        <f t="shared" si="37"/>
        <v>1/1/1</v>
      </c>
      <c r="CG25" s="6">
        <f t="shared" si="38"/>
        <v>1</v>
      </c>
      <c r="CH25" s="6">
        <f t="shared" si="39"/>
        <v>1</v>
      </c>
      <c r="CI25" s="6">
        <f t="shared" si="40"/>
        <v>1</v>
      </c>
      <c r="CJ25" s="6">
        <f t="shared" si="41"/>
        <v>0</v>
      </c>
      <c r="CK25" s="6">
        <f t="shared" si="42"/>
        <v>0</v>
      </c>
      <c r="CL25" s="6">
        <f t="shared" si="43"/>
        <v>0</v>
      </c>
      <c r="CM25" s="6" t="str">
        <f t="shared" si="44"/>
        <v/>
      </c>
      <c r="CN25" s="6">
        <f t="shared" si="45"/>
        <v>0</v>
      </c>
      <c r="CO25" s="6">
        <f t="shared" si="46"/>
        <v>0</v>
      </c>
      <c r="CP25" s="6">
        <f t="shared" si="47"/>
        <v>0</v>
      </c>
      <c r="CQ25" s="6">
        <f t="shared" si="48"/>
        <v>0</v>
      </c>
      <c r="CR25" s="6">
        <f t="shared" si="49"/>
        <v>0</v>
      </c>
      <c r="CS25" s="6">
        <f t="shared" si="50"/>
        <v>0</v>
      </c>
      <c r="CT25" s="6" t="str">
        <f t="shared" si="51"/>
        <v/>
      </c>
      <c r="CU25" s="6">
        <f t="shared" si="52"/>
        <v>0</v>
      </c>
      <c r="CV25" s="6">
        <f t="shared" si="53"/>
        <v>0</v>
      </c>
      <c r="CW25" s="6">
        <f t="shared" si="54"/>
        <v>0</v>
      </c>
      <c r="CX25" s="6">
        <f t="shared" si="55"/>
        <v>0</v>
      </c>
      <c r="CY25" s="6">
        <f t="shared" si="56"/>
        <v>0</v>
      </c>
      <c r="CZ25" s="6">
        <f t="shared" si="57"/>
        <v>0</v>
      </c>
      <c r="DA25" s="6" t="str">
        <f t="shared" si="58"/>
        <v/>
      </c>
      <c r="DB25" s="6">
        <f t="shared" si="59"/>
        <v>0</v>
      </c>
      <c r="DC25" s="6">
        <f t="shared" si="60"/>
        <v>0</v>
      </c>
      <c r="DD25" s="6">
        <f t="shared" si="61"/>
        <v>0</v>
      </c>
      <c r="DE25" s="6">
        <f t="shared" si="62"/>
        <v>0</v>
      </c>
      <c r="DF25" s="6">
        <f t="shared" si="63"/>
        <v>0</v>
      </c>
      <c r="DG25" s="6">
        <f t="shared" si="64"/>
        <v>0</v>
      </c>
      <c r="DH25" s="6" t="str">
        <f t="shared" si="65"/>
        <v/>
      </c>
      <c r="DI25" s="6">
        <f t="shared" si="66"/>
        <v>0</v>
      </c>
      <c r="DJ25" s="6">
        <f t="shared" si="67"/>
        <v>0</v>
      </c>
      <c r="DK25" s="6">
        <f t="shared" si="68"/>
        <v>0</v>
      </c>
      <c r="DL25" s="6">
        <f t="shared" si="69"/>
        <v>0</v>
      </c>
      <c r="DM25" s="6">
        <f t="shared" si="70"/>
        <v>0</v>
      </c>
      <c r="DN25" s="6">
        <f t="shared" si="71"/>
        <v>0</v>
      </c>
      <c r="DO25" s="6" t="str">
        <f t="shared" si="72"/>
        <v>60/60/60</v>
      </c>
      <c r="DP25" s="6">
        <f t="shared" si="73"/>
        <v>60</v>
      </c>
      <c r="DQ25" s="6">
        <f t="shared" si="74"/>
        <v>60</v>
      </c>
      <c r="DR25" s="6">
        <f t="shared" si="75"/>
        <v>60</v>
      </c>
      <c r="DS25" s="6">
        <f t="shared" si="76"/>
        <v>0</v>
      </c>
      <c r="DT25" s="6">
        <f t="shared" si="77"/>
        <v>0</v>
      </c>
      <c r="DU25" s="6">
        <f t="shared" si="78"/>
        <v>0</v>
      </c>
      <c r="DV25" s="6" t="str">
        <f t="shared" si="79"/>
        <v>60W/ 60W/ 60W</v>
      </c>
      <c r="DW25" s="6">
        <f t="shared" si="80"/>
        <v>60</v>
      </c>
      <c r="DX25" s="6" t="str">
        <f t="shared" si="81"/>
        <v>60/60/60</v>
      </c>
      <c r="DY25" s="6">
        <f t="shared" si="82"/>
        <v>60</v>
      </c>
      <c r="DZ25" s="6">
        <f t="shared" si="83"/>
        <v>60</v>
      </c>
      <c r="EA25" s="6">
        <f t="shared" si="84"/>
        <v>60</v>
      </c>
      <c r="EB25" s="6">
        <f t="shared" si="85"/>
        <v>0</v>
      </c>
      <c r="EC25" s="6">
        <f t="shared" si="86"/>
        <v>0</v>
      </c>
      <c r="ED25" s="6">
        <f t="shared" si="87"/>
        <v>0</v>
      </c>
      <c r="EE25" s="6" t="str">
        <f t="shared" si="88"/>
        <v>60W/ 60W/ 60W</v>
      </c>
      <c r="EF25" s="6">
        <f t="shared" si="89"/>
        <v>60</v>
      </c>
      <c r="EG25" s="6" t="str">
        <f t="shared" si="90"/>
        <v/>
      </c>
      <c r="EH25" s="6">
        <f t="shared" si="91"/>
        <v>0</v>
      </c>
      <c r="EI25" s="6">
        <f t="shared" si="92"/>
        <v>0</v>
      </c>
      <c r="EJ25" s="6">
        <f t="shared" si="93"/>
        <v>0</v>
      </c>
      <c r="EK25" s="6">
        <f t="shared" si="94"/>
        <v>0</v>
      </c>
      <c r="EL25" s="6">
        <f t="shared" si="95"/>
        <v>0</v>
      </c>
      <c r="EM25" s="6">
        <f t="shared" si="96"/>
        <v>0</v>
      </c>
      <c r="EN25" s="6" t="str">
        <f t="shared" si="97"/>
        <v/>
      </c>
      <c r="EO25" s="6">
        <f t="shared" si="98"/>
        <v>0</v>
      </c>
      <c r="EP25" s="6" t="str">
        <f t="shared" si="99"/>
        <v/>
      </c>
      <c r="EQ25" s="6">
        <f t="shared" si="100"/>
        <v>0</v>
      </c>
      <c r="ER25" s="6">
        <f t="shared" si="101"/>
        <v>0</v>
      </c>
      <c r="ES25" s="6">
        <f t="shared" si="102"/>
        <v>0</v>
      </c>
      <c r="ET25" s="6">
        <f t="shared" si="103"/>
        <v>0</v>
      </c>
      <c r="EU25" s="6">
        <f t="shared" si="104"/>
        <v>0</v>
      </c>
      <c r="EV25" s="6">
        <f t="shared" si="105"/>
        <v>0</v>
      </c>
      <c r="EW25" s="6" t="str">
        <f t="shared" si="106"/>
        <v/>
      </c>
      <c r="EX25" s="6">
        <f t="shared" si="107"/>
        <v>0</v>
      </c>
      <c r="EY25" s="6" t="str">
        <f t="shared" si="108"/>
        <v/>
      </c>
      <c r="EZ25" s="6">
        <f t="shared" si="109"/>
        <v>0</v>
      </c>
      <c r="FA25" s="6">
        <f t="shared" si="110"/>
        <v>0</v>
      </c>
      <c r="FB25" s="6">
        <f t="shared" si="111"/>
        <v>0</v>
      </c>
      <c r="FC25" s="6">
        <f t="shared" si="112"/>
        <v>0</v>
      </c>
      <c r="FD25" s="6">
        <f t="shared" si="113"/>
        <v>0</v>
      </c>
      <c r="FE25" s="6">
        <f t="shared" si="114"/>
        <v>0</v>
      </c>
      <c r="FF25" s="6" t="str">
        <f t="shared" si="115"/>
        <v/>
      </c>
      <c r="FG25" s="6">
        <f t="shared" si="116"/>
        <v>0</v>
      </c>
      <c r="FH25" s="6" t="str">
        <f t="shared" si="117"/>
        <v/>
      </c>
      <c r="FI25" s="6">
        <f t="shared" si="118"/>
        <v>0</v>
      </c>
      <c r="FJ25" s="6">
        <f t="shared" si="119"/>
        <v>0</v>
      </c>
      <c r="FK25" s="6">
        <f t="shared" si="120"/>
        <v>0</v>
      </c>
      <c r="FL25" s="6">
        <f t="shared" si="121"/>
        <v>0</v>
      </c>
      <c r="FM25" s="6">
        <f t="shared" si="122"/>
        <v>0</v>
      </c>
      <c r="FN25" s="6">
        <f t="shared" si="123"/>
        <v>0</v>
      </c>
      <c r="FO25" s="6" t="str">
        <f t="shared" si="124"/>
        <v/>
      </c>
      <c r="FP25" s="6">
        <f t="shared" si="125"/>
        <v>0</v>
      </c>
      <c r="FQ25" s="6">
        <f t="shared" si="126"/>
        <v>60</v>
      </c>
      <c r="FR25" s="6" t="str">
        <f t="shared" si="127"/>
        <v>2100</v>
      </c>
      <c r="FS25" s="6" t="str">
        <f t="shared" si="128"/>
        <v>1800</v>
      </c>
      <c r="FT25" s="6" t="str">
        <f t="shared" si="129"/>
        <v/>
      </c>
      <c r="FU25" s="6" t="str">
        <f t="shared" si="130"/>
        <v/>
      </c>
      <c r="FV25" s="6" t="str">
        <f t="shared" si="131"/>
        <v/>
      </c>
      <c r="FW25" s="6" t="str">
        <f t="shared" si="132"/>
        <v/>
      </c>
      <c r="FX25" s="6" t="str">
        <f t="shared" si="133"/>
        <v>43/43/43</v>
      </c>
      <c r="FY25" s="6">
        <f t="shared" si="134"/>
        <v>43</v>
      </c>
      <c r="FZ25" s="6">
        <f t="shared" si="135"/>
        <v>43</v>
      </c>
      <c r="GA25" s="6">
        <f t="shared" si="136"/>
        <v>43</v>
      </c>
      <c r="GB25" s="6">
        <f t="shared" si="137"/>
        <v>0</v>
      </c>
      <c r="GC25" s="6">
        <f t="shared" si="138"/>
        <v>0</v>
      </c>
      <c r="GD25" s="6">
        <f t="shared" si="139"/>
        <v>0</v>
      </c>
      <c r="GE25" s="6" t="str">
        <f t="shared" si="140"/>
        <v>43m/ 43m/ 43m</v>
      </c>
      <c r="GF25" s="6" t="str">
        <f t="shared" si="141"/>
        <v>43/43/43</v>
      </c>
      <c r="GG25" s="6">
        <f t="shared" si="142"/>
        <v>43</v>
      </c>
      <c r="GH25" s="6">
        <f t="shared" si="143"/>
        <v>43</v>
      </c>
      <c r="GI25" s="6">
        <f t="shared" si="144"/>
        <v>43</v>
      </c>
      <c r="GJ25" s="6">
        <f t="shared" si="145"/>
        <v>0</v>
      </c>
      <c r="GK25" s="6">
        <f t="shared" si="146"/>
        <v>0</v>
      </c>
      <c r="GL25" s="6">
        <f t="shared" si="147"/>
        <v>0</v>
      </c>
      <c r="GM25" s="6" t="str">
        <f t="shared" si="148"/>
        <v>43m/ 43m/ 43m</v>
      </c>
      <c r="GN25" s="6" t="str">
        <f t="shared" si="149"/>
        <v/>
      </c>
      <c r="GO25" s="6">
        <f t="shared" si="150"/>
        <v>0</v>
      </c>
      <c r="GP25" s="6">
        <f t="shared" si="151"/>
        <v>0</v>
      </c>
      <c r="GQ25" s="6">
        <f t="shared" si="152"/>
        <v>0</v>
      </c>
      <c r="GR25" s="6">
        <f t="shared" si="153"/>
        <v>0</v>
      </c>
      <c r="GS25" s="6">
        <f t="shared" si="154"/>
        <v>0</v>
      </c>
      <c r="GT25" s="6">
        <f t="shared" si="155"/>
        <v>0</v>
      </c>
      <c r="GU25" s="6" t="str">
        <f t="shared" si="156"/>
        <v/>
      </c>
      <c r="GV25" s="6" t="str">
        <f t="shared" si="157"/>
        <v/>
      </c>
      <c r="GW25" s="6">
        <f t="shared" si="158"/>
        <v>0</v>
      </c>
      <c r="GX25" s="6">
        <f t="shared" si="159"/>
        <v>0</v>
      </c>
      <c r="GY25" s="6">
        <f t="shared" si="160"/>
        <v>0</v>
      </c>
      <c r="GZ25" s="6">
        <f t="shared" si="161"/>
        <v>0</v>
      </c>
      <c r="HA25" s="6">
        <f t="shared" si="162"/>
        <v>0</v>
      </c>
      <c r="HB25" s="6">
        <f t="shared" si="163"/>
        <v>0</v>
      </c>
      <c r="HC25" s="6" t="str">
        <f t="shared" si="164"/>
        <v/>
      </c>
      <c r="HD25" s="6" t="str">
        <f t="shared" si="165"/>
        <v/>
      </c>
      <c r="HE25" s="6">
        <f t="shared" si="166"/>
        <v>0</v>
      </c>
      <c r="HF25" s="6">
        <f t="shared" si="167"/>
        <v>0</v>
      </c>
      <c r="HG25" s="6">
        <f t="shared" si="168"/>
        <v>0</v>
      </c>
      <c r="HH25" s="6">
        <f t="shared" si="169"/>
        <v>0</v>
      </c>
      <c r="HI25" s="6">
        <f t="shared" si="170"/>
        <v>0</v>
      </c>
      <c r="HJ25" s="6">
        <f t="shared" si="171"/>
        <v>0</v>
      </c>
      <c r="HK25" s="6" t="str">
        <f t="shared" si="172"/>
        <v/>
      </c>
      <c r="HL25" s="6" t="str">
        <f t="shared" si="173"/>
        <v/>
      </c>
      <c r="HM25" s="6">
        <f t="shared" si="174"/>
        <v>0</v>
      </c>
      <c r="HN25" s="6">
        <f t="shared" si="175"/>
        <v>0</v>
      </c>
      <c r="HO25" s="6">
        <f t="shared" si="176"/>
        <v>0</v>
      </c>
      <c r="HP25" s="6">
        <f t="shared" si="177"/>
        <v>0</v>
      </c>
      <c r="HQ25" s="6">
        <f t="shared" si="178"/>
        <v>0</v>
      </c>
      <c r="HR25" s="6">
        <f t="shared" si="179"/>
        <v>0</v>
      </c>
      <c r="HS25" s="6" t="str">
        <f t="shared" si="180"/>
        <v/>
      </c>
      <c r="HT25" s="6" t="str">
        <f>INDEX(LabNameList,MATCH(V25,LabIDList,0))</f>
        <v>Trung tâm Kiểm định và Chứng nhận 1</v>
      </c>
      <c r="HU25" s="6">
        <f t="shared" si="181"/>
        <v>43</v>
      </c>
      <c r="HV25" s="6">
        <f t="shared" si="182"/>
        <v>43</v>
      </c>
      <c r="HW25" s="6">
        <f t="shared" si="183"/>
        <v>0</v>
      </c>
      <c r="HX25" s="6">
        <f t="shared" si="184"/>
        <v>0</v>
      </c>
      <c r="HY25" s="6">
        <f t="shared" si="185"/>
        <v>0</v>
      </c>
      <c r="HZ25" s="6">
        <f t="shared" si="186"/>
        <v>0</v>
      </c>
      <c r="IA25" s="5">
        <f t="shared" si="187"/>
        <v>43</v>
      </c>
      <c r="IB25" s="5">
        <f t="shared" si="188"/>
        <v>38</v>
      </c>
      <c r="IC25" s="132" t="str">
        <f t="shared" si="189"/>
        <v>A</v>
      </c>
      <c r="ID25" s="132" t="str">
        <f t="shared" si="190"/>
        <v>04005</v>
      </c>
      <c r="IE25" s="132" t="str">
        <f t="shared" si="191"/>
        <v>181019</v>
      </c>
      <c r="IF25" s="132" t="str">
        <f t="shared" si="192"/>
        <v>TG05</v>
      </c>
      <c r="IG25" s="171">
        <f t="shared" si="193"/>
        <v>43756</v>
      </c>
      <c r="IH25" s="171">
        <f t="shared" si="194"/>
        <v>45583</v>
      </c>
      <c r="II25" s="6">
        <v>37</v>
      </c>
    </row>
    <row r="26" spans="1:243" ht="165.75">
      <c r="A26" s="5">
        <f>Input!A26</f>
        <v>24</v>
      </c>
      <c r="B26" s="132" t="str">
        <f>Profile!$A$3</f>
        <v>VINAPHONE</v>
      </c>
      <c r="C26" s="132" t="str">
        <f>Profile!$F$3</f>
        <v>VINAPHONE</v>
      </c>
      <c r="D26" s="5" t="str">
        <f>Input!B26</f>
        <v>KDT-NAM-AN-KHANH-CX100-HDC_HNI</v>
      </c>
      <c r="E26" s="107" t="str">
        <f>Input!C26</f>
        <v>Khu cây xanh CX19, đô thị Nam An Khánh, xã An Khánh, huyện Hoài Đức, thành phố Hà Nội</v>
      </c>
      <c r="F26" s="5" t="str">
        <f>Input!D26</f>
        <v>Hà Nội</v>
      </c>
      <c r="G26" s="5">
        <f>Input!E26</f>
        <v>105.713595</v>
      </c>
      <c r="H26" s="5">
        <f>Input!F26</f>
        <v>20.997391</v>
      </c>
      <c r="I26" s="5">
        <f>Input!G26</f>
        <v>1</v>
      </c>
      <c r="J26" s="5">
        <f>Input!H26</f>
        <v>2</v>
      </c>
      <c r="K26" s="5" t="str">
        <f t="shared" si="0"/>
        <v>TỔNG CÔNG TY HẠ TẦNG MẠNG;TỔNG CÔNG TY HẠ TẦNG MẠNG</v>
      </c>
      <c r="L26" s="5" t="str">
        <f>Input!J26</f>
        <v>KDT-NAM-AN-KHANH-CX100-HDC_HNI;KDT-NAM-AN-KHANH-CX100-HDC_HNI</v>
      </c>
      <c r="M26" s="5" t="str">
        <f>Input!K26</f>
        <v>NOKIA FLEXI MULTIRADIO BTS RADIO MODULE AND REMOTE RADIO (FRGY);NOKIA FLEXI MULTIRADIO BTS RADIO MODULE AND REMOTE RADIO (FHEL)</v>
      </c>
      <c r="N26" s="5" t="str">
        <f>Input!L26</f>
        <v>3;3</v>
      </c>
      <c r="O26" s="5" t="str">
        <f>Input!M26</f>
        <v>2/2/2;1/1/1</v>
      </c>
      <c r="P26" s="5" t="str">
        <f>Input!N26</f>
        <v>60/60/60;60/60/60</v>
      </c>
      <c r="Q26" s="5" t="str">
        <f>Input!O26</f>
        <v>2100;1800</v>
      </c>
      <c r="R26" s="5" t="str">
        <f>Input!P26</f>
        <v>28/28/28;28/28/28</v>
      </c>
      <c r="S26" s="152" t="b">
        <f>Input!Q26</f>
        <v>1</v>
      </c>
      <c r="T26" s="5" t="str">
        <f>Input!R26</f>
        <v>A04006181019TG05</v>
      </c>
      <c r="U26" s="5">
        <f>Input!S26</f>
        <v>0</v>
      </c>
      <c r="V26" s="5" t="str">
        <f>Input!T26</f>
        <v>VCC1</v>
      </c>
      <c r="W26" s="5" t="str">
        <f>Input!U26</f>
        <v>1902954/19/TG/TT1</v>
      </c>
      <c r="X26" s="7" t="str">
        <f>TEXT(Input!V26,"dd/mm/yyyy")</f>
        <v>18/10/2019</v>
      </c>
      <c r="Y26" s="5" t="b">
        <f>Input!W26</f>
        <v>1</v>
      </c>
      <c r="Z26" s="152" t="b">
        <f>Input!X26</f>
        <v>0</v>
      </c>
      <c r="AA26" s="5">
        <f t="shared" si="1"/>
        <v>28</v>
      </c>
      <c r="AB26" s="152" t="b">
        <f>Input!Y26</f>
        <v>0</v>
      </c>
      <c r="AC26" s="5">
        <f>VALUE(Input!Z26)</f>
        <v>0</v>
      </c>
      <c r="AD26" s="5" t="b">
        <f>Input!AA26</f>
        <v>0</v>
      </c>
      <c r="AE26" s="5" t="str">
        <f>Input!AB26</f>
        <v>Vũ Văn Giáp</v>
      </c>
      <c r="AF26" s="5" t="str">
        <f>Input!AC26</f>
        <v>Lê Tiến Cường</v>
      </c>
      <c r="AG26" s="132" t="str">
        <f>Options!$J$25</f>
        <v>TRUNG TÂM KIỂM ĐỊNH VÀ CHỨNG NHẬN 1</v>
      </c>
      <c r="AH26" s="132" t="str">
        <f>Options!$J$26</f>
        <v>TP. Hà Nội</v>
      </c>
      <c r="AI26" s="132" t="str">
        <f>Options!$J$29</f>
        <v>GIÁM ĐỐC</v>
      </c>
      <c r="AJ26" s="132" t="str">
        <f>Options!$J$30</f>
        <v/>
      </c>
      <c r="AK26" s="132" t="str">
        <f>Options!$J$31</f>
        <v>Bùi Ngọc Dũng</v>
      </c>
      <c r="AL26" s="6"/>
      <c r="AM26" s="6" t="str">
        <f>INDEX(ApplicantNameList,MATCH(B26,ApplicantIDList,0))</f>
        <v>Tổng Công ty Hạ tầng mạng</v>
      </c>
      <c r="AN26" s="6" t="str">
        <f>INDEX(OperatorNameList,MATCH(C26,OperatorIDList,0))</f>
        <v>TỔNG CÔNG TY HẠ TẦNG MẠNG</v>
      </c>
      <c r="AO26" s="5">
        <f t="shared" si="2"/>
        <v>4</v>
      </c>
      <c r="AP26" s="85" t="str">
        <f t="shared" si="3"/>
        <v>thành phố Hà Nội</v>
      </c>
      <c r="AQ26" s="233" t="str">
        <f t="shared" si="4"/>
        <v>huyện Hoài Đức</v>
      </c>
      <c r="AR26" s="233" t="str">
        <f t="shared" si="5"/>
        <v>xã An Khánh</v>
      </c>
      <c r="AS26" s="234" t="str">
        <f>INDEX(CityIDList,MATCH(F26,CityNameList,0))</f>
        <v>HNI</v>
      </c>
      <c r="AT26" s="6" t="str">
        <f>IF(J26&gt;=1,INDEX(OperatorNameList,MATCH(AZ26,OperatorIDList,0)),"")</f>
        <v>TỔNG CÔNG TY HẠ TẦNG MẠNG</v>
      </c>
      <c r="AU26" s="6" t="str">
        <f>IF(J26&gt;=2,INDEX(OperatorNameList,MATCH(BA26,OperatorIDList,0)),"")</f>
        <v>TỔNG CÔNG TY HẠ TẦNG MẠNG</v>
      </c>
      <c r="AV26" s="6" t="str">
        <f>IF(J26&gt;=3,INDEX(OperatorNameList,MATCH(BB26,OperatorIDList,0)),"")</f>
        <v/>
      </c>
      <c r="AW26" s="6" t="str">
        <f>IF(J26&gt;=4,INDEX(OperatorNameList,MATCH(BC26,OperatorIDList,0)),"")</f>
        <v/>
      </c>
      <c r="AX26" s="6" t="str">
        <f>IF(J26&gt;=5,INDEX(OperatorNameList,MATCH(BD26,OperatorIDList,0)),"")</f>
        <v/>
      </c>
      <c r="AY26" s="6" t="str">
        <f>IF(J26&gt;=6,INDEX(OperatorNameList,MATCH(BE26,OperatorIDList,0)),"")</f>
        <v/>
      </c>
      <c r="AZ26" s="6" t="str">
        <f t="shared" si="6"/>
        <v>VINAPHONE</v>
      </c>
      <c r="BA26" s="6" t="str">
        <f t="shared" si="7"/>
        <v>VINAPHONE</v>
      </c>
      <c r="BB26" s="6" t="str">
        <f t="shared" si="8"/>
        <v/>
      </c>
      <c r="BC26" s="6" t="str">
        <f t="shared" si="9"/>
        <v/>
      </c>
      <c r="BD26" s="6" t="str">
        <f t="shared" si="10"/>
        <v/>
      </c>
      <c r="BE26" s="6" t="str">
        <f t="shared" si="11"/>
        <v/>
      </c>
      <c r="BF26" s="6" t="str">
        <f>Input!I26</f>
        <v>VINAPHONE;VINAPHONE</v>
      </c>
      <c r="BG26" s="6" t="str">
        <f t="shared" si="12"/>
        <v>KDT-NAM-AN-KHANH-CX100-HDC_HNI</v>
      </c>
      <c r="BH26" s="6" t="str">
        <f t="shared" si="13"/>
        <v>KDT-NAM-AN-KHANH-CX100-HDC_HNI</v>
      </c>
      <c r="BI26" s="6" t="str">
        <f t="shared" si="14"/>
        <v/>
      </c>
      <c r="BJ26" s="6" t="str">
        <f t="shared" si="15"/>
        <v/>
      </c>
      <c r="BK26" s="6" t="str">
        <f t="shared" si="16"/>
        <v/>
      </c>
      <c r="BL26" s="6" t="str">
        <f t="shared" si="17"/>
        <v/>
      </c>
      <c r="BM26" s="6" t="str">
        <f t="shared" si="18"/>
        <v>NOKIA FLEXI MULTIRADIO BTS RADIO MODULE AND REMOTE RADIO (FRGY)</v>
      </c>
      <c r="BN26" s="6" t="str">
        <f t="shared" si="19"/>
        <v>NOKIA FLEXI MULTIRADIO BTS RADIO MODULE AND REMOTE RADIO (FHEL)</v>
      </c>
      <c r="BO26" s="6" t="str">
        <f t="shared" si="20"/>
        <v/>
      </c>
      <c r="BP26" s="6" t="str">
        <f t="shared" si="21"/>
        <v/>
      </c>
      <c r="BQ26" s="6" t="str">
        <f t="shared" si="22"/>
        <v/>
      </c>
      <c r="BR26" s="6" t="str">
        <f t="shared" si="23"/>
        <v/>
      </c>
      <c r="BS26" s="6">
        <f t="shared" si="24"/>
        <v>3</v>
      </c>
      <c r="BT26" s="6">
        <f t="shared" si="25"/>
        <v>3</v>
      </c>
      <c r="BU26" s="6">
        <f t="shared" si="26"/>
        <v>0</v>
      </c>
      <c r="BV26" s="6">
        <f t="shared" si="27"/>
        <v>0</v>
      </c>
      <c r="BW26" s="6">
        <f t="shared" si="28"/>
        <v>0</v>
      </c>
      <c r="BX26" s="6">
        <f t="shared" si="29"/>
        <v>0</v>
      </c>
      <c r="BY26" s="6" t="str">
        <f t="shared" si="30"/>
        <v>2/2/2</v>
      </c>
      <c r="BZ26" s="6">
        <f t="shared" si="31"/>
        <v>2</v>
      </c>
      <c r="CA26" s="6">
        <f t="shared" si="32"/>
        <v>2</v>
      </c>
      <c r="CB26" s="6">
        <f t="shared" si="33"/>
        <v>2</v>
      </c>
      <c r="CC26" s="6">
        <f t="shared" si="34"/>
        <v>0</v>
      </c>
      <c r="CD26" s="6">
        <f t="shared" si="35"/>
        <v>0</v>
      </c>
      <c r="CE26" s="6">
        <f t="shared" si="36"/>
        <v>0</v>
      </c>
      <c r="CF26" s="6" t="str">
        <f t="shared" si="37"/>
        <v>1/1/1</v>
      </c>
      <c r="CG26" s="6">
        <f t="shared" si="38"/>
        <v>1</v>
      </c>
      <c r="CH26" s="6">
        <f t="shared" si="39"/>
        <v>1</v>
      </c>
      <c r="CI26" s="6">
        <f t="shared" si="40"/>
        <v>1</v>
      </c>
      <c r="CJ26" s="6">
        <f t="shared" si="41"/>
        <v>0</v>
      </c>
      <c r="CK26" s="6">
        <f t="shared" si="42"/>
        <v>0</v>
      </c>
      <c r="CL26" s="6">
        <f t="shared" si="43"/>
        <v>0</v>
      </c>
      <c r="CM26" s="6" t="str">
        <f t="shared" si="44"/>
        <v/>
      </c>
      <c r="CN26" s="6">
        <f t="shared" si="45"/>
        <v>0</v>
      </c>
      <c r="CO26" s="6">
        <f t="shared" si="46"/>
        <v>0</v>
      </c>
      <c r="CP26" s="6">
        <f t="shared" si="47"/>
        <v>0</v>
      </c>
      <c r="CQ26" s="6">
        <f t="shared" si="48"/>
        <v>0</v>
      </c>
      <c r="CR26" s="6">
        <f t="shared" si="49"/>
        <v>0</v>
      </c>
      <c r="CS26" s="6">
        <f t="shared" si="50"/>
        <v>0</v>
      </c>
      <c r="CT26" s="6" t="str">
        <f t="shared" si="51"/>
        <v/>
      </c>
      <c r="CU26" s="6">
        <f t="shared" si="52"/>
        <v>0</v>
      </c>
      <c r="CV26" s="6">
        <f t="shared" si="53"/>
        <v>0</v>
      </c>
      <c r="CW26" s="6">
        <f t="shared" si="54"/>
        <v>0</v>
      </c>
      <c r="CX26" s="6">
        <f t="shared" si="55"/>
        <v>0</v>
      </c>
      <c r="CY26" s="6">
        <f t="shared" si="56"/>
        <v>0</v>
      </c>
      <c r="CZ26" s="6">
        <f t="shared" si="57"/>
        <v>0</v>
      </c>
      <c r="DA26" s="6" t="str">
        <f t="shared" si="58"/>
        <v/>
      </c>
      <c r="DB26" s="6">
        <f t="shared" si="59"/>
        <v>0</v>
      </c>
      <c r="DC26" s="6">
        <f t="shared" si="60"/>
        <v>0</v>
      </c>
      <c r="DD26" s="6">
        <f t="shared" si="61"/>
        <v>0</v>
      </c>
      <c r="DE26" s="6">
        <f t="shared" si="62"/>
        <v>0</v>
      </c>
      <c r="DF26" s="6">
        <f t="shared" si="63"/>
        <v>0</v>
      </c>
      <c r="DG26" s="6">
        <f t="shared" si="64"/>
        <v>0</v>
      </c>
      <c r="DH26" s="6" t="str">
        <f t="shared" si="65"/>
        <v/>
      </c>
      <c r="DI26" s="6">
        <f t="shared" si="66"/>
        <v>0</v>
      </c>
      <c r="DJ26" s="6">
        <f t="shared" si="67"/>
        <v>0</v>
      </c>
      <c r="DK26" s="6">
        <f t="shared" si="68"/>
        <v>0</v>
      </c>
      <c r="DL26" s="6">
        <f t="shared" si="69"/>
        <v>0</v>
      </c>
      <c r="DM26" s="6">
        <f t="shared" si="70"/>
        <v>0</v>
      </c>
      <c r="DN26" s="6">
        <f t="shared" si="71"/>
        <v>0</v>
      </c>
      <c r="DO26" s="6" t="str">
        <f t="shared" si="72"/>
        <v>60/60/60</v>
      </c>
      <c r="DP26" s="6">
        <f t="shared" si="73"/>
        <v>60</v>
      </c>
      <c r="DQ26" s="6">
        <f t="shared" si="74"/>
        <v>60</v>
      </c>
      <c r="DR26" s="6">
        <f t="shared" si="75"/>
        <v>60</v>
      </c>
      <c r="DS26" s="6">
        <f t="shared" si="76"/>
        <v>0</v>
      </c>
      <c r="DT26" s="6">
        <f t="shared" si="77"/>
        <v>0</v>
      </c>
      <c r="DU26" s="6">
        <f t="shared" si="78"/>
        <v>0</v>
      </c>
      <c r="DV26" s="6" t="str">
        <f t="shared" si="79"/>
        <v>60W/ 60W/ 60W</v>
      </c>
      <c r="DW26" s="6">
        <f t="shared" si="80"/>
        <v>60</v>
      </c>
      <c r="DX26" s="6" t="str">
        <f t="shared" si="81"/>
        <v>60/60/60</v>
      </c>
      <c r="DY26" s="6">
        <f t="shared" si="82"/>
        <v>60</v>
      </c>
      <c r="DZ26" s="6">
        <f t="shared" si="83"/>
        <v>60</v>
      </c>
      <c r="EA26" s="6">
        <f t="shared" si="84"/>
        <v>60</v>
      </c>
      <c r="EB26" s="6">
        <f t="shared" si="85"/>
        <v>0</v>
      </c>
      <c r="EC26" s="6">
        <f t="shared" si="86"/>
        <v>0</v>
      </c>
      <c r="ED26" s="6">
        <f t="shared" si="87"/>
        <v>0</v>
      </c>
      <c r="EE26" s="6" t="str">
        <f t="shared" si="88"/>
        <v>60W/ 60W/ 60W</v>
      </c>
      <c r="EF26" s="6">
        <f t="shared" si="89"/>
        <v>60</v>
      </c>
      <c r="EG26" s="6" t="str">
        <f t="shared" si="90"/>
        <v/>
      </c>
      <c r="EH26" s="6">
        <f t="shared" si="91"/>
        <v>0</v>
      </c>
      <c r="EI26" s="6">
        <f t="shared" si="92"/>
        <v>0</v>
      </c>
      <c r="EJ26" s="6">
        <f t="shared" si="93"/>
        <v>0</v>
      </c>
      <c r="EK26" s="6">
        <f t="shared" si="94"/>
        <v>0</v>
      </c>
      <c r="EL26" s="6">
        <f t="shared" si="95"/>
        <v>0</v>
      </c>
      <c r="EM26" s="6">
        <f t="shared" si="96"/>
        <v>0</v>
      </c>
      <c r="EN26" s="6" t="str">
        <f t="shared" si="97"/>
        <v/>
      </c>
      <c r="EO26" s="6">
        <f t="shared" si="98"/>
        <v>0</v>
      </c>
      <c r="EP26" s="6" t="str">
        <f t="shared" si="99"/>
        <v/>
      </c>
      <c r="EQ26" s="6">
        <f t="shared" si="100"/>
        <v>0</v>
      </c>
      <c r="ER26" s="6">
        <f t="shared" si="101"/>
        <v>0</v>
      </c>
      <c r="ES26" s="6">
        <f t="shared" si="102"/>
        <v>0</v>
      </c>
      <c r="ET26" s="6">
        <f t="shared" si="103"/>
        <v>0</v>
      </c>
      <c r="EU26" s="6">
        <f t="shared" si="104"/>
        <v>0</v>
      </c>
      <c r="EV26" s="6">
        <f t="shared" si="105"/>
        <v>0</v>
      </c>
      <c r="EW26" s="6" t="str">
        <f t="shared" si="106"/>
        <v/>
      </c>
      <c r="EX26" s="6">
        <f t="shared" si="107"/>
        <v>0</v>
      </c>
      <c r="EY26" s="6" t="str">
        <f t="shared" si="108"/>
        <v/>
      </c>
      <c r="EZ26" s="6">
        <f t="shared" si="109"/>
        <v>0</v>
      </c>
      <c r="FA26" s="6">
        <f t="shared" si="110"/>
        <v>0</v>
      </c>
      <c r="FB26" s="6">
        <f t="shared" si="111"/>
        <v>0</v>
      </c>
      <c r="FC26" s="6">
        <f t="shared" si="112"/>
        <v>0</v>
      </c>
      <c r="FD26" s="6">
        <f t="shared" si="113"/>
        <v>0</v>
      </c>
      <c r="FE26" s="6">
        <f t="shared" si="114"/>
        <v>0</v>
      </c>
      <c r="FF26" s="6" t="str">
        <f t="shared" si="115"/>
        <v/>
      </c>
      <c r="FG26" s="6">
        <f t="shared" si="116"/>
        <v>0</v>
      </c>
      <c r="FH26" s="6" t="str">
        <f t="shared" si="117"/>
        <v/>
      </c>
      <c r="FI26" s="6">
        <f t="shared" si="118"/>
        <v>0</v>
      </c>
      <c r="FJ26" s="6">
        <f t="shared" si="119"/>
        <v>0</v>
      </c>
      <c r="FK26" s="6">
        <f t="shared" si="120"/>
        <v>0</v>
      </c>
      <c r="FL26" s="6">
        <f t="shared" si="121"/>
        <v>0</v>
      </c>
      <c r="FM26" s="6">
        <f t="shared" si="122"/>
        <v>0</v>
      </c>
      <c r="FN26" s="6">
        <f t="shared" si="123"/>
        <v>0</v>
      </c>
      <c r="FO26" s="6" t="str">
        <f t="shared" si="124"/>
        <v/>
      </c>
      <c r="FP26" s="6">
        <f t="shared" si="125"/>
        <v>0</v>
      </c>
      <c r="FQ26" s="6">
        <f t="shared" si="126"/>
        <v>60</v>
      </c>
      <c r="FR26" s="6" t="str">
        <f t="shared" si="127"/>
        <v>2100</v>
      </c>
      <c r="FS26" s="6" t="str">
        <f t="shared" si="128"/>
        <v>1800</v>
      </c>
      <c r="FT26" s="6" t="str">
        <f t="shared" si="129"/>
        <v/>
      </c>
      <c r="FU26" s="6" t="str">
        <f t="shared" si="130"/>
        <v/>
      </c>
      <c r="FV26" s="6" t="str">
        <f t="shared" si="131"/>
        <v/>
      </c>
      <c r="FW26" s="6" t="str">
        <f t="shared" si="132"/>
        <v/>
      </c>
      <c r="FX26" s="6" t="str">
        <f t="shared" si="133"/>
        <v>28/28/28</v>
      </c>
      <c r="FY26" s="6">
        <f t="shared" si="134"/>
        <v>28</v>
      </c>
      <c r="FZ26" s="6">
        <f t="shared" si="135"/>
        <v>28</v>
      </c>
      <c r="GA26" s="6">
        <f t="shared" si="136"/>
        <v>28</v>
      </c>
      <c r="GB26" s="6">
        <f t="shared" si="137"/>
        <v>0</v>
      </c>
      <c r="GC26" s="6">
        <f t="shared" si="138"/>
        <v>0</v>
      </c>
      <c r="GD26" s="6">
        <f t="shared" si="139"/>
        <v>0</v>
      </c>
      <c r="GE26" s="6" t="str">
        <f t="shared" si="140"/>
        <v>28m/ 28m/ 28m</v>
      </c>
      <c r="GF26" s="6" t="str">
        <f t="shared" si="141"/>
        <v>28/28/28</v>
      </c>
      <c r="GG26" s="6">
        <f t="shared" si="142"/>
        <v>28</v>
      </c>
      <c r="GH26" s="6">
        <f t="shared" si="143"/>
        <v>28</v>
      </c>
      <c r="GI26" s="6">
        <f t="shared" si="144"/>
        <v>28</v>
      </c>
      <c r="GJ26" s="6">
        <f t="shared" si="145"/>
        <v>0</v>
      </c>
      <c r="GK26" s="6">
        <f t="shared" si="146"/>
        <v>0</v>
      </c>
      <c r="GL26" s="6">
        <f t="shared" si="147"/>
        <v>0</v>
      </c>
      <c r="GM26" s="6" t="str">
        <f t="shared" si="148"/>
        <v>28m/ 28m/ 28m</v>
      </c>
      <c r="GN26" s="6" t="str">
        <f t="shared" si="149"/>
        <v/>
      </c>
      <c r="GO26" s="6">
        <f t="shared" si="150"/>
        <v>0</v>
      </c>
      <c r="GP26" s="6">
        <f t="shared" si="151"/>
        <v>0</v>
      </c>
      <c r="GQ26" s="6">
        <f t="shared" si="152"/>
        <v>0</v>
      </c>
      <c r="GR26" s="6">
        <f t="shared" si="153"/>
        <v>0</v>
      </c>
      <c r="GS26" s="6">
        <f t="shared" si="154"/>
        <v>0</v>
      </c>
      <c r="GT26" s="6">
        <f t="shared" si="155"/>
        <v>0</v>
      </c>
      <c r="GU26" s="6" t="str">
        <f t="shared" si="156"/>
        <v/>
      </c>
      <c r="GV26" s="6" t="str">
        <f t="shared" si="157"/>
        <v/>
      </c>
      <c r="GW26" s="6">
        <f t="shared" si="158"/>
        <v>0</v>
      </c>
      <c r="GX26" s="6">
        <f t="shared" si="159"/>
        <v>0</v>
      </c>
      <c r="GY26" s="6">
        <f t="shared" si="160"/>
        <v>0</v>
      </c>
      <c r="GZ26" s="6">
        <f t="shared" si="161"/>
        <v>0</v>
      </c>
      <c r="HA26" s="6">
        <f t="shared" si="162"/>
        <v>0</v>
      </c>
      <c r="HB26" s="6">
        <f t="shared" si="163"/>
        <v>0</v>
      </c>
      <c r="HC26" s="6" t="str">
        <f t="shared" si="164"/>
        <v/>
      </c>
      <c r="HD26" s="6" t="str">
        <f t="shared" si="165"/>
        <v/>
      </c>
      <c r="HE26" s="6">
        <f t="shared" si="166"/>
        <v>0</v>
      </c>
      <c r="HF26" s="6">
        <f t="shared" si="167"/>
        <v>0</v>
      </c>
      <c r="HG26" s="6">
        <f t="shared" si="168"/>
        <v>0</v>
      </c>
      <c r="HH26" s="6">
        <f t="shared" si="169"/>
        <v>0</v>
      </c>
      <c r="HI26" s="6">
        <f t="shared" si="170"/>
        <v>0</v>
      </c>
      <c r="HJ26" s="6">
        <f t="shared" si="171"/>
        <v>0</v>
      </c>
      <c r="HK26" s="6" t="str">
        <f t="shared" si="172"/>
        <v/>
      </c>
      <c r="HL26" s="6" t="str">
        <f t="shared" si="173"/>
        <v/>
      </c>
      <c r="HM26" s="6">
        <f t="shared" si="174"/>
        <v>0</v>
      </c>
      <c r="HN26" s="6">
        <f t="shared" si="175"/>
        <v>0</v>
      </c>
      <c r="HO26" s="6">
        <f t="shared" si="176"/>
        <v>0</v>
      </c>
      <c r="HP26" s="6">
        <f t="shared" si="177"/>
        <v>0</v>
      </c>
      <c r="HQ26" s="6">
        <f t="shared" si="178"/>
        <v>0</v>
      </c>
      <c r="HR26" s="6">
        <f t="shared" si="179"/>
        <v>0</v>
      </c>
      <c r="HS26" s="6" t="str">
        <f t="shared" si="180"/>
        <v/>
      </c>
      <c r="HT26" s="6" t="str">
        <f>INDEX(LabNameList,MATCH(V26,LabIDList,0))</f>
        <v>Trung tâm Kiểm định và Chứng nhận 1</v>
      </c>
      <c r="HU26" s="6">
        <f t="shared" si="181"/>
        <v>28</v>
      </c>
      <c r="HV26" s="6">
        <f t="shared" si="182"/>
        <v>28</v>
      </c>
      <c r="HW26" s="6">
        <f t="shared" si="183"/>
        <v>0</v>
      </c>
      <c r="HX26" s="6">
        <f t="shared" si="184"/>
        <v>0</v>
      </c>
      <c r="HY26" s="6">
        <f t="shared" si="185"/>
        <v>0</v>
      </c>
      <c r="HZ26" s="6">
        <f t="shared" si="186"/>
        <v>0</v>
      </c>
      <c r="IA26" s="5">
        <f t="shared" si="187"/>
        <v>28</v>
      </c>
      <c r="IB26" s="5">
        <f t="shared" si="188"/>
        <v>28</v>
      </c>
      <c r="IC26" s="132" t="str">
        <f t="shared" si="189"/>
        <v>A</v>
      </c>
      <c r="ID26" s="132" t="str">
        <f t="shared" si="190"/>
        <v>04006</v>
      </c>
      <c r="IE26" s="132" t="str">
        <f t="shared" si="191"/>
        <v>181019</v>
      </c>
      <c r="IF26" s="132" t="str">
        <f t="shared" si="192"/>
        <v>TG05</v>
      </c>
      <c r="IG26" s="171">
        <f t="shared" si="193"/>
        <v>43756</v>
      </c>
      <c r="IH26" s="171">
        <f t="shared" si="194"/>
        <v>45583</v>
      </c>
      <c r="II26" s="6">
        <v>37</v>
      </c>
    </row>
    <row r="27" spans="1:243" ht="242.25">
      <c r="A27" s="5">
        <f>Input!A27</f>
        <v>25</v>
      </c>
      <c r="B27" s="132" t="str">
        <f>Profile!$A$3</f>
        <v>VINAPHONE</v>
      </c>
      <c r="C27" s="132" t="str">
        <f>Profile!$F$3</f>
        <v>VINAPHONE</v>
      </c>
      <c r="D27" s="5" t="str">
        <f>Input!B27</f>
        <v>LICOGI13-DN-B-164-KHUAT-DUY-TIEN-TXN_HNI</v>
      </c>
      <c r="E27" s="107" t="str">
        <f>Input!C27</f>
        <v>Số 164, đường Khuất Duy Tiến, phường Nhân Chính, quận Thanh Xuân, thành phố Hà Nội</v>
      </c>
      <c r="F27" s="5" t="str">
        <f>Input!D27</f>
        <v>Hà Nội</v>
      </c>
      <c r="G27" s="5">
        <f>Input!E27</f>
        <v>105.79898799999999</v>
      </c>
      <c r="H27" s="5">
        <f>Input!F27</f>
        <v>20.999661</v>
      </c>
      <c r="I27" s="5">
        <f>Input!G27</f>
        <v>1</v>
      </c>
      <c r="J27" s="5">
        <f>Input!H27</f>
        <v>3</v>
      </c>
      <c r="K27" s="5" t="str">
        <f t="shared" si="0"/>
        <v>TỔNG CÔNG TY HẠ TẦNG MẠNG;TỔNG CÔNG TY HẠ TẦNG MẠNG;TỔNG CÔNG TY HẠ TẦNG MẠNG</v>
      </c>
      <c r="L27" s="5" t="str">
        <f>Input!J27</f>
        <v>LICOGI13-DN-B-164-KHUAT-DUY-TIEN-TXN_HNI;LICOGI13-DN-B-164-KHUAT-DUY-TIEN-TXN_HNI;LICOGI13-DN-B-164-KHUAT-DUY-TIEN-TXN_HNI</v>
      </c>
      <c r="M27" s="5" t="str">
        <f>Input!K27</f>
        <v>NOKIA FLEXI MULTIRADIO BTS RADIO MODULE AND REMOTE RADIO;NOKIA FLEXI MULTIRADIO BTS RADIO MODULE AND REMOTE RADIO (FRGY);NOKIA FLEXI MULTIRADIO BTS RADIO MODULE AND REMOTE RADIO (FHEL)</v>
      </c>
      <c r="N27" s="5" t="str">
        <f>Input!L27</f>
        <v>3;3;3</v>
      </c>
      <c r="O27" s="5" t="str">
        <f>Input!M27</f>
        <v>2/2/2;2/2/2;1/1/1</v>
      </c>
      <c r="P27" s="5" t="str">
        <f>Input!N27</f>
        <v>80/80/80;60/60/60;60/60/60</v>
      </c>
      <c r="Q27" s="5" t="str">
        <f>Input!O27</f>
        <v>900;2100;1800</v>
      </c>
      <c r="R27" s="5" t="str">
        <f>Input!P27</f>
        <v>51/51/51;51/51/51;51/51/51</v>
      </c>
      <c r="S27" s="152" t="b">
        <f>Input!Q27</f>
        <v>1</v>
      </c>
      <c r="T27" s="5" t="str">
        <f>Input!R27</f>
        <v>A04007181019TG05</v>
      </c>
      <c r="U27" s="5">
        <f>Input!S27</f>
        <v>0</v>
      </c>
      <c r="V27" s="5" t="str">
        <f>Input!T27</f>
        <v>VCC1</v>
      </c>
      <c r="W27" s="5" t="str">
        <f>Input!U27</f>
        <v>1903239/19/TG/TT1</v>
      </c>
      <c r="X27" s="7" t="str">
        <f>TEXT(Input!V27,"dd/mm/yyyy")</f>
        <v>18/10/2019</v>
      </c>
      <c r="Y27" s="5" t="b">
        <f>Input!W27</f>
        <v>0</v>
      </c>
      <c r="Z27" s="152" t="b">
        <f>Input!X27</f>
        <v>0</v>
      </c>
      <c r="AA27" s="5">
        <f t="shared" si="1"/>
        <v>51</v>
      </c>
      <c r="AB27" s="152" t="b">
        <f>Input!Y27</f>
        <v>1</v>
      </c>
      <c r="AC27" s="5">
        <f>VALUE(Input!Z27)</f>
        <v>50</v>
      </c>
      <c r="AD27" s="5" t="b">
        <f>Input!AA27</f>
        <v>0</v>
      </c>
      <c r="AE27" s="5" t="str">
        <f>Input!AB27</f>
        <v>Vũ Văn Giáp</v>
      </c>
      <c r="AF27" s="5" t="str">
        <f>Input!AC27</f>
        <v>Lê Tiến Cường</v>
      </c>
      <c r="AG27" s="132" t="str">
        <f>Options!$J$25</f>
        <v>TRUNG TÂM KIỂM ĐỊNH VÀ CHỨNG NHẬN 1</v>
      </c>
      <c r="AH27" s="132" t="str">
        <f>Options!$J$26</f>
        <v>TP. Hà Nội</v>
      </c>
      <c r="AI27" s="132" t="str">
        <f>Options!$J$29</f>
        <v>GIÁM ĐỐC</v>
      </c>
      <c r="AJ27" s="132" t="str">
        <f>Options!$J$30</f>
        <v/>
      </c>
      <c r="AK27" s="132" t="str">
        <f>Options!$J$31</f>
        <v>Bùi Ngọc Dũng</v>
      </c>
      <c r="AL27" s="6"/>
      <c r="AM27" s="6" t="str">
        <f>INDEX(ApplicantNameList,MATCH(B27,ApplicantIDList,0))</f>
        <v>Tổng Công ty Hạ tầng mạng</v>
      </c>
      <c r="AN27" s="6" t="str">
        <f>INDEX(OperatorNameList,MATCH(C27,OperatorIDList,0))</f>
        <v>TỔNG CÔNG TY HẠ TẦNG MẠNG</v>
      </c>
      <c r="AO27" s="5">
        <f t="shared" si="2"/>
        <v>4</v>
      </c>
      <c r="AP27" s="85" t="str">
        <f t="shared" si="3"/>
        <v>thành phố Hà Nội</v>
      </c>
      <c r="AQ27" s="233" t="str">
        <f t="shared" si="4"/>
        <v>quận Thanh Xuân</v>
      </c>
      <c r="AR27" s="233" t="str">
        <f t="shared" si="5"/>
        <v>phường Nhân Chính</v>
      </c>
      <c r="AS27" s="234" t="str">
        <f>INDEX(CityIDList,MATCH(F27,CityNameList,0))</f>
        <v>HNI</v>
      </c>
      <c r="AT27" s="6" t="str">
        <f>IF(J27&gt;=1,INDEX(OperatorNameList,MATCH(AZ27,OperatorIDList,0)),"")</f>
        <v>TỔNG CÔNG TY HẠ TẦNG MẠNG</v>
      </c>
      <c r="AU27" s="6" t="str">
        <f>IF(J27&gt;=2,INDEX(OperatorNameList,MATCH(BA27,OperatorIDList,0)),"")</f>
        <v>TỔNG CÔNG TY HẠ TẦNG MẠNG</v>
      </c>
      <c r="AV27" s="6" t="str">
        <f>IF(J27&gt;=3,INDEX(OperatorNameList,MATCH(BB27,OperatorIDList,0)),"")</f>
        <v>TỔNG CÔNG TY HẠ TẦNG MẠNG</v>
      </c>
      <c r="AW27" s="6" t="str">
        <f>IF(J27&gt;=4,INDEX(OperatorNameList,MATCH(BC27,OperatorIDList,0)),"")</f>
        <v/>
      </c>
      <c r="AX27" s="6" t="str">
        <f>IF(J27&gt;=5,INDEX(OperatorNameList,MATCH(BD27,OperatorIDList,0)),"")</f>
        <v/>
      </c>
      <c r="AY27" s="6" t="str">
        <f>IF(J27&gt;=6,INDEX(OperatorNameList,MATCH(BE27,OperatorIDList,0)),"")</f>
        <v/>
      </c>
      <c r="AZ27" s="6" t="str">
        <f t="shared" si="6"/>
        <v>VINAPHONE</v>
      </c>
      <c r="BA27" s="6" t="str">
        <f t="shared" si="7"/>
        <v>VINAPHONE</v>
      </c>
      <c r="BB27" s="6" t="str">
        <f t="shared" si="8"/>
        <v>VINAPHONE</v>
      </c>
      <c r="BC27" s="6" t="str">
        <f t="shared" si="9"/>
        <v/>
      </c>
      <c r="BD27" s="6" t="str">
        <f t="shared" si="10"/>
        <v/>
      </c>
      <c r="BE27" s="6" t="str">
        <f t="shared" si="11"/>
        <v/>
      </c>
      <c r="BF27" s="6" t="str">
        <f>Input!I27</f>
        <v>VINAPHONE;VINAPHONE;VINAPHONE</v>
      </c>
      <c r="BG27" s="6" t="str">
        <f t="shared" si="12"/>
        <v>LICOGI13-DN-B-164-KHUAT-DUY-TIEN-TXN_HNI</v>
      </c>
      <c r="BH27" s="6" t="str">
        <f t="shared" si="13"/>
        <v>LICOGI13-DN-B-164-KHUAT-DUY-TIEN-TXN_HNI</v>
      </c>
      <c r="BI27" s="6" t="str">
        <f t="shared" si="14"/>
        <v>LICOGI13-DN-B-164-KHUAT-DUY-TIEN-TXN_HNI</v>
      </c>
      <c r="BJ27" s="6" t="str">
        <f t="shared" si="15"/>
        <v/>
      </c>
      <c r="BK27" s="6" t="str">
        <f t="shared" si="16"/>
        <v/>
      </c>
      <c r="BL27" s="6" t="str">
        <f t="shared" si="17"/>
        <v/>
      </c>
      <c r="BM27" s="6" t="str">
        <f t="shared" si="18"/>
        <v>NOKIA FLEXI MULTIRADIO BTS RADIO MODULE AND REMOTE RADIO</v>
      </c>
      <c r="BN27" s="6" t="str">
        <f t="shared" si="19"/>
        <v>NOKIA FLEXI MULTIRADIO BTS RADIO MODULE AND REMOTE RADIO (FRGY)</v>
      </c>
      <c r="BO27" s="6" t="str">
        <f t="shared" si="20"/>
        <v>NOKIA FLEXI MULTIRADIO BTS RADIO MODULE AND REMOTE RADIO (FHEL)</v>
      </c>
      <c r="BP27" s="6" t="str">
        <f t="shared" si="21"/>
        <v/>
      </c>
      <c r="BQ27" s="6" t="str">
        <f t="shared" si="22"/>
        <v/>
      </c>
      <c r="BR27" s="6" t="str">
        <f t="shared" si="23"/>
        <v/>
      </c>
      <c r="BS27" s="6">
        <f t="shared" si="24"/>
        <v>3</v>
      </c>
      <c r="BT27" s="6">
        <f t="shared" si="25"/>
        <v>3</v>
      </c>
      <c r="BU27" s="6">
        <f t="shared" si="26"/>
        <v>3</v>
      </c>
      <c r="BV27" s="6">
        <f t="shared" si="27"/>
        <v>0</v>
      </c>
      <c r="BW27" s="6">
        <f t="shared" si="28"/>
        <v>0</v>
      </c>
      <c r="BX27" s="6">
        <f t="shared" si="29"/>
        <v>0</v>
      </c>
      <c r="BY27" s="6" t="str">
        <f t="shared" si="30"/>
        <v>2/2/2</v>
      </c>
      <c r="BZ27" s="6">
        <f t="shared" si="31"/>
        <v>2</v>
      </c>
      <c r="CA27" s="6">
        <f t="shared" si="32"/>
        <v>2</v>
      </c>
      <c r="CB27" s="6">
        <f t="shared" si="33"/>
        <v>2</v>
      </c>
      <c r="CC27" s="6">
        <f t="shared" si="34"/>
        <v>0</v>
      </c>
      <c r="CD27" s="6">
        <f t="shared" si="35"/>
        <v>0</v>
      </c>
      <c r="CE27" s="6">
        <f t="shared" si="36"/>
        <v>0</v>
      </c>
      <c r="CF27" s="6" t="str">
        <f t="shared" si="37"/>
        <v>2/2/2</v>
      </c>
      <c r="CG27" s="6">
        <f t="shared" si="38"/>
        <v>2</v>
      </c>
      <c r="CH27" s="6">
        <f t="shared" si="39"/>
        <v>2</v>
      </c>
      <c r="CI27" s="6">
        <f t="shared" si="40"/>
        <v>2</v>
      </c>
      <c r="CJ27" s="6">
        <f t="shared" si="41"/>
        <v>0</v>
      </c>
      <c r="CK27" s="6">
        <f t="shared" si="42"/>
        <v>0</v>
      </c>
      <c r="CL27" s="6">
        <f t="shared" si="43"/>
        <v>0</v>
      </c>
      <c r="CM27" s="6" t="str">
        <f t="shared" si="44"/>
        <v>1/1/1</v>
      </c>
      <c r="CN27" s="6">
        <f t="shared" si="45"/>
        <v>1</v>
      </c>
      <c r="CO27" s="6">
        <f t="shared" si="46"/>
        <v>1</v>
      </c>
      <c r="CP27" s="6">
        <f t="shared" si="47"/>
        <v>1</v>
      </c>
      <c r="CQ27" s="6">
        <f t="shared" si="48"/>
        <v>0</v>
      </c>
      <c r="CR27" s="6">
        <f t="shared" si="49"/>
        <v>0</v>
      </c>
      <c r="CS27" s="6">
        <f t="shared" si="50"/>
        <v>0</v>
      </c>
      <c r="CT27" s="6" t="str">
        <f t="shared" si="51"/>
        <v/>
      </c>
      <c r="CU27" s="6">
        <f t="shared" si="52"/>
        <v>0</v>
      </c>
      <c r="CV27" s="6">
        <f t="shared" si="53"/>
        <v>0</v>
      </c>
      <c r="CW27" s="6">
        <f t="shared" si="54"/>
        <v>0</v>
      </c>
      <c r="CX27" s="6">
        <f t="shared" si="55"/>
        <v>0</v>
      </c>
      <c r="CY27" s="6">
        <f t="shared" si="56"/>
        <v>0</v>
      </c>
      <c r="CZ27" s="6">
        <f t="shared" si="57"/>
        <v>0</v>
      </c>
      <c r="DA27" s="6" t="str">
        <f t="shared" si="58"/>
        <v/>
      </c>
      <c r="DB27" s="6">
        <f t="shared" si="59"/>
        <v>0</v>
      </c>
      <c r="DC27" s="6">
        <f t="shared" si="60"/>
        <v>0</v>
      </c>
      <c r="DD27" s="6">
        <f t="shared" si="61"/>
        <v>0</v>
      </c>
      <c r="DE27" s="6">
        <f t="shared" si="62"/>
        <v>0</v>
      </c>
      <c r="DF27" s="6">
        <f t="shared" si="63"/>
        <v>0</v>
      </c>
      <c r="DG27" s="6">
        <f t="shared" si="64"/>
        <v>0</v>
      </c>
      <c r="DH27" s="6" t="str">
        <f t="shared" si="65"/>
        <v/>
      </c>
      <c r="DI27" s="6">
        <f t="shared" si="66"/>
        <v>0</v>
      </c>
      <c r="DJ27" s="6">
        <f t="shared" si="67"/>
        <v>0</v>
      </c>
      <c r="DK27" s="6">
        <f t="shared" si="68"/>
        <v>0</v>
      </c>
      <c r="DL27" s="6">
        <f t="shared" si="69"/>
        <v>0</v>
      </c>
      <c r="DM27" s="6">
        <f t="shared" si="70"/>
        <v>0</v>
      </c>
      <c r="DN27" s="6">
        <f t="shared" si="71"/>
        <v>0</v>
      </c>
      <c r="DO27" s="6" t="str">
        <f t="shared" si="72"/>
        <v>80/80/80</v>
      </c>
      <c r="DP27" s="6">
        <f t="shared" si="73"/>
        <v>80</v>
      </c>
      <c r="DQ27" s="6">
        <f t="shared" si="74"/>
        <v>80</v>
      </c>
      <c r="DR27" s="6">
        <f t="shared" si="75"/>
        <v>80</v>
      </c>
      <c r="DS27" s="6">
        <f t="shared" si="76"/>
        <v>0</v>
      </c>
      <c r="DT27" s="6">
        <f t="shared" si="77"/>
        <v>0</v>
      </c>
      <c r="DU27" s="6">
        <f t="shared" si="78"/>
        <v>0</v>
      </c>
      <c r="DV27" s="6" t="str">
        <f t="shared" si="79"/>
        <v>80W/ 80W/ 80W</v>
      </c>
      <c r="DW27" s="6">
        <f t="shared" si="80"/>
        <v>80</v>
      </c>
      <c r="DX27" s="6" t="str">
        <f t="shared" si="81"/>
        <v>60/60/60</v>
      </c>
      <c r="DY27" s="6">
        <f t="shared" si="82"/>
        <v>60</v>
      </c>
      <c r="DZ27" s="6">
        <f t="shared" si="83"/>
        <v>60</v>
      </c>
      <c r="EA27" s="6">
        <f t="shared" si="84"/>
        <v>60</v>
      </c>
      <c r="EB27" s="6">
        <f t="shared" si="85"/>
        <v>0</v>
      </c>
      <c r="EC27" s="6">
        <f t="shared" si="86"/>
        <v>0</v>
      </c>
      <c r="ED27" s="6">
        <f t="shared" si="87"/>
        <v>0</v>
      </c>
      <c r="EE27" s="6" t="str">
        <f t="shared" si="88"/>
        <v>60W/ 60W/ 60W</v>
      </c>
      <c r="EF27" s="6">
        <f t="shared" si="89"/>
        <v>60</v>
      </c>
      <c r="EG27" s="6" t="str">
        <f t="shared" si="90"/>
        <v>60/60/60</v>
      </c>
      <c r="EH27" s="6">
        <f t="shared" si="91"/>
        <v>60</v>
      </c>
      <c r="EI27" s="6">
        <f t="shared" si="92"/>
        <v>60</v>
      </c>
      <c r="EJ27" s="6">
        <f t="shared" si="93"/>
        <v>60</v>
      </c>
      <c r="EK27" s="6">
        <f t="shared" si="94"/>
        <v>0</v>
      </c>
      <c r="EL27" s="6">
        <f t="shared" si="95"/>
        <v>0</v>
      </c>
      <c r="EM27" s="6">
        <f t="shared" si="96"/>
        <v>0</v>
      </c>
      <c r="EN27" s="6" t="str">
        <f t="shared" si="97"/>
        <v>60W/ 60W/ 60W</v>
      </c>
      <c r="EO27" s="6">
        <f t="shared" si="98"/>
        <v>60</v>
      </c>
      <c r="EP27" s="6" t="str">
        <f t="shared" si="99"/>
        <v/>
      </c>
      <c r="EQ27" s="6">
        <f t="shared" si="100"/>
        <v>0</v>
      </c>
      <c r="ER27" s="6">
        <f t="shared" si="101"/>
        <v>0</v>
      </c>
      <c r="ES27" s="6">
        <f t="shared" si="102"/>
        <v>0</v>
      </c>
      <c r="ET27" s="6">
        <f t="shared" si="103"/>
        <v>0</v>
      </c>
      <c r="EU27" s="6">
        <f t="shared" si="104"/>
        <v>0</v>
      </c>
      <c r="EV27" s="6">
        <f t="shared" si="105"/>
        <v>0</v>
      </c>
      <c r="EW27" s="6" t="str">
        <f t="shared" si="106"/>
        <v/>
      </c>
      <c r="EX27" s="6">
        <f t="shared" si="107"/>
        <v>0</v>
      </c>
      <c r="EY27" s="6" t="str">
        <f t="shared" si="108"/>
        <v/>
      </c>
      <c r="EZ27" s="6">
        <f t="shared" si="109"/>
        <v>0</v>
      </c>
      <c r="FA27" s="6">
        <f t="shared" si="110"/>
        <v>0</v>
      </c>
      <c r="FB27" s="6">
        <f t="shared" si="111"/>
        <v>0</v>
      </c>
      <c r="FC27" s="6">
        <f t="shared" si="112"/>
        <v>0</v>
      </c>
      <c r="FD27" s="6">
        <f t="shared" si="113"/>
        <v>0</v>
      </c>
      <c r="FE27" s="6">
        <f t="shared" si="114"/>
        <v>0</v>
      </c>
      <c r="FF27" s="6" t="str">
        <f t="shared" si="115"/>
        <v/>
      </c>
      <c r="FG27" s="6">
        <f t="shared" si="116"/>
        <v>0</v>
      </c>
      <c r="FH27" s="6" t="str">
        <f t="shared" si="117"/>
        <v/>
      </c>
      <c r="FI27" s="6">
        <f t="shared" si="118"/>
        <v>0</v>
      </c>
      <c r="FJ27" s="6">
        <f t="shared" si="119"/>
        <v>0</v>
      </c>
      <c r="FK27" s="6">
        <f t="shared" si="120"/>
        <v>0</v>
      </c>
      <c r="FL27" s="6">
        <f t="shared" si="121"/>
        <v>0</v>
      </c>
      <c r="FM27" s="6">
        <f t="shared" si="122"/>
        <v>0</v>
      </c>
      <c r="FN27" s="6">
        <f t="shared" si="123"/>
        <v>0</v>
      </c>
      <c r="FO27" s="6" t="str">
        <f t="shared" si="124"/>
        <v/>
      </c>
      <c r="FP27" s="6">
        <f t="shared" si="125"/>
        <v>0</v>
      </c>
      <c r="FQ27" s="6">
        <f t="shared" si="126"/>
        <v>80</v>
      </c>
      <c r="FR27" s="6" t="str">
        <f t="shared" si="127"/>
        <v>900</v>
      </c>
      <c r="FS27" s="6" t="str">
        <f t="shared" si="128"/>
        <v>2100</v>
      </c>
      <c r="FT27" s="6" t="str">
        <f t="shared" si="129"/>
        <v>1800</v>
      </c>
      <c r="FU27" s="6" t="str">
        <f t="shared" si="130"/>
        <v/>
      </c>
      <c r="FV27" s="6" t="str">
        <f t="shared" si="131"/>
        <v/>
      </c>
      <c r="FW27" s="6" t="str">
        <f t="shared" si="132"/>
        <v/>
      </c>
      <c r="FX27" s="6" t="str">
        <f t="shared" si="133"/>
        <v>51/51/51</v>
      </c>
      <c r="FY27" s="6">
        <f t="shared" si="134"/>
        <v>51</v>
      </c>
      <c r="FZ27" s="6">
        <f t="shared" si="135"/>
        <v>51</v>
      </c>
      <c r="GA27" s="6">
        <f t="shared" si="136"/>
        <v>51</v>
      </c>
      <c r="GB27" s="6">
        <f t="shared" si="137"/>
        <v>0</v>
      </c>
      <c r="GC27" s="6">
        <f t="shared" si="138"/>
        <v>0</v>
      </c>
      <c r="GD27" s="6">
        <f t="shared" si="139"/>
        <v>0</v>
      </c>
      <c r="GE27" s="6" t="str">
        <f t="shared" si="140"/>
        <v>51m/ 51m/ 51m</v>
      </c>
      <c r="GF27" s="6" t="str">
        <f t="shared" si="141"/>
        <v>51/51/51</v>
      </c>
      <c r="GG27" s="6">
        <f t="shared" si="142"/>
        <v>51</v>
      </c>
      <c r="GH27" s="6">
        <f t="shared" si="143"/>
        <v>51</v>
      </c>
      <c r="GI27" s="6">
        <f t="shared" si="144"/>
        <v>51</v>
      </c>
      <c r="GJ27" s="6">
        <f t="shared" si="145"/>
        <v>0</v>
      </c>
      <c r="GK27" s="6">
        <f t="shared" si="146"/>
        <v>0</v>
      </c>
      <c r="GL27" s="6">
        <f t="shared" si="147"/>
        <v>0</v>
      </c>
      <c r="GM27" s="6" t="str">
        <f t="shared" si="148"/>
        <v>51m/ 51m/ 51m</v>
      </c>
      <c r="GN27" s="6" t="str">
        <f t="shared" si="149"/>
        <v>51/51/51</v>
      </c>
      <c r="GO27" s="6">
        <f t="shared" si="150"/>
        <v>51</v>
      </c>
      <c r="GP27" s="6">
        <f t="shared" si="151"/>
        <v>51</v>
      </c>
      <c r="GQ27" s="6">
        <f t="shared" si="152"/>
        <v>51</v>
      </c>
      <c r="GR27" s="6">
        <f t="shared" si="153"/>
        <v>0</v>
      </c>
      <c r="GS27" s="6">
        <f t="shared" si="154"/>
        <v>0</v>
      </c>
      <c r="GT27" s="6">
        <f t="shared" si="155"/>
        <v>0</v>
      </c>
      <c r="GU27" s="6" t="str">
        <f t="shared" si="156"/>
        <v>51m/ 51m/ 51m</v>
      </c>
      <c r="GV27" s="6" t="str">
        <f t="shared" si="157"/>
        <v/>
      </c>
      <c r="GW27" s="6">
        <f t="shared" si="158"/>
        <v>0</v>
      </c>
      <c r="GX27" s="6">
        <f t="shared" si="159"/>
        <v>0</v>
      </c>
      <c r="GY27" s="6">
        <f t="shared" si="160"/>
        <v>0</v>
      </c>
      <c r="GZ27" s="6">
        <f t="shared" si="161"/>
        <v>0</v>
      </c>
      <c r="HA27" s="6">
        <f t="shared" si="162"/>
        <v>0</v>
      </c>
      <c r="HB27" s="6">
        <f t="shared" si="163"/>
        <v>0</v>
      </c>
      <c r="HC27" s="6" t="str">
        <f t="shared" si="164"/>
        <v/>
      </c>
      <c r="HD27" s="6" t="str">
        <f t="shared" si="165"/>
        <v/>
      </c>
      <c r="HE27" s="6">
        <f t="shared" si="166"/>
        <v>0</v>
      </c>
      <c r="HF27" s="6">
        <f t="shared" si="167"/>
        <v>0</v>
      </c>
      <c r="HG27" s="6">
        <f t="shared" si="168"/>
        <v>0</v>
      </c>
      <c r="HH27" s="6">
        <f t="shared" si="169"/>
        <v>0</v>
      </c>
      <c r="HI27" s="6">
        <f t="shared" si="170"/>
        <v>0</v>
      </c>
      <c r="HJ27" s="6">
        <f t="shared" si="171"/>
        <v>0</v>
      </c>
      <c r="HK27" s="6" t="str">
        <f t="shared" si="172"/>
        <v/>
      </c>
      <c r="HL27" s="6" t="str">
        <f t="shared" si="173"/>
        <v/>
      </c>
      <c r="HM27" s="6">
        <f t="shared" si="174"/>
        <v>0</v>
      </c>
      <c r="HN27" s="6">
        <f t="shared" si="175"/>
        <v>0</v>
      </c>
      <c r="HO27" s="6">
        <f t="shared" si="176"/>
        <v>0</v>
      </c>
      <c r="HP27" s="6">
        <f t="shared" si="177"/>
        <v>0</v>
      </c>
      <c r="HQ27" s="6">
        <f t="shared" si="178"/>
        <v>0</v>
      </c>
      <c r="HR27" s="6">
        <f t="shared" si="179"/>
        <v>0</v>
      </c>
      <c r="HS27" s="6" t="str">
        <f t="shared" si="180"/>
        <v/>
      </c>
      <c r="HT27" s="6" t="str">
        <f>INDEX(LabNameList,MATCH(V27,LabIDList,0))</f>
        <v>Trung tâm Kiểm định và Chứng nhận 1</v>
      </c>
      <c r="HU27" s="6">
        <f t="shared" si="181"/>
        <v>51</v>
      </c>
      <c r="HV27" s="6">
        <f t="shared" si="182"/>
        <v>51</v>
      </c>
      <c r="HW27" s="6">
        <f t="shared" si="183"/>
        <v>51</v>
      </c>
      <c r="HX27" s="6">
        <f t="shared" si="184"/>
        <v>0</v>
      </c>
      <c r="HY27" s="6">
        <f t="shared" si="185"/>
        <v>0</v>
      </c>
      <c r="HZ27" s="6">
        <f t="shared" si="186"/>
        <v>0</v>
      </c>
      <c r="IA27" s="5">
        <f t="shared" si="187"/>
        <v>51</v>
      </c>
      <c r="IB27" s="5">
        <f t="shared" si="188"/>
        <v>1</v>
      </c>
      <c r="IC27" s="132" t="str">
        <f t="shared" si="189"/>
        <v>A</v>
      </c>
      <c r="ID27" s="132" t="str">
        <f t="shared" si="190"/>
        <v>04007</v>
      </c>
      <c r="IE27" s="132" t="str">
        <f t="shared" si="191"/>
        <v>181019</v>
      </c>
      <c r="IF27" s="132" t="str">
        <f t="shared" si="192"/>
        <v>TG05</v>
      </c>
      <c r="IG27" s="171">
        <f t="shared" si="193"/>
        <v>43756</v>
      </c>
      <c r="IH27" s="171">
        <f t="shared" si="194"/>
        <v>45583</v>
      </c>
      <c r="II27" s="6">
        <v>37</v>
      </c>
    </row>
    <row r="28" spans="1:243" ht="165.75">
      <c r="A28" s="5">
        <f>Input!A28</f>
        <v>26</v>
      </c>
      <c r="B28" s="132" t="str">
        <f>Profile!$A$3</f>
        <v>VINAPHONE</v>
      </c>
      <c r="C28" s="132" t="str">
        <f>Profile!$F$3</f>
        <v>VINAPHONE</v>
      </c>
      <c r="D28" s="5" t="str">
        <f>Input!B28</f>
        <v>KHUONG-DINH-65-12-TXN_HNI</v>
      </c>
      <c r="E28" s="107" t="str">
        <f>Input!C28</f>
        <v>Số 12, ngõ 65, đường Khương Đình, phường Thượng Đình, quận Thanh Xuân, thành phố Hà Nội</v>
      </c>
      <c r="F28" s="5" t="str">
        <f>Input!D28</f>
        <v>Hà Nội</v>
      </c>
      <c r="G28" s="5">
        <f>Input!E28</f>
        <v>105.81394299999999</v>
      </c>
      <c r="H28" s="5">
        <f>Input!F28</f>
        <v>20.996428999999999</v>
      </c>
      <c r="I28" s="5">
        <f>Input!G28</f>
        <v>1</v>
      </c>
      <c r="J28" s="5">
        <f>Input!H28</f>
        <v>2</v>
      </c>
      <c r="K28" s="5" t="str">
        <f t="shared" si="0"/>
        <v>TỔNG CÔNG TY HẠ TẦNG MẠNG;TỔNG CÔNG TY HẠ TẦNG MẠNG</v>
      </c>
      <c r="L28" s="5" t="str">
        <f>Input!J28</f>
        <v>KHUONG-DINH-65-12-TXN_HNI;KHUONG-DINH-65-12-TXN_HNI</v>
      </c>
      <c r="M28" s="5" t="str">
        <f>Input!K28</f>
        <v>NOKIA FLEXI MULTIRADIO BTS RADIO MODULE AND REMOTE RADIO (FRGY);NOKIA FLEXI MULTIRADIO BTS RADIO MODULE AND REMOTE RADIO (FHEL)</v>
      </c>
      <c r="N28" s="5" t="str">
        <f>Input!L28</f>
        <v>3;3</v>
      </c>
      <c r="O28" s="5" t="str">
        <f>Input!M28</f>
        <v>2/2/2;1/1/1</v>
      </c>
      <c r="P28" s="5" t="str">
        <f>Input!N28</f>
        <v>60/60/60;60/60/60</v>
      </c>
      <c r="Q28" s="5" t="str">
        <f>Input!O28</f>
        <v>2100;1800</v>
      </c>
      <c r="R28" s="5" t="str">
        <f>Input!P28</f>
        <v>22/22/22;22/22/22</v>
      </c>
      <c r="S28" s="152" t="b">
        <f>Input!Q28</f>
        <v>1</v>
      </c>
      <c r="T28" s="5" t="str">
        <f>Input!R28</f>
        <v>A04008181019TG05</v>
      </c>
      <c r="U28" s="5">
        <f>Input!S28</f>
        <v>0</v>
      </c>
      <c r="V28" s="5" t="str">
        <f>Input!T28</f>
        <v>VCC1</v>
      </c>
      <c r="W28" s="5" t="str">
        <f>Input!U28</f>
        <v>1903237/19/TG/TT1</v>
      </c>
      <c r="X28" s="7" t="str">
        <f>TEXT(Input!V28,"dd/mm/yyyy")</f>
        <v>18/10/2019</v>
      </c>
      <c r="Y28" s="5" t="b">
        <f>Input!W28</f>
        <v>0</v>
      </c>
      <c r="Z28" s="152" t="b">
        <f>Input!X28</f>
        <v>0</v>
      </c>
      <c r="AA28" s="5">
        <f t="shared" si="1"/>
        <v>22</v>
      </c>
      <c r="AB28" s="152" t="b">
        <f>Input!Y28</f>
        <v>1</v>
      </c>
      <c r="AC28" s="5">
        <f>VALUE(Input!Z28)</f>
        <v>20</v>
      </c>
      <c r="AD28" s="5" t="b">
        <f>Input!AA28</f>
        <v>0</v>
      </c>
      <c r="AE28" s="5" t="str">
        <f>Input!AB28</f>
        <v>Vũ Văn Giáp</v>
      </c>
      <c r="AF28" s="5" t="str">
        <f>Input!AC28</f>
        <v>Lê Tiến Cường</v>
      </c>
      <c r="AG28" s="132" t="str">
        <f>Options!$J$25</f>
        <v>TRUNG TÂM KIỂM ĐỊNH VÀ CHỨNG NHẬN 1</v>
      </c>
      <c r="AH28" s="132" t="str">
        <f>Options!$J$26</f>
        <v>TP. Hà Nội</v>
      </c>
      <c r="AI28" s="132" t="str">
        <f>Options!$J$29</f>
        <v>GIÁM ĐỐC</v>
      </c>
      <c r="AJ28" s="132" t="str">
        <f>Options!$J$30</f>
        <v/>
      </c>
      <c r="AK28" s="132" t="str">
        <f>Options!$J$31</f>
        <v>Bùi Ngọc Dũng</v>
      </c>
      <c r="AL28" s="6"/>
      <c r="AM28" s="6" t="str">
        <f>INDEX(ApplicantNameList,MATCH(B28,ApplicantIDList,0))</f>
        <v>Tổng Công ty Hạ tầng mạng</v>
      </c>
      <c r="AN28" s="6" t="str">
        <f>INDEX(OperatorNameList,MATCH(C28,OperatorIDList,0))</f>
        <v>TỔNG CÔNG TY HẠ TẦNG MẠNG</v>
      </c>
      <c r="AO28" s="5">
        <f t="shared" si="2"/>
        <v>5</v>
      </c>
      <c r="AP28" s="85" t="str">
        <f t="shared" si="3"/>
        <v>thành phố Hà Nội</v>
      </c>
      <c r="AQ28" s="233" t="str">
        <f t="shared" si="4"/>
        <v>quận Thanh Xuân</v>
      </c>
      <c r="AR28" s="233" t="str">
        <f t="shared" si="5"/>
        <v>phường Thượng Đình</v>
      </c>
      <c r="AS28" s="234" t="str">
        <f>INDEX(CityIDList,MATCH(F28,CityNameList,0))</f>
        <v>HNI</v>
      </c>
      <c r="AT28" s="6" t="str">
        <f>IF(J28&gt;=1,INDEX(OperatorNameList,MATCH(AZ28,OperatorIDList,0)),"")</f>
        <v>TỔNG CÔNG TY HẠ TẦNG MẠNG</v>
      </c>
      <c r="AU28" s="6" t="str">
        <f>IF(J28&gt;=2,INDEX(OperatorNameList,MATCH(BA28,OperatorIDList,0)),"")</f>
        <v>TỔNG CÔNG TY HẠ TẦNG MẠNG</v>
      </c>
      <c r="AV28" s="6" t="str">
        <f>IF(J28&gt;=3,INDEX(OperatorNameList,MATCH(BB28,OperatorIDList,0)),"")</f>
        <v/>
      </c>
      <c r="AW28" s="6" t="str">
        <f>IF(J28&gt;=4,INDEX(OperatorNameList,MATCH(BC28,OperatorIDList,0)),"")</f>
        <v/>
      </c>
      <c r="AX28" s="6" t="str">
        <f>IF(J28&gt;=5,INDEX(OperatorNameList,MATCH(BD28,OperatorIDList,0)),"")</f>
        <v/>
      </c>
      <c r="AY28" s="6" t="str">
        <f>IF(J28&gt;=6,INDEX(OperatorNameList,MATCH(BE28,OperatorIDList,0)),"")</f>
        <v/>
      </c>
      <c r="AZ28" s="6" t="str">
        <f t="shared" si="6"/>
        <v>VINAPHONE</v>
      </c>
      <c r="BA28" s="6" t="str">
        <f t="shared" si="7"/>
        <v>VINAPHONE</v>
      </c>
      <c r="BB28" s="6" t="str">
        <f t="shared" si="8"/>
        <v/>
      </c>
      <c r="BC28" s="6" t="str">
        <f t="shared" si="9"/>
        <v/>
      </c>
      <c r="BD28" s="6" t="str">
        <f t="shared" si="10"/>
        <v/>
      </c>
      <c r="BE28" s="6" t="str">
        <f t="shared" si="11"/>
        <v/>
      </c>
      <c r="BF28" s="6" t="str">
        <f>Input!I28</f>
        <v>VINAPHONE;VINAPHONE</v>
      </c>
      <c r="BG28" s="6" t="str">
        <f t="shared" si="12"/>
        <v>KHUONG-DINH-65-12-TXN_HNI</v>
      </c>
      <c r="BH28" s="6" t="str">
        <f t="shared" si="13"/>
        <v>KHUONG-DINH-65-12-TXN_HNI</v>
      </c>
      <c r="BI28" s="6" t="str">
        <f t="shared" si="14"/>
        <v/>
      </c>
      <c r="BJ28" s="6" t="str">
        <f t="shared" si="15"/>
        <v/>
      </c>
      <c r="BK28" s="6" t="str">
        <f t="shared" si="16"/>
        <v/>
      </c>
      <c r="BL28" s="6" t="str">
        <f t="shared" si="17"/>
        <v/>
      </c>
      <c r="BM28" s="6" t="str">
        <f t="shared" si="18"/>
        <v>NOKIA FLEXI MULTIRADIO BTS RADIO MODULE AND REMOTE RADIO (FRGY)</v>
      </c>
      <c r="BN28" s="6" t="str">
        <f t="shared" si="19"/>
        <v>NOKIA FLEXI MULTIRADIO BTS RADIO MODULE AND REMOTE RADIO (FHEL)</v>
      </c>
      <c r="BO28" s="6" t="str">
        <f t="shared" si="20"/>
        <v/>
      </c>
      <c r="BP28" s="6" t="str">
        <f t="shared" si="21"/>
        <v/>
      </c>
      <c r="BQ28" s="6" t="str">
        <f t="shared" si="22"/>
        <v/>
      </c>
      <c r="BR28" s="6" t="str">
        <f t="shared" si="23"/>
        <v/>
      </c>
      <c r="BS28" s="6">
        <f t="shared" si="24"/>
        <v>3</v>
      </c>
      <c r="BT28" s="6">
        <f t="shared" si="25"/>
        <v>3</v>
      </c>
      <c r="BU28" s="6">
        <f t="shared" si="26"/>
        <v>0</v>
      </c>
      <c r="BV28" s="6">
        <f t="shared" si="27"/>
        <v>0</v>
      </c>
      <c r="BW28" s="6">
        <f t="shared" si="28"/>
        <v>0</v>
      </c>
      <c r="BX28" s="6">
        <f t="shared" si="29"/>
        <v>0</v>
      </c>
      <c r="BY28" s="6" t="str">
        <f t="shared" si="30"/>
        <v>2/2/2</v>
      </c>
      <c r="BZ28" s="6">
        <f t="shared" si="31"/>
        <v>2</v>
      </c>
      <c r="CA28" s="6">
        <f t="shared" si="32"/>
        <v>2</v>
      </c>
      <c r="CB28" s="6">
        <f t="shared" si="33"/>
        <v>2</v>
      </c>
      <c r="CC28" s="6">
        <f t="shared" si="34"/>
        <v>0</v>
      </c>
      <c r="CD28" s="6">
        <f t="shared" si="35"/>
        <v>0</v>
      </c>
      <c r="CE28" s="6">
        <f t="shared" si="36"/>
        <v>0</v>
      </c>
      <c r="CF28" s="6" t="str">
        <f t="shared" si="37"/>
        <v>1/1/1</v>
      </c>
      <c r="CG28" s="6">
        <f t="shared" si="38"/>
        <v>1</v>
      </c>
      <c r="CH28" s="6">
        <f t="shared" si="39"/>
        <v>1</v>
      </c>
      <c r="CI28" s="6">
        <f t="shared" si="40"/>
        <v>1</v>
      </c>
      <c r="CJ28" s="6">
        <f t="shared" si="41"/>
        <v>0</v>
      </c>
      <c r="CK28" s="6">
        <f t="shared" si="42"/>
        <v>0</v>
      </c>
      <c r="CL28" s="6">
        <f t="shared" si="43"/>
        <v>0</v>
      </c>
      <c r="CM28" s="6" t="str">
        <f t="shared" si="44"/>
        <v/>
      </c>
      <c r="CN28" s="6">
        <f t="shared" si="45"/>
        <v>0</v>
      </c>
      <c r="CO28" s="6">
        <f t="shared" si="46"/>
        <v>0</v>
      </c>
      <c r="CP28" s="6">
        <f t="shared" si="47"/>
        <v>0</v>
      </c>
      <c r="CQ28" s="6">
        <f t="shared" si="48"/>
        <v>0</v>
      </c>
      <c r="CR28" s="6">
        <f t="shared" si="49"/>
        <v>0</v>
      </c>
      <c r="CS28" s="6">
        <f t="shared" si="50"/>
        <v>0</v>
      </c>
      <c r="CT28" s="6" t="str">
        <f t="shared" si="51"/>
        <v/>
      </c>
      <c r="CU28" s="6">
        <f t="shared" si="52"/>
        <v>0</v>
      </c>
      <c r="CV28" s="6">
        <f t="shared" si="53"/>
        <v>0</v>
      </c>
      <c r="CW28" s="6">
        <f t="shared" si="54"/>
        <v>0</v>
      </c>
      <c r="CX28" s="6">
        <f t="shared" si="55"/>
        <v>0</v>
      </c>
      <c r="CY28" s="6">
        <f t="shared" si="56"/>
        <v>0</v>
      </c>
      <c r="CZ28" s="6">
        <f t="shared" si="57"/>
        <v>0</v>
      </c>
      <c r="DA28" s="6" t="str">
        <f t="shared" si="58"/>
        <v/>
      </c>
      <c r="DB28" s="6">
        <f t="shared" si="59"/>
        <v>0</v>
      </c>
      <c r="DC28" s="6">
        <f t="shared" si="60"/>
        <v>0</v>
      </c>
      <c r="DD28" s="6">
        <f t="shared" si="61"/>
        <v>0</v>
      </c>
      <c r="DE28" s="6">
        <f t="shared" si="62"/>
        <v>0</v>
      </c>
      <c r="DF28" s="6">
        <f t="shared" si="63"/>
        <v>0</v>
      </c>
      <c r="DG28" s="6">
        <f t="shared" si="64"/>
        <v>0</v>
      </c>
      <c r="DH28" s="6" t="str">
        <f t="shared" si="65"/>
        <v/>
      </c>
      <c r="DI28" s="6">
        <f t="shared" si="66"/>
        <v>0</v>
      </c>
      <c r="DJ28" s="6">
        <f t="shared" si="67"/>
        <v>0</v>
      </c>
      <c r="DK28" s="6">
        <f t="shared" si="68"/>
        <v>0</v>
      </c>
      <c r="DL28" s="6">
        <f t="shared" si="69"/>
        <v>0</v>
      </c>
      <c r="DM28" s="6">
        <f t="shared" si="70"/>
        <v>0</v>
      </c>
      <c r="DN28" s="6">
        <f t="shared" si="71"/>
        <v>0</v>
      </c>
      <c r="DO28" s="6" t="str">
        <f t="shared" si="72"/>
        <v>60/60/60</v>
      </c>
      <c r="DP28" s="6">
        <f t="shared" si="73"/>
        <v>60</v>
      </c>
      <c r="DQ28" s="6">
        <f t="shared" si="74"/>
        <v>60</v>
      </c>
      <c r="DR28" s="6">
        <f t="shared" si="75"/>
        <v>60</v>
      </c>
      <c r="DS28" s="6">
        <f t="shared" si="76"/>
        <v>0</v>
      </c>
      <c r="DT28" s="6">
        <f t="shared" si="77"/>
        <v>0</v>
      </c>
      <c r="DU28" s="6">
        <f t="shared" si="78"/>
        <v>0</v>
      </c>
      <c r="DV28" s="6" t="str">
        <f t="shared" si="79"/>
        <v>60W/ 60W/ 60W</v>
      </c>
      <c r="DW28" s="6">
        <f t="shared" si="80"/>
        <v>60</v>
      </c>
      <c r="DX28" s="6" t="str">
        <f t="shared" si="81"/>
        <v>60/60/60</v>
      </c>
      <c r="DY28" s="6">
        <f t="shared" si="82"/>
        <v>60</v>
      </c>
      <c r="DZ28" s="6">
        <f t="shared" si="83"/>
        <v>60</v>
      </c>
      <c r="EA28" s="6">
        <f t="shared" si="84"/>
        <v>60</v>
      </c>
      <c r="EB28" s="6">
        <f t="shared" si="85"/>
        <v>0</v>
      </c>
      <c r="EC28" s="6">
        <f t="shared" si="86"/>
        <v>0</v>
      </c>
      <c r="ED28" s="6">
        <f t="shared" si="87"/>
        <v>0</v>
      </c>
      <c r="EE28" s="6" t="str">
        <f t="shared" si="88"/>
        <v>60W/ 60W/ 60W</v>
      </c>
      <c r="EF28" s="6">
        <f t="shared" si="89"/>
        <v>60</v>
      </c>
      <c r="EG28" s="6" t="str">
        <f t="shared" si="90"/>
        <v/>
      </c>
      <c r="EH28" s="6">
        <f t="shared" si="91"/>
        <v>0</v>
      </c>
      <c r="EI28" s="6">
        <f t="shared" si="92"/>
        <v>0</v>
      </c>
      <c r="EJ28" s="6">
        <f t="shared" si="93"/>
        <v>0</v>
      </c>
      <c r="EK28" s="6">
        <f t="shared" si="94"/>
        <v>0</v>
      </c>
      <c r="EL28" s="6">
        <f t="shared" si="95"/>
        <v>0</v>
      </c>
      <c r="EM28" s="6">
        <f t="shared" si="96"/>
        <v>0</v>
      </c>
      <c r="EN28" s="6" t="str">
        <f t="shared" si="97"/>
        <v/>
      </c>
      <c r="EO28" s="6">
        <f t="shared" si="98"/>
        <v>0</v>
      </c>
      <c r="EP28" s="6" t="str">
        <f t="shared" si="99"/>
        <v/>
      </c>
      <c r="EQ28" s="6">
        <f t="shared" si="100"/>
        <v>0</v>
      </c>
      <c r="ER28" s="6">
        <f t="shared" si="101"/>
        <v>0</v>
      </c>
      <c r="ES28" s="6">
        <f t="shared" si="102"/>
        <v>0</v>
      </c>
      <c r="ET28" s="6">
        <f t="shared" si="103"/>
        <v>0</v>
      </c>
      <c r="EU28" s="6">
        <f t="shared" si="104"/>
        <v>0</v>
      </c>
      <c r="EV28" s="6">
        <f t="shared" si="105"/>
        <v>0</v>
      </c>
      <c r="EW28" s="6" t="str">
        <f t="shared" si="106"/>
        <v/>
      </c>
      <c r="EX28" s="6">
        <f t="shared" si="107"/>
        <v>0</v>
      </c>
      <c r="EY28" s="6" t="str">
        <f t="shared" si="108"/>
        <v/>
      </c>
      <c r="EZ28" s="6">
        <f t="shared" si="109"/>
        <v>0</v>
      </c>
      <c r="FA28" s="6">
        <f t="shared" si="110"/>
        <v>0</v>
      </c>
      <c r="FB28" s="6">
        <f t="shared" si="111"/>
        <v>0</v>
      </c>
      <c r="FC28" s="6">
        <f t="shared" si="112"/>
        <v>0</v>
      </c>
      <c r="FD28" s="6">
        <f t="shared" si="113"/>
        <v>0</v>
      </c>
      <c r="FE28" s="6">
        <f t="shared" si="114"/>
        <v>0</v>
      </c>
      <c r="FF28" s="6" t="str">
        <f t="shared" si="115"/>
        <v/>
      </c>
      <c r="FG28" s="6">
        <f t="shared" si="116"/>
        <v>0</v>
      </c>
      <c r="FH28" s="6" t="str">
        <f t="shared" si="117"/>
        <v/>
      </c>
      <c r="FI28" s="6">
        <f t="shared" si="118"/>
        <v>0</v>
      </c>
      <c r="FJ28" s="6">
        <f t="shared" si="119"/>
        <v>0</v>
      </c>
      <c r="FK28" s="6">
        <f t="shared" si="120"/>
        <v>0</v>
      </c>
      <c r="FL28" s="6">
        <f t="shared" si="121"/>
        <v>0</v>
      </c>
      <c r="FM28" s="6">
        <f t="shared" si="122"/>
        <v>0</v>
      </c>
      <c r="FN28" s="6">
        <f t="shared" si="123"/>
        <v>0</v>
      </c>
      <c r="FO28" s="6" t="str">
        <f t="shared" si="124"/>
        <v/>
      </c>
      <c r="FP28" s="6">
        <f t="shared" si="125"/>
        <v>0</v>
      </c>
      <c r="FQ28" s="6">
        <f t="shared" si="126"/>
        <v>60</v>
      </c>
      <c r="FR28" s="6" t="str">
        <f t="shared" si="127"/>
        <v>2100</v>
      </c>
      <c r="FS28" s="6" t="str">
        <f t="shared" si="128"/>
        <v>1800</v>
      </c>
      <c r="FT28" s="6" t="str">
        <f t="shared" si="129"/>
        <v/>
      </c>
      <c r="FU28" s="6" t="str">
        <f t="shared" si="130"/>
        <v/>
      </c>
      <c r="FV28" s="6" t="str">
        <f t="shared" si="131"/>
        <v/>
      </c>
      <c r="FW28" s="6" t="str">
        <f t="shared" si="132"/>
        <v/>
      </c>
      <c r="FX28" s="6" t="str">
        <f t="shared" si="133"/>
        <v>22/22/22</v>
      </c>
      <c r="FY28" s="6">
        <f t="shared" si="134"/>
        <v>22</v>
      </c>
      <c r="FZ28" s="6">
        <f t="shared" si="135"/>
        <v>22</v>
      </c>
      <c r="GA28" s="6">
        <f t="shared" si="136"/>
        <v>22</v>
      </c>
      <c r="GB28" s="6">
        <f t="shared" si="137"/>
        <v>0</v>
      </c>
      <c r="GC28" s="6">
        <f t="shared" si="138"/>
        <v>0</v>
      </c>
      <c r="GD28" s="6">
        <f t="shared" si="139"/>
        <v>0</v>
      </c>
      <c r="GE28" s="6" t="str">
        <f t="shared" si="140"/>
        <v>22m/ 22m/ 22m</v>
      </c>
      <c r="GF28" s="6" t="str">
        <f t="shared" si="141"/>
        <v>22/22/22</v>
      </c>
      <c r="GG28" s="6">
        <f t="shared" si="142"/>
        <v>22</v>
      </c>
      <c r="GH28" s="6">
        <f t="shared" si="143"/>
        <v>22</v>
      </c>
      <c r="GI28" s="6">
        <f t="shared" si="144"/>
        <v>22</v>
      </c>
      <c r="GJ28" s="6">
        <f t="shared" si="145"/>
        <v>0</v>
      </c>
      <c r="GK28" s="6">
        <f t="shared" si="146"/>
        <v>0</v>
      </c>
      <c r="GL28" s="6">
        <f t="shared" si="147"/>
        <v>0</v>
      </c>
      <c r="GM28" s="6" t="str">
        <f t="shared" si="148"/>
        <v>22m/ 22m/ 22m</v>
      </c>
      <c r="GN28" s="6" t="str">
        <f t="shared" si="149"/>
        <v/>
      </c>
      <c r="GO28" s="6">
        <f t="shared" si="150"/>
        <v>0</v>
      </c>
      <c r="GP28" s="6">
        <f t="shared" si="151"/>
        <v>0</v>
      </c>
      <c r="GQ28" s="6">
        <f t="shared" si="152"/>
        <v>0</v>
      </c>
      <c r="GR28" s="6">
        <f t="shared" si="153"/>
        <v>0</v>
      </c>
      <c r="GS28" s="6">
        <f t="shared" si="154"/>
        <v>0</v>
      </c>
      <c r="GT28" s="6">
        <f t="shared" si="155"/>
        <v>0</v>
      </c>
      <c r="GU28" s="6" t="str">
        <f t="shared" si="156"/>
        <v/>
      </c>
      <c r="GV28" s="6" t="str">
        <f t="shared" si="157"/>
        <v/>
      </c>
      <c r="GW28" s="6">
        <f t="shared" si="158"/>
        <v>0</v>
      </c>
      <c r="GX28" s="6">
        <f t="shared" si="159"/>
        <v>0</v>
      </c>
      <c r="GY28" s="6">
        <f t="shared" si="160"/>
        <v>0</v>
      </c>
      <c r="GZ28" s="6">
        <f t="shared" si="161"/>
        <v>0</v>
      </c>
      <c r="HA28" s="6">
        <f t="shared" si="162"/>
        <v>0</v>
      </c>
      <c r="HB28" s="6">
        <f t="shared" si="163"/>
        <v>0</v>
      </c>
      <c r="HC28" s="6" t="str">
        <f t="shared" si="164"/>
        <v/>
      </c>
      <c r="HD28" s="6" t="str">
        <f t="shared" si="165"/>
        <v/>
      </c>
      <c r="HE28" s="6">
        <f t="shared" si="166"/>
        <v>0</v>
      </c>
      <c r="HF28" s="6">
        <f t="shared" si="167"/>
        <v>0</v>
      </c>
      <c r="HG28" s="6">
        <f t="shared" si="168"/>
        <v>0</v>
      </c>
      <c r="HH28" s="6">
        <f t="shared" si="169"/>
        <v>0</v>
      </c>
      <c r="HI28" s="6">
        <f t="shared" si="170"/>
        <v>0</v>
      </c>
      <c r="HJ28" s="6">
        <f t="shared" si="171"/>
        <v>0</v>
      </c>
      <c r="HK28" s="6" t="str">
        <f t="shared" si="172"/>
        <v/>
      </c>
      <c r="HL28" s="6" t="str">
        <f t="shared" si="173"/>
        <v/>
      </c>
      <c r="HM28" s="6">
        <f t="shared" si="174"/>
        <v>0</v>
      </c>
      <c r="HN28" s="6">
        <f t="shared" si="175"/>
        <v>0</v>
      </c>
      <c r="HO28" s="6">
        <f t="shared" si="176"/>
        <v>0</v>
      </c>
      <c r="HP28" s="6">
        <f t="shared" si="177"/>
        <v>0</v>
      </c>
      <c r="HQ28" s="6">
        <f t="shared" si="178"/>
        <v>0</v>
      </c>
      <c r="HR28" s="6">
        <f t="shared" si="179"/>
        <v>0</v>
      </c>
      <c r="HS28" s="6" t="str">
        <f t="shared" si="180"/>
        <v/>
      </c>
      <c r="HT28" s="6" t="str">
        <f>INDEX(LabNameList,MATCH(V28,LabIDList,0))</f>
        <v>Trung tâm Kiểm định và Chứng nhận 1</v>
      </c>
      <c r="HU28" s="6">
        <f t="shared" si="181"/>
        <v>22</v>
      </c>
      <c r="HV28" s="6">
        <f t="shared" si="182"/>
        <v>22</v>
      </c>
      <c r="HW28" s="6">
        <f t="shared" si="183"/>
        <v>0</v>
      </c>
      <c r="HX28" s="6">
        <f t="shared" si="184"/>
        <v>0</v>
      </c>
      <c r="HY28" s="6">
        <f t="shared" si="185"/>
        <v>0</v>
      </c>
      <c r="HZ28" s="6">
        <f t="shared" si="186"/>
        <v>0</v>
      </c>
      <c r="IA28" s="5">
        <f t="shared" si="187"/>
        <v>22</v>
      </c>
      <c r="IB28" s="5">
        <f t="shared" si="188"/>
        <v>2</v>
      </c>
      <c r="IC28" s="132" t="str">
        <f t="shared" si="189"/>
        <v>A</v>
      </c>
      <c r="ID28" s="132" t="str">
        <f t="shared" si="190"/>
        <v>04008</v>
      </c>
      <c r="IE28" s="132" t="str">
        <f t="shared" si="191"/>
        <v>181019</v>
      </c>
      <c r="IF28" s="132" t="str">
        <f t="shared" si="192"/>
        <v>TG05</v>
      </c>
      <c r="IG28" s="171">
        <f t="shared" si="193"/>
        <v>43756</v>
      </c>
      <c r="IH28" s="171">
        <f t="shared" si="194"/>
        <v>45583</v>
      </c>
      <c r="II28" s="6">
        <v>37</v>
      </c>
    </row>
    <row r="29" spans="1:243" ht="165.75">
      <c r="A29" s="5">
        <f>Input!A29</f>
        <v>27</v>
      </c>
      <c r="B29" s="132" t="str">
        <f>Profile!$A$3</f>
        <v>VINAPHONE</v>
      </c>
      <c r="C29" s="132" t="str">
        <f>Profile!$F$3</f>
        <v>VINAPHONE</v>
      </c>
      <c r="D29" s="5" t="str">
        <f>Input!B29</f>
        <v>LE-TRONG-TAN-198-24-TXN_HNI</v>
      </c>
      <c r="E29" s="107" t="str">
        <f>Input!C29</f>
        <v>Số 24, ngõ 198, phố Lê Trọng Tấn, phường Khương Mai, quận Thanh Xuân, thành phố Hà Nội</v>
      </c>
      <c r="F29" s="5" t="str">
        <f>Input!D29</f>
        <v>Hà Nội</v>
      </c>
      <c r="G29" s="5">
        <f>Input!E29</f>
        <v>105.830771</v>
      </c>
      <c r="H29" s="5">
        <f>Input!F29</f>
        <v>20.993583000000001</v>
      </c>
      <c r="I29" s="5">
        <f>Input!G29</f>
        <v>1</v>
      </c>
      <c r="J29" s="5">
        <f>Input!H29</f>
        <v>2</v>
      </c>
      <c r="K29" s="5" t="str">
        <f t="shared" si="0"/>
        <v>TỔNG CÔNG TY HẠ TẦNG MẠNG;TỔNG CÔNG TY HẠ TẦNG MẠNG</v>
      </c>
      <c r="L29" s="5" t="str">
        <f>Input!J29</f>
        <v>LE-TRONG-TAN-198-24-TXN_HNI;LE-TRONG-TAN-198-24-TXN_HNI</v>
      </c>
      <c r="M29" s="5" t="str">
        <f>Input!K29</f>
        <v>NOKIA FLEXI MULTIRADIO BTS RADIO MODULE AND REMOTE RADIO (FRGY);NOKIA FLEXI MULTIRADIO BTS RADIO MODULE AND REMOTE RADIO (FHEL)</v>
      </c>
      <c r="N29" s="5" t="str">
        <f>Input!L29</f>
        <v>3;3</v>
      </c>
      <c r="O29" s="5" t="str">
        <f>Input!M29</f>
        <v>2/2/2;1/1/1</v>
      </c>
      <c r="P29" s="5" t="str">
        <f>Input!N29</f>
        <v>60/60/60;60/60/60</v>
      </c>
      <c r="Q29" s="5" t="str">
        <f>Input!O29</f>
        <v>2100;1800</v>
      </c>
      <c r="R29" s="5" t="str">
        <f>Input!P29</f>
        <v>19/19/19;19/19/19</v>
      </c>
      <c r="S29" s="152" t="b">
        <f>Input!Q29</f>
        <v>1</v>
      </c>
      <c r="T29" s="5" t="str">
        <f>Input!R29</f>
        <v>A04009181019TG05</v>
      </c>
      <c r="U29" s="5">
        <f>Input!S29</f>
        <v>0</v>
      </c>
      <c r="V29" s="5" t="str">
        <f>Input!T29</f>
        <v>VCC1</v>
      </c>
      <c r="W29" s="5" t="str">
        <f>Input!U29</f>
        <v>1903238/19/TG/TT1</v>
      </c>
      <c r="X29" s="7" t="str">
        <f>TEXT(Input!V29,"dd/mm/yyyy")</f>
        <v>18/10/2019</v>
      </c>
      <c r="Y29" s="5" t="b">
        <f>Input!W29</f>
        <v>0</v>
      </c>
      <c r="Z29" s="152" t="b">
        <f>Input!X29</f>
        <v>0</v>
      </c>
      <c r="AA29" s="5">
        <f t="shared" si="1"/>
        <v>19</v>
      </c>
      <c r="AB29" s="152" t="b">
        <f>Input!Y29</f>
        <v>1</v>
      </c>
      <c r="AC29" s="5">
        <f>VALUE(Input!Z29)</f>
        <v>16</v>
      </c>
      <c r="AD29" s="5" t="b">
        <f>Input!AA29</f>
        <v>0</v>
      </c>
      <c r="AE29" s="5" t="str">
        <f>Input!AB29</f>
        <v>Vũ Văn Giáp</v>
      </c>
      <c r="AF29" s="5" t="str">
        <f>Input!AC29</f>
        <v>Lê Tiến Cường</v>
      </c>
      <c r="AG29" s="132" t="str">
        <f>Options!$J$25</f>
        <v>TRUNG TÂM KIỂM ĐỊNH VÀ CHỨNG NHẬN 1</v>
      </c>
      <c r="AH29" s="132" t="str">
        <f>Options!$J$26</f>
        <v>TP. Hà Nội</v>
      </c>
      <c r="AI29" s="132" t="str">
        <f>Options!$J$29</f>
        <v>GIÁM ĐỐC</v>
      </c>
      <c r="AJ29" s="132" t="str">
        <f>Options!$J$30</f>
        <v/>
      </c>
      <c r="AK29" s="132" t="str">
        <f>Options!$J$31</f>
        <v>Bùi Ngọc Dũng</v>
      </c>
      <c r="AL29" s="6"/>
      <c r="AM29" s="6" t="str">
        <f>INDEX(ApplicantNameList,MATCH(B29,ApplicantIDList,0))</f>
        <v>Tổng Công ty Hạ tầng mạng</v>
      </c>
      <c r="AN29" s="6" t="str">
        <f>INDEX(OperatorNameList,MATCH(C29,OperatorIDList,0))</f>
        <v>TỔNG CÔNG TY HẠ TẦNG MẠNG</v>
      </c>
      <c r="AO29" s="5">
        <f t="shared" si="2"/>
        <v>5</v>
      </c>
      <c r="AP29" s="85" t="str">
        <f t="shared" si="3"/>
        <v>thành phố Hà Nội</v>
      </c>
      <c r="AQ29" s="233" t="str">
        <f t="shared" si="4"/>
        <v>quận Thanh Xuân</v>
      </c>
      <c r="AR29" s="233" t="str">
        <f t="shared" si="5"/>
        <v>phường Khương Mai</v>
      </c>
      <c r="AS29" s="234" t="str">
        <f>INDEX(CityIDList,MATCH(F29,CityNameList,0))</f>
        <v>HNI</v>
      </c>
      <c r="AT29" s="6" t="str">
        <f>IF(J29&gt;=1,INDEX(OperatorNameList,MATCH(AZ29,OperatorIDList,0)),"")</f>
        <v>TỔNG CÔNG TY HẠ TẦNG MẠNG</v>
      </c>
      <c r="AU29" s="6" t="str">
        <f>IF(J29&gt;=2,INDEX(OperatorNameList,MATCH(BA29,OperatorIDList,0)),"")</f>
        <v>TỔNG CÔNG TY HẠ TẦNG MẠNG</v>
      </c>
      <c r="AV29" s="6" t="str">
        <f>IF(J29&gt;=3,INDEX(OperatorNameList,MATCH(BB29,OperatorIDList,0)),"")</f>
        <v/>
      </c>
      <c r="AW29" s="6" t="str">
        <f>IF(J29&gt;=4,INDEX(OperatorNameList,MATCH(BC29,OperatorIDList,0)),"")</f>
        <v/>
      </c>
      <c r="AX29" s="6" t="str">
        <f>IF(J29&gt;=5,INDEX(OperatorNameList,MATCH(BD29,OperatorIDList,0)),"")</f>
        <v/>
      </c>
      <c r="AY29" s="6" t="str">
        <f>IF(J29&gt;=6,INDEX(OperatorNameList,MATCH(BE29,OperatorIDList,0)),"")</f>
        <v/>
      </c>
      <c r="AZ29" s="6" t="str">
        <f t="shared" si="6"/>
        <v>VINAPHONE</v>
      </c>
      <c r="BA29" s="6" t="str">
        <f t="shared" si="7"/>
        <v>VINAPHONE</v>
      </c>
      <c r="BB29" s="6" t="str">
        <f t="shared" si="8"/>
        <v/>
      </c>
      <c r="BC29" s="6" t="str">
        <f t="shared" si="9"/>
        <v/>
      </c>
      <c r="BD29" s="6" t="str">
        <f t="shared" si="10"/>
        <v/>
      </c>
      <c r="BE29" s="6" t="str">
        <f t="shared" si="11"/>
        <v/>
      </c>
      <c r="BF29" s="6" t="str">
        <f>Input!I29</f>
        <v>VINAPHONE;VINAPHONE</v>
      </c>
      <c r="BG29" s="6" t="str">
        <f t="shared" si="12"/>
        <v>LE-TRONG-TAN-198-24-TXN_HNI</v>
      </c>
      <c r="BH29" s="6" t="str">
        <f t="shared" si="13"/>
        <v>LE-TRONG-TAN-198-24-TXN_HNI</v>
      </c>
      <c r="BI29" s="6" t="str">
        <f t="shared" si="14"/>
        <v/>
      </c>
      <c r="BJ29" s="6" t="str">
        <f t="shared" si="15"/>
        <v/>
      </c>
      <c r="BK29" s="6" t="str">
        <f t="shared" si="16"/>
        <v/>
      </c>
      <c r="BL29" s="6" t="str">
        <f t="shared" si="17"/>
        <v/>
      </c>
      <c r="BM29" s="6" t="str">
        <f t="shared" si="18"/>
        <v>NOKIA FLEXI MULTIRADIO BTS RADIO MODULE AND REMOTE RADIO (FRGY)</v>
      </c>
      <c r="BN29" s="6" t="str">
        <f t="shared" si="19"/>
        <v>NOKIA FLEXI MULTIRADIO BTS RADIO MODULE AND REMOTE RADIO (FHEL)</v>
      </c>
      <c r="BO29" s="6" t="str">
        <f t="shared" si="20"/>
        <v/>
      </c>
      <c r="BP29" s="6" t="str">
        <f t="shared" si="21"/>
        <v/>
      </c>
      <c r="BQ29" s="6" t="str">
        <f t="shared" si="22"/>
        <v/>
      </c>
      <c r="BR29" s="6" t="str">
        <f t="shared" si="23"/>
        <v/>
      </c>
      <c r="BS29" s="6">
        <f t="shared" si="24"/>
        <v>3</v>
      </c>
      <c r="BT29" s="6">
        <f t="shared" si="25"/>
        <v>3</v>
      </c>
      <c r="BU29" s="6">
        <f t="shared" si="26"/>
        <v>0</v>
      </c>
      <c r="BV29" s="6">
        <f t="shared" si="27"/>
        <v>0</v>
      </c>
      <c r="BW29" s="6">
        <f t="shared" si="28"/>
        <v>0</v>
      </c>
      <c r="BX29" s="6">
        <f t="shared" si="29"/>
        <v>0</v>
      </c>
      <c r="BY29" s="6" t="str">
        <f t="shared" si="30"/>
        <v>2/2/2</v>
      </c>
      <c r="BZ29" s="6">
        <f t="shared" si="31"/>
        <v>2</v>
      </c>
      <c r="CA29" s="6">
        <f t="shared" si="32"/>
        <v>2</v>
      </c>
      <c r="CB29" s="6">
        <f t="shared" si="33"/>
        <v>2</v>
      </c>
      <c r="CC29" s="6">
        <f t="shared" si="34"/>
        <v>0</v>
      </c>
      <c r="CD29" s="6">
        <f t="shared" si="35"/>
        <v>0</v>
      </c>
      <c r="CE29" s="6">
        <f t="shared" si="36"/>
        <v>0</v>
      </c>
      <c r="CF29" s="6" t="str">
        <f t="shared" si="37"/>
        <v>1/1/1</v>
      </c>
      <c r="CG29" s="6">
        <f t="shared" si="38"/>
        <v>1</v>
      </c>
      <c r="CH29" s="6">
        <f t="shared" si="39"/>
        <v>1</v>
      </c>
      <c r="CI29" s="6">
        <f t="shared" si="40"/>
        <v>1</v>
      </c>
      <c r="CJ29" s="6">
        <f t="shared" si="41"/>
        <v>0</v>
      </c>
      <c r="CK29" s="6">
        <f t="shared" si="42"/>
        <v>0</v>
      </c>
      <c r="CL29" s="6">
        <f t="shared" si="43"/>
        <v>0</v>
      </c>
      <c r="CM29" s="6" t="str">
        <f t="shared" si="44"/>
        <v/>
      </c>
      <c r="CN29" s="6">
        <f t="shared" si="45"/>
        <v>0</v>
      </c>
      <c r="CO29" s="6">
        <f t="shared" si="46"/>
        <v>0</v>
      </c>
      <c r="CP29" s="6">
        <f t="shared" si="47"/>
        <v>0</v>
      </c>
      <c r="CQ29" s="6">
        <f t="shared" si="48"/>
        <v>0</v>
      </c>
      <c r="CR29" s="6">
        <f t="shared" si="49"/>
        <v>0</v>
      </c>
      <c r="CS29" s="6">
        <f t="shared" si="50"/>
        <v>0</v>
      </c>
      <c r="CT29" s="6" t="str">
        <f t="shared" si="51"/>
        <v/>
      </c>
      <c r="CU29" s="6">
        <f t="shared" si="52"/>
        <v>0</v>
      </c>
      <c r="CV29" s="6">
        <f t="shared" si="53"/>
        <v>0</v>
      </c>
      <c r="CW29" s="6">
        <f t="shared" si="54"/>
        <v>0</v>
      </c>
      <c r="CX29" s="6">
        <f t="shared" si="55"/>
        <v>0</v>
      </c>
      <c r="CY29" s="6">
        <f t="shared" si="56"/>
        <v>0</v>
      </c>
      <c r="CZ29" s="6">
        <f t="shared" si="57"/>
        <v>0</v>
      </c>
      <c r="DA29" s="6" t="str">
        <f t="shared" si="58"/>
        <v/>
      </c>
      <c r="DB29" s="6">
        <f t="shared" si="59"/>
        <v>0</v>
      </c>
      <c r="DC29" s="6">
        <f t="shared" si="60"/>
        <v>0</v>
      </c>
      <c r="DD29" s="6">
        <f t="shared" si="61"/>
        <v>0</v>
      </c>
      <c r="DE29" s="6">
        <f t="shared" si="62"/>
        <v>0</v>
      </c>
      <c r="DF29" s="6">
        <f t="shared" si="63"/>
        <v>0</v>
      </c>
      <c r="DG29" s="6">
        <f t="shared" si="64"/>
        <v>0</v>
      </c>
      <c r="DH29" s="6" t="str">
        <f t="shared" si="65"/>
        <v/>
      </c>
      <c r="DI29" s="6">
        <f t="shared" si="66"/>
        <v>0</v>
      </c>
      <c r="DJ29" s="6">
        <f t="shared" si="67"/>
        <v>0</v>
      </c>
      <c r="DK29" s="6">
        <f t="shared" si="68"/>
        <v>0</v>
      </c>
      <c r="DL29" s="6">
        <f t="shared" si="69"/>
        <v>0</v>
      </c>
      <c r="DM29" s="6">
        <f t="shared" si="70"/>
        <v>0</v>
      </c>
      <c r="DN29" s="6">
        <f t="shared" si="71"/>
        <v>0</v>
      </c>
      <c r="DO29" s="6" t="str">
        <f t="shared" si="72"/>
        <v>60/60/60</v>
      </c>
      <c r="DP29" s="6">
        <f t="shared" si="73"/>
        <v>60</v>
      </c>
      <c r="DQ29" s="6">
        <f t="shared" si="74"/>
        <v>60</v>
      </c>
      <c r="DR29" s="6">
        <f t="shared" si="75"/>
        <v>60</v>
      </c>
      <c r="DS29" s="6">
        <f t="shared" si="76"/>
        <v>0</v>
      </c>
      <c r="DT29" s="6">
        <f t="shared" si="77"/>
        <v>0</v>
      </c>
      <c r="DU29" s="6">
        <f t="shared" si="78"/>
        <v>0</v>
      </c>
      <c r="DV29" s="6" t="str">
        <f t="shared" si="79"/>
        <v>60W/ 60W/ 60W</v>
      </c>
      <c r="DW29" s="6">
        <f t="shared" si="80"/>
        <v>60</v>
      </c>
      <c r="DX29" s="6" t="str">
        <f t="shared" si="81"/>
        <v>60/60/60</v>
      </c>
      <c r="DY29" s="6">
        <f t="shared" si="82"/>
        <v>60</v>
      </c>
      <c r="DZ29" s="6">
        <f t="shared" si="83"/>
        <v>60</v>
      </c>
      <c r="EA29" s="6">
        <f t="shared" si="84"/>
        <v>60</v>
      </c>
      <c r="EB29" s="6">
        <f t="shared" si="85"/>
        <v>0</v>
      </c>
      <c r="EC29" s="6">
        <f t="shared" si="86"/>
        <v>0</v>
      </c>
      <c r="ED29" s="6">
        <f t="shared" si="87"/>
        <v>0</v>
      </c>
      <c r="EE29" s="6" t="str">
        <f t="shared" si="88"/>
        <v>60W/ 60W/ 60W</v>
      </c>
      <c r="EF29" s="6">
        <f t="shared" si="89"/>
        <v>60</v>
      </c>
      <c r="EG29" s="6" t="str">
        <f t="shared" si="90"/>
        <v/>
      </c>
      <c r="EH29" s="6">
        <f t="shared" si="91"/>
        <v>0</v>
      </c>
      <c r="EI29" s="6">
        <f t="shared" si="92"/>
        <v>0</v>
      </c>
      <c r="EJ29" s="6">
        <f t="shared" si="93"/>
        <v>0</v>
      </c>
      <c r="EK29" s="6">
        <f t="shared" si="94"/>
        <v>0</v>
      </c>
      <c r="EL29" s="6">
        <f t="shared" si="95"/>
        <v>0</v>
      </c>
      <c r="EM29" s="6">
        <f t="shared" si="96"/>
        <v>0</v>
      </c>
      <c r="EN29" s="6" t="str">
        <f t="shared" si="97"/>
        <v/>
      </c>
      <c r="EO29" s="6">
        <f t="shared" si="98"/>
        <v>0</v>
      </c>
      <c r="EP29" s="6" t="str">
        <f t="shared" si="99"/>
        <v/>
      </c>
      <c r="EQ29" s="6">
        <f t="shared" si="100"/>
        <v>0</v>
      </c>
      <c r="ER29" s="6">
        <f t="shared" si="101"/>
        <v>0</v>
      </c>
      <c r="ES29" s="6">
        <f t="shared" si="102"/>
        <v>0</v>
      </c>
      <c r="ET29" s="6">
        <f t="shared" si="103"/>
        <v>0</v>
      </c>
      <c r="EU29" s="6">
        <f t="shared" si="104"/>
        <v>0</v>
      </c>
      <c r="EV29" s="6">
        <f t="shared" si="105"/>
        <v>0</v>
      </c>
      <c r="EW29" s="6" t="str">
        <f t="shared" si="106"/>
        <v/>
      </c>
      <c r="EX29" s="6">
        <f t="shared" si="107"/>
        <v>0</v>
      </c>
      <c r="EY29" s="6" t="str">
        <f t="shared" si="108"/>
        <v/>
      </c>
      <c r="EZ29" s="6">
        <f t="shared" si="109"/>
        <v>0</v>
      </c>
      <c r="FA29" s="6">
        <f t="shared" si="110"/>
        <v>0</v>
      </c>
      <c r="FB29" s="6">
        <f t="shared" si="111"/>
        <v>0</v>
      </c>
      <c r="FC29" s="6">
        <f t="shared" si="112"/>
        <v>0</v>
      </c>
      <c r="FD29" s="6">
        <f t="shared" si="113"/>
        <v>0</v>
      </c>
      <c r="FE29" s="6">
        <f t="shared" si="114"/>
        <v>0</v>
      </c>
      <c r="FF29" s="6" t="str">
        <f t="shared" si="115"/>
        <v/>
      </c>
      <c r="FG29" s="6">
        <f t="shared" si="116"/>
        <v>0</v>
      </c>
      <c r="FH29" s="6" t="str">
        <f t="shared" si="117"/>
        <v/>
      </c>
      <c r="FI29" s="6">
        <f t="shared" si="118"/>
        <v>0</v>
      </c>
      <c r="FJ29" s="6">
        <f t="shared" si="119"/>
        <v>0</v>
      </c>
      <c r="FK29" s="6">
        <f t="shared" si="120"/>
        <v>0</v>
      </c>
      <c r="FL29" s="6">
        <f t="shared" si="121"/>
        <v>0</v>
      </c>
      <c r="FM29" s="6">
        <f t="shared" si="122"/>
        <v>0</v>
      </c>
      <c r="FN29" s="6">
        <f t="shared" si="123"/>
        <v>0</v>
      </c>
      <c r="FO29" s="6" t="str">
        <f t="shared" si="124"/>
        <v/>
      </c>
      <c r="FP29" s="6">
        <f t="shared" si="125"/>
        <v>0</v>
      </c>
      <c r="FQ29" s="6">
        <f t="shared" si="126"/>
        <v>60</v>
      </c>
      <c r="FR29" s="6" t="str">
        <f t="shared" si="127"/>
        <v>2100</v>
      </c>
      <c r="FS29" s="6" t="str">
        <f t="shared" si="128"/>
        <v>1800</v>
      </c>
      <c r="FT29" s="6" t="str">
        <f t="shared" si="129"/>
        <v/>
      </c>
      <c r="FU29" s="6" t="str">
        <f t="shared" si="130"/>
        <v/>
      </c>
      <c r="FV29" s="6" t="str">
        <f t="shared" si="131"/>
        <v/>
      </c>
      <c r="FW29" s="6" t="str">
        <f t="shared" si="132"/>
        <v/>
      </c>
      <c r="FX29" s="6" t="str">
        <f t="shared" si="133"/>
        <v>19/19/19</v>
      </c>
      <c r="FY29" s="6">
        <f t="shared" si="134"/>
        <v>19</v>
      </c>
      <c r="FZ29" s="6">
        <f t="shared" si="135"/>
        <v>19</v>
      </c>
      <c r="GA29" s="6">
        <f t="shared" si="136"/>
        <v>19</v>
      </c>
      <c r="GB29" s="6">
        <f t="shared" si="137"/>
        <v>0</v>
      </c>
      <c r="GC29" s="6">
        <f t="shared" si="138"/>
        <v>0</v>
      </c>
      <c r="GD29" s="6">
        <f t="shared" si="139"/>
        <v>0</v>
      </c>
      <c r="GE29" s="6" t="str">
        <f t="shared" si="140"/>
        <v>19m/ 19m/ 19m</v>
      </c>
      <c r="GF29" s="6" t="str">
        <f t="shared" si="141"/>
        <v>19/19/19</v>
      </c>
      <c r="GG29" s="6">
        <f t="shared" si="142"/>
        <v>19</v>
      </c>
      <c r="GH29" s="6">
        <f t="shared" si="143"/>
        <v>19</v>
      </c>
      <c r="GI29" s="6">
        <f t="shared" si="144"/>
        <v>19</v>
      </c>
      <c r="GJ29" s="6">
        <f t="shared" si="145"/>
        <v>0</v>
      </c>
      <c r="GK29" s="6">
        <f t="shared" si="146"/>
        <v>0</v>
      </c>
      <c r="GL29" s="6">
        <f t="shared" si="147"/>
        <v>0</v>
      </c>
      <c r="GM29" s="6" t="str">
        <f t="shared" si="148"/>
        <v>19m/ 19m/ 19m</v>
      </c>
      <c r="GN29" s="6" t="str">
        <f t="shared" si="149"/>
        <v/>
      </c>
      <c r="GO29" s="6">
        <f t="shared" si="150"/>
        <v>0</v>
      </c>
      <c r="GP29" s="6">
        <f t="shared" si="151"/>
        <v>0</v>
      </c>
      <c r="GQ29" s="6">
        <f t="shared" si="152"/>
        <v>0</v>
      </c>
      <c r="GR29" s="6">
        <f t="shared" si="153"/>
        <v>0</v>
      </c>
      <c r="GS29" s="6">
        <f t="shared" si="154"/>
        <v>0</v>
      </c>
      <c r="GT29" s="6">
        <f t="shared" si="155"/>
        <v>0</v>
      </c>
      <c r="GU29" s="6" t="str">
        <f t="shared" si="156"/>
        <v/>
      </c>
      <c r="GV29" s="6" t="str">
        <f t="shared" si="157"/>
        <v/>
      </c>
      <c r="GW29" s="6">
        <f t="shared" si="158"/>
        <v>0</v>
      </c>
      <c r="GX29" s="6">
        <f t="shared" si="159"/>
        <v>0</v>
      </c>
      <c r="GY29" s="6">
        <f t="shared" si="160"/>
        <v>0</v>
      </c>
      <c r="GZ29" s="6">
        <f t="shared" si="161"/>
        <v>0</v>
      </c>
      <c r="HA29" s="6">
        <f t="shared" si="162"/>
        <v>0</v>
      </c>
      <c r="HB29" s="6">
        <f t="shared" si="163"/>
        <v>0</v>
      </c>
      <c r="HC29" s="6" t="str">
        <f t="shared" si="164"/>
        <v/>
      </c>
      <c r="HD29" s="6" t="str">
        <f t="shared" si="165"/>
        <v/>
      </c>
      <c r="HE29" s="6">
        <f t="shared" si="166"/>
        <v>0</v>
      </c>
      <c r="HF29" s="6">
        <f t="shared" si="167"/>
        <v>0</v>
      </c>
      <c r="HG29" s="6">
        <f t="shared" si="168"/>
        <v>0</v>
      </c>
      <c r="HH29" s="6">
        <f t="shared" si="169"/>
        <v>0</v>
      </c>
      <c r="HI29" s="6">
        <f t="shared" si="170"/>
        <v>0</v>
      </c>
      <c r="HJ29" s="6">
        <f t="shared" si="171"/>
        <v>0</v>
      </c>
      <c r="HK29" s="6" t="str">
        <f t="shared" si="172"/>
        <v/>
      </c>
      <c r="HL29" s="6" t="str">
        <f t="shared" si="173"/>
        <v/>
      </c>
      <c r="HM29" s="6">
        <f t="shared" si="174"/>
        <v>0</v>
      </c>
      <c r="HN29" s="6">
        <f t="shared" si="175"/>
        <v>0</v>
      </c>
      <c r="HO29" s="6">
        <f t="shared" si="176"/>
        <v>0</v>
      </c>
      <c r="HP29" s="6">
        <f t="shared" si="177"/>
        <v>0</v>
      </c>
      <c r="HQ29" s="6">
        <f t="shared" si="178"/>
        <v>0</v>
      </c>
      <c r="HR29" s="6">
        <f t="shared" si="179"/>
        <v>0</v>
      </c>
      <c r="HS29" s="6" t="str">
        <f t="shared" si="180"/>
        <v/>
      </c>
      <c r="HT29" s="6" t="str">
        <f>INDEX(LabNameList,MATCH(V29,LabIDList,0))</f>
        <v>Trung tâm Kiểm định và Chứng nhận 1</v>
      </c>
      <c r="HU29" s="6">
        <f t="shared" si="181"/>
        <v>19</v>
      </c>
      <c r="HV29" s="6">
        <f t="shared" si="182"/>
        <v>19</v>
      </c>
      <c r="HW29" s="6">
        <f t="shared" si="183"/>
        <v>0</v>
      </c>
      <c r="HX29" s="6">
        <f t="shared" si="184"/>
        <v>0</v>
      </c>
      <c r="HY29" s="6">
        <f t="shared" si="185"/>
        <v>0</v>
      </c>
      <c r="HZ29" s="6">
        <f t="shared" si="186"/>
        <v>0</v>
      </c>
      <c r="IA29" s="5">
        <f t="shared" si="187"/>
        <v>19</v>
      </c>
      <c r="IB29" s="5">
        <f t="shared" si="188"/>
        <v>3</v>
      </c>
      <c r="IC29" s="132" t="str">
        <f t="shared" si="189"/>
        <v>A</v>
      </c>
      <c r="ID29" s="132" t="str">
        <f t="shared" si="190"/>
        <v>04009</v>
      </c>
      <c r="IE29" s="132" t="str">
        <f t="shared" si="191"/>
        <v>181019</v>
      </c>
      <c r="IF29" s="132" t="str">
        <f t="shared" si="192"/>
        <v>TG05</v>
      </c>
      <c r="IG29" s="171">
        <f t="shared" si="193"/>
        <v>43756</v>
      </c>
      <c r="IH29" s="171">
        <f t="shared" si="194"/>
        <v>45583</v>
      </c>
      <c r="II29" s="6">
        <v>37</v>
      </c>
    </row>
    <row r="30" spans="1:243" ht="165.75">
      <c r="A30" s="5">
        <f>Input!A30</f>
        <v>28</v>
      </c>
      <c r="B30" s="132" t="str">
        <f>Profile!$A$3</f>
        <v>VINAPHONE</v>
      </c>
      <c r="C30" s="132" t="str">
        <f>Profile!$F$3</f>
        <v>VINAPHONE</v>
      </c>
      <c r="D30" s="5" t="str">
        <f>Input!B30</f>
        <v>THUY-KHUE-424-17-THO_HNI</v>
      </c>
      <c r="E30" s="107" t="str">
        <f>Input!C30</f>
        <v>Số 17, ngõ 424, phố Thụy Khuê, phường Bưởi, quận Tây Hồ, thành phố Hà Nội</v>
      </c>
      <c r="F30" s="5" t="str">
        <f>Input!D30</f>
        <v>Hà Nội</v>
      </c>
      <c r="G30" s="5">
        <f>Input!E30</f>
        <v>105.81142199999999</v>
      </c>
      <c r="H30" s="5">
        <f>Input!F30</f>
        <v>21.047256000000001</v>
      </c>
      <c r="I30" s="5">
        <f>Input!G30</f>
        <v>1</v>
      </c>
      <c r="J30" s="5">
        <f>Input!H30</f>
        <v>2</v>
      </c>
      <c r="K30" s="5" t="str">
        <f t="shared" si="0"/>
        <v>TỔNG CÔNG TY HẠ TẦNG MẠNG;TỔNG CÔNG TY HẠ TẦNG MẠNG</v>
      </c>
      <c r="L30" s="5" t="str">
        <f>Input!J30</f>
        <v>THUY-KHUE-424-17-THO_HNI;THUY-KHUE-424-17-THO_HNI</v>
      </c>
      <c r="M30" s="5" t="str">
        <f>Input!K30</f>
        <v>NOKIA FLEXI MULTIRADIO BTS RADIO MODULE AND REMOTE RADIO (FRGY);NOKIA FLEXI MULTIRADIO BTS RADIO MODULE AND REMOTE RADIO (FHEL)</v>
      </c>
      <c r="N30" s="5" t="str">
        <f>Input!L30</f>
        <v>3;3</v>
      </c>
      <c r="O30" s="5" t="str">
        <f>Input!M30</f>
        <v>2/2/2;1/1/1</v>
      </c>
      <c r="P30" s="5" t="str">
        <f>Input!N30</f>
        <v>60/60/60;60/60/60</v>
      </c>
      <c r="Q30" s="5" t="str">
        <f>Input!O30</f>
        <v>2100;1800</v>
      </c>
      <c r="R30" s="5" t="str">
        <f>Input!P30</f>
        <v>27/27/27;27/27/27</v>
      </c>
      <c r="S30" s="152" t="b">
        <f>Input!Q30</f>
        <v>1</v>
      </c>
      <c r="T30" s="5" t="str">
        <f>Input!R30</f>
        <v>A04010181019TG05</v>
      </c>
      <c r="U30" s="5">
        <f>Input!S30</f>
        <v>0</v>
      </c>
      <c r="V30" s="5" t="str">
        <f>Input!T30</f>
        <v>VCC1</v>
      </c>
      <c r="W30" s="5" t="str">
        <f>Input!U30</f>
        <v>1902992/19/TG/TT1</v>
      </c>
      <c r="X30" s="7" t="str">
        <f>TEXT(Input!V30,"dd/mm/yyyy")</f>
        <v>18/10/2019</v>
      </c>
      <c r="Y30" s="5" t="b">
        <f>Input!W30</f>
        <v>0</v>
      </c>
      <c r="Z30" s="152" t="b">
        <f>Input!X30</f>
        <v>0</v>
      </c>
      <c r="AA30" s="5">
        <f t="shared" si="1"/>
        <v>27</v>
      </c>
      <c r="AB30" s="152" t="b">
        <f>Input!Y30</f>
        <v>1</v>
      </c>
      <c r="AC30" s="5">
        <f>VALUE(Input!Z30)</f>
        <v>25</v>
      </c>
      <c r="AD30" s="5" t="b">
        <f>Input!AA30</f>
        <v>0</v>
      </c>
      <c r="AE30" s="5" t="str">
        <f>Input!AB30</f>
        <v>Vũ Văn Giáp</v>
      </c>
      <c r="AF30" s="5" t="str">
        <f>Input!AC30</f>
        <v>Lê Tiến Cường</v>
      </c>
      <c r="AG30" s="132" t="str">
        <f>Options!$J$25</f>
        <v>TRUNG TÂM KIỂM ĐỊNH VÀ CHỨNG NHẬN 1</v>
      </c>
      <c r="AH30" s="132" t="str">
        <f>Options!$J$26</f>
        <v>TP. Hà Nội</v>
      </c>
      <c r="AI30" s="132" t="str">
        <f>Options!$J$29</f>
        <v>GIÁM ĐỐC</v>
      </c>
      <c r="AJ30" s="132" t="str">
        <f>Options!$J$30</f>
        <v/>
      </c>
      <c r="AK30" s="132" t="str">
        <f>Options!$J$31</f>
        <v>Bùi Ngọc Dũng</v>
      </c>
      <c r="AL30" s="6"/>
      <c r="AM30" s="6" t="str">
        <f>INDEX(ApplicantNameList,MATCH(B30,ApplicantIDList,0))</f>
        <v>Tổng Công ty Hạ tầng mạng</v>
      </c>
      <c r="AN30" s="6" t="str">
        <f>INDEX(OperatorNameList,MATCH(C30,OperatorIDList,0))</f>
        <v>TỔNG CÔNG TY HẠ TẦNG MẠNG</v>
      </c>
      <c r="AO30" s="5">
        <f t="shared" si="2"/>
        <v>5</v>
      </c>
      <c r="AP30" s="85" t="str">
        <f t="shared" si="3"/>
        <v>thành phố Hà Nội</v>
      </c>
      <c r="AQ30" s="233" t="str">
        <f t="shared" si="4"/>
        <v>quận Tây Hồ</v>
      </c>
      <c r="AR30" s="233" t="str">
        <f t="shared" si="5"/>
        <v>phường Bưởi</v>
      </c>
      <c r="AS30" s="234" t="str">
        <f>INDEX(CityIDList,MATCH(F30,CityNameList,0))</f>
        <v>HNI</v>
      </c>
      <c r="AT30" s="6" t="str">
        <f>IF(J30&gt;=1,INDEX(OperatorNameList,MATCH(AZ30,OperatorIDList,0)),"")</f>
        <v>TỔNG CÔNG TY HẠ TẦNG MẠNG</v>
      </c>
      <c r="AU30" s="6" t="str">
        <f>IF(J30&gt;=2,INDEX(OperatorNameList,MATCH(BA30,OperatorIDList,0)),"")</f>
        <v>TỔNG CÔNG TY HẠ TẦNG MẠNG</v>
      </c>
      <c r="AV30" s="6" t="str">
        <f>IF(J30&gt;=3,INDEX(OperatorNameList,MATCH(BB30,OperatorIDList,0)),"")</f>
        <v/>
      </c>
      <c r="AW30" s="6" t="str">
        <f>IF(J30&gt;=4,INDEX(OperatorNameList,MATCH(BC30,OperatorIDList,0)),"")</f>
        <v/>
      </c>
      <c r="AX30" s="6" t="str">
        <f>IF(J30&gt;=5,INDEX(OperatorNameList,MATCH(BD30,OperatorIDList,0)),"")</f>
        <v/>
      </c>
      <c r="AY30" s="6" t="str">
        <f>IF(J30&gt;=6,INDEX(OperatorNameList,MATCH(BE30,OperatorIDList,0)),"")</f>
        <v/>
      </c>
      <c r="AZ30" s="6" t="str">
        <f t="shared" si="6"/>
        <v>VINAPHONE</v>
      </c>
      <c r="BA30" s="6" t="str">
        <f t="shared" si="7"/>
        <v>VINAPHONE</v>
      </c>
      <c r="BB30" s="6" t="str">
        <f t="shared" si="8"/>
        <v/>
      </c>
      <c r="BC30" s="6" t="str">
        <f t="shared" si="9"/>
        <v/>
      </c>
      <c r="BD30" s="6" t="str">
        <f t="shared" si="10"/>
        <v/>
      </c>
      <c r="BE30" s="6" t="str">
        <f t="shared" si="11"/>
        <v/>
      </c>
      <c r="BF30" s="6" t="str">
        <f>Input!I30</f>
        <v>VINAPHONE;VINAPHONE</v>
      </c>
      <c r="BG30" s="6" t="str">
        <f t="shared" si="12"/>
        <v>THUY-KHUE-424-17-THO_HNI</v>
      </c>
      <c r="BH30" s="6" t="str">
        <f t="shared" si="13"/>
        <v>THUY-KHUE-424-17-THO_HNI</v>
      </c>
      <c r="BI30" s="6" t="str">
        <f t="shared" si="14"/>
        <v/>
      </c>
      <c r="BJ30" s="6" t="str">
        <f t="shared" si="15"/>
        <v/>
      </c>
      <c r="BK30" s="6" t="str">
        <f t="shared" si="16"/>
        <v/>
      </c>
      <c r="BL30" s="6" t="str">
        <f t="shared" si="17"/>
        <v/>
      </c>
      <c r="BM30" s="6" t="str">
        <f t="shared" si="18"/>
        <v>NOKIA FLEXI MULTIRADIO BTS RADIO MODULE AND REMOTE RADIO (FRGY)</v>
      </c>
      <c r="BN30" s="6" t="str">
        <f t="shared" si="19"/>
        <v>NOKIA FLEXI MULTIRADIO BTS RADIO MODULE AND REMOTE RADIO (FHEL)</v>
      </c>
      <c r="BO30" s="6" t="str">
        <f t="shared" si="20"/>
        <v/>
      </c>
      <c r="BP30" s="6" t="str">
        <f t="shared" si="21"/>
        <v/>
      </c>
      <c r="BQ30" s="6" t="str">
        <f t="shared" si="22"/>
        <v/>
      </c>
      <c r="BR30" s="6" t="str">
        <f t="shared" si="23"/>
        <v/>
      </c>
      <c r="BS30" s="6">
        <f t="shared" si="24"/>
        <v>3</v>
      </c>
      <c r="BT30" s="6">
        <f t="shared" si="25"/>
        <v>3</v>
      </c>
      <c r="BU30" s="6">
        <f t="shared" si="26"/>
        <v>0</v>
      </c>
      <c r="BV30" s="6">
        <f t="shared" si="27"/>
        <v>0</v>
      </c>
      <c r="BW30" s="6">
        <f t="shared" si="28"/>
        <v>0</v>
      </c>
      <c r="BX30" s="6">
        <f t="shared" si="29"/>
        <v>0</v>
      </c>
      <c r="BY30" s="6" t="str">
        <f t="shared" si="30"/>
        <v>2/2/2</v>
      </c>
      <c r="BZ30" s="6">
        <f t="shared" si="31"/>
        <v>2</v>
      </c>
      <c r="CA30" s="6">
        <f t="shared" si="32"/>
        <v>2</v>
      </c>
      <c r="CB30" s="6">
        <f t="shared" si="33"/>
        <v>2</v>
      </c>
      <c r="CC30" s="6">
        <f t="shared" si="34"/>
        <v>0</v>
      </c>
      <c r="CD30" s="6">
        <f t="shared" si="35"/>
        <v>0</v>
      </c>
      <c r="CE30" s="6">
        <f t="shared" si="36"/>
        <v>0</v>
      </c>
      <c r="CF30" s="6" t="str">
        <f t="shared" si="37"/>
        <v>1/1/1</v>
      </c>
      <c r="CG30" s="6">
        <f t="shared" si="38"/>
        <v>1</v>
      </c>
      <c r="CH30" s="6">
        <f t="shared" si="39"/>
        <v>1</v>
      </c>
      <c r="CI30" s="6">
        <f t="shared" si="40"/>
        <v>1</v>
      </c>
      <c r="CJ30" s="6">
        <f t="shared" si="41"/>
        <v>0</v>
      </c>
      <c r="CK30" s="6">
        <f t="shared" si="42"/>
        <v>0</v>
      </c>
      <c r="CL30" s="6">
        <f t="shared" si="43"/>
        <v>0</v>
      </c>
      <c r="CM30" s="6" t="str">
        <f t="shared" si="44"/>
        <v/>
      </c>
      <c r="CN30" s="6">
        <f t="shared" si="45"/>
        <v>0</v>
      </c>
      <c r="CO30" s="6">
        <f t="shared" si="46"/>
        <v>0</v>
      </c>
      <c r="CP30" s="6">
        <f t="shared" si="47"/>
        <v>0</v>
      </c>
      <c r="CQ30" s="6">
        <f t="shared" si="48"/>
        <v>0</v>
      </c>
      <c r="CR30" s="6">
        <f t="shared" si="49"/>
        <v>0</v>
      </c>
      <c r="CS30" s="6">
        <f t="shared" si="50"/>
        <v>0</v>
      </c>
      <c r="CT30" s="6" t="str">
        <f t="shared" si="51"/>
        <v/>
      </c>
      <c r="CU30" s="6">
        <f t="shared" si="52"/>
        <v>0</v>
      </c>
      <c r="CV30" s="6">
        <f t="shared" si="53"/>
        <v>0</v>
      </c>
      <c r="CW30" s="6">
        <f t="shared" si="54"/>
        <v>0</v>
      </c>
      <c r="CX30" s="6">
        <f t="shared" si="55"/>
        <v>0</v>
      </c>
      <c r="CY30" s="6">
        <f t="shared" si="56"/>
        <v>0</v>
      </c>
      <c r="CZ30" s="6">
        <f t="shared" si="57"/>
        <v>0</v>
      </c>
      <c r="DA30" s="6" t="str">
        <f t="shared" si="58"/>
        <v/>
      </c>
      <c r="DB30" s="6">
        <f t="shared" si="59"/>
        <v>0</v>
      </c>
      <c r="DC30" s="6">
        <f t="shared" si="60"/>
        <v>0</v>
      </c>
      <c r="DD30" s="6">
        <f t="shared" si="61"/>
        <v>0</v>
      </c>
      <c r="DE30" s="6">
        <f t="shared" si="62"/>
        <v>0</v>
      </c>
      <c r="DF30" s="6">
        <f t="shared" si="63"/>
        <v>0</v>
      </c>
      <c r="DG30" s="6">
        <f t="shared" si="64"/>
        <v>0</v>
      </c>
      <c r="DH30" s="6" t="str">
        <f t="shared" si="65"/>
        <v/>
      </c>
      <c r="DI30" s="6">
        <f t="shared" si="66"/>
        <v>0</v>
      </c>
      <c r="DJ30" s="6">
        <f t="shared" si="67"/>
        <v>0</v>
      </c>
      <c r="DK30" s="6">
        <f t="shared" si="68"/>
        <v>0</v>
      </c>
      <c r="DL30" s="6">
        <f t="shared" si="69"/>
        <v>0</v>
      </c>
      <c r="DM30" s="6">
        <f t="shared" si="70"/>
        <v>0</v>
      </c>
      <c r="DN30" s="6">
        <f t="shared" si="71"/>
        <v>0</v>
      </c>
      <c r="DO30" s="6" t="str">
        <f t="shared" si="72"/>
        <v>60/60/60</v>
      </c>
      <c r="DP30" s="6">
        <f t="shared" si="73"/>
        <v>60</v>
      </c>
      <c r="DQ30" s="6">
        <f t="shared" si="74"/>
        <v>60</v>
      </c>
      <c r="DR30" s="6">
        <f t="shared" si="75"/>
        <v>60</v>
      </c>
      <c r="DS30" s="6">
        <f t="shared" si="76"/>
        <v>0</v>
      </c>
      <c r="DT30" s="6">
        <f t="shared" si="77"/>
        <v>0</v>
      </c>
      <c r="DU30" s="6">
        <f t="shared" si="78"/>
        <v>0</v>
      </c>
      <c r="DV30" s="6" t="str">
        <f t="shared" si="79"/>
        <v>60W/ 60W/ 60W</v>
      </c>
      <c r="DW30" s="6">
        <f t="shared" si="80"/>
        <v>60</v>
      </c>
      <c r="DX30" s="6" t="str">
        <f t="shared" si="81"/>
        <v>60/60/60</v>
      </c>
      <c r="DY30" s="6">
        <f t="shared" si="82"/>
        <v>60</v>
      </c>
      <c r="DZ30" s="6">
        <f t="shared" si="83"/>
        <v>60</v>
      </c>
      <c r="EA30" s="6">
        <f t="shared" si="84"/>
        <v>60</v>
      </c>
      <c r="EB30" s="6">
        <f t="shared" si="85"/>
        <v>0</v>
      </c>
      <c r="EC30" s="6">
        <f t="shared" si="86"/>
        <v>0</v>
      </c>
      <c r="ED30" s="6">
        <f t="shared" si="87"/>
        <v>0</v>
      </c>
      <c r="EE30" s="6" t="str">
        <f t="shared" si="88"/>
        <v>60W/ 60W/ 60W</v>
      </c>
      <c r="EF30" s="6">
        <f t="shared" si="89"/>
        <v>60</v>
      </c>
      <c r="EG30" s="6" t="str">
        <f t="shared" si="90"/>
        <v/>
      </c>
      <c r="EH30" s="6">
        <f t="shared" si="91"/>
        <v>0</v>
      </c>
      <c r="EI30" s="6">
        <f t="shared" si="92"/>
        <v>0</v>
      </c>
      <c r="EJ30" s="6">
        <f t="shared" si="93"/>
        <v>0</v>
      </c>
      <c r="EK30" s="6">
        <f t="shared" si="94"/>
        <v>0</v>
      </c>
      <c r="EL30" s="6">
        <f t="shared" si="95"/>
        <v>0</v>
      </c>
      <c r="EM30" s="6">
        <f t="shared" si="96"/>
        <v>0</v>
      </c>
      <c r="EN30" s="6" t="str">
        <f t="shared" si="97"/>
        <v/>
      </c>
      <c r="EO30" s="6">
        <f t="shared" si="98"/>
        <v>0</v>
      </c>
      <c r="EP30" s="6" t="str">
        <f t="shared" si="99"/>
        <v/>
      </c>
      <c r="EQ30" s="6">
        <f t="shared" si="100"/>
        <v>0</v>
      </c>
      <c r="ER30" s="6">
        <f t="shared" si="101"/>
        <v>0</v>
      </c>
      <c r="ES30" s="6">
        <f t="shared" si="102"/>
        <v>0</v>
      </c>
      <c r="ET30" s="6">
        <f t="shared" si="103"/>
        <v>0</v>
      </c>
      <c r="EU30" s="6">
        <f t="shared" si="104"/>
        <v>0</v>
      </c>
      <c r="EV30" s="6">
        <f t="shared" si="105"/>
        <v>0</v>
      </c>
      <c r="EW30" s="6" t="str">
        <f t="shared" si="106"/>
        <v/>
      </c>
      <c r="EX30" s="6">
        <f t="shared" si="107"/>
        <v>0</v>
      </c>
      <c r="EY30" s="6" t="str">
        <f t="shared" si="108"/>
        <v/>
      </c>
      <c r="EZ30" s="6">
        <f t="shared" si="109"/>
        <v>0</v>
      </c>
      <c r="FA30" s="6">
        <f t="shared" si="110"/>
        <v>0</v>
      </c>
      <c r="FB30" s="6">
        <f t="shared" si="111"/>
        <v>0</v>
      </c>
      <c r="FC30" s="6">
        <f t="shared" si="112"/>
        <v>0</v>
      </c>
      <c r="FD30" s="6">
        <f t="shared" si="113"/>
        <v>0</v>
      </c>
      <c r="FE30" s="6">
        <f t="shared" si="114"/>
        <v>0</v>
      </c>
      <c r="FF30" s="6" t="str">
        <f t="shared" si="115"/>
        <v/>
      </c>
      <c r="FG30" s="6">
        <f t="shared" si="116"/>
        <v>0</v>
      </c>
      <c r="FH30" s="6" t="str">
        <f t="shared" si="117"/>
        <v/>
      </c>
      <c r="FI30" s="6">
        <f t="shared" si="118"/>
        <v>0</v>
      </c>
      <c r="FJ30" s="6">
        <f t="shared" si="119"/>
        <v>0</v>
      </c>
      <c r="FK30" s="6">
        <f t="shared" si="120"/>
        <v>0</v>
      </c>
      <c r="FL30" s="6">
        <f t="shared" si="121"/>
        <v>0</v>
      </c>
      <c r="FM30" s="6">
        <f t="shared" si="122"/>
        <v>0</v>
      </c>
      <c r="FN30" s="6">
        <f t="shared" si="123"/>
        <v>0</v>
      </c>
      <c r="FO30" s="6" t="str">
        <f t="shared" si="124"/>
        <v/>
      </c>
      <c r="FP30" s="6">
        <f t="shared" si="125"/>
        <v>0</v>
      </c>
      <c r="FQ30" s="6">
        <f t="shared" si="126"/>
        <v>60</v>
      </c>
      <c r="FR30" s="6" t="str">
        <f t="shared" si="127"/>
        <v>2100</v>
      </c>
      <c r="FS30" s="6" t="str">
        <f t="shared" si="128"/>
        <v>1800</v>
      </c>
      <c r="FT30" s="6" t="str">
        <f t="shared" si="129"/>
        <v/>
      </c>
      <c r="FU30" s="6" t="str">
        <f t="shared" si="130"/>
        <v/>
      </c>
      <c r="FV30" s="6" t="str">
        <f t="shared" si="131"/>
        <v/>
      </c>
      <c r="FW30" s="6" t="str">
        <f t="shared" si="132"/>
        <v/>
      </c>
      <c r="FX30" s="6" t="str">
        <f t="shared" si="133"/>
        <v>27/27/27</v>
      </c>
      <c r="FY30" s="6">
        <f t="shared" si="134"/>
        <v>27</v>
      </c>
      <c r="FZ30" s="6">
        <f t="shared" si="135"/>
        <v>27</v>
      </c>
      <c r="GA30" s="6">
        <f t="shared" si="136"/>
        <v>27</v>
      </c>
      <c r="GB30" s="6">
        <f t="shared" si="137"/>
        <v>0</v>
      </c>
      <c r="GC30" s="6">
        <f t="shared" si="138"/>
        <v>0</v>
      </c>
      <c r="GD30" s="6">
        <f t="shared" si="139"/>
        <v>0</v>
      </c>
      <c r="GE30" s="6" t="str">
        <f t="shared" si="140"/>
        <v>27m/ 27m/ 27m</v>
      </c>
      <c r="GF30" s="6" t="str">
        <f t="shared" si="141"/>
        <v>27/27/27</v>
      </c>
      <c r="GG30" s="6">
        <f t="shared" si="142"/>
        <v>27</v>
      </c>
      <c r="GH30" s="6">
        <f t="shared" si="143"/>
        <v>27</v>
      </c>
      <c r="GI30" s="6">
        <f t="shared" si="144"/>
        <v>27</v>
      </c>
      <c r="GJ30" s="6">
        <f t="shared" si="145"/>
        <v>0</v>
      </c>
      <c r="GK30" s="6">
        <f t="shared" si="146"/>
        <v>0</v>
      </c>
      <c r="GL30" s="6">
        <f t="shared" si="147"/>
        <v>0</v>
      </c>
      <c r="GM30" s="6" t="str">
        <f t="shared" si="148"/>
        <v>27m/ 27m/ 27m</v>
      </c>
      <c r="GN30" s="6" t="str">
        <f t="shared" si="149"/>
        <v/>
      </c>
      <c r="GO30" s="6">
        <f t="shared" si="150"/>
        <v>0</v>
      </c>
      <c r="GP30" s="6">
        <f t="shared" si="151"/>
        <v>0</v>
      </c>
      <c r="GQ30" s="6">
        <f t="shared" si="152"/>
        <v>0</v>
      </c>
      <c r="GR30" s="6">
        <f t="shared" si="153"/>
        <v>0</v>
      </c>
      <c r="GS30" s="6">
        <f t="shared" si="154"/>
        <v>0</v>
      </c>
      <c r="GT30" s="6">
        <f t="shared" si="155"/>
        <v>0</v>
      </c>
      <c r="GU30" s="6" t="str">
        <f t="shared" si="156"/>
        <v/>
      </c>
      <c r="GV30" s="6" t="str">
        <f t="shared" si="157"/>
        <v/>
      </c>
      <c r="GW30" s="6">
        <f t="shared" si="158"/>
        <v>0</v>
      </c>
      <c r="GX30" s="6">
        <f t="shared" si="159"/>
        <v>0</v>
      </c>
      <c r="GY30" s="6">
        <f t="shared" si="160"/>
        <v>0</v>
      </c>
      <c r="GZ30" s="6">
        <f t="shared" si="161"/>
        <v>0</v>
      </c>
      <c r="HA30" s="6">
        <f t="shared" si="162"/>
        <v>0</v>
      </c>
      <c r="HB30" s="6">
        <f t="shared" si="163"/>
        <v>0</v>
      </c>
      <c r="HC30" s="6" t="str">
        <f t="shared" si="164"/>
        <v/>
      </c>
      <c r="HD30" s="6" t="str">
        <f t="shared" si="165"/>
        <v/>
      </c>
      <c r="HE30" s="6">
        <f t="shared" si="166"/>
        <v>0</v>
      </c>
      <c r="HF30" s="6">
        <f t="shared" si="167"/>
        <v>0</v>
      </c>
      <c r="HG30" s="6">
        <f t="shared" si="168"/>
        <v>0</v>
      </c>
      <c r="HH30" s="6">
        <f t="shared" si="169"/>
        <v>0</v>
      </c>
      <c r="HI30" s="6">
        <f t="shared" si="170"/>
        <v>0</v>
      </c>
      <c r="HJ30" s="6">
        <f t="shared" si="171"/>
        <v>0</v>
      </c>
      <c r="HK30" s="6" t="str">
        <f t="shared" si="172"/>
        <v/>
      </c>
      <c r="HL30" s="6" t="str">
        <f t="shared" si="173"/>
        <v/>
      </c>
      <c r="HM30" s="6">
        <f t="shared" si="174"/>
        <v>0</v>
      </c>
      <c r="HN30" s="6">
        <f t="shared" si="175"/>
        <v>0</v>
      </c>
      <c r="HO30" s="6">
        <f t="shared" si="176"/>
        <v>0</v>
      </c>
      <c r="HP30" s="6">
        <f t="shared" si="177"/>
        <v>0</v>
      </c>
      <c r="HQ30" s="6">
        <f t="shared" si="178"/>
        <v>0</v>
      </c>
      <c r="HR30" s="6">
        <f t="shared" si="179"/>
        <v>0</v>
      </c>
      <c r="HS30" s="6" t="str">
        <f t="shared" si="180"/>
        <v/>
      </c>
      <c r="HT30" s="6" t="str">
        <f>INDEX(LabNameList,MATCH(V30,LabIDList,0))</f>
        <v>Trung tâm Kiểm định và Chứng nhận 1</v>
      </c>
      <c r="HU30" s="6">
        <f t="shared" si="181"/>
        <v>27</v>
      </c>
      <c r="HV30" s="6">
        <f t="shared" si="182"/>
        <v>27</v>
      </c>
      <c r="HW30" s="6">
        <f t="shared" si="183"/>
        <v>0</v>
      </c>
      <c r="HX30" s="6">
        <f t="shared" si="184"/>
        <v>0</v>
      </c>
      <c r="HY30" s="6">
        <f t="shared" si="185"/>
        <v>0</v>
      </c>
      <c r="HZ30" s="6">
        <f t="shared" si="186"/>
        <v>0</v>
      </c>
      <c r="IA30" s="5">
        <f t="shared" si="187"/>
        <v>27</v>
      </c>
      <c r="IB30" s="5">
        <f t="shared" si="188"/>
        <v>2</v>
      </c>
      <c r="IC30" s="132" t="str">
        <f t="shared" si="189"/>
        <v>A</v>
      </c>
      <c r="ID30" s="132" t="str">
        <f t="shared" si="190"/>
        <v>04010</v>
      </c>
      <c r="IE30" s="132" t="str">
        <f t="shared" si="191"/>
        <v>181019</v>
      </c>
      <c r="IF30" s="132" t="str">
        <f t="shared" si="192"/>
        <v>TG05</v>
      </c>
      <c r="IG30" s="171">
        <f t="shared" si="193"/>
        <v>43756</v>
      </c>
      <c r="IH30" s="171">
        <f t="shared" si="194"/>
        <v>45583</v>
      </c>
      <c r="II30" s="6">
        <v>37</v>
      </c>
    </row>
    <row r="31" spans="1:243" ht="165.75">
      <c r="A31" s="5">
        <f>Input!A31</f>
        <v>29</v>
      </c>
      <c r="B31" s="132" t="str">
        <f>Profile!$A$3</f>
        <v>VINAPHONE</v>
      </c>
      <c r="C31" s="132" t="str">
        <f>Profile!$F$3</f>
        <v>VINAPHONE</v>
      </c>
      <c r="D31" s="5" t="str">
        <f>Input!B31</f>
        <v>VINHOMES-GREENBAY-ME-TRI-NTM_HNI</v>
      </c>
      <c r="E31" s="107" t="str">
        <f>Input!C31</f>
        <v>Dự án Vinhomes Green Bay Mễ Trì, phường Mễ Trì, quận Nam Từ Liêm, thành phố Hà Nội</v>
      </c>
      <c r="F31" s="5" t="str">
        <f>Input!D31</f>
        <v>Hà Nội</v>
      </c>
      <c r="G31" s="5">
        <f>Input!E31</f>
        <v>105.787131</v>
      </c>
      <c r="H31" s="5">
        <f>Input!F31</f>
        <v>21.001691000000001</v>
      </c>
      <c r="I31" s="5">
        <f>Input!G31</f>
        <v>1</v>
      </c>
      <c r="J31" s="5">
        <f>Input!H31</f>
        <v>2</v>
      </c>
      <c r="K31" s="5" t="str">
        <f t="shared" si="0"/>
        <v>TỔNG CÔNG TY HẠ TẦNG MẠNG;TỔNG CÔNG TY HẠ TẦNG MẠNG</v>
      </c>
      <c r="L31" s="5" t="str">
        <f>Input!J31</f>
        <v>VINHOMES-GREENBAY-ME-TRI-NTM_HNI;VINHOMES-GREENBAY-ME-TRI-NTM_HNI</v>
      </c>
      <c r="M31" s="5" t="str">
        <f>Input!K31</f>
        <v>NOKIA FLEXI MULTIRADIO BTS RADIO MODULE AND REMOTE RADIO (FRGY);NOKIA FLEXI MULTIRADIO BTS RADIO MODULE AND REMOTE RADIO (FHEL)</v>
      </c>
      <c r="N31" s="5" t="str">
        <f>Input!L31</f>
        <v>3;3</v>
      </c>
      <c r="O31" s="5" t="str">
        <f>Input!M31</f>
        <v>2/2/2;1/1/1</v>
      </c>
      <c r="P31" s="5" t="str">
        <f>Input!N31</f>
        <v>60/60/60;60/60/60</v>
      </c>
      <c r="Q31" s="5" t="str">
        <f>Input!O31</f>
        <v>2100;1800</v>
      </c>
      <c r="R31" s="5" t="str">
        <f>Input!P31</f>
        <v>28/28/28;28/28/28</v>
      </c>
      <c r="S31" s="152" t="b">
        <f>Input!Q31</f>
        <v>1</v>
      </c>
      <c r="T31" s="5" t="str">
        <f>Input!R31</f>
        <v>A04011181019TG05</v>
      </c>
      <c r="U31" s="5">
        <f>Input!S31</f>
        <v>0</v>
      </c>
      <c r="V31" s="5" t="str">
        <f>Input!T31</f>
        <v>VCC1</v>
      </c>
      <c r="W31" s="5" t="str">
        <f>Input!U31</f>
        <v>1903228/19/TG/TT1</v>
      </c>
      <c r="X31" s="7" t="str">
        <f>TEXT(Input!V31,"dd/mm/yyyy")</f>
        <v>18/10/2019</v>
      </c>
      <c r="Y31" s="5" t="b">
        <f>Input!W31</f>
        <v>1</v>
      </c>
      <c r="Z31" s="152" t="b">
        <f>Input!X31</f>
        <v>0</v>
      </c>
      <c r="AA31" s="5">
        <f t="shared" si="1"/>
        <v>28</v>
      </c>
      <c r="AB31" s="152" t="b">
        <f>Input!Y31</f>
        <v>0</v>
      </c>
      <c r="AC31" s="5">
        <f>VALUE(Input!Z31)</f>
        <v>0</v>
      </c>
      <c r="AD31" s="5" t="b">
        <f>Input!AA31</f>
        <v>0</v>
      </c>
      <c r="AE31" s="5" t="str">
        <f>Input!AB31</f>
        <v>Vũ Văn Giáp</v>
      </c>
      <c r="AF31" s="5" t="str">
        <f>Input!AC31</f>
        <v>Lê Tiến Cường</v>
      </c>
      <c r="AG31" s="132" t="str">
        <f>Options!$J$25</f>
        <v>TRUNG TÂM KIỂM ĐỊNH VÀ CHỨNG NHẬN 1</v>
      </c>
      <c r="AH31" s="132" t="str">
        <f>Options!$J$26</f>
        <v>TP. Hà Nội</v>
      </c>
      <c r="AI31" s="132" t="str">
        <f>Options!$J$29</f>
        <v>GIÁM ĐỐC</v>
      </c>
      <c r="AJ31" s="132" t="str">
        <f>Options!$J$30</f>
        <v/>
      </c>
      <c r="AK31" s="132" t="str">
        <f>Options!$J$31</f>
        <v>Bùi Ngọc Dũng</v>
      </c>
      <c r="AL31" s="6"/>
      <c r="AM31" s="6" t="str">
        <f>INDEX(ApplicantNameList,MATCH(B31,ApplicantIDList,0))</f>
        <v>Tổng Công ty Hạ tầng mạng</v>
      </c>
      <c r="AN31" s="6" t="str">
        <f>INDEX(OperatorNameList,MATCH(C31,OperatorIDList,0))</f>
        <v>TỔNG CÔNG TY HẠ TẦNG MẠNG</v>
      </c>
      <c r="AO31" s="5">
        <f t="shared" si="2"/>
        <v>3</v>
      </c>
      <c r="AP31" s="85" t="str">
        <f t="shared" si="3"/>
        <v>thành phố Hà Nội</v>
      </c>
      <c r="AQ31" s="233" t="str">
        <f t="shared" si="4"/>
        <v>quận Nam Từ Liêm</v>
      </c>
      <c r="AR31" s="233" t="str">
        <f t="shared" si="5"/>
        <v>phường Mễ Trì</v>
      </c>
      <c r="AS31" s="234" t="str">
        <f>INDEX(CityIDList,MATCH(F31,CityNameList,0))</f>
        <v>HNI</v>
      </c>
      <c r="AT31" s="6" t="str">
        <f>IF(J31&gt;=1,INDEX(OperatorNameList,MATCH(AZ31,OperatorIDList,0)),"")</f>
        <v>TỔNG CÔNG TY HẠ TẦNG MẠNG</v>
      </c>
      <c r="AU31" s="6" t="str">
        <f>IF(J31&gt;=2,INDEX(OperatorNameList,MATCH(BA31,OperatorIDList,0)),"")</f>
        <v>TỔNG CÔNG TY HẠ TẦNG MẠNG</v>
      </c>
      <c r="AV31" s="6" t="str">
        <f>IF(J31&gt;=3,INDEX(OperatorNameList,MATCH(BB31,OperatorIDList,0)),"")</f>
        <v/>
      </c>
      <c r="AW31" s="6" t="str">
        <f>IF(J31&gt;=4,INDEX(OperatorNameList,MATCH(BC31,OperatorIDList,0)),"")</f>
        <v/>
      </c>
      <c r="AX31" s="6" t="str">
        <f>IF(J31&gt;=5,INDEX(OperatorNameList,MATCH(BD31,OperatorIDList,0)),"")</f>
        <v/>
      </c>
      <c r="AY31" s="6" t="str">
        <f>IF(J31&gt;=6,INDEX(OperatorNameList,MATCH(BE31,OperatorIDList,0)),"")</f>
        <v/>
      </c>
      <c r="AZ31" s="6" t="str">
        <f t="shared" si="6"/>
        <v>VINAPHONE</v>
      </c>
      <c r="BA31" s="6" t="str">
        <f t="shared" si="7"/>
        <v>VINAPHONE</v>
      </c>
      <c r="BB31" s="6" t="str">
        <f t="shared" si="8"/>
        <v/>
      </c>
      <c r="BC31" s="6" t="str">
        <f t="shared" si="9"/>
        <v/>
      </c>
      <c r="BD31" s="6" t="str">
        <f t="shared" si="10"/>
        <v/>
      </c>
      <c r="BE31" s="6" t="str">
        <f t="shared" si="11"/>
        <v/>
      </c>
      <c r="BF31" s="6" t="str">
        <f>Input!I31</f>
        <v>VINAPHONE;VINAPHONE</v>
      </c>
      <c r="BG31" s="6" t="str">
        <f t="shared" si="12"/>
        <v>VINHOMES-GREENBAY-ME-TRI-NTM_HNI</v>
      </c>
      <c r="BH31" s="6" t="str">
        <f t="shared" si="13"/>
        <v>VINHOMES-GREENBAY-ME-TRI-NTM_HNI</v>
      </c>
      <c r="BI31" s="6" t="str">
        <f t="shared" si="14"/>
        <v/>
      </c>
      <c r="BJ31" s="6" t="str">
        <f t="shared" si="15"/>
        <v/>
      </c>
      <c r="BK31" s="6" t="str">
        <f t="shared" si="16"/>
        <v/>
      </c>
      <c r="BL31" s="6" t="str">
        <f t="shared" si="17"/>
        <v/>
      </c>
      <c r="BM31" s="6" t="str">
        <f t="shared" si="18"/>
        <v>NOKIA FLEXI MULTIRADIO BTS RADIO MODULE AND REMOTE RADIO (FRGY)</v>
      </c>
      <c r="BN31" s="6" t="str">
        <f t="shared" si="19"/>
        <v>NOKIA FLEXI MULTIRADIO BTS RADIO MODULE AND REMOTE RADIO (FHEL)</v>
      </c>
      <c r="BO31" s="6" t="str">
        <f t="shared" si="20"/>
        <v/>
      </c>
      <c r="BP31" s="6" t="str">
        <f t="shared" si="21"/>
        <v/>
      </c>
      <c r="BQ31" s="6" t="str">
        <f t="shared" si="22"/>
        <v/>
      </c>
      <c r="BR31" s="6" t="str">
        <f t="shared" si="23"/>
        <v/>
      </c>
      <c r="BS31" s="6">
        <f t="shared" si="24"/>
        <v>3</v>
      </c>
      <c r="BT31" s="6">
        <f t="shared" si="25"/>
        <v>3</v>
      </c>
      <c r="BU31" s="6">
        <f t="shared" si="26"/>
        <v>0</v>
      </c>
      <c r="BV31" s="6">
        <f t="shared" si="27"/>
        <v>0</v>
      </c>
      <c r="BW31" s="6">
        <f t="shared" si="28"/>
        <v>0</v>
      </c>
      <c r="BX31" s="6">
        <f t="shared" si="29"/>
        <v>0</v>
      </c>
      <c r="BY31" s="6" t="str">
        <f t="shared" si="30"/>
        <v>2/2/2</v>
      </c>
      <c r="BZ31" s="6">
        <f t="shared" si="31"/>
        <v>2</v>
      </c>
      <c r="CA31" s="6">
        <f t="shared" si="32"/>
        <v>2</v>
      </c>
      <c r="CB31" s="6">
        <f t="shared" si="33"/>
        <v>2</v>
      </c>
      <c r="CC31" s="6">
        <f t="shared" si="34"/>
        <v>0</v>
      </c>
      <c r="CD31" s="6">
        <f t="shared" si="35"/>
        <v>0</v>
      </c>
      <c r="CE31" s="6">
        <f t="shared" si="36"/>
        <v>0</v>
      </c>
      <c r="CF31" s="6" t="str">
        <f t="shared" si="37"/>
        <v>1/1/1</v>
      </c>
      <c r="CG31" s="6">
        <f t="shared" si="38"/>
        <v>1</v>
      </c>
      <c r="CH31" s="6">
        <f t="shared" si="39"/>
        <v>1</v>
      </c>
      <c r="CI31" s="6">
        <f t="shared" si="40"/>
        <v>1</v>
      </c>
      <c r="CJ31" s="6">
        <f t="shared" si="41"/>
        <v>0</v>
      </c>
      <c r="CK31" s="6">
        <f t="shared" si="42"/>
        <v>0</v>
      </c>
      <c r="CL31" s="6">
        <f t="shared" si="43"/>
        <v>0</v>
      </c>
      <c r="CM31" s="6" t="str">
        <f t="shared" si="44"/>
        <v/>
      </c>
      <c r="CN31" s="6">
        <f t="shared" si="45"/>
        <v>0</v>
      </c>
      <c r="CO31" s="6">
        <f t="shared" si="46"/>
        <v>0</v>
      </c>
      <c r="CP31" s="6">
        <f t="shared" si="47"/>
        <v>0</v>
      </c>
      <c r="CQ31" s="6">
        <f t="shared" si="48"/>
        <v>0</v>
      </c>
      <c r="CR31" s="6">
        <f t="shared" si="49"/>
        <v>0</v>
      </c>
      <c r="CS31" s="6">
        <f t="shared" si="50"/>
        <v>0</v>
      </c>
      <c r="CT31" s="6" t="str">
        <f t="shared" si="51"/>
        <v/>
      </c>
      <c r="CU31" s="6">
        <f t="shared" si="52"/>
        <v>0</v>
      </c>
      <c r="CV31" s="6">
        <f t="shared" si="53"/>
        <v>0</v>
      </c>
      <c r="CW31" s="6">
        <f t="shared" si="54"/>
        <v>0</v>
      </c>
      <c r="CX31" s="6">
        <f t="shared" si="55"/>
        <v>0</v>
      </c>
      <c r="CY31" s="6">
        <f t="shared" si="56"/>
        <v>0</v>
      </c>
      <c r="CZ31" s="6">
        <f t="shared" si="57"/>
        <v>0</v>
      </c>
      <c r="DA31" s="6" t="str">
        <f t="shared" si="58"/>
        <v/>
      </c>
      <c r="DB31" s="6">
        <f t="shared" si="59"/>
        <v>0</v>
      </c>
      <c r="DC31" s="6">
        <f t="shared" si="60"/>
        <v>0</v>
      </c>
      <c r="DD31" s="6">
        <f t="shared" si="61"/>
        <v>0</v>
      </c>
      <c r="DE31" s="6">
        <f t="shared" si="62"/>
        <v>0</v>
      </c>
      <c r="DF31" s="6">
        <f t="shared" si="63"/>
        <v>0</v>
      </c>
      <c r="DG31" s="6">
        <f t="shared" si="64"/>
        <v>0</v>
      </c>
      <c r="DH31" s="6" t="str">
        <f t="shared" si="65"/>
        <v/>
      </c>
      <c r="DI31" s="6">
        <f t="shared" si="66"/>
        <v>0</v>
      </c>
      <c r="DJ31" s="6">
        <f t="shared" si="67"/>
        <v>0</v>
      </c>
      <c r="DK31" s="6">
        <f t="shared" si="68"/>
        <v>0</v>
      </c>
      <c r="DL31" s="6">
        <f t="shared" si="69"/>
        <v>0</v>
      </c>
      <c r="DM31" s="6">
        <f t="shared" si="70"/>
        <v>0</v>
      </c>
      <c r="DN31" s="6">
        <f t="shared" si="71"/>
        <v>0</v>
      </c>
      <c r="DO31" s="6" t="str">
        <f t="shared" si="72"/>
        <v>60/60/60</v>
      </c>
      <c r="DP31" s="6">
        <f t="shared" si="73"/>
        <v>60</v>
      </c>
      <c r="DQ31" s="6">
        <f t="shared" si="74"/>
        <v>60</v>
      </c>
      <c r="DR31" s="6">
        <f t="shared" si="75"/>
        <v>60</v>
      </c>
      <c r="DS31" s="6">
        <f t="shared" si="76"/>
        <v>0</v>
      </c>
      <c r="DT31" s="6">
        <f t="shared" si="77"/>
        <v>0</v>
      </c>
      <c r="DU31" s="6">
        <f t="shared" si="78"/>
        <v>0</v>
      </c>
      <c r="DV31" s="6" t="str">
        <f t="shared" si="79"/>
        <v>60W/ 60W/ 60W</v>
      </c>
      <c r="DW31" s="6">
        <f t="shared" si="80"/>
        <v>60</v>
      </c>
      <c r="DX31" s="6" t="str">
        <f t="shared" si="81"/>
        <v>60/60/60</v>
      </c>
      <c r="DY31" s="6">
        <f t="shared" si="82"/>
        <v>60</v>
      </c>
      <c r="DZ31" s="6">
        <f t="shared" si="83"/>
        <v>60</v>
      </c>
      <c r="EA31" s="6">
        <f t="shared" si="84"/>
        <v>60</v>
      </c>
      <c r="EB31" s="6">
        <f t="shared" si="85"/>
        <v>0</v>
      </c>
      <c r="EC31" s="6">
        <f t="shared" si="86"/>
        <v>0</v>
      </c>
      <c r="ED31" s="6">
        <f t="shared" si="87"/>
        <v>0</v>
      </c>
      <c r="EE31" s="6" t="str">
        <f t="shared" si="88"/>
        <v>60W/ 60W/ 60W</v>
      </c>
      <c r="EF31" s="6">
        <f t="shared" si="89"/>
        <v>60</v>
      </c>
      <c r="EG31" s="6" t="str">
        <f t="shared" si="90"/>
        <v/>
      </c>
      <c r="EH31" s="6">
        <f t="shared" si="91"/>
        <v>0</v>
      </c>
      <c r="EI31" s="6">
        <f t="shared" si="92"/>
        <v>0</v>
      </c>
      <c r="EJ31" s="6">
        <f t="shared" si="93"/>
        <v>0</v>
      </c>
      <c r="EK31" s="6">
        <f t="shared" si="94"/>
        <v>0</v>
      </c>
      <c r="EL31" s="6">
        <f t="shared" si="95"/>
        <v>0</v>
      </c>
      <c r="EM31" s="6">
        <f t="shared" si="96"/>
        <v>0</v>
      </c>
      <c r="EN31" s="6" t="str">
        <f t="shared" si="97"/>
        <v/>
      </c>
      <c r="EO31" s="6">
        <f t="shared" si="98"/>
        <v>0</v>
      </c>
      <c r="EP31" s="6" t="str">
        <f t="shared" si="99"/>
        <v/>
      </c>
      <c r="EQ31" s="6">
        <f t="shared" si="100"/>
        <v>0</v>
      </c>
      <c r="ER31" s="6">
        <f t="shared" si="101"/>
        <v>0</v>
      </c>
      <c r="ES31" s="6">
        <f t="shared" si="102"/>
        <v>0</v>
      </c>
      <c r="ET31" s="6">
        <f t="shared" si="103"/>
        <v>0</v>
      </c>
      <c r="EU31" s="6">
        <f t="shared" si="104"/>
        <v>0</v>
      </c>
      <c r="EV31" s="6">
        <f t="shared" si="105"/>
        <v>0</v>
      </c>
      <c r="EW31" s="6" t="str">
        <f t="shared" si="106"/>
        <v/>
      </c>
      <c r="EX31" s="6">
        <f t="shared" si="107"/>
        <v>0</v>
      </c>
      <c r="EY31" s="6" t="str">
        <f t="shared" si="108"/>
        <v/>
      </c>
      <c r="EZ31" s="6">
        <f t="shared" si="109"/>
        <v>0</v>
      </c>
      <c r="FA31" s="6">
        <f t="shared" si="110"/>
        <v>0</v>
      </c>
      <c r="FB31" s="6">
        <f t="shared" si="111"/>
        <v>0</v>
      </c>
      <c r="FC31" s="6">
        <f t="shared" si="112"/>
        <v>0</v>
      </c>
      <c r="FD31" s="6">
        <f t="shared" si="113"/>
        <v>0</v>
      </c>
      <c r="FE31" s="6">
        <f t="shared" si="114"/>
        <v>0</v>
      </c>
      <c r="FF31" s="6" t="str">
        <f t="shared" si="115"/>
        <v/>
      </c>
      <c r="FG31" s="6">
        <f t="shared" si="116"/>
        <v>0</v>
      </c>
      <c r="FH31" s="6" t="str">
        <f t="shared" si="117"/>
        <v/>
      </c>
      <c r="FI31" s="6">
        <f t="shared" si="118"/>
        <v>0</v>
      </c>
      <c r="FJ31" s="6">
        <f t="shared" si="119"/>
        <v>0</v>
      </c>
      <c r="FK31" s="6">
        <f t="shared" si="120"/>
        <v>0</v>
      </c>
      <c r="FL31" s="6">
        <f t="shared" si="121"/>
        <v>0</v>
      </c>
      <c r="FM31" s="6">
        <f t="shared" si="122"/>
        <v>0</v>
      </c>
      <c r="FN31" s="6">
        <f t="shared" si="123"/>
        <v>0</v>
      </c>
      <c r="FO31" s="6" t="str">
        <f t="shared" si="124"/>
        <v/>
      </c>
      <c r="FP31" s="6">
        <f t="shared" si="125"/>
        <v>0</v>
      </c>
      <c r="FQ31" s="6">
        <f t="shared" si="126"/>
        <v>60</v>
      </c>
      <c r="FR31" s="6" t="str">
        <f t="shared" si="127"/>
        <v>2100</v>
      </c>
      <c r="FS31" s="6" t="str">
        <f t="shared" si="128"/>
        <v>1800</v>
      </c>
      <c r="FT31" s="6" t="str">
        <f t="shared" si="129"/>
        <v/>
      </c>
      <c r="FU31" s="6" t="str">
        <f t="shared" si="130"/>
        <v/>
      </c>
      <c r="FV31" s="6" t="str">
        <f t="shared" si="131"/>
        <v/>
      </c>
      <c r="FW31" s="6" t="str">
        <f t="shared" si="132"/>
        <v/>
      </c>
      <c r="FX31" s="6" t="str">
        <f t="shared" si="133"/>
        <v>28/28/28</v>
      </c>
      <c r="FY31" s="6">
        <f t="shared" si="134"/>
        <v>28</v>
      </c>
      <c r="FZ31" s="6">
        <f t="shared" si="135"/>
        <v>28</v>
      </c>
      <c r="GA31" s="6">
        <f t="shared" si="136"/>
        <v>28</v>
      </c>
      <c r="GB31" s="6">
        <f t="shared" si="137"/>
        <v>0</v>
      </c>
      <c r="GC31" s="6">
        <f t="shared" si="138"/>
        <v>0</v>
      </c>
      <c r="GD31" s="6">
        <f t="shared" si="139"/>
        <v>0</v>
      </c>
      <c r="GE31" s="6" t="str">
        <f t="shared" si="140"/>
        <v>28m/ 28m/ 28m</v>
      </c>
      <c r="GF31" s="6" t="str">
        <f t="shared" si="141"/>
        <v>28/28/28</v>
      </c>
      <c r="GG31" s="6">
        <f t="shared" si="142"/>
        <v>28</v>
      </c>
      <c r="GH31" s="6">
        <f t="shared" si="143"/>
        <v>28</v>
      </c>
      <c r="GI31" s="6">
        <f t="shared" si="144"/>
        <v>28</v>
      </c>
      <c r="GJ31" s="6">
        <f t="shared" si="145"/>
        <v>0</v>
      </c>
      <c r="GK31" s="6">
        <f t="shared" si="146"/>
        <v>0</v>
      </c>
      <c r="GL31" s="6">
        <f t="shared" si="147"/>
        <v>0</v>
      </c>
      <c r="GM31" s="6" t="str">
        <f t="shared" si="148"/>
        <v>28m/ 28m/ 28m</v>
      </c>
      <c r="GN31" s="6" t="str">
        <f t="shared" si="149"/>
        <v/>
      </c>
      <c r="GO31" s="6">
        <f t="shared" si="150"/>
        <v>0</v>
      </c>
      <c r="GP31" s="6">
        <f t="shared" si="151"/>
        <v>0</v>
      </c>
      <c r="GQ31" s="6">
        <f t="shared" si="152"/>
        <v>0</v>
      </c>
      <c r="GR31" s="6">
        <f t="shared" si="153"/>
        <v>0</v>
      </c>
      <c r="GS31" s="6">
        <f t="shared" si="154"/>
        <v>0</v>
      </c>
      <c r="GT31" s="6">
        <f t="shared" si="155"/>
        <v>0</v>
      </c>
      <c r="GU31" s="6" t="str">
        <f t="shared" si="156"/>
        <v/>
      </c>
      <c r="GV31" s="6" t="str">
        <f t="shared" si="157"/>
        <v/>
      </c>
      <c r="GW31" s="6">
        <f t="shared" si="158"/>
        <v>0</v>
      </c>
      <c r="GX31" s="6">
        <f t="shared" si="159"/>
        <v>0</v>
      </c>
      <c r="GY31" s="6">
        <f t="shared" si="160"/>
        <v>0</v>
      </c>
      <c r="GZ31" s="6">
        <f t="shared" si="161"/>
        <v>0</v>
      </c>
      <c r="HA31" s="6">
        <f t="shared" si="162"/>
        <v>0</v>
      </c>
      <c r="HB31" s="6">
        <f t="shared" si="163"/>
        <v>0</v>
      </c>
      <c r="HC31" s="6" t="str">
        <f t="shared" si="164"/>
        <v/>
      </c>
      <c r="HD31" s="6" t="str">
        <f t="shared" si="165"/>
        <v/>
      </c>
      <c r="HE31" s="6">
        <f t="shared" si="166"/>
        <v>0</v>
      </c>
      <c r="HF31" s="6">
        <f t="shared" si="167"/>
        <v>0</v>
      </c>
      <c r="HG31" s="6">
        <f t="shared" si="168"/>
        <v>0</v>
      </c>
      <c r="HH31" s="6">
        <f t="shared" si="169"/>
        <v>0</v>
      </c>
      <c r="HI31" s="6">
        <f t="shared" si="170"/>
        <v>0</v>
      </c>
      <c r="HJ31" s="6">
        <f t="shared" si="171"/>
        <v>0</v>
      </c>
      <c r="HK31" s="6" t="str">
        <f t="shared" si="172"/>
        <v/>
      </c>
      <c r="HL31" s="6" t="str">
        <f t="shared" si="173"/>
        <v/>
      </c>
      <c r="HM31" s="6">
        <f t="shared" si="174"/>
        <v>0</v>
      </c>
      <c r="HN31" s="6">
        <f t="shared" si="175"/>
        <v>0</v>
      </c>
      <c r="HO31" s="6">
        <f t="shared" si="176"/>
        <v>0</v>
      </c>
      <c r="HP31" s="6">
        <f t="shared" si="177"/>
        <v>0</v>
      </c>
      <c r="HQ31" s="6">
        <f t="shared" si="178"/>
        <v>0</v>
      </c>
      <c r="HR31" s="6">
        <f t="shared" si="179"/>
        <v>0</v>
      </c>
      <c r="HS31" s="6" t="str">
        <f t="shared" si="180"/>
        <v/>
      </c>
      <c r="HT31" s="6" t="str">
        <f>INDEX(LabNameList,MATCH(V31,LabIDList,0))</f>
        <v>Trung tâm Kiểm định và Chứng nhận 1</v>
      </c>
      <c r="HU31" s="6">
        <f t="shared" si="181"/>
        <v>28</v>
      </c>
      <c r="HV31" s="6">
        <f t="shared" si="182"/>
        <v>28</v>
      </c>
      <c r="HW31" s="6">
        <f t="shared" si="183"/>
        <v>0</v>
      </c>
      <c r="HX31" s="6">
        <f t="shared" si="184"/>
        <v>0</v>
      </c>
      <c r="HY31" s="6">
        <f t="shared" si="185"/>
        <v>0</v>
      </c>
      <c r="HZ31" s="6">
        <f t="shared" si="186"/>
        <v>0</v>
      </c>
      <c r="IA31" s="5">
        <f t="shared" si="187"/>
        <v>28</v>
      </c>
      <c r="IB31" s="5">
        <f t="shared" si="188"/>
        <v>28</v>
      </c>
      <c r="IC31" s="132" t="str">
        <f t="shared" si="189"/>
        <v>A</v>
      </c>
      <c r="ID31" s="132" t="str">
        <f t="shared" si="190"/>
        <v>04011</v>
      </c>
      <c r="IE31" s="132" t="str">
        <f t="shared" si="191"/>
        <v>181019</v>
      </c>
      <c r="IF31" s="132" t="str">
        <f t="shared" si="192"/>
        <v>TG05</v>
      </c>
      <c r="IG31" s="171">
        <f t="shared" si="193"/>
        <v>43756</v>
      </c>
      <c r="IH31" s="171">
        <f t="shared" si="194"/>
        <v>45583</v>
      </c>
      <c r="II31" s="6">
        <v>37</v>
      </c>
    </row>
    <row r="32" spans="1:243" ht="165.75">
      <c r="A32" s="5">
        <f>Input!A32</f>
        <v>30</v>
      </c>
      <c r="B32" s="132" t="str">
        <f>Profile!$A$3</f>
        <v>VINAPHONE</v>
      </c>
      <c r="C32" s="132" t="str">
        <f>Profile!$F$3</f>
        <v>VINAPHONE</v>
      </c>
      <c r="D32" s="5" t="str">
        <f>Input!B32</f>
        <v>DUC-GIANG-117-LBN_HNI</v>
      </c>
      <c r="E32" s="107" t="str">
        <f>Input!C32</f>
        <v>Số 117, phố Đức Giang, phường Thượng Thanh, quận Long Biên, thành phố Hà Nội</v>
      </c>
      <c r="F32" s="5" t="str">
        <f>Input!D32</f>
        <v>Hà Nội</v>
      </c>
      <c r="G32" s="5">
        <f>Input!E32</f>
        <v>105.85398499999999</v>
      </c>
      <c r="H32" s="5">
        <f>Input!F32</f>
        <v>21.026803000000001</v>
      </c>
      <c r="I32" s="5">
        <f>Input!G32</f>
        <v>1</v>
      </c>
      <c r="J32" s="5">
        <f>Input!H32</f>
        <v>2</v>
      </c>
      <c r="K32" s="5" t="str">
        <f t="shared" si="0"/>
        <v>TỔNG CÔNG TY HẠ TẦNG MẠNG;TỔNG CÔNG TY HẠ TẦNG MẠNG</v>
      </c>
      <c r="L32" s="5" t="str">
        <f>Input!J32</f>
        <v>DUC-GIANG-117-LBN_HNI;DUC-GIANG-117-LBN_HNI</v>
      </c>
      <c r="M32" s="5" t="str">
        <f>Input!K32</f>
        <v>NOKIA FLEXI MULTIRADIO BTS RADIO MODULE AND REMOTE RADIO (FRGY);NOKIA FLEXI MULTIRADIO BTS RADIO MODULE AND REMOTE RADIO (FHEL)</v>
      </c>
      <c r="N32" s="5" t="str">
        <f>Input!L32</f>
        <v>3;3</v>
      </c>
      <c r="O32" s="5" t="str">
        <f>Input!M32</f>
        <v>2/2/2;1/1/1</v>
      </c>
      <c r="P32" s="5" t="str">
        <f>Input!N32</f>
        <v>60/60/60;60/60/60</v>
      </c>
      <c r="Q32" s="5" t="str">
        <f>Input!O32</f>
        <v>2100;1800</v>
      </c>
      <c r="R32" s="5" t="str">
        <f>Input!P32</f>
        <v>27/27/27;27/27/27</v>
      </c>
      <c r="S32" s="152" t="b">
        <f>Input!Q32</f>
        <v>1</v>
      </c>
      <c r="T32" s="5" t="str">
        <f>Input!R32</f>
        <v>A04012181019TG05</v>
      </c>
      <c r="U32" s="5">
        <f>Input!S32</f>
        <v>0</v>
      </c>
      <c r="V32" s="5" t="str">
        <f>Input!T32</f>
        <v>VCC1</v>
      </c>
      <c r="W32" s="5" t="str">
        <f>Input!U32</f>
        <v>1902968/19/TG/TT1</v>
      </c>
      <c r="X32" s="7" t="str">
        <f>TEXT(Input!V32,"dd/mm/yyyy")</f>
        <v>18/10/2019</v>
      </c>
      <c r="Y32" s="5" t="b">
        <f>Input!W32</f>
        <v>0</v>
      </c>
      <c r="Z32" s="152" t="b">
        <f>Input!X32</f>
        <v>0</v>
      </c>
      <c r="AA32" s="5">
        <f t="shared" si="1"/>
        <v>27</v>
      </c>
      <c r="AB32" s="152" t="b">
        <f>Input!Y32</f>
        <v>1</v>
      </c>
      <c r="AC32" s="5">
        <f>VALUE(Input!Z32)</f>
        <v>24</v>
      </c>
      <c r="AD32" s="5" t="b">
        <f>Input!AA32</f>
        <v>0</v>
      </c>
      <c r="AE32" s="5" t="str">
        <f>Input!AB32</f>
        <v>Vũ Văn Giáp</v>
      </c>
      <c r="AF32" s="5" t="str">
        <f>Input!AC32</f>
        <v>Lê Tiến Cường</v>
      </c>
      <c r="AG32" s="132" t="str">
        <f>Options!$J$25</f>
        <v>TRUNG TÂM KIỂM ĐỊNH VÀ CHỨNG NHẬN 1</v>
      </c>
      <c r="AH32" s="132" t="str">
        <f>Options!$J$26</f>
        <v>TP. Hà Nội</v>
      </c>
      <c r="AI32" s="132" t="str">
        <f>Options!$J$29</f>
        <v>GIÁM ĐỐC</v>
      </c>
      <c r="AJ32" s="132" t="str">
        <f>Options!$J$30</f>
        <v/>
      </c>
      <c r="AK32" s="132" t="str">
        <f>Options!$J$31</f>
        <v>Bùi Ngọc Dũng</v>
      </c>
      <c r="AL32" s="6"/>
      <c r="AM32" s="6" t="str">
        <f>INDEX(ApplicantNameList,MATCH(B32,ApplicantIDList,0))</f>
        <v>Tổng Công ty Hạ tầng mạng</v>
      </c>
      <c r="AN32" s="6" t="str">
        <f>INDEX(OperatorNameList,MATCH(C32,OperatorIDList,0))</f>
        <v>TỔNG CÔNG TY HẠ TẦNG MẠNG</v>
      </c>
      <c r="AO32" s="5">
        <f t="shared" si="2"/>
        <v>4</v>
      </c>
      <c r="AP32" s="85" t="str">
        <f t="shared" si="3"/>
        <v>thành phố Hà Nội</v>
      </c>
      <c r="AQ32" s="233" t="str">
        <f t="shared" si="4"/>
        <v>quận Long Biên</v>
      </c>
      <c r="AR32" s="233" t="str">
        <f t="shared" si="5"/>
        <v>phường Thượng Thanh</v>
      </c>
      <c r="AS32" s="234" t="str">
        <f>INDEX(CityIDList,MATCH(F32,CityNameList,0))</f>
        <v>HNI</v>
      </c>
      <c r="AT32" s="6" t="str">
        <f>IF(J32&gt;=1,INDEX(OperatorNameList,MATCH(AZ32,OperatorIDList,0)),"")</f>
        <v>TỔNG CÔNG TY HẠ TẦNG MẠNG</v>
      </c>
      <c r="AU32" s="6" t="str">
        <f>IF(J32&gt;=2,INDEX(OperatorNameList,MATCH(BA32,OperatorIDList,0)),"")</f>
        <v>TỔNG CÔNG TY HẠ TẦNG MẠNG</v>
      </c>
      <c r="AV32" s="6" t="str">
        <f>IF(J32&gt;=3,INDEX(OperatorNameList,MATCH(BB32,OperatorIDList,0)),"")</f>
        <v/>
      </c>
      <c r="AW32" s="6" t="str">
        <f>IF(J32&gt;=4,INDEX(OperatorNameList,MATCH(BC32,OperatorIDList,0)),"")</f>
        <v/>
      </c>
      <c r="AX32" s="6" t="str">
        <f>IF(J32&gt;=5,INDEX(OperatorNameList,MATCH(BD32,OperatorIDList,0)),"")</f>
        <v/>
      </c>
      <c r="AY32" s="6" t="str">
        <f>IF(J32&gt;=6,INDEX(OperatorNameList,MATCH(BE32,OperatorIDList,0)),"")</f>
        <v/>
      </c>
      <c r="AZ32" s="6" t="str">
        <f t="shared" si="6"/>
        <v>VINAPHONE</v>
      </c>
      <c r="BA32" s="6" t="str">
        <f t="shared" si="7"/>
        <v>VINAPHONE</v>
      </c>
      <c r="BB32" s="6" t="str">
        <f t="shared" si="8"/>
        <v/>
      </c>
      <c r="BC32" s="6" t="str">
        <f t="shared" si="9"/>
        <v/>
      </c>
      <c r="BD32" s="6" t="str">
        <f t="shared" si="10"/>
        <v/>
      </c>
      <c r="BE32" s="6" t="str">
        <f t="shared" si="11"/>
        <v/>
      </c>
      <c r="BF32" s="6" t="str">
        <f>Input!I32</f>
        <v>VINAPHONE;VINAPHONE</v>
      </c>
      <c r="BG32" s="6" t="str">
        <f t="shared" si="12"/>
        <v>DUC-GIANG-117-LBN_HNI</v>
      </c>
      <c r="BH32" s="6" t="str">
        <f t="shared" si="13"/>
        <v>DUC-GIANG-117-LBN_HNI</v>
      </c>
      <c r="BI32" s="6" t="str">
        <f t="shared" si="14"/>
        <v/>
      </c>
      <c r="BJ32" s="6" t="str">
        <f t="shared" si="15"/>
        <v/>
      </c>
      <c r="BK32" s="6" t="str">
        <f t="shared" si="16"/>
        <v/>
      </c>
      <c r="BL32" s="6" t="str">
        <f t="shared" si="17"/>
        <v/>
      </c>
      <c r="BM32" s="6" t="str">
        <f t="shared" si="18"/>
        <v>NOKIA FLEXI MULTIRADIO BTS RADIO MODULE AND REMOTE RADIO (FRGY)</v>
      </c>
      <c r="BN32" s="6" t="str">
        <f t="shared" si="19"/>
        <v>NOKIA FLEXI MULTIRADIO BTS RADIO MODULE AND REMOTE RADIO (FHEL)</v>
      </c>
      <c r="BO32" s="6" t="str">
        <f t="shared" si="20"/>
        <v/>
      </c>
      <c r="BP32" s="6" t="str">
        <f t="shared" si="21"/>
        <v/>
      </c>
      <c r="BQ32" s="6" t="str">
        <f t="shared" si="22"/>
        <v/>
      </c>
      <c r="BR32" s="6" t="str">
        <f t="shared" si="23"/>
        <v/>
      </c>
      <c r="BS32" s="6">
        <f t="shared" si="24"/>
        <v>3</v>
      </c>
      <c r="BT32" s="6">
        <f t="shared" si="25"/>
        <v>3</v>
      </c>
      <c r="BU32" s="6">
        <f t="shared" si="26"/>
        <v>0</v>
      </c>
      <c r="BV32" s="6">
        <f t="shared" si="27"/>
        <v>0</v>
      </c>
      <c r="BW32" s="6">
        <f t="shared" si="28"/>
        <v>0</v>
      </c>
      <c r="BX32" s="6">
        <f t="shared" si="29"/>
        <v>0</v>
      </c>
      <c r="BY32" s="6" t="str">
        <f t="shared" si="30"/>
        <v>2/2/2</v>
      </c>
      <c r="BZ32" s="6">
        <f t="shared" si="31"/>
        <v>2</v>
      </c>
      <c r="CA32" s="6">
        <f t="shared" si="32"/>
        <v>2</v>
      </c>
      <c r="CB32" s="6">
        <f t="shared" si="33"/>
        <v>2</v>
      </c>
      <c r="CC32" s="6">
        <f t="shared" si="34"/>
        <v>0</v>
      </c>
      <c r="CD32" s="6">
        <f t="shared" si="35"/>
        <v>0</v>
      </c>
      <c r="CE32" s="6">
        <f t="shared" si="36"/>
        <v>0</v>
      </c>
      <c r="CF32" s="6" t="str">
        <f t="shared" si="37"/>
        <v>1/1/1</v>
      </c>
      <c r="CG32" s="6">
        <f t="shared" si="38"/>
        <v>1</v>
      </c>
      <c r="CH32" s="6">
        <f t="shared" si="39"/>
        <v>1</v>
      </c>
      <c r="CI32" s="6">
        <f t="shared" si="40"/>
        <v>1</v>
      </c>
      <c r="CJ32" s="6">
        <f t="shared" si="41"/>
        <v>0</v>
      </c>
      <c r="CK32" s="6">
        <f t="shared" si="42"/>
        <v>0</v>
      </c>
      <c r="CL32" s="6">
        <f t="shared" si="43"/>
        <v>0</v>
      </c>
      <c r="CM32" s="6" t="str">
        <f t="shared" si="44"/>
        <v/>
      </c>
      <c r="CN32" s="6">
        <f t="shared" si="45"/>
        <v>0</v>
      </c>
      <c r="CO32" s="6">
        <f t="shared" si="46"/>
        <v>0</v>
      </c>
      <c r="CP32" s="6">
        <f t="shared" si="47"/>
        <v>0</v>
      </c>
      <c r="CQ32" s="6">
        <f t="shared" si="48"/>
        <v>0</v>
      </c>
      <c r="CR32" s="6">
        <f t="shared" si="49"/>
        <v>0</v>
      </c>
      <c r="CS32" s="6">
        <f t="shared" si="50"/>
        <v>0</v>
      </c>
      <c r="CT32" s="6" t="str">
        <f t="shared" si="51"/>
        <v/>
      </c>
      <c r="CU32" s="6">
        <f t="shared" si="52"/>
        <v>0</v>
      </c>
      <c r="CV32" s="6">
        <f t="shared" si="53"/>
        <v>0</v>
      </c>
      <c r="CW32" s="6">
        <f t="shared" si="54"/>
        <v>0</v>
      </c>
      <c r="CX32" s="6">
        <f t="shared" si="55"/>
        <v>0</v>
      </c>
      <c r="CY32" s="6">
        <f t="shared" si="56"/>
        <v>0</v>
      </c>
      <c r="CZ32" s="6">
        <f t="shared" si="57"/>
        <v>0</v>
      </c>
      <c r="DA32" s="6" t="str">
        <f t="shared" si="58"/>
        <v/>
      </c>
      <c r="DB32" s="6">
        <f t="shared" si="59"/>
        <v>0</v>
      </c>
      <c r="DC32" s="6">
        <f t="shared" si="60"/>
        <v>0</v>
      </c>
      <c r="DD32" s="6">
        <f t="shared" si="61"/>
        <v>0</v>
      </c>
      <c r="DE32" s="6">
        <f t="shared" si="62"/>
        <v>0</v>
      </c>
      <c r="DF32" s="6">
        <f t="shared" si="63"/>
        <v>0</v>
      </c>
      <c r="DG32" s="6">
        <f t="shared" si="64"/>
        <v>0</v>
      </c>
      <c r="DH32" s="6" t="str">
        <f t="shared" si="65"/>
        <v/>
      </c>
      <c r="DI32" s="6">
        <f t="shared" si="66"/>
        <v>0</v>
      </c>
      <c r="DJ32" s="6">
        <f t="shared" si="67"/>
        <v>0</v>
      </c>
      <c r="DK32" s="6">
        <f t="shared" si="68"/>
        <v>0</v>
      </c>
      <c r="DL32" s="6">
        <f t="shared" si="69"/>
        <v>0</v>
      </c>
      <c r="DM32" s="6">
        <f t="shared" si="70"/>
        <v>0</v>
      </c>
      <c r="DN32" s="6">
        <f t="shared" si="71"/>
        <v>0</v>
      </c>
      <c r="DO32" s="6" t="str">
        <f t="shared" si="72"/>
        <v>60/60/60</v>
      </c>
      <c r="DP32" s="6">
        <f t="shared" si="73"/>
        <v>60</v>
      </c>
      <c r="DQ32" s="6">
        <f t="shared" si="74"/>
        <v>60</v>
      </c>
      <c r="DR32" s="6">
        <f t="shared" si="75"/>
        <v>60</v>
      </c>
      <c r="DS32" s="6">
        <f t="shared" si="76"/>
        <v>0</v>
      </c>
      <c r="DT32" s="6">
        <f t="shared" si="77"/>
        <v>0</v>
      </c>
      <c r="DU32" s="6">
        <f t="shared" si="78"/>
        <v>0</v>
      </c>
      <c r="DV32" s="6" t="str">
        <f t="shared" si="79"/>
        <v>60W/ 60W/ 60W</v>
      </c>
      <c r="DW32" s="6">
        <f t="shared" si="80"/>
        <v>60</v>
      </c>
      <c r="DX32" s="6" t="str">
        <f t="shared" si="81"/>
        <v>60/60/60</v>
      </c>
      <c r="DY32" s="6">
        <f t="shared" si="82"/>
        <v>60</v>
      </c>
      <c r="DZ32" s="6">
        <f t="shared" si="83"/>
        <v>60</v>
      </c>
      <c r="EA32" s="6">
        <f t="shared" si="84"/>
        <v>60</v>
      </c>
      <c r="EB32" s="6">
        <f t="shared" si="85"/>
        <v>0</v>
      </c>
      <c r="EC32" s="6">
        <f t="shared" si="86"/>
        <v>0</v>
      </c>
      <c r="ED32" s="6">
        <f t="shared" si="87"/>
        <v>0</v>
      </c>
      <c r="EE32" s="6" t="str">
        <f t="shared" si="88"/>
        <v>60W/ 60W/ 60W</v>
      </c>
      <c r="EF32" s="6">
        <f t="shared" si="89"/>
        <v>60</v>
      </c>
      <c r="EG32" s="6" t="str">
        <f t="shared" si="90"/>
        <v/>
      </c>
      <c r="EH32" s="6">
        <f t="shared" si="91"/>
        <v>0</v>
      </c>
      <c r="EI32" s="6">
        <f t="shared" si="92"/>
        <v>0</v>
      </c>
      <c r="EJ32" s="6">
        <f t="shared" si="93"/>
        <v>0</v>
      </c>
      <c r="EK32" s="6">
        <f t="shared" si="94"/>
        <v>0</v>
      </c>
      <c r="EL32" s="6">
        <f t="shared" si="95"/>
        <v>0</v>
      </c>
      <c r="EM32" s="6">
        <f t="shared" si="96"/>
        <v>0</v>
      </c>
      <c r="EN32" s="6" t="str">
        <f t="shared" si="97"/>
        <v/>
      </c>
      <c r="EO32" s="6">
        <f t="shared" si="98"/>
        <v>0</v>
      </c>
      <c r="EP32" s="6" t="str">
        <f t="shared" si="99"/>
        <v/>
      </c>
      <c r="EQ32" s="6">
        <f t="shared" si="100"/>
        <v>0</v>
      </c>
      <c r="ER32" s="6">
        <f t="shared" si="101"/>
        <v>0</v>
      </c>
      <c r="ES32" s="6">
        <f t="shared" si="102"/>
        <v>0</v>
      </c>
      <c r="ET32" s="6">
        <f t="shared" si="103"/>
        <v>0</v>
      </c>
      <c r="EU32" s="6">
        <f t="shared" si="104"/>
        <v>0</v>
      </c>
      <c r="EV32" s="6">
        <f t="shared" si="105"/>
        <v>0</v>
      </c>
      <c r="EW32" s="6" t="str">
        <f t="shared" si="106"/>
        <v/>
      </c>
      <c r="EX32" s="6">
        <f t="shared" si="107"/>
        <v>0</v>
      </c>
      <c r="EY32" s="6" t="str">
        <f t="shared" si="108"/>
        <v/>
      </c>
      <c r="EZ32" s="6">
        <f t="shared" si="109"/>
        <v>0</v>
      </c>
      <c r="FA32" s="6">
        <f t="shared" si="110"/>
        <v>0</v>
      </c>
      <c r="FB32" s="6">
        <f t="shared" si="111"/>
        <v>0</v>
      </c>
      <c r="FC32" s="6">
        <f t="shared" si="112"/>
        <v>0</v>
      </c>
      <c r="FD32" s="6">
        <f t="shared" si="113"/>
        <v>0</v>
      </c>
      <c r="FE32" s="6">
        <f t="shared" si="114"/>
        <v>0</v>
      </c>
      <c r="FF32" s="6" t="str">
        <f t="shared" si="115"/>
        <v/>
      </c>
      <c r="FG32" s="6">
        <f t="shared" si="116"/>
        <v>0</v>
      </c>
      <c r="FH32" s="6" t="str">
        <f t="shared" si="117"/>
        <v/>
      </c>
      <c r="FI32" s="6">
        <f t="shared" si="118"/>
        <v>0</v>
      </c>
      <c r="FJ32" s="6">
        <f t="shared" si="119"/>
        <v>0</v>
      </c>
      <c r="FK32" s="6">
        <f t="shared" si="120"/>
        <v>0</v>
      </c>
      <c r="FL32" s="6">
        <f t="shared" si="121"/>
        <v>0</v>
      </c>
      <c r="FM32" s="6">
        <f t="shared" si="122"/>
        <v>0</v>
      </c>
      <c r="FN32" s="6">
        <f t="shared" si="123"/>
        <v>0</v>
      </c>
      <c r="FO32" s="6" t="str">
        <f t="shared" si="124"/>
        <v/>
      </c>
      <c r="FP32" s="6">
        <f t="shared" si="125"/>
        <v>0</v>
      </c>
      <c r="FQ32" s="6">
        <f t="shared" si="126"/>
        <v>60</v>
      </c>
      <c r="FR32" s="6" t="str">
        <f t="shared" si="127"/>
        <v>2100</v>
      </c>
      <c r="FS32" s="6" t="str">
        <f t="shared" si="128"/>
        <v>1800</v>
      </c>
      <c r="FT32" s="6" t="str">
        <f t="shared" si="129"/>
        <v/>
      </c>
      <c r="FU32" s="6" t="str">
        <f t="shared" si="130"/>
        <v/>
      </c>
      <c r="FV32" s="6" t="str">
        <f t="shared" si="131"/>
        <v/>
      </c>
      <c r="FW32" s="6" t="str">
        <f t="shared" si="132"/>
        <v/>
      </c>
      <c r="FX32" s="6" t="str">
        <f t="shared" si="133"/>
        <v>27/27/27</v>
      </c>
      <c r="FY32" s="6">
        <f t="shared" si="134"/>
        <v>27</v>
      </c>
      <c r="FZ32" s="6">
        <f t="shared" si="135"/>
        <v>27</v>
      </c>
      <c r="GA32" s="6">
        <f t="shared" si="136"/>
        <v>27</v>
      </c>
      <c r="GB32" s="6">
        <f t="shared" si="137"/>
        <v>0</v>
      </c>
      <c r="GC32" s="6">
        <f t="shared" si="138"/>
        <v>0</v>
      </c>
      <c r="GD32" s="6">
        <f t="shared" si="139"/>
        <v>0</v>
      </c>
      <c r="GE32" s="6" t="str">
        <f t="shared" si="140"/>
        <v>27m/ 27m/ 27m</v>
      </c>
      <c r="GF32" s="6" t="str">
        <f t="shared" si="141"/>
        <v>27/27/27</v>
      </c>
      <c r="GG32" s="6">
        <f t="shared" si="142"/>
        <v>27</v>
      </c>
      <c r="GH32" s="6">
        <f t="shared" si="143"/>
        <v>27</v>
      </c>
      <c r="GI32" s="6">
        <f t="shared" si="144"/>
        <v>27</v>
      </c>
      <c r="GJ32" s="6">
        <f t="shared" si="145"/>
        <v>0</v>
      </c>
      <c r="GK32" s="6">
        <f t="shared" si="146"/>
        <v>0</v>
      </c>
      <c r="GL32" s="6">
        <f t="shared" si="147"/>
        <v>0</v>
      </c>
      <c r="GM32" s="6" t="str">
        <f t="shared" si="148"/>
        <v>27m/ 27m/ 27m</v>
      </c>
      <c r="GN32" s="6" t="str">
        <f t="shared" si="149"/>
        <v/>
      </c>
      <c r="GO32" s="6">
        <f t="shared" si="150"/>
        <v>0</v>
      </c>
      <c r="GP32" s="6">
        <f t="shared" si="151"/>
        <v>0</v>
      </c>
      <c r="GQ32" s="6">
        <f t="shared" si="152"/>
        <v>0</v>
      </c>
      <c r="GR32" s="6">
        <f t="shared" si="153"/>
        <v>0</v>
      </c>
      <c r="GS32" s="6">
        <f t="shared" si="154"/>
        <v>0</v>
      </c>
      <c r="GT32" s="6">
        <f t="shared" si="155"/>
        <v>0</v>
      </c>
      <c r="GU32" s="6" t="str">
        <f t="shared" si="156"/>
        <v/>
      </c>
      <c r="GV32" s="6" t="str">
        <f t="shared" si="157"/>
        <v/>
      </c>
      <c r="GW32" s="6">
        <f t="shared" si="158"/>
        <v>0</v>
      </c>
      <c r="GX32" s="6">
        <f t="shared" si="159"/>
        <v>0</v>
      </c>
      <c r="GY32" s="6">
        <f t="shared" si="160"/>
        <v>0</v>
      </c>
      <c r="GZ32" s="6">
        <f t="shared" si="161"/>
        <v>0</v>
      </c>
      <c r="HA32" s="6">
        <f t="shared" si="162"/>
        <v>0</v>
      </c>
      <c r="HB32" s="6">
        <f t="shared" si="163"/>
        <v>0</v>
      </c>
      <c r="HC32" s="6" t="str">
        <f t="shared" si="164"/>
        <v/>
      </c>
      <c r="HD32" s="6" t="str">
        <f t="shared" si="165"/>
        <v/>
      </c>
      <c r="HE32" s="6">
        <f t="shared" si="166"/>
        <v>0</v>
      </c>
      <c r="HF32" s="6">
        <f t="shared" si="167"/>
        <v>0</v>
      </c>
      <c r="HG32" s="6">
        <f t="shared" si="168"/>
        <v>0</v>
      </c>
      <c r="HH32" s="6">
        <f t="shared" si="169"/>
        <v>0</v>
      </c>
      <c r="HI32" s="6">
        <f t="shared" si="170"/>
        <v>0</v>
      </c>
      <c r="HJ32" s="6">
        <f t="shared" si="171"/>
        <v>0</v>
      </c>
      <c r="HK32" s="6" t="str">
        <f t="shared" si="172"/>
        <v/>
      </c>
      <c r="HL32" s="6" t="str">
        <f t="shared" si="173"/>
        <v/>
      </c>
      <c r="HM32" s="6">
        <f t="shared" si="174"/>
        <v>0</v>
      </c>
      <c r="HN32" s="6">
        <f t="shared" si="175"/>
        <v>0</v>
      </c>
      <c r="HO32" s="6">
        <f t="shared" si="176"/>
        <v>0</v>
      </c>
      <c r="HP32" s="6">
        <f t="shared" si="177"/>
        <v>0</v>
      </c>
      <c r="HQ32" s="6">
        <f t="shared" si="178"/>
        <v>0</v>
      </c>
      <c r="HR32" s="6">
        <f t="shared" si="179"/>
        <v>0</v>
      </c>
      <c r="HS32" s="6" t="str">
        <f t="shared" si="180"/>
        <v/>
      </c>
      <c r="HT32" s="6" t="str">
        <f>INDEX(LabNameList,MATCH(V32,LabIDList,0))</f>
        <v>Trung tâm Kiểm định và Chứng nhận 1</v>
      </c>
      <c r="HU32" s="6">
        <f t="shared" si="181"/>
        <v>27</v>
      </c>
      <c r="HV32" s="6">
        <f t="shared" si="182"/>
        <v>27</v>
      </c>
      <c r="HW32" s="6">
        <f t="shared" si="183"/>
        <v>0</v>
      </c>
      <c r="HX32" s="6">
        <f t="shared" si="184"/>
        <v>0</v>
      </c>
      <c r="HY32" s="6">
        <f t="shared" si="185"/>
        <v>0</v>
      </c>
      <c r="HZ32" s="6">
        <f t="shared" si="186"/>
        <v>0</v>
      </c>
      <c r="IA32" s="5">
        <f t="shared" si="187"/>
        <v>27</v>
      </c>
      <c r="IB32" s="5">
        <f t="shared" si="188"/>
        <v>3</v>
      </c>
      <c r="IC32" s="132" t="str">
        <f t="shared" si="189"/>
        <v>A</v>
      </c>
      <c r="ID32" s="132" t="str">
        <f t="shared" si="190"/>
        <v>04012</v>
      </c>
      <c r="IE32" s="132" t="str">
        <f t="shared" si="191"/>
        <v>181019</v>
      </c>
      <c r="IF32" s="132" t="str">
        <f t="shared" si="192"/>
        <v>TG05</v>
      </c>
      <c r="IG32" s="171">
        <f t="shared" si="193"/>
        <v>43756</v>
      </c>
      <c r="IH32" s="171">
        <f t="shared" si="194"/>
        <v>45583</v>
      </c>
      <c r="II32" s="6">
        <v>37</v>
      </c>
    </row>
    <row r="33" spans="1:243" ht="165.75">
      <c r="A33" s="5">
        <f>Input!A33</f>
        <v>31</v>
      </c>
      <c r="B33" s="132" t="str">
        <f>Profile!$A$3</f>
        <v>VINAPHONE</v>
      </c>
      <c r="C33" s="132" t="str">
        <f>Profile!$F$3</f>
        <v>VINAPHONE</v>
      </c>
      <c r="D33" s="5" t="str">
        <f>Input!B33</f>
        <v>NGOC-LAM-475-LBN_HNI</v>
      </c>
      <c r="E33" s="107" t="str">
        <f>Input!C33</f>
        <v>Số 475, đường Ngọc Lâm, phường Ngọc Lâm, quận Long Biên, thành phố Hà Nội</v>
      </c>
      <c r="F33" s="5" t="str">
        <f>Input!D33</f>
        <v>Hà Nội</v>
      </c>
      <c r="G33" s="5">
        <f>Input!E33</f>
        <v>105.876561</v>
      </c>
      <c r="H33" s="5">
        <f>Input!F33</f>
        <v>21.049645000000002</v>
      </c>
      <c r="I33" s="5">
        <f>Input!G33</f>
        <v>1</v>
      </c>
      <c r="J33" s="5">
        <f>Input!H33</f>
        <v>2</v>
      </c>
      <c r="K33" s="5" t="str">
        <f t="shared" si="0"/>
        <v>TỔNG CÔNG TY HẠ TẦNG MẠNG;TỔNG CÔNG TY HẠ TẦNG MẠNG</v>
      </c>
      <c r="L33" s="5" t="str">
        <f>Input!J33</f>
        <v>NGOC-LAM-475-LBN_HNI;NGOC-LAM-475-LBN_HNI</v>
      </c>
      <c r="M33" s="5" t="str">
        <f>Input!K33</f>
        <v>NOKIA FLEXI MULTIRADIO BTS RADIO MODULE AND REMOTE RADIO (FRGY);NOKIA FLEXI MULTIRADIO BTS RADIO MODULE AND REMOTE RADIO (FHEL)</v>
      </c>
      <c r="N33" s="5" t="str">
        <f>Input!L33</f>
        <v>3;3</v>
      </c>
      <c r="O33" s="5" t="str">
        <f>Input!M33</f>
        <v>2/2/2;1/1/1</v>
      </c>
      <c r="P33" s="5" t="str">
        <f>Input!N33</f>
        <v>60/60/60;60/60/60</v>
      </c>
      <c r="Q33" s="5" t="str">
        <f>Input!O33</f>
        <v>2100;1800</v>
      </c>
      <c r="R33" s="5" t="str">
        <f>Input!P33</f>
        <v>27/27/27;27/27/27</v>
      </c>
      <c r="S33" s="152" t="b">
        <f>Input!Q33</f>
        <v>1</v>
      </c>
      <c r="T33" s="5" t="str">
        <f>Input!R33</f>
        <v>A04013181019TG05</v>
      </c>
      <c r="U33" s="5">
        <f>Input!S33</f>
        <v>0</v>
      </c>
      <c r="V33" s="5" t="str">
        <f>Input!T33</f>
        <v>VCC1</v>
      </c>
      <c r="W33" s="5" t="str">
        <f>Input!U33</f>
        <v>1902962/19/TG/TT1</v>
      </c>
      <c r="X33" s="7" t="str">
        <f>TEXT(Input!V33,"dd/mm/yyyy")</f>
        <v>18/10/2019</v>
      </c>
      <c r="Y33" s="5" t="b">
        <f>Input!W33</f>
        <v>0</v>
      </c>
      <c r="Z33" s="152" t="b">
        <f>Input!X33</f>
        <v>0</v>
      </c>
      <c r="AA33" s="5">
        <f t="shared" si="1"/>
        <v>27</v>
      </c>
      <c r="AB33" s="152" t="b">
        <f>Input!Y33</f>
        <v>1</v>
      </c>
      <c r="AC33" s="5">
        <f>VALUE(Input!Z33)</f>
        <v>20</v>
      </c>
      <c r="AD33" s="5" t="b">
        <f>Input!AA33</f>
        <v>0</v>
      </c>
      <c r="AE33" s="5" t="str">
        <f>Input!AB33</f>
        <v>Vũ Văn Giáp</v>
      </c>
      <c r="AF33" s="5" t="str">
        <f>Input!AC33</f>
        <v>Lê Tiến Cường</v>
      </c>
      <c r="AG33" s="132" t="str">
        <f>Options!$J$25</f>
        <v>TRUNG TÂM KIỂM ĐỊNH VÀ CHỨNG NHẬN 1</v>
      </c>
      <c r="AH33" s="132" t="str">
        <f>Options!$J$26</f>
        <v>TP. Hà Nội</v>
      </c>
      <c r="AI33" s="132" t="str">
        <f>Options!$J$29</f>
        <v>GIÁM ĐỐC</v>
      </c>
      <c r="AJ33" s="132" t="str">
        <f>Options!$J$30</f>
        <v/>
      </c>
      <c r="AK33" s="132" t="str">
        <f>Options!$J$31</f>
        <v>Bùi Ngọc Dũng</v>
      </c>
      <c r="AL33" s="6"/>
      <c r="AM33" s="6" t="str">
        <f>INDEX(ApplicantNameList,MATCH(B33,ApplicantIDList,0))</f>
        <v>Tổng Công ty Hạ tầng mạng</v>
      </c>
      <c r="AN33" s="6" t="str">
        <f>INDEX(OperatorNameList,MATCH(C33,OperatorIDList,0))</f>
        <v>TỔNG CÔNG TY HẠ TẦNG MẠNG</v>
      </c>
      <c r="AO33" s="5">
        <f t="shared" si="2"/>
        <v>4</v>
      </c>
      <c r="AP33" s="85" t="str">
        <f t="shared" si="3"/>
        <v>thành phố Hà Nội</v>
      </c>
      <c r="AQ33" s="233" t="str">
        <f t="shared" si="4"/>
        <v>quận Long Biên</v>
      </c>
      <c r="AR33" s="233" t="str">
        <f t="shared" si="5"/>
        <v>phường Ngọc Lâm</v>
      </c>
      <c r="AS33" s="234" t="str">
        <f>INDEX(CityIDList,MATCH(F33,CityNameList,0))</f>
        <v>HNI</v>
      </c>
      <c r="AT33" s="6" t="str">
        <f>IF(J33&gt;=1,INDEX(OperatorNameList,MATCH(AZ33,OperatorIDList,0)),"")</f>
        <v>TỔNG CÔNG TY HẠ TẦNG MẠNG</v>
      </c>
      <c r="AU33" s="6" t="str">
        <f>IF(J33&gt;=2,INDEX(OperatorNameList,MATCH(BA33,OperatorIDList,0)),"")</f>
        <v>TỔNG CÔNG TY HẠ TẦNG MẠNG</v>
      </c>
      <c r="AV33" s="6" t="str">
        <f>IF(J33&gt;=3,INDEX(OperatorNameList,MATCH(BB33,OperatorIDList,0)),"")</f>
        <v/>
      </c>
      <c r="AW33" s="6" t="str">
        <f>IF(J33&gt;=4,INDEX(OperatorNameList,MATCH(BC33,OperatorIDList,0)),"")</f>
        <v/>
      </c>
      <c r="AX33" s="6" t="str">
        <f>IF(J33&gt;=5,INDEX(OperatorNameList,MATCH(BD33,OperatorIDList,0)),"")</f>
        <v/>
      </c>
      <c r="AY33" s="6" t="str">
        <f>IF(J33&gt;=6,INDEX(OperatorNameList,MATCH(BE33,OperatorIDList,0)),"")</f>
        <v/>
      </c>
      <c r="AZ33" s="6" t="str">
        <f t="shared" si="6"/>
        <v>VINAPHONE</v>
      </c>
      <c r="BA33" s="6" t="str">
        <f t="shared" si="7"/>
        <v>VINAPHONE</v>
      </c>
      <c r="BB33" s="6" t="str">
        <f t="shared" si="8"/>
        <v/>
      </c>
      <c r="BC33" s="6" t="str">
        <f t="shared" si="9"/>
        <v/>
      </c>
      <c r="BD33" s="6" t="str">
        <f t="shared" si="10"/>
        <v/>
      </c>
      <c r="BE33" s="6" t="str">
        <f t="shared" si="11"/>
        <v/>
      </c>
      <c r="BF33" s="6" t="str">
        <f>Input!I33</f>
        <v>VINAPHONE;VINAPHONE</v>
      </c>
      <c r="BG33" s="6" t="str">
        <f t="shared" si="12"/>
        <v>NGOC-LAM-475-LBN_HNI</v>
      </c>
      <c r="BH33" s="6" t="str">
        <f t="shared" si="13"/>
        <v>NGOC-LAM-475-LBN_HNI</v>
      </c>
      <c r="BI33" s="6" t="str">
        <f t="shared" si="14"/>
        <v/>
      </c>
      <c r="BJ33" s="6" t="str">
        <f t="shared" si="15"/>
        <v/>
      </c>
      <c r="BK33" s="6" t="str">
        <f t="shared" si="16"/>
        <v/>
      </c>
      <c r="BL33" s="6" t="str">
        <f t="shared" si="17"/>
        <v/>
      </c>
      <c r="BM33" s="6" t="str">
        <f t="shared" si="18"/>
        <v>NOKIA FLEXI MULTIRADIO BTS RADIO MODULE AND REMOTE RADIO (FRGY)</v>
      </c>
      <c r="BN33" s="6" t="str">
        <f t="shared" si="19"/>
        <v>NOKIA FLEXI MULTIRADIO BTS RADIO MODULE AND REMOTE RADIO (FHEL)</v>
      </c>
      <c r="BO33" s="6" t="str">
        <f t="shared" si="20"/>
        <v/>
      </c>
      <c r="BP33" s="6" t="str">
        <f t="shared" si="21"/>
        <v/>
      </c>
      <c r="BQ33" s="6" t="str">
        <f t="shared" si="22"/>
        <v/>
      </c>
      <c r="BR33" s="6" t="str">
        <f t="shared" si="23"/>
        <v/>
      </c>
      <c r="BS33" s="6">
        <f t="shared" si="24"/>
        <v>3</v>
      </c>
      <c r="BT33" s="6">
        <f t="shared" si="25"/>
        <v>3</v>
      </c>
      <c r="BU33" s="6">
        <f t="shared" si="26"/>
        <v>0</v>
      </c>
      <c r="BV33" s="6">
        <f t="shared" si="27"/>
        <v>0</v>
      </c>
      <c r="BW33" s="6">
        <f t="shared" si="28"/>
        <v>0</v>
      </c>
      <c r="BX33" s="6">
        <f t="shared" si="29"/>
        <v>0</v>
      </c>
      <c r="BY33" s="6" t="str">
        <f t="shared" si="30"/>
        <v>2/2/2</v>
      </c>
      <c r="BZ33" s="6">
        <f t="shared" si="31"/>
        <v>2</v>
      </c>
      <c r="CA33" s="6">
        <f t="shared" si="32"/>
        <v>2</v>
      </c>
      <c r="CB33" s="6">
        <f t="shared" si="33"/>
        <v>2</v>
      </c>
      <c r="CC33" s="6">
        <f t="shared" si="34"/>
        <v>0</v>
      </c>
      <c r="CD33" s="6">
        <f t="shared" si="35"/>
        <v>0</v>
      </c>
      <c r="CE33" s="6">
        <f t="shared" si="36"/>
        <v>0</v>
      </c>
      <c r="CF33" s="6" t="str">
        <f t="shared" si="37"/>
        <v>1/1/1</v>
      </c>
      <c r="CG33" s="6">
        <f t="shared" si="38"/>
        <v>1</v>
      </c>
      <c r="CH33" s="6">
        <f t="shared" si="39"/>
        <v>1</v>
      </c>
      <c r="CI33" s="6">
        <f t="shared" si="40"/>
        <v>1</v>
      </c>
      <c r="CJ33" s="6">
        <f t="shared" si="41"/>
        <v>0</v>
      </c>
      <c r="CK33" s="6">
        <f t="shared" si="42"/>
        <v>0</v>
      </c>
      <c r="CL33" s="6">
        <f t="shared" si="43"/>
        <v>0</v>
      </c>
      <c r="CM33" s="6" t="str">
        <f t="shared" si="44"/>
        <v/>
      </c>
      <c r="CN33" s="6">
        <f t="shared" si="45"/>
        <v>0</v>
      </c>
      <c r="CO33" s="6">
        <f t="shared" si="46"/>
        <v>0</v>
      </c>
      <c r="CP33" s="6">
        <f t="shared" si="47"/>
        <v>0</v>
      </c>
      <c r="CQ33" s="6">
        <f t="shared" si="48"/>
        <v>0</v>
      </c>
      <c r="CR33" s="6">
        <f t="shared" si="49"/>
        <v>0</v>
      </c>
      <c r="CS33" s="6">
        <f t="shared" si="50"/>
        <v>0</v>
      </c>
      <c r="CT33" s="6" t="str">
        <f t="shared" si="51"/>
        <v/>
      </c>
      <c r="CU33" s="6">
        <f t="shared" si="52"/>
        <v>0</v>
      </c>
      <c r="CV33" s="6">
        <f t="shared" si="53"/>
        <v>0</v>
      </c>
      <c r="CW33" s="6">
        <f t="shared" si="54"/>
        <v>0</v>
      </c>
      <c r="CX33" s="6">
        <f t="shared" si="55"/>
        <v>0</v>
      </c>
      <c r="CY33" s="6">
        <f t="shared" si="56"/>
        <v>0</v>
      </c>
      <c r="CZ33" s="6">
        <f t="shared" si="57"/>
        <v>0</v>
      </c>
      <c r="DA33" s="6" t="str">
        <f t="shared" si="58"/>
        <v/>
      </c>
      <c r="DB33" s="6">
        <f t="shared" si="59"/>
        <v>0</v>
      </c>
      <c r="DC33" s="6">
        <f t="shared" si="60"/>
        <v>0</v>
      </c>
      <c r="DD33" s="6">
        <f t="shared" si="61"/>
        <v>0</v>
      </c>
      <c r="DE33" s="6">
        <f t="shared" si="62"/>
        <v>0</v>
      </c>
      <c r="DF33" s="6">
        <f t="shared" si="63"/>
        <v>0</v>
      </c>
      <c r="DG33" s="6">
        <f t="shared" si="64"/>
        <v>0</v>
      </c>
      <c r="DH33" s="6" t="str">
        <f t="shared" si="65"/>
        <v/>
      </c>
      <c r="DI33" s="6">
        <f t="shared" si="66"/>
        <v>0</v>
      </c>
      <c r="DJ33" s="6">
        <f t="shared" si="67"/>
        <v>0</v>
      </c>
      <c r="DK33" s="6">
        <f t="shared" si="68"/>
        <v>0</v>
      </c>
      <c r="DL33" s="6">
        <f t="shared" si="69"/>
        <v>0</v>
      </c>
      <c r="DM33" s="6">
        <f t="shared" si="70"/>
        <v>0</v>
      </c>
      <c r="DN33" s="6">
        <f t="shared" si="71"/>
        <v>0</v>
      </c>
      <c r="DO33" s="6" t="str">
        <f t="shared" si="72"/>
        <v>60/60/60</v>
      </c>
      <c r="DP33" s="6">
        <f t="shared" si="73"/>
        <v>60</v>
      </c>
      <c r="DQ33" s="6">
        <f t="shared" si="74"/>
        <v>60</v>
      </c>
      <c r="DR33" s="6">
        <f t="shared" si="75"/>
        <v>60</v>
      </c>
      <c r="DS33" s="6">
        <f t="shared" si="76"/>
        <v>0</v>
      </c>
      <c r="DT33" s="6">
        <f t="shared" si="77"/>
        <v>0</v>
      </c>
      <c r="DU33" s="6">
        <f t="shared" si="78"/>
        <v>0</v>
      </c>
      <c r="DV33" s="6" t="str">
        <f t="shared" si="79"/>
        <v>60W/ 60W/ 60W</v>
      </c>
      <c r="DW33" s="6">
        <f t="shared" si="80"/>
        <v>60</v>
      </c>
      <c r="DX33" s="6" t="str">
        <f t="shared" si="81"/>
        <v>60/60/60</v>
      </c>
      <c r="DY33" s="6">
        <f t="shared" si="82"/>
        <v>60</v>
      </c>
      <c r="DZ33" s="6">
        <f t="shared" si="83"/>
        <v>60</v>
      </c>
      <c r="EA33" s="6">
        <f t="shared" si="84"/>
        <v>60</v>
      </c>
      <c r="EB33" s="6">
        <f t="shared" si="85"/>
        <v>0</v>
      </c>
      <c r="EC33" s="6">
        <f t="shared" si="86"/>
        <v>0</v>
      </c>
      <c r="ED33" s="6">
        <f t="shared" si="87"/>
        <v>0</v>
      </c>
      <c r="EE33" s="6" t="str">
        <f t="shared" si="88"/>
        <v>60W/ 60W/ 60W</v>
      </c>
      <c r="EF33" s="6">
        <f t="shared" si="89"/>
        <v>60</v>
      </c>
      <c r="EG33" s="6" t="str">
        <f t="shared" si="90"/>
        <v/>
      </c>
      <c r="EH33" s="6">
        <f t="shared" si="91"/>
        <v>0</v>
      </c>
      <c r="EI33" s="6">
        <f t="shared" si="92"/>
        <v>0</v>
      </c>
      <c r="EJ33" s="6">
        <f t="shared" si="93"/>
        <v>0</v>
      </c>
      <c r="EK33" s="6">
        <f t="shared" si="94"/>
        <v>0</v>
      </c>
      <c r="EL33" s="6">
        <f t="shared" si="95"/>
        <v>0</v>
      </c>
      <c r="EM33" s="6">
        <f t="shared" si="96"/>
        <v>0</v>
      </c>
      <c r="EN33" s="6" t="str">
        <f t="shared" si="97"/>
        <v/>
      </c>
      <c r="EO33" s="6">
        <f t="shared" si="98"/>
        <v>0</v>
      </c>
      <c r="EP33" s="6" t="str">
        <f t="shared" si="99"/>
        <v/>
      </c>
      <c r="EQ33" s="6">
        <f t="shared" si="100"/>
        <v>0</v>
      </c>
      <c r="ER33" s="6">
        <f t="shared" si="101"/>
        <v>0</v>
      </c>
      <c r="ES33" s="6">
        <f t="shared" si="102"/>
        <v>0</v>
      </c>
      <c r="ET33" s="6">
        <f t="shared" si="103"/>
        <v>0</v>
      </c>
      <c r="EU33" s="6">
        <f t="shared" si="104"/>
        <v>0</v>
      </c>
      <c r="EV33" s="6">
        <f t="shared" si="105"/>
        <v>0</v>
      </c>
      <c r="EW33" s="6" t="str">
        <f t="shared" si="106"/>
        <v/>
      </c>
      <c r="EX33" s="6">
        <f t="shared" si="107"/>
        <v>0</v>
      </c>
      <c r="EY33" s="6" t="str">
        <f t="shared" si="108"/>
        <v/>
      </c>
      <c r="EZ33" s="6">
        <f t="shared" si="109"/>
        <v>0</v>
      </c>
      <c r="FA33" s="6">
        <f t="shared" si="110"/>
        <v>0</v>
      </c>
      <c r="FB33" s="6">
        <f t="shared" si="111"/>
        <v>0</v>
      </c>
      <c r="FC33" s="6">
        <f t="shared" si="112"/>
        <v>0</v>
      </c>
      <c r="FD33" s="6">
        <f t="shared" si="113"/>
        <v>0</v>
      </c>
      <c r="FE33" s="6">
        <f t="shared" si="114"/>
        <v>0</v>
      </c>
      <c r="FF33" s="6" t="str">
        <f t="shared" si="115"/>
        <v/>
      </c>
      <c r="FG33" s="6">
        <f t="shared" si="116"/>
        <v>0</v>
      </c>
      <c r="FH33" s="6" t="str">
        <f t="shared" si="117"/>
        <v/>
      </c>
      <c r="FI33" s="6">
        <f t="shared" si="118"/>
        <v>0</v>
      </c>
      <c r="FJ33" s="6">
        <f t="shared" si="119"/>
        <v>0</v>
      </c>
      <c r="FK33" s="6">
        <f t="shared" si="120"/>
        <v>0</v>
      </c>
      <c r="FL33" s="6">
        <f t="shared" si="121"/>
        <v>0</v>
      </c>
      <c r="FM33" s="6">
        <f t="shared" si="122"/>
        <v>0</v>
      </c>
      <c r="FN33" s="6">
        <f t="shared" si="123"/>
        <v>0</v>
      </c>
      <c r="FO33" s="6" t="str">
        <f t="shared" si="124"/>
        <v/>
      </c>
      <c r="FP33" s="6">
        <f t="shared" si="125"/>
        <v>0</v>
      </c>
      <c r="FQ33" s="6">
        <f t="shared" si="126"/>
        <v>60</v>
      </c>
      <c r="FR33" s="6" t="str">
        <f t="shared" si="127"/>
        <v>2100</v>
      </c>
      <c r="FS33" s="6" t="str">
        <f t="shared" si="128"/>
        <v>1800</v>
      </c>
      <c r="FT33" s="6" t="str">
        <f t="shared" si="129"/>
        <v/>
      </c>
      <c r="FU33" s="6" t="str">
        <f t="shared" si="130"/>
        <v/>
      </c>
      <c r="FV33" s="6" t="str">
        <f t="shared" si="131"/>
        <v/>
      </c>
      <c r="FW33" s="6" t="str">
        <f t="shared" si="132"/>
        <v/>
      </c>
      <c r="FX33" s="6" t="str">
        <f t="shared" si="133"/>
        <v>27/27/27</v>
      </c>
      <c r="FY33" s="6">
        <f t="shared" si="134"/>
        <v>27</v>
      </c>
      <c r="FZ33" s="6">
        <f t="shared" si="135"/>
        <v>27</v>
      </c>
      <c r="GA33" s="6">
        <f t="shared" si="136"/>
        <v>27</v>
      </c>
      <c r="GB33" s="6">
        <f t="shared" si="137"/>
        <v>0</v>
      </c>
      <c r="GC33" s="6">
        <f t="shared" si="138"/>
        <v>0</v>
      </c>
      <c r="GD33" s="6">
        <f t="shared" si="139"/>
        <v>0</v>
      </c>
      <c r="GE33" s="6" t="str">
        <f t="shared" si="140"/>
        <v>27m/ 27m/ 27m</v>
      </c>
      <c r="GF33" s="6" t="str">
        <f t="shared" si="141"/>
        <v>27/27/27</v>
      </c>
      <c r="GG33" s="6">
        <f t="shared" si="142"/>
        <v>27</v>
      </c>
      <c r="GH33" s="6">
        <f t="shared" si="143"/>
        <v>27</v>
      </c>
      <c r="GI33" s="6">
        <f t="shared" si="144"/>
        <v>27</v>
      </c>
      <c r="GJ33" s="6">
        <f t="shared" si="145"/>
        <v>0</v>
      </c>
      <c r="GK33" s="6">
        <f t="shared" si="146"/>
        <v>0</v>
      </c>
      <c r="GL33" s="6">
        <f t="shared" si="147"/>
        <v>0</v>
      </c>
      <c r="GM33" s="6" t="str">
        <f t="shared" si="148"/>
        <v>27m/ 27m/ 27m</v>
      </c>
      <c r="GN33" s="6" t="str">
        <f t="shared" si="149"/>
        <v/>
      </c>
      <c r="GO33" s="6">
        <f t="shared" si="150"/>
        <v>0</v>
      </c>
      <c r="GP33" s="6">
        <f t="shared" si="151"/>
        <v>0</v>
      </c>
      <c r="GQ33" s="6">
        <f t="shared" si="152"/>
        <v>0</v>
      </c>
      <c r="GR33" s="6">
        <f t="shared" si="153"/>
        <v>0</v>
      </c>
      <c r="GS33" s="6">
        <f t="shared" si="154"/>
        <v>0</v>
      </c>
      <c r="GT33" s="6">
        <f t="shared" si="155"/>
        <v>0</v>
      </c>
      <c r="GU33" s="6" t="str">
        <f t="shared" si="156"/>
        <v/>
      </c>
      <c r="GV33" s="6" t="str">
        <f t="shared" si="157"/>
        <v/>
      </c>
      <c r="GW33" s="6">
        <f t="shared" si="158"/>
        <v>0</v>
      </c>
      <c r="GX33" s="6">
        <f t="shared" si="159"/>
        <v>0</v>
      </c>
      <c r="GY33" s="6">
        <f t="shared" si="160"/>
        <v>0</v>
      </c>
      <c r="GZ33" s="6">
        <f t="shared" si="161"/>
        <v>0</v>
      </c>
      <c r="HA33" s="6">
        <f t="shared" si="162"/>
        <v>0</v>
      </c>
      <c r="HB33" s="6">
        <f t="shared" si="163"/>
        <v>0</v>
      </c>
      <c r="HC33" s="6" t="str">
        <f t="shared" si="164"/>
        <v/>
      </c>
      <c r="HD33" s="6" t="str">
        <f t="shared" si="165"/>
        <v/>
      </c>
      <c r="HE33" s="6">
        <f t="shared" si="166"/>
        <v>0</v>
      </c>
      <c r="HF33" s="6">
        <f t="shared" si="167"/>
        <v>0</v>
      </c>
      <c r="HG33" s="6">
        <f t="shared" si="168"/>
        <v>0</v>
      </c>
      <c r="HH33" s="6">
        <f t="shared" si="169"/>
        <v>0</v>
      </c>
      <c r="HI33" s="6">
        <f t="shared" si="170"/>
        <v>0</v>
      </c>
      <c r="HJ33" s="6">
        <f t="shared" si="171"/>
        <v>0</v>
      </c>
      <c r="HK33" s="6" t="str">
        <f t="shared" si="172"/>
        <v/>
      </c>
      <c r="HL33" s="6" t="str">
        <f t="shared" si="173"/>
        <v/>
      </c>
      <c r="HM33" s="6">
        <f t="shared" si="174"/>
        <v>0</v>
      </c>
      <c r="HN33" s="6">
        <f t="shared" si="175"/>
        <v>0</v>
      </c>
      <c r="HO33" s="6">
        <f t="shared" si="176"/>
        <v>0</v>
      </c>
      <c r="HP33" s="6">
        <f t="shared" si="177"/>
        <v>0</v>
      </c>
      <c r="HQ33" s="6">
        <f t="shared" si="178"/>
        <v>0</v>
      </c>
      <c r="HR33" s="6">
        <f t="shared" si="179"/>
        <v>0</v>
      </c>
      <c r="HS33" s="6" t="str">
        <f t="shared" si="180"/>
        <v/>
      </c>
      <c r="HT33" s="6" t="str">
        <f>INDEX(LabNameList,MATCH(V33,LabIDList,0))</f>
        <v>Trung tâm Kiểm định và Chứng nhận 1</v>
      </c>
      <c r="HU33" s="6">
        <f t="shared" si="181"/>
        <v>27</v>
      </c>
      <c r="HV33" s="6">
        <f t="shared" si="182"/>
        <v>27</v>
      </c>
      <c r="HW33" s="6">
        <f t="shared" si="183"/>
        <v>0</v>
      </c>
      <c r="HX33" s="6">
        <f t="shared" si="184"/>
        <v>0</v>
      </c>
      <c r="HY33" s="6">
        <f t="shared" si="185"/>
        <v>0</v>
      </c>
      <c r="HZ33" s="6">
        <f t="shared" si="186"/>
        <v>0</v>
      </c>
      <c r="IA33" s="5">
        <f t="shared" si="187"/>
        <v>27</v>
      </c>
      <c r="IB33" s="5">
        <f t="shared" si="188"/>
        <v>7</v>
      </c>
      <c r="IC33" s="132" t="str">
        <f t="shared" si="189"/>
        <v>A</v>
      </c>
      <c r="ID33" s="132" t="str">
        <f t="shared" si="190"/>
        <v>04013</v>
      </c>
      <c r="IE33" s="132" t="str">
        <f t="shared" si="191"/>
        <v>181019</v>
      </c>
      <c r="IF33" s="132" t="str">
        <f t="shared" si="192"/>
        <v>TG05</v>
      </c>
      <c r="IG33" s="171">
        <f t="shared" si="193"/>
        <v>43756</v>
      </c>
      <c r="IH33" s="171">
        <f t="shared" si="194"/>
        <v>45583</v>
      </c>
      <c r="II33" s="6">
        <v>37</v>
      </c>
    </row>
    <row r="34" spans="1:243" ht="165.75">
      <c r="A34" s="5">
        <f>Input!A34</f>
        <v>32</v>
      </c>
      <c r="B34" s="132" t="str">
        <f>Profile!$A$3</f>
        <v>VINAPHONE</v>
      </c>
      <c r="C34" s="132" t="str">
        <f>Profile!$F$3</f>
        <v>VINAPHONE</v>
      </c>
      <c r="D34" s="5" t="str">
        <f>Input!B34</f>
        <v>NGUYEN-DUC-THUAN-197-GLM_HNI</v>
      </c>
      <c r="E34" s="107" t="str">
        <f>Input!C34</f>
        <v>Số 189, đường Nguyễn Đức Thuận, thị trấn Trâu Quỳ, huyện Gia Lâm, thành phố Hà Nội</v>
      </c>
      <c r="F34" s="5" t="str">
        <f>Input!D34</f>
        <v>Hà Nội</v>
      </c>
      <c r="G34" s="5">
        <f>Input!E34</f>
        <v>105.937558</v>
      </c>
      <c r="H34" s="5">
        <f>Input!F34</f>
        <v>21.021868000000001</v>
      </c>
      <c r="I34" s="5">
        <f>Input!G34</f>
        <v>1</v>
      </c>
      <c r="J34" s="5">
        <f>Input!H34</f>
        <v>2</v>
      </c>
      <c r="K34" s="5" t="str">
        <f t="shared" si="0"/>
        <v>TỔNG CÔNG TY HẠ TẦNG MẠNG;TỔNG CÔNG TY HẠ TẦNG MẠNG</v>
      </c>
      <c r="L34" s="5" t="str">
        <f>Input!J34</f>
        <v>NGUYEN-DUC-THUAN-197-GLM_HNI;NGUYEN-DUC-THUAN-197-GLM_HNI</v>
      </c>
      <c r="M34" s="5" t="str">
        <f>Input!K34</f>
        <v>NOKIA FLEXI MULTIRADIO BTS RADIO MODULE AND REMOTE RADIO (FRGY);NOKIA FLEXI MULTIRADIO BTS RADIO MODULE AND REMOTE RADIO (FHEL)</v>
      </c>
      <c r="N34" s="5" t="str">
        <f>Input!L34</f>
        <v>3;3</v>
      </c>
      <c r="O34" s="5" t="str">
        <f>Input!M34</f>
        <v>2/2/2;1/1/1</v>
      </c>
      <c r="P34" s="5" t="str">
        <f>Input!N34</f>
        <v>60/60/60;60/60/60</v>
      </c>
      <c r="Q34" s="5" t="str">
        <f>Input!O34</f>
        <v>2100;1800</v>
      </c>
      <c r="R34" s="5" t="str">
        <f>Input!P34</f>
        <v>25/25/25;25/25/25</v>
      </c>
      <c r="S34" s="152" t="b">
        <f>Input!Q34</f>
        <v>1</v>
      </c>
      <c r="T34" s="5" t="str">
        <f>Input!R34</f>
        <v>A04014181019TG05</v>
      </c>
      <c r="U34" s="5">
        <f>Input!S34</f>
        <v>0</v>
      </c>
      <c r="V34" s="5" t="str">
        <f>Input!T34</f>
        <v>VCC1</v>
      </c>
      <c r="W34" s="5" t="str">
        <f>Input!U34</f>
        <v>1902959/19/TG/TT1</v>
      </c>
      <c r="X34" s="7" t="str">
        <f>TEXT(Input!V34,"dd/mm/yyyy")</f>
        <v>18/10/2019</v>
      </c>
      <c r="Y34" s="5" t="b">
        <f>Input!W34</f>
        <v>0</v>
      </c>
      <c r="Z34" s="152" t="b">
        <f>Input!X34</f>
        <v>0</v>
      </c>
      <c r="AA34" s="5">
        <f t="shared" si="1"/>
        <v>25</v>
      </c>
      <c r="AB34" s="152" t="b">
        <f>Input!Y34</f>
        <v>1</v>
      </c>
      <c r="AC34" s="5">
        <f>VALUE(Input!Z34)</f>
        <v>12</v>
      </c>
      <c r="AD34" s="5" t="b">
        <f>Input!AA34</f>
        <v>0</v>
      </c>
      <c r="AE34" s="5" t="str">
        <f>Input!AB34</f>
        <v>Vũ Văn Giáp</v>
      </c>
      <c r="AF34" s="5" t="str">
        <f>Input!AC34</f>
        <v>Lê Tiến Cường</v>
      </c>
      <c r="AG34" s="132" t="str">
        <f>Options!$J$25</f>
        <v>TRUNG TÂM KIỂM ĐỊNH VÀ CHỨNG NHẬN 1</v>
      </c>
      <c r="AH34" s="132" t="str">
        <f>Options!$J$26</f>
        <v>TP. Hà Nội</v>
      </c>
      <c r="AI34" s="132" t="str">
        <f>Options!$J$29</f>
        <v>GIÁM ĐỐC</v>
      </c>
      <c r="AJ34" s="132" t="str">
        <f>Options!$J$30</f>
        <v/>
      </c>
      <c r="AK34" s="132" t="str">
        <f>Options!$J$31</f>
        <v>Bùi Ngọc Dũng</v>
      </c>
      <c r="AL34" s="6"/>
      <c r="AM34" s="6" t="str">
        <f>INDEX(ApplicantNameList,MATCH(B34,ApplicantIDList,0))</f>
        <v>Tổng Công ty Hạ tầng mạng</v>
      </c>
      <c r="AN34" s="6" t="str">
        <f>INDEX(OperatorNameList,MATCH(C34,OperatorIDList,0))</f>
        <v>TỔNG CÔNG TY HẠ TẦNG MẠNG</v>
      </c>
      <c r="AO34" s="5">
        <f t="shared" si="2"/>
        <v>4</v>
      </c>
      <c r="AP34" s="85" t="str">
        <f t="shared" si="3"/>
        <v>thành phố Hà Nội</v>
      </c>
      <c r="AQ34" s="233" t="str">
        <f t="shared" si="4"/>
        <v>huyện Gia Lâm</v>
      </c>
      <c r="AR34" s="233" t="str">
        <f t="shared" si="5"/>
        <v>thị trấn Trâu Quỳ</v>
      </c>
      <c r="AS34" s="234" t="str">
        <f>INDEX(CityIDList,MATCH(F34,CityNameList,0))</f>
        <v>HNI</v>
      </c>
      <c r="AT34" s="6" t="str">
        <f>IF(J34&gt;=1,INDEX(OperatorNameList,MATCH(AZ34,OperatorIDList,0)),"")</f>
        <v>TỔNG CÔNG TY HẠ TẦNG MẠNG</v>
      </c>
      <c r="AU34" s="6" t="str">
        <f>IF(J34&gt;=2,INDEX(OperatorNameList,MATCH(BA34,OperatorIDList,0)),"")</f>
        <v>TỔNG CÔNG TY HẠ TẦNG MẠNG</v>
      </c>
      <c r="AV34" s="6" t="str">
        <f>IF(J34&gt;=3,INDEX(OperatorNameList,MATCH(BB34,OperatorIDList,0)),"")</f>
        <v/>
      </c>
      <c r="AW34" s="6" t="str">
        <f>IF(J34&gt;=4,INDEX(OperatorNameList,MATCH(BC34,OperatorIDList,0)),"")</f>
        <v/>
      </c>
      <c r="AX34" s="6" t="str">
        <f>IF(J34&gt;=5,INDEX(OperatorNameList,MATCH(BD34,OperatorIDList,0)),"")</f>
        <v/>
      </c>
      <c r="AY34" s="6" t="str">
        <f>IF(J34&gt;=6,INDEX(OperatorNameList,MATCH(BE34,OperatorIDList,0)),"")</f>
        <v/>
      </c>
      <c r="AZ34" s="6" t="str">
        <f t="shared" si="6"/>
        <v>VINAPHONE</v>
      </c>
      <c r="BA34" s="6" t="str">
        <f t="shared" si="7"/>
        <v>VINAPHONE</v>
      </c>
      <c r="BB34" s="6" t="str">
        <f t="shared" si="8"/>
        <v/>
      </c>
      <c r="BC34" s="6" t="str">
        <f t="shared" si="9"/>
        <v/>
      </c>
      <c r="BD34" s="6" t="str">
        <f t="shared" si="10"/>
        <v/>
      </c>
      <c r="BE34" s="6" t="str">
        <f t="shared" si="11"/>
        <v/>
      </c>
      <c r="BF34" s="6" t="str">
        <f>Input!I34</f>
        <v>VINAPHONE;VINAPHONE</v>
      </c>
      <c r="BG34" s="6" t="str">
        <f t="shared" si="12"/>
        <v>NGUYEN-DUC-THUAN-197-GLM_HNI</v>
      </c>
      <c r="BH34" s="6" t="str">
        <f t="shared" si="13"/>
        <v>NGUYEN-DUC-THUAN-197-GLM_HNI</v>
      </c>
      <c r="BI34" s="6" t="str">
        <f t="shared" si="14"/>
        <v/>
      </c>
      <c r="BJ34" s="6" t="str">
        <f t="shared" si="15"/>
        <v/>
      </c>
      <c r="BK34" s="6" t="str">
        <f t="shared" si="16"/>
        <v/>
      </c>
      <c r="BL34" s="6" t="str">
        <f t="shared" si="17"/>
        <v/>
      </c>
      <c r="BM34" s="6" t="str">
        <f t="shared" si="18"/>
        <v>NOKIA FLEXI MULTIRADIO BTS RADIO MODULE AND REMOTE RADIO (FRGY)</v>
      </c>
      <c r="BN34" s="6" t="str">
        <f t="shared" si="19"/>
        <v>NOKIA FLEXI MULTIRADIO BTS RADIO MODULE AND REMOTE RADIO (FHEL)</v>
      </c>
      <c r="BO34" s="6" t="str">
        <f t="shared" si="20"/>
        <v/>
      </c>
      <c r="BP34" s="6" t="str">
        <f t="shared" si="21"/>
        <v/>
      </c>
      <c r="BQ34" s="6" t="str">
        <f t="shared" si="22"/>
        <v/>
      </c>
      <c r="BR34" s="6" t="str">
        <f t="shared" si="23"/>
        <v/>
      </c>
      <c r="BS34" s="6">
        <f t="shared" si="24"/>
        <v>3</v>
      </c>
      <c r="BT34" s="6">
        <f t="shared" si="25"/>
        <v>3</v>
      </c>
      <c r="BU34" s="6">
        <f t="shared" si="26"/>
        <v>0</v>
      </c>
      <c r="BV34" s="6">
        <f t="shared" si="27"/>
        <v>0</v>
      </c>
      <c r="BW34" s="6">
        <f t="shared" si="28"/>
        <v>0</v>
      </c>
      <c r="BX34" s="6">
        <f t="shared" si="29"/>
        <v>0</v>
      </c>
      <c r="BY34" s="6" t="str">
        <f t="shared" si="30"/>
        <v>2/2/2</v>
      </c>
      <c r="BZ34" s="6">
        <f t="shared" si="31"/>
        <v>2</v>
      </c>
      <c r="CA34" s="6">
        <f t="shared" si="32"/>
        <v>2</v>
      </c>
      <c r="CB34" s="6">
        <f t="shared" si="33"/>
        <v>2</v>
      </c>
      <c r="CC34" s="6">
        <f t="shared" si="34"/>
        <v>0</v>
      </c>
      <c r="CD34" s="6">
        <f t="shared" si="35"/>
        <v>0</v>
      </c>
      <c r="CE34" s="6">
        <f t="shared" si="36"/>
        <v>0</v>
      </c>
      <c r="CF34" s="6" t="str">
        <f t="shared" si="37"/>
        <v>1/1/1</v>
      </c>
      <c r="CG34" s="6">
        <f t="shared" si="38"/>
        <v>1</v>
      </c>
      <c r="CH34" s="6">
        <f t="shared" si="39"/>
        <v>1</v>
      </c>
      <c r="CI34" s="6">
        <f t="shared" si="40"/>
        <v>1</v>
      </c>
      <c r="CJ34" s="6">
        <f t="shared" si="41"/>
        <v>0</v>
      </c>
      <c r="CK34" s="6">
        <f t="shared" si="42"/>
        <v>0</v>
      </c>
      <c r="CL34" s="6">
        <f t="shared" si="43"/>
        <v>0</v>
      </c>
      <c r="CM34" s="6" t="str">
        <f t="shared" si="44"/>
        <v/>
      </c>
      <c r="CN34" s="6">
        <f t="shared" si="45"/>
        <v>0</v>
      </c>
      <c r="CO34" s="6">
        <f t="shared" si="46"/>
        <v>0</v>
      </c>
      <c r="CP34" s="6">
        <f t="shared" si="47"/>
        <v>0</v>
      </c>
      <c r="CQ34" s="6">
        <f t="shared" si="48"/>
        <v>0</v>
      </c>
      <c r="CR34" s="6">
        <f t="shared" si="49"/>
        <v>0</v>
      </c>
      <c r="CS34" s="6">
        <f t="shared" si="50"/>
        <v>0</v>
      </c>
      <c r="CT34" s="6" t="str">
        <f t="shared" si="51"/>
        <v/>
      </c>
      <c r="CU34" s="6">
        <f t="shared" si="52"/>
        <v>0</v>
      </c>
      <c r="CV34" s="6">
        <f t="shared" si="53"/>
        <v>0</v>
      </c>
      <c r="CW34" s="6">
        <f t="shared" si="54"/>
        <v>0</v>
      </c>
      <c r="CX34" s="6">
        <f t="shared" si="55"/>
        <v>0</v>
      </c>
      <c r="CY34" s="6">
        <f t="shared" si="56"/>
        <v>0</v>
      </c>
      <c r="CZ34" s="6">
        <f t="shared" si="57"/>
        <v>0</v>
      </c>
      <c r="DA34" s="6" t="str">
        <f t="shared" si="58"/>
        <v/>
      </c>
      <c r="DB34" s="6">
        <f t="shared" si="59"/>
        <v>0</v>
      </c>
      <c r="DC34" s="6">
        <f t="shared" si="60"/>
        <v>0</v>
      </c>
      <c r="DD34" s="6">
        <f t="shared" si="61"/>
        <v>0</v>
      </c>
      <c r="DE34" s="6">
        <f t="shared" si="62"/>
        <v>0</v>
      </c>
      <c r="DF34" s="6">
        <f t="shared" si="63"/>
        <v>0</v>
      </c>
      <c r="DG34" s="6">
        <f t="shared" si="64"/>
        <v>0</v>
      </c>
      <c r="DH34" s="6" t="str">
        <f t="shared" si="65"/>
        <v/>
      </c>
      <c r="DI34" s="6">
        <f t="shared" si="66"/>
        <v>0</v>
      </c>
      <c r="DJ34" s="6">
        <f t="shared" si="67"/>
        <v>0</v>
      </c>
      <c r="DK34" s="6">
        <f t="shared" si="68"/>
        <v>0</v>
      </c>
      <c r="DL34" s="6">
        <f t="shared" si="69"/>
        <v>0</v>
      </c>
      <c r="DM34" s="6">
        <f t="shared" si="70"/>
        <v>0</v>
      </c>
      <c r="DN34" s="6">
        <f t="shared" si="71"/>
        <v>0</v>
      </c>
      <c r="DO34" s="6" t="str">
        <f t="shared" si="72"/>
        <v>60/60/60</v>
      </c>
      <c r="DP34" s="6">
        <f t="shared" si="73"/>
        <v>60</v>
      </c>
      <c r="DQ34" s="6">
        <f t="shared" si="74"/>
        <v>60</v>
      </c>
      <c r="DR34" s="6">
        <f t="shared" si="75"/>
        <v>60</v>
      </c>
      <c r="DS34" s="6">
        <f t="shared" si="76"/>
        <v>0</v>
      </c>
      <c r="DT34" s="6">
        <f t="shared" si="77"/>
        <v>0</v>
      </c>
      <c r="DU34" s="6">
        <f t="shared" si="78"/>
        <v>0</v>
      </c>
      <c r="DV34" s="6" t="str">
        <f t="shared" si="79"/>
        <v>60W/ 60W/ 60W</v>
      </c>
      <c r="DW34" s="6">
        <f t="shared" si="80"/>
        <v>60</v>
      </c>
      <c r="DX34" s="6" t="str">
        <f t="shared" si="81"/>
        <v>60/60/60</v>
      </c>
      <c r="DY34" s="6">
        <f t="shared" si="82"/>
        <v>60</v>
      </c>
      <c r="DZ34" s="6">
        <f t="shared" si="83"/>
        <v>60</v>
      </c>
      <c r="EA34" s="6">
        <f t="shared" si="84"/>
        <v>60</v>
      </c>
      <c r="EB34" s="6">
        <f t="shared" si="85"/>
        <v>0</v>
      </c>
      <c r="EC34" s="6">
        <f t="shared" si="86"/>
        <v>0</v>
      </c>
      <c r="ED34" s="6">
        <f t="shared" si="87"/>
        <v>0</v>
      </c>
      <c r="EE34" s="6" t="str">
        <f t="shared" si="88"/>
        <v>60W/ 60W/ 60W</v>
      </c>
      <c r="EF34" s="6">
        <f t="shared" si="89"/>
        <v>60</v>
      </c>
      <c r="EG34" s="6" t="str">
        <f t="shared" si="90"/>
        <v/>
      </c>
      <c r="EH34" s="6">
        <f t="shared" si="91"/>
        <v>0</v>
      </c>
      <c r="EI34" s="6">
        <f t="shared" si="92"/>
        <v>0</v>
      </c>
      <c r="EJ34" s="6">
        <f t="shared" si="93"/>
        <v>0</v>
      </c>
      <c r="EK34" s="6">
        <f t="shared" si="94"/>
        <v>0</v>
      </c>
      <c r="EL34" s="6">
        <f t="shared" si="95"/>
        <v>0</v>
      </c>
      <c r="EM34" s="6">
        <f t="shared" si="96"/>
        <v>0</v>
      </c>
      <c r="EN34" s="6" t="str">
        <f t="shared" si="97"/>
        <v/>
      </c>
      <c r="EO34" s="6">
        <f t="shared" si="98"/>
        <v>0</v>
      </c>
      <c r="EP34" s="6" t="str">
        <f t="shared" si="99"/>
        <v/>
      </c>
      <c r="EQ34" s="6">
        <f t="shared" si="100"/>
        <v>0</v>
      </c>
      <c r="ER34" s="6">
        <f t="shared" si="101"/>
        <v>0</v>
      </c>
      <c r="ES34" s="6">
        <f t="shared" si="102"/>
        <v>0</v>
      </c>
      <c r="ET34" s="6">
        <f t="shared" si="103"/>
        <v>0</v>
      </c>
      <c r="EU34" s="6">
        <f t="shared" si="104"/>
        <v>0</v>
      </c>
      <c r="EV34" s="6">
        <f t="shared" si="105"/>
        <v>0</v>
      </c>
      <c r="EW34" s="6" t="str">
        <f t="shared" si="106"/>
        <v/>
      </c>
      <c r="EX34" s="6">
        <f t="shared" si="107"/>
        <v>0</v>
      </c>
      <c r="EY34" s="6" t="str">
        <f t="shared" si="108"/>
        <v/>
      </c>
      <c r="EZ34" s="6">
        <f t="shared" si="109"/>
        <v>0</v>
      </c>
      <c r="FA34" s="6">
        <f t="shared" si="110"/>
        <v>0</v>
      </c>
      <c r="FB34" s="6">
        <f t="shared" si="111"/>
        <v>0</v>
      </c>
      <c r="FC34" s="6">
        <f t="shared" si="112"/>
        <v>0</v>
      </c>
      <c r="FD34" s="6">
        <f t="shared" si="113"/>
        <v>0</v>
      </c>
      <c r="FE34" s="6">
        <f t="shared" si="114"/>
        <v>0</v>
      </c>
      <c r="FF34" s="6" t="str">
        <f t="shared" si="115"/>
        <v/>
      </c>
      <c r="FG34" s="6">
        <f t="shared" si="116"/>
        <v>0</v>
      </c>
      <c r="FH34" s="6" t="str">
        <f t="shared" si="117"/>
        <v/>
      </c>
      <c r="FI34" s="6">
        <f t="shared" si="118"/>
        <v>0</v>
      </c>
      <c r="FJ34" s="6">
        <f t="shared" si="119"/>
        <v>0</v>
      </c>
      <c r="FK34" s="6">
        <f t="shared" si="120"/>
        <v>0</v>
      </c>
      <c r="FL34" s="6">
        <f t="shared" si="121"/>
        <v>0</v>
      </c>
      <c r="FM34" s="6">
        <f t="shared" si="122"/>
        <v>0</v>
      </c>
      <c r="FN34" s="6">
        <f t="shared" si="123"/>
        <v>0</v>
      </c>
      <c r="FO34" s="6" t="str">
        <f t="shared" si="124"/>
        <v/>
      </c>
      <c r="FP34" s="6">
        <f t="shared" si="125"/>
        <v>0</v>
      </c>
      <c r="FQ34" s="6">
        <f t="shared" si="126"/>
        <v>60</v>
      </c>
      <c r="FR34" s="6" t="str">
        <f t="shared" si="127"/>
        <v>2100</v>
      </c>
      <c r="FS34" s="6" t="str">
        <f t="shared" si="128"/>
        <v>1800</v>
      </c>
      <c r="FT34" s="6" t="str">
        <f t="shared" si="129"/>
        <v/>
      </c>
      <c r="FU34" s="6" t="str">
        <f t="shared" si="130"/>
        <v/>
      </c>
      <c r="FV34" s="6" t="str">
        <f t="shared" si="131"/>
        <v/>
      </c>
      <c r="FW34" s="6" t="str">
        <f t="shared" si="132"/>
        <v/>
      </c>
      <c r="FX34" s="6" t="str">
        <f t="shared" si="133"/>
        <v>25/25/25</v>
      </c>
      <c r="FY34" s="6">
        <f t="shared" si="134"/>
        <v>25</v>
      </c>
      <c r="FZ34" s="6">
        <f t="shared" si="135"/>
        <v>25</v>
      </c>
      <c r="GA34" s="6">
        <f t="shared" si="136"/>
        <v>25</v>
      </c>
      <c r="GB34" s="6">
        <f t="shared" si="137"/>
        <v>0</v>
      </c>
      <c r="GC34" s="6">
        <f t="shared" si="138"/>
        <v>0</v>
      </c>
      <c r="GD34" s="6">
        <f t="shared" si="139"/>
        <v>0</v>
      </c>
      <c r="GE34" s="6" t="str">
        <f t="shared" si="140"/>
        <v>25m/ 25m/ 25m</v>
      </c>
      <c r="GF34" s="6" t="str">
        <f t="shared" si="141"/>
        <v>25/25/25</v>
      </c>
      <c r="GG34" s="6">
        <f t="shared" si="142"/>
        <v>25</v>
      </c>
      <c r="GH34" s="6">
        <f t="shared" si="143"/>
        <v>25</v>
      </c>
      <c r="GI34" s="6">
        <f t="shared" si="144"/>
        <v>25</v>
      </c>
      <c r="GJ34" s="6">
        <f t="shared" si="145"/>
        <v>0</v>
      </c>
      <c r="GK34" s="6">
        <f t="shared" si="146"/>
        <v>0</v>
      </c>
      <c r="GL34" s="6">
        <f t="shared" si="147"/>
        <v>0</v>
      </c>
      <c r="GM34" s="6" t="str">
        <f t="shared" si="148"/>
        <v>25m/ 25m/ 25m</v>
      </c>
      <c r="GN34" s="6" t="str">
        <f t="shared" si="149"/>
        <v/>
      </c>
      <c r="GO34" s="6">
        <f t="shared" si="150"/>
        <v>0</v>
      </c>
      <c r="GP34" s="6">
        <f t="shared" si="151"/>
        <v>0</v>
      </c>
      <c r="GQ34" s="6">
        <f t="shared" si="152"/>
        <v>0</v>
      </c>
      <c r="GR34" s="6">
        <f t="shared" si="153"/>
        <v>0</v>
      </c>
      <c r="GS34" s="6">
        <f t="shared" si="154"/>
        <v>0</v>
      </c>
      <c r="GT34" s="6">
        <f t="shared" si="155"/>
        <v>0</v>
      </c>
      <c r="GU34" s="6" t="str">
        <f t="shared" si="156"/>
        <v/>
      </c>
      <c r="GV34" s="6" t="str">
        <f t="shared" si="157"/>
        <v/>
      </c>
      <c r="GW34" s="6">
        <f t="shared" si="158"/>
        <v>0</v>
      </c>
      <c r="GX34" s="6">
        <f t="shared" si="159"/>
        <v>0</v>
      </c>
      <c r="GY34" s="6">
        <f t="shared" si="160"/>
        <v>0</v>
      </c>
      <c r="GZ34" s="6">
        <f t="shared" si="161"/>
        <v>0</v>
      </c>
      <c r="HA34" s="6">
        <f t="shared" si="162"/>
        <v>0</v>
      </c>
      <c r="HB34" s="6">
        <f t="shared" si="163"/>
        <v>0</v>
      </c>
      <c r="HC34" s="6" t="str">
        <f t="shared" si="164"/>
        <v/>
      </c>
      <c r="HD34" s="6" t="str">
        <f t="shared" si="165"/>
        <v/>
      </c>
      <c r="HE34" s="6">
        <f t="shared" si="166"/>
        <v>0</v>
      </c>
      <c r="HF34" s="6">
        <f t="shared" si="167"/>
        <v>0</v>
      </c>
      <c r="HG34" s="6">
        <f t="shared" si="168"/>
        <v>0</v>
      </c>
      <c r="HH34" s="6">
        <f t="shared" si="169"/>
        <v>0</v>
      </c>
      <c r="HI34" s="6">
        <f t="shared" si="170"/>
        <v>0</v>
      </c>
      <c r="HJ34" s="6">
        <f t="shared" si="171"/>
        <v>0</v>
      </c>
      <c r="HK34" s="6" t="str">
        <f t="shared" si="172"/>
        <v/>
      </c>
      <c r="HL34" s="6" t="str">
        <f t="shared" si="173"/>
        <v/>
      </c>
      <c r="HM34" s="6">
        <f t="shared" si="174"/>
        <v>0</v>
      </c>
      <c r="HN34" s="6">
        <f t="shared" si="175"/>
        <v>0</v>
      </c>
      <c r="HO34" s="6">
        <f t="shared" si="176"/>
        <v>0</v>
      </c>
      <c r="HP34" s="6">
        <f t="shared" si="177"/>
        <v>0</v>
      </c>
      <c r="HQ34" s="6">
        <f t="shared" si="178"/>
        <v>0</v>
      </c>
      <c r="HR34" s="6">
        <f t="shared" si="179"/>
        <v>0</v>
      </c>
      <c r="HS34" s="6" t="str">
        <f t="shared" si="180"/>
        <v/>
      </c>
      <c r="HT34" s="6" t="str">
        <f>INDEX(LabNameList,MATCH(V34,LabIDList,0))</f>
        <v>Trung tâm Kiểm định và Chứng nhận 1</v>
      </c>
      <c r="HU34" s="6">
        <f t="shared" si="181"/>
        <v>25</v>
      </c>
      <c r="HV34" s="6">
        <f t="shared" si="182"/>
        <v>25</v>
      </c>
      <c r="HW34" s="6">
        <f t="shared" si="183"/>
        <v>0</v>
      </c>
      <c r="HX34" s="6">
        <f t="shared" si="184"/>
        <v>0</v>
      </c>
      <c r="HY34" s="6">
        <f t="shared" si="185"/>
        <v>0</v>
      </c>
      <c r="HZ34" s="6">
        <f t="shared" si="186"/>
        <v>0</v>
      </c>
      <c r="IA34" s="5">
        <f t="shared" si="187"/>
        <v>25</v>
      </c>
      <c r="IB34" s="5">
        <f t="shared" si="188"/>
        <v>13</v>
      </c>
      <c r="IC34" s="132" t="str">
        <f t="shared" si="189"/>
        <v>A</v>
      </c>
      <c r="ID34" s="132" t="str">
        <f t="shared" si="190"/>
        <v>04014</v>
      </c>
      <c r="IE34" s="132" t="str">
        <f t="shared" si="191"/>
        <v>181019</v>
      </c>
      <c r="IF34" s="132" t="str">
        <f t="shared" si="192"/>
        <v>TG05</v>
      </c>
      <c r="IG34" s="171">
        <f t="shared" si="193"/>
        <v>43756</v>
      </c>
      <c r="IH34" s="171">
        <f t="shared" si="194"/>
        <v>45583</v>
      </c>
      <c r="II34" s="6">
        <v>37</v>
      </c>
    </row>
    <row r="35" spans="1:243" ht="165.75">
      <c r="A35" s="5">
        <f>Input!A35</f>
        <v>33</v>
      </c>
      <c r="B35" s="132" t="str">
        <f>Profile!$A$3</f>
        <v>VINAPHONE</v>
      </c>
      <c r="C35" s="132" t="str">
        <f>Profile!$F$3</f>
        <v>VINAPHONE</v>
      </c>
      <c r="D35" s="5" t="str">
        <f>Input!B35</f>
        <v>PHUC-LOI-TO2-NGO187-LBN_HNI</v>
      </c>
      <c r="E35" s="107" t="str">
        <f>Input!C35</f>
        <v>Ngõ 87, đường Phúc Lợi, phường Phúc Lợi, quận Long Biên, thành phố Hà Nội</v>
      </c>
      <c r="F35" s="5" t="str">
        <f>Input!D35</f>
        <v>Hà Nội</v>
      </c>
      <c r="G35" s="5">
        <f>Input!E35</f>
        <v>105.916195</v>
      </c>
      <c r="H35" s="5">
        <f>Input!F35</f>
        <v>21.057921</v>
      </c>
      <c r="I35" s="5">
        <f>Input!G35</f>
        <v>1</v>
      </c>
      <c r="J35" s="5">
        <f>Input!H35</f>
        <v>2</v>
      </c>
      <c r="K35" s="5" t="str">
        <f t="shared" si="0"/>
        <v>TỔNG CÔNG TY HẠ TẦNG MẠNG;TỔNG CÔNG TY HẠ TẦNG MẠNG</v>
      </c>
      <c r="L35" s="5" t="str">
        <f>Input!J35</f>
        <v>PHUC-LOI-TO2-NGO187-LBN_HNI;PHUC-LOI-TO2-NGO187-LBN_HNI</v>
      </c>
      <c r="M35" s="5" t="str">
        <f>Input!K35</f>
        <v>NOKIA FLEXI MULTIRADIO BTS RADIO MODULE AND REMOTE RADIO (FRGY);NOKIA FLEXI MULTIRADIO BTS RADIO MODULE AND REMOTE RADIO (FHEL)</v>
      </c>
      <c r="N35" s="5" t="str">
        <f>Input!L35</f>
        <v>3;3</v>
      </c>
      <c r="O35" s="5" t="str">
        <f>Input!M35</f>
        <v>2/2/2;1/1/1</v>
      </c>
      <c r="P35" s="5" t="str">
        <f>Input!N35</f>
        <v>60/60/60;60/60/60</v>
      </c>
      <c r="Q35" s="5" t="str">
        <f>Input!O35</f>
        <v>2100;1800</v>
      </c>
      <c r="R35" s="5" t="str">
        <f>Input!P35</f>
        <v>16,5/16,5/16,5;16,5/16,5/16,5</v>
      </c>
      <c r="S35" s="152" t="b">
        <f>Input!Q35</f>
        <v>1</v>
      </c>
      <c r="T35" s="5" t="str">
        <f>Input!R35</f>
        <v>A04015181019TG05</v>
      </c>
      <c r="U35" s="5">
        <f>Input!S35</f>
        <v>0</v>
      </c>
      <c r="V35" s="5" t="str">
        <f>Input!T35</f>
        <v>VCC1</v>
      </c>
      <c r="W35" s="5" t="str">
        <f>Input!U35</f>
        <v>1902963/19/TG/TT1</v>
      </c>
      <c r="X35" s="7" t="str">
        <f>TEXT(Input!V35,"dd/mm/yyyy")</f>
        <v>18/10/2019</v>
      </c>
      <c r="Y35" s="5" t="b">
        <f>Input!W35</f>
        <v>0</v>
      </c>
      <c r="Z35" s="152" t="b">
        <f>Input!X35</f>
        <v>0</v>
      </c>
      <c r="AA35" s="5">
        <f t="shared" si="1"/>
        <v>16.5</v>
      </c>
      <c r="AB35" s="152" t="b">
        <f>Input!Y35</f>
        <v>1</v>
      </c>
      <c r="AC35" s="5">
        <f>VALUE(Input!Z35)</f>
        <v>12</v>
      </c>
      <c r="AD35" s="5" t="b">
        <f>Input!AA35</f>
        <v>0</v>
      </c>
      <c r="AE35" s="5" t="str">
        <f>Input!AB35</f>
        <v>Vũ Văn Giáp</v>
      </c>
      <c r="AF35" s="5" t="str">
        <f>Input!AC35</f>
        <v>Lê Tiến Cường</v>
      </c>
      <c r="AG35" s="132" t="str">
        <f>Options!$J$25</f>
        <v>TRUNG TÂM KIỂM ĐỊNH VÀ CHỨNG NHẬN 1</v>
      </c>
      <c r="AH35" s="132" t="str">
        <f>Options!$J$26</f>
        <v>TP. Hà Nội</v>
      </c>
      <c r="AI35" s="132" t="str">
        <f>Options!$J$29</f>
        <v>GIÁM ĐỐC</v>
      </c>
      <c r="AJ35" s="132" t="str">
        <f>Options!$J$30</f>
        <v/>
      </c>
      <c r="AK35" s="132" t="str">
        <f>Options!$J$31</f>
        <v>Bùi Ngọc Dũng</v>
      </c>
      <c r="AL35" s="6"/>
      <c r="AM35" s="6" t="str">
        <f>INDEX(ApplicantNameList,MATCH(B35,ApplicantIDList,0))</f>
        <v>Tổng Công ty Hạ tầng mạng</v>
      </c>
      <c r="AN35" s="6" t="str">
        <f>INDEX(OperatorNameList,MATCH(C35,OperatorIDList,0))</f>
        <v>TỔNG CÔNG TY HẠ TẦNG MẠNG</v>
      </c>
      <c r="AO35" s="5">
        <f t="shared" si="2"/>
        <v>4</v>
      </c>
      <c r="AP35" s="85" t="str">
        <f t="shared" si="3"/>
        <v>thành phố Hà Nội</v>
      </c>
      <c r="AQ35" s="233" t="str">
        <f t="shared" si="4"/>
        <v>quận Long Biên</v>
      </c>
      <c r="AR35" s="233" t="str">
        <f t="shared" si="5"/>
        <v>phường Phúc Lợi</v>
      </c>
      <c r="AS35" s="234" t="str">
        <f>INDEX(CityIDList,MATCH(F35,CityNameList,0))</f>
        <v>HNI</v>
      </c>
      <c r="AT35" s="6" t="str">
        <f>IF(J35&gt;=1,INDEX(OperatorNameList,MATCH(AZ35,OperatorIDList,0)),"")</f>
        <v>TỔNG CÔNG TY HẠ TẦNG MẠNG</v>
      </c>
      <c r="AU35" s="6" t="str">
        <f>IF(J35&gt;=2,INDEX(OperatorNameList,MATCH(BA35,OperatorIDList,0)),"")</f>
        <v>TỔNG CÔNG TY HẠ TẦNG MẠNG</v>
      </c>
      <c r="AV35" s="6" t="str">
        <f>IF(J35&gt;=3,INDEX(OperatorNameList,MATCH(BB35,OperatorIDList,0)),"")</f>
        <v/>
      </c>
      <c r="AW35" s="6" t="str">
        <f>IF(J35&gt;=4,INDEX(OperatorNameList,MATCH(BC35,OperatorIDList,0)),"")</f>
        <v/>
      </c>
      <c r="AX35" s="6" t="str">
        <f>IF(J35&gt;=5,INDEX(OperatorNameList,MATCH(BD35,OperatorIDList,0)),"")</f>
        <v/>
      </c>
      <c r="AY35" s="6" t="str">
        <f>IF(J35&gt;=6,INDEX(OperatorNameList,MATCH(BE35,OperatorIDList,0)),"")</f>
        <v/>
      </c>
      <c r="AZ35" s="6" t="str">
        <f t="shared" si="6"/>
        <v>VINAPHONE</v>
      </c>
      <c r="BA35" s="6" t="str">
        <f t="shared" si="7"/>
        <v>VINAPHONE</v>
      </c>
      <c r="BB35" s="6" t="str">
        <f t="shared" si="8"/>
        <v/>
      </c>
      <c r="BC35" s="6" t="str">
        <f t="shared" si="9"/>
        <v/>
      </c>
      <c r="BD35" s="6" t="str">
        <f t="shared" si="10"/>
        <v/>
      </c>
      <c r="BE35" s="6" t="str">
        <f t="shared" si="11"/>
        <v/>
      </c>
      <c r="BF35" s="6" t="str">
        <f>Input!I35</f>
        <v>VINAPHONE;VINAPHONE</v>
      </c>
      <c r="BG35" s="6" t="str">
        <f t="shared" si="12"/>
        <v>PHUC-LOI-TO2-NGO187-LBN_HNI</v>
      </c>
      <c r="BH35" s="6" t="str">
        <f t="shared" si="13"/>
        <v>PHUC-LOI-TO2-NGO187-LBN_HNI</v>
      </c>
      <c r="BI35" s="6" t="str">
        <f t="shared" si="14"/>
        <v/>
      </c>
      <c r="BJ35" s="6" t="str">
        <f t="shared" si="15"/>
        <v/>
      </c>
      <c r="BK35" s="6" t="str">
        <f t="shared" si="16"/>
        <v/>
      </c>
      <c r="BL35" s="6" t="str">
        <f t="shared" si="17"/>
        <v/>
      </c>
      <c r="BM35" s="6" t="str">
        <f t="shared" si="18"/>
        <v>NOKIA FLEXI MULTIRADIO BTS RADIO MODULE AND REMOTE RADIO (FRGY)</v>
      </c>
      <c r="BN35" s="6" t="str">
        <f t="shared" si="19"/>
        <v>NOKIA FLEXI MULTIRADIO BTS RADIO MODULE AND REMOTE RADIO (FHEL)</v>
      </c>
      <c r="BO35" s="6" t="str">
        <f t="shared" si="20"/>
        <v/>
      </c>
      <c r="BP35" s="6" t="str">
        <f t="shared" si="21"/>
        <v/>
      </c>
      <c r="BQ35" s="6" t="str">
        <f t="shared" si="22"/>
        <v/>
      </c>
      <c r="BR35" s="6" t="str">
        <f t="shared" si="23"/>
        <v/>
      </c>
      <c r="BS35" s="6">
        <f t="shared" si="24"/>
        <v>3</v>
      </c>
      <c r="BT35" s="6">
        <f t="shared" si="25"/>
        <v>3</v>
      </c>
      <c r="BU35" s="6">
        <f t="shared" si="26"/>
        <v>0</v>
      </c>
      <c r="BV35" s="6">
        <f t="shared" si="27"/>
        <v>0</v>
      </c>
      <c r="BW35" s="6">
        <f t="shared" si="28"/>
        <v>0</v>
      </c>
      <c r="BX35" s="6">
        <f t="shared" si="29"/>
        <v>0</v>
      </c>
      <c r="BY35" s="6" t="str">
        <f t="shared" si="30"/>
        <v>2/2/2</v>
      </c>
      <c r="BZ35" s="6">
        <f t="shared" si="31"/>
        <v>2</v>
      </c>
      <c r="CA35" s="6">
        <f t="shared" si="32"/>
        <v>2</v>
      </c>
      <c r="CB35" s="6">
        <f t="shared" si="33"/>
        <v>2</v>
      </c>
      <c r="CC35" s="6">
        <f t="shared" si="34"/>
        <v>0</v>
      </c>
      <c r="CD35" s="6">
        <f t="shared" si="35"/>
        <v>0</v>
      </c>
      <c r="CE35" s="6">
        <f t="shared" si="36"/>
        <v>0</v>
      </c>
      <c r="CF35" s="6" t="str">
        <f t="shared" si="37"/>
        <v>1/1/1</v>
      </c>
      <c r="CG35" s="6">
        <f t="shared" si="38"/>
        <v>1</v>
      </c>
      <c r="CH35" s="6">
        <f t="shared" si="39"/>
        <v>1</v>
      </c>
      <c r="CI35" s="6">
        <f t="shared" si="40"/>
        <v>1</v>
      </c>
      <c r="CJ35" s="6">
        <f t="shared" si="41"/>
        <v>0</v>
      </c>
      <c r="CK35" s="6">
        <f t="shared" si="42"/>
        <v>0</v>
      </c>
      <c r="CL35" s="6">
        <f t="shared" si="43"/>
        <v>0</v>
      </c>
      <c r="CM35" s="6" t="str">
        <f t="shared" si="44"/>
        <v/>
      </c>
      <c r="CN35" s="6">
        <f t="shared" si="45"/>
        <v>0</v>
      </c>
      <c r="CO35" s="6">
        <f t="shared" si="46"/>
        <v>0</v>
      </c>
      <c r="CP35" s="6">
        <f t="shared" si="47"/>
        <v>0</v>
      </c>
      <c r="CQ35" s="6">
        <f t="shared" si="48"/>
        <v>0</v>
      </c>
      <c r="CR35" s="6">
        <f t="shared" si="49"/>
        <v>0</v>
      </c>
      <c r="CS35" s="6">
        <f t="shared" si="50"/>
        <v>0</v>
      </c>
      <c r="CT35" s="6" t="str">
        <f t="shared" si="51"/>
        <v/>
      </c>
      <c r="CU35" s="6">
        <f t="shared" si="52"/>
        <v>0</v>
      </c>
      <c r="CV35" s="6">
        <f t="shared" si="53"/>
        <v>0</v>
      </c>
      <c r="CW35" s="6">
        <f t="shared" si="54"/>
        <v>0</v>
      </c>
      <c r="CX35" s="6">
        <f t="shared" si="55"/>
        <v>0</v>
      </c>
      <c r="CY35" s="6">
        <f t="shared" si="56"/>
        <v>0</v>
      </c>
      <c r="CZ35" s="6">
        <f t="shared" si="57"/>
        <v>0</v>
      </c>
      <c r="DA35" s="6" t="str">
        <f t="shared" si="58"/>
        <v/>
      </c>
      <c r="DB35" s="6">
        <f t="shared" si="59"/>
        <v>0</v>
      </c>
      <c r="DC35" s="6">
        <f t="shared" si="60"/>
        <v>0</v>
      </c>
      <c r="DD35" s="6">
        <f t="shared" si="61"/>
        <v>0</v>
      </c>
      <c r="DE35" s="6">
        <f t="shared" si="62"/>
        <v>0</v>
      </c>
      <c r="DF35" s="6">
        <f t="shared" si="63"/>
        <v>0</v>
      </c>
      <c r="DG35" s="6">
        <f t="shared" si="64"/>
        <v>0</v>
      </c>
      <c r="DH35" s="6" t="str">
        <f t="shared" si="65"/>
        <v/>
      </c>
      <c r="DI35" s="6">
        <f t="shared" si="66"/>
        <v>0</v>
      </c>
      <c r="DJ35" s="6">
        <f t="shared" si="67"/>
        <v>0</v>
      </c>
      <c r="DK35" s="6">
        <f t="shared" si="68"/>
        <v>0</v>
      </c>
      <c r="DL35" s="6">
        <f t="shared" si="69"/>
        <v>0</v>
      </c>
      <c r="DM35" s="6">
        <f t="shared" si="70"/>
        <v>0</v>
      </c>
      <c r="DN35" s="6">
        <f t="shared" si="71"/>
        <v>0</v>
      </c>
      <c r="DO35" s="6" t="str">
        <f t="shared" si="72"/>
        <v>60/60/60</v>
      </c>
      <c r="DP35" s="6">
        <f t="shared" si="73"/>
        <v>60</v>
      </c>
      <c r="DQ35" s="6">
        <f t="shared" si="74"/>
        <v>60</v>
      </c>
      <c r="DR35" s="6">
        <f t="shared" si="75"/>
        <v>60</v>
      </c>
      <c r="DS35" s="6">
        <f t="shared" si="76"/>
        <v>0</v>
      </c>
      <c r="DT35" s="6">
        <f t="shared" si="77"/>
        <v>0</v>
      </c>
      <c r="DU35" s="6">
        <f t="shared" si="78"/>
        <v>0</v>
      </c>
      <c r="DV35" s="6" t="str">
        <f t="shared" si="79"/>
        <v>60W/ 60W/ 60W</v>
      </c>
      <c r="DW35" s="6">
        <f t="shared" si="80"/>
        <v>60</v>
      </c>
      <c r="DX35" s="6" t="str">
        <f t="shared" si="81"/>
        <v>60/60/60</v>
      </c>
      <c r="DY35" s="6">
        <f t="shared" si="82"/>
        <v>60</v>
      </c>
      <c r="DZ35" s="6">
        <f t="shared" si="83"/>
        <v>60</v>
      </c>
      <c r="EA35" s="6">
        <f t="shared" si="84"/>
        <v>60</v>
      </c>
      <c r="EB35" s="6">
        <f t="shared" si="85"/>
        <v>0</v>
      </c>
      <c r="EC35" s="6">
        <f t="shared" si="86"/>
        <v>0</v>
      </c>
      <c r="ED35" s="6">
        <f t="shared" si="87"/>
        <v>0</v>
      </c>
      <c r="EE35" s="6" t="str">
        <f t="shared" si="88"/>
        <v>60W/ 60W/ 60W</v>
      </c>
      <c r="EF35" s="6">
        <f t="shared" si="89"/>
        <v>60</v>
      </c>
      <c r="EG35" s="6" t="str">
        <f t="shared" si="90"/>
        <v/>
      </c>
      <c r="EH35" s="6">
        <f t="shared" si="91"/>
        <v>0</v>
      </c>
      <c r="EI35" s="6">
        <f t="shared" si="92"/>
        <v>0</v>
      </c>
      <c r="EJ35" s="6">
        <f t="shared" si="93"/>
        <v>0</v>
      </c>
      <c r="EK35" s="6">
        <f t="shared" si="94"/>
        <v>0</v>
      </c>
      <c r="EL35" s="6">
        <f t="shared" si="95"/>
        <v>0</v>
      </c>
      <c r="EM35" s="6">
        <f t="shared" si="96"/>
        <v>0</v>
      </c>
      <c r="EN35" s="6" t="str">
        <f t="shared" si="97"/>
        <v/>
      </c>
      <c r="EO35" s="6">
        <f t="shared" si="98"/>
        <v>0</v>
      </c>
      <c r="EP35" s="6" t="str">
        <f t="shared" si="99"/>
        <v/>
      </c>
      <c r="EQ35" s="6">
        <f t="shared" si="100"/>
        <v>0</v>
      </c>
      <c r="ER35" s="6">
        <f t="shared" si="101"/>
        <v>0</v>
      </c>
      <c r="ES35" s="6">
        <f t="shared" si="102"/>
        <v>0</v>
      </c>
      <c r="ET35" s="6">
        <f t="shared" si="103"/>
        <v>0</v>
      </c>
      <c r="EU35" s="6">
        <f t="shared" si="104"/>
        <v>0</v>
      </c>
      <c r="EV35" s="6">
        <f t="shared" si="105"/>
        <v>0</v>
      </c>
      <c r="EW35" s="6" t="str">
        <f t="shared" si="106"/>
        <v/>
      </c>
      <c r="EX35" s="6">
        <f t="shared" si="107"/>
        <v>0</v>
      </c>
      <c r="EY35" s="6" t="str">
        <f t="shared" si="108"/>
        <v/>
      </c>
      <c r="EZ35" s="6">
        <f t="shared" si="109"/>
        <v>0</v>
      </c>
      <c r="FA35" s="6">
        <f t="shared" si="110"/>
        <v>0</v>
      </c>
      <c r="FB35" s="6">
        <f t="shared" si="111"/>
        <v>0</v>
      </c>
      <c r="FC35" s="6">
        <f t="shared" si="112"/>
        <v>0</v>
      </c>
      <c r="FD35" s="6">
        <f t="shared" si="113"/>
        <v>0</v>
      </c>
      <c r="FE35" s="6">
        <f t="shared" si="114"/>
        <v>0</v>
      </c>
      <c r="FF35" s="6" t="str">
        <f t="shared" si="115"/>
        <v/>
      </c>
      <c r="FG35" s="6">
        <f t="shared" si="116"/>
        <v>0</v>
      </c>
      <c r="FH35" s="6" t="str">
        <f t="shared" si="117"/>
        <v/>
      </c>
      <c r="FI35" s="6">
        <f t="shared" si="118"/>
        <v>0</v>
      </c>
      <c r="FJ35" s="6">
        <f t="shared" si="119"/>
        <v>0</v>
      </c>
      <c r="FK35" s="6">
        <f t="shared" si="120"/>
        <v>0</v>
      </c>
      <c r="FL35" s="6">
        <f t="shared" si="121"/>
        <v>0</v>
      </c>
      <c r="FM35" s="6">
        <f t="shared" si="122"/>
        <v>0</v>
      </c>
      <c r="FN35" s="6">
        <f t="shared" si="123"/>
        <v>0</v>
      </c>
      <c r="FO35" s="6" t="str">
        <f t="shared" si="124"/>
        <v/>
      </c>
      <c r="FP35" s="6">
        <f t="shared" si="125"/>
        <v>0</v>
      </c>
      <c r="FQ35" s="6">
        <f t="shared" si="126"/>
        <v>60</v>
      </c>
      <c r="FR35" s="6" t="str">
        <f t="shared" si="127"/>
        <v>2100</v>
      </c>
      <c r="FS35" s="6" t="str">
        <f t="shared" si="128"/>
        <v>1800</v>
      </c>
      <c r="FT35" s="6" t="str">
        <f t="shared" si="129"/>
        <v/>
      </c>
      <c r="FU35" s="6" t="str">
        <f t="shared" si="130"/>
        <v/>
      </c>
      <c r="FV35" s="6" t="str">
        <f t="shared" si="131"/>
        <v/>
      </c>
      <c r="FW35" s="6" t="str">
        <f t="shared" si="132"/>
        <v/>
      </c>
      <c r="FX35" s="6" t="str">
        <f t="shared" si="133"/>
        <v>16,5/16,5/16,5</v>
      </c>
      <c r="FY35" s="6">
        <f t="shared" si="134"/>
        <v>16.5</v>
      </c>
      <c r="FZ35" s="6">
        <f t="shared" si="135"/>
        <v>16.5</v>
      </c>
      <c r="GA35" s="6">
        <f t="shared" si="136"/>
        <v>16.5</v>
      </c>
      <c r="GB35" s="6">
        <f t="shared" si="137"/>
        <v>0</v>
      </c>
      <c r="GC35" s="6">
        <f t="shared" si="138"/>
        <v>0</v>
      </c>
      <c r="GD35" s="6">
        <f t="shared" si="139"/>
        <v>0</v>
      </c>
      <c r="GE35" s="6" t="str">
        <f t="shared" si="140"/>
        <v>16,5m/ 16,5m/ 16,5m</v>
      </c>
      <c r="GF35" s="6" t="str">
        <f t="shared" si="141"/>
        <v>16,5/16,5/16,5</v>
      </c>
      <c r="GG35" s="6">
        <f t="shared" si="142"/>
        <v>16.5</v>
      </c>
      <c r="GH35" s="6">
        <f t="shared" si="143"/>
        <v>16.5</v>
      </c>
      <c r="GI35" s="6">
        <f t="shared" si="144"/>
        <v>16.5</v>
      </c>
      <c r="GJ35" s="6">
        <f t="shared" si="145"/>
        <v>0</v>
      </c>
      <c r="GK35" s="6">
        <f t="shared" si="146"/>
        <v>0</v>
      </c>
      <c r="GL35" s="6">
        <f t="shared" si="147"/>
        <v>0</v>
      </c>
      <c r="GM35" s="6" t="str">
        <f t="shared" si="148"/>
        <v>16,5m/ 16,5m/ 16,5m</v>
      </c>
      <c r="GN35" s="6" t="str">
        <f t="shared" si="149"/>
        <v/>
      </c>
      <c r="GO35" s="6">
        <f t="shared" si="150"/>
        <v>0</v>
      </c>
      <c r="GP35" s="6">
        <f t="shared" si="151"/>
        <v>0</v>
      </c>
      <c r="GQ35" s="6">
        <f t="shared" si="152"/>
        <v>0</v>
      </c>
      <c r="GR35" s="6">
        <f t="shared" si="153"/>
        <v>0</v>
      </c>
      <c r="GS35" s="6">
        <f t="shared" si="154"/>
        <v>0</v>
      </c>
      <c r="GT35" s="6">
        <f t="shared" si="155"/>
        <v>0</v>
      </c>
      <c r="GU35" s="6" t="str">
        <f t="shared" si="156"/>
        <v/>
      </c>
      <c r="GV35" s="6" t="str">
        <f t="shared" si="157"/>
        <v/>
      </c>
      <c r="GW35" s="6">
        <f t="shared" si="158"/>
        <v>0</v>
      </c>
      <c r="GX35" s="6">
        <f t="shared" si="159"/>
        <v>0</v>
      </c>
      <c r="GY35" s="6">
        <f t="shared" si="160"/>
        <v>0</v>
      </c>
      <c r="GZ35" s="6">
        <f t="shared" si="161"/>
        <v>0</v>
      </c>
      <c r="HA35" s="6">
        <f t="shared" si="162"/>
        <v>0</v>
      </c>
      <c r="HB35" s="6">
        <f t="shared" si="163"/>
        <v>0</v>
      </c>
      <c r="HC35" s="6" t="str">
        <f t="shared" si="164"/>
        <v/>
      </c>
      <c r="HD35" s="6" t="str">
        <f t="shared" si="165"/>
        <v/>
      </c>
      <c r="HE35" s="6">
        <f t="shared" si="166"/>
        <v>0</v>
      </c>
      <c r="HF35" s="6">
        <f t="shared" si="167"/>
        <v>0</v>
      </c>
      <c r="HG35" s="6">
        <f t="shared" si="168"/>
        <v>0</v>
      </c>
      <c r="HH35" s="6">
        <f t="shared" si="169"/>
        <v>0</v>
      </c>
      <c r="HI35" s="6">
        <f t="shared" si="170"/>
        <v>0</v>
      </c>
      <c r="HJ35" s="6">
        <f t="shared" si="171"/>
        <v>0</v>
      </c>
      <c r="HK35" s="6" t="str">
        <f t="shared" si="172"/>
        <v/>
      </c>
      <c r="HL35" s="6" t="str">
        <f t="shared" si="173"/>
        <v/>
      </c>
      <c r="HM35" s="6">
        <f t="shared" si="174"/>
        <v>0</v>
      </c>
      <c r="HN35" s="6">
        <f t="shared" si="175"/>
        <v>0</v>
      </c>
      <c r="HO35" s="6">
        <f t="shared" si="176"/>
        <v>0</v>
      </c>
      <c r="HP35" s="6">
        <f t="shared" si="177"/>
        <v>0</v>
      </c>
      <c r="HQ35" s="6">
        <f t="shared" si="178"/>
        <v>0</v>
      </c>
      <c r="HR35" s="6">
        <f t="shared" si="179"/>
        <v>0</v>
      </c>
      <c r="HS35" s="6" t="str">
        <f t="shared" si="180"/>
        <v/>
      </c>
      <c r="HT35" s="6" t="str">
        <f>INDEX(LabNameList,MATCH(V35,LabIDList,0))</f>
        <v>Trung tâm Kiểm định và Chứng nhận 1</v>
      </c>
      <c r="HU35" s="6">
        <f t="shared" si="181"/>
        <v>16.5</v>
      </c>
      <c r="HV35" s="6">
        <f t="shared" si="182"/>
        <v>16.5</v>
      </c>
      <c r="HW35" s="6">
        <f t="shared" si="183"/>
        <v>0</v>
      </c>
      <c r="HX35" s="6">
        <f t="shared" si="184"/>
        <v>0</v>
      </c>
      <c r="HY35" s="6">
        <f t="shared" si="185"/>
        <v>0</v>
      </c>
      <c r="HZ35" s="6">
        <f t="shared" si="186"/>
        <v>0</v>
      </c>
      <c r="IA35" s="5">
        <f t="shared" si="187"/>
        <v>16.5</v>
      </c>
      <c r="IB35" s="5">
        <f t="shared" si="188"/>
        <v>4.5</v>
      </c>
      <c r="IC35" s="132" t="str">
        <f t="shared" si="189"/>
        <v>A</v>
      </c>
      <c r="ID35" s="132" t="str">
        <f t="shared" si="190"/>
        <v>04015</v>
      </c>
      <c r="IE35" s="132" t="str">
        <f t="shared" si="191"/>
        <v>181019</v>
      </c>
      <c r="IF35" s="132" t="str">
        <f t="shared" si="192"/>
        <v>TG05</v>
      </c>
      <c r="IG35" s="171">
        <f t="shared" si="193"/>
        <v>43756</v>
      </c>
      <c r="IH35" s="171">
        <f t="shared" si="194"/>
        <v>45583</v>
      </c>
      <c r="II35" s="6">
        <v>37</v>
      </c>
    </row>
    <row r="36" spans="1:243" ht="165.75">
      <c r="A36" s="5">
        <f>Input!A36</f>
        <v>34</v>
      </c>
      <c r="B36" s="132" t="str">
        <f>Profile!$A$3</f>
        <v>VINAPHONE</v>
      </c>
      <c r="C36" s="132" t="str">
        <f>Profile!$F$3</f>
        <v>VINAPHONE</v>
      </c>
      <c r="D36" s="5" t="str">
        <f>Input!B36</f>
        <v>TONG-DAI-KCN-BAC-THANG-LONG-DAH_HNI</v>
      </c>
      <c r="E36" s="107" t="str">
        <f>Input!C36</f>
        <v>Tổng đài khu công nghiệp Bắc Thăng Long, xã Võng La, huyện Đông Anh, thành phố Hà Nội</v>
      </c>
      <c r="F36" s="5" t="str">
        <f>Input!D36</f>
        <v>Hà Nội</v>
      </c>
      <c r="G36" s="5">
        <f>Input!E36</f>
        <v>105.776841</v>
      </c>
      <c r="H36" s="5">
        <f>Input!F36</f>
        <v>21.110002000000001</v>
      </c>
      <c r="I36" s="5">
        <f>Input!G36</f>
        <v>1</v>
      </c>
      <c r="J36" s="5">
        <f>Input!H36</f>
        <v>2</v>
      </c>
      <c r="K36" s="5" t="str">
        <f t="shared" si="0"/>
        <v>TỔNG CÔNG TY HẠ TẦNG MẠNG;TỔNG CÔNG TY HẠ TẦNG MẠNG</v>
      </c>
      <c r="L36" s="5" t="str">
        <f>Input!J36</f>
        <v>TONG-DAI-KCN-BAC-THANG-LONG-DAH_HNI;TONG-DAI-KCN-BAC-THANG-LONG-DAH_HNI</v>
      </c>
      <c r="M36" s="5" t="str">
        <f>Input!K36</f>
        <v>NOKIA FLEXI MULTIRADIO BTS RADIO MODULE AND REMOTE RADIO (FRGY);NOKIA FLEXI MULTIRADIO BTS RADIO MODULE AND REMOTE RADIO (FHEL)</v>
      </c>
      <c r="N36" s="5" t="str">
        <f>Input!L36</f>
        <v>3;3</v>
      </c>
      <c r="O36" s="5" t="str">
        <f>Input!M36</f>
        <v>2/2/2;1/1/1</v>
      </c>
      <c r="P36" s="5" t="str">
        <f>Input!N36</f>
        <v>60/60/60;60/60/60</v>
      </c>
      <c r="Q36" s="5" t="str">
        <f>Input!O36</f>
        <v>2100;1800</v>
      </c>
      <c r="R36" s="5" t="str">
        <f>Input!P36</f>
        <v>25/25/25;25/25/25</v>
      </c>
      <c r="S36" s="152" t="b">
        <f>Input!Q36</f>
        <v>1</v>
      </c>
      <c r="T36" s="5" t="str">
        <f>Input!R36</f>
        <v>A04016181019TG05</v>
      </c>
      <c r="U36" s="5">
        <f>Input!S36</f>
        <v>0</v>
      </c>
      <c r="V36" s="5" t="str">
        <f>Input!T36</f>
        <v>VCC1</v>
      </c>
      <c r="W36" s="5" t="str">
        <f>Input!U36</f>
        <v>1902960/19/TG/TT1</v>
      </c>
      <c r="X36" s="7" t="str">
        <f>TEXT(Input!V36,"dd/mm/yyyy")</f>
        <v>18/10/2019</v>
      </c>
      <c r="Y36" s="5" t="b">
        <f>Input!W36</f>
        <v>0</v>
      </c>
      <c r="Z36" s="152" t="b">
        <f>Input!X36</f>
        <v>0</v>
      </c>
      <c r="AA36" s="5">
        <f t="shared" si="1"/>
        <v>25</v>
      </c>
      <c r="AB36" s="152" t="b">
        <f>Input!Y36</f>
        <v>1</v>
      </c>
      <c r="AC36" s="5">
        <f>VALUE(Input!Z36)</f>
        <v>12</v>
      </c>
      <c r="AD36" s="5" t="b">
        <f>Input!AA36</f>
        <v>0</v>
      </c>
      <c r="AE36" s="5" t="str">
        <f>Input!AB36</f>
        <v>Vũ Văn Giáp</v>
      </c>
      <c r="AF36" s="5" t="str">
        <f>Input!AC36</f>
        <v>Lê Tiến Cường</v>
      </c>
      <c r="AG36" s="132" t="str">
        <f>Options!$J$25</f>
        <v>TRUNG TÂM KIỂM ĐỊNH VÀ CHỨNG NHẬN 1</v>
      </c>
      <c r="AH36" s="132" t="str">
        <f>Options!$J$26</f>
        <v>TP. Hà Nội</v>
      </c>
      <c r="AI36" s="132" t="str">
        <f>Options!$J$29</f>
        <v>GIÁM ĐỐC</v>
      </c>
      <c r="AJ36" s="132" t="str">
        <f>Options!$J$30</f>
        <v/>
      </c>
      <c r="AK36" s="132" t="str">
        <f>Options!$J$31</f>
        <v>Bùi Ngọc Dũng</v>
      </c>
      <c r="AL36" s="6"/>
      <c r="AM36" s="6" t="str">
        <f>INDEX(ApplicantNameList,MATCH(B36,ApplicantIDList,0))</f>
        <v>Tổng Công ty Hạ tầng mạng</v>
      </c>
      <c r="AN36" s="6" t="str">
        <f>INDEX(OperatorNameList,MATCH(C36,OperatorIDList,0))</f>
        <v>TỔNG CÔNG TY HẠ TẦNG MẠNG</v>
      </c>
      <c r="AO36" s="5">
        <f t="shared" si="2"/>
        <v>3</v>
      </c>
      <c r="AP36" s="85" t="str">
        <f t="shared" si="3"/>
        <v>thành phố Hà Nội</v>
      </c>
      <c r="AQ36" s="233" t="str">
        <f t="shared" si="4"/>
        <v>huyện Đông Anh</v>
      </c>
      <c r="AR36" s="233" t="str">
        <f t="shared" si="5"/>
        <v>xã Võng La</v>
      </c>
      <c r="AS36" s="234" t="str">
        <f>INDEX(CityIDList,MATCH(F36,CityNameList,0))</f>
        <v>HNI</v>
      </c>
      <c r="AT36" s="6" t="str">
        <f>IF(J36&gt;=1,INDEX(OperatorNameList,MATCH(AZ36,OperatorIDList,0)),"")</f>
        <v>TỔNG CÔNG TY HẠ TẦNG MẠNG</v>
      </c>
      <c r="AU36" s="6" t="str">
        <f>IF(J36&gt;=2,INDEX(OperatorNameList,MATCH(BA36,OperatorIDList,0)),"")</f>
        <v>TỔNG CÔNG TY HẠ TẦNG MẠNG</v>
      </c>
      <c r="AV36" s="6" t="str">
        <f>IF(J36&gt;=3,INDEX(OperatorNameList,MATCH(BB36,OperatorIDList,0)),"")</f>
        <v/>
      </c>
      <c r="AW36" s="6" t="str">
        <f>IF(J36&gt;=4,INDEX(OperatorNameList,MATCH(BC36,OperatorIDList,0)),"")</f>
        <v/>
      </c>
      <c r="AX36" s="6" t="str">
        <f>IF(J36&gt;=5,INDEX(OperatorNameList,MATCH(BD36,OperatorIDList,0)),"")</f>
        <v/>
      </c>
      <c r="AY36" s="6" t="str">
        <f>IF(J36&gt;=6,INDEX(OperatorNameList,MATCH(BE36,OperatorIDList,0)),"")</f>
        <v/>
      </c>
      <c r="AZ36" s="6" t="str">
        <f t="shared" si="6"/>
        <v>VINAPHONE</v>
      </c>
      <c r="BA36" s="6" t="str">
        <f t="shared" si="7"/>
        <v>VINAPHONE</v>
      </c>
      <c r="BB36" s="6" t="str">
        <f t="shared" si="8"/>
        <v/>
      </c>
      <c r="BC36" s="6" t="str">
        <f t="shared" si="9"/>
        <v/>
      </c>
      <c r="BD36" s="6" t="str">
        <f t="shared" si="10"/>
        <v/>
      </c>
      <c r="BE36" s="6" t="str">
        <f t="shared" si="11"/>
        <v/>
      </c>
      <c r="BF36" s="6" t="str">
        <f>Input!I36</f>
        <v>VINAPHONE;VINAPHONE</v>
      </c>
      <c r="BG36" s="6" t="str">
        <f t="shared" si="12"/>
        <v>TONG-DAI-KCN-BAC-THANG-LONG-DAH_HNI</v>
      </c>
      <c r="BH36" s="6" t="str">
        <f t="shared" si="13"/>
        <v>TONG-DAI-KCN-BAC-THANG-LONG-DAH_HNI</v>
      </c>
      <c r="BI36" s="6" t="str">
        <f t="shared" si="14"/>
        <v/>
      </c>
      <c r="BJ36" s="6" t="str">
        <f t="shared" si="15"/>
        <v/>
      </c>
      <c r="BK36" s="6" t="str">
        <f t="shared" si="16"/>
        <v/>
      </c>
      <c r="BL36" s="6" t="str">
        <f t="shared" si="17"/>
        <v/>
      </c>
      <c r="BM36" s="6" t="str">
        <f t="shared" si="18"/>
        <v>NOKIA FLEXI MULTIRADIO BTS RADIO MODULE AND REMOTE RADIO (FRGY)</v>
      </c>
      <c r="BN36" s="6" t="str">
        <f t="shared" si="19"/>
        <v>NOKIA FLEXI MULTIRADIO BTS RADIO MODULE AND REMOTE RADIO (FHEL)</v>
      </c>
      <c r="BO36" s="6" t="str">
        <f t="shared" si="20"/>
        <v/>
      </c>
      <c r="BP36" s="6" t="str">
        <f t="shared" si="21"/>
        <v/>
      </c>
      <c r="BQ36" s="6" t="str">
        <f t="shared" si="22"/>
        <v/>
      </c>
      <c r="BR36" s="6" t="str">
        <f t="shared" si="23"/>
        <v/>
      </c>
      <c r="BS36" s="6">
        <f t="shared" si="24"/>
        <v>3</v>
      </c>
      <c r="BT36" s="6">
        <f t="shared" si="25"/>
        <v>3</v>
      </c>
      <c r="BU36" s="6">
        <f t="shared" si="26"/>
        <v>0</v>
      </c>
      <c r="BV36" s="6">
        <f t="shared" si="27"/>
        <v>0</v>
      </c>
      <c r="BW36" s="6">
        <f t="shared" si="28"/>
        <v>0</v>
      </c>
      <c r="BX36" s="6">
        <f t="shared" si="29"/>
        <v>0</v>
      </c>
      <c r="BY36" s="6" t="str">
        <f t="shared" si="30"/>
        <v>2/2/2</v>
      </c>
      <c r="BZ36" s="6">
        <f t="shared" si="31"/>
        <v>2</v>
      </c>
      <c r="CA36" s="6">
        <f t="shared" si="32"/>
        <v>2</v>
      </c>
      <c r="CB36" s="6">
        <f t="shared" si="33"/>
        <v>2</v>
      </c>
      <c r="CC36" s="6">
        <f t="shared" si="34"/>
        <v>0</v>
      </c>
      <c r="CD36" s="6">
        <f t="shared" si="35"/>
        <v>0</v>
      </c>
      <c r="CE36" s="6">
        <f t="shared" si="36"/>
        <v>0</v>
      </c>
      <c r="CF36" s="6" t="str">
        <f t="shared" si="37"/>
        <v>1/1/1</v>
      </c>
      <c r="CG36" s="6">
        <f t="shared" si="38"/>
        <v>1</v>
      </c>
      <c r="CH36" s="6">
        <f t="shared" si="39"/>
        <v>1</v>
      </c>
      <c r="CI36" s="6">
        <f t="shared" si="40"/>
        <v>1</v>
      </c>
      <c r="CJ36" s="6">
        <f t="shared" si="41"/>
        <v>0</v>
      </c>
      <c r="CK36" s="6">
        <f t="shared" si="42"/>
        <v>0</v>
      </c>
      <c r="CL36" s="6">
        <f t="shared" si="43"/>
        <v>0</v>
      </c>
      <c r="CM36" s="6" t="str">
        <f t="shared" si="44"/>
        <v/>
      </c>
      <c r="CN36" s="6">
        <f t="shared" si="45"/>
        <v>0</v>
      </c>
      <c r="CO36" s="6">
        <f t="shared" si="46"/>
        <v>0</v>
      </c>
      <c r="CP36" s="6">
        <f t="shared" si="47"/>
        <v>0</v>
      </c>
      <c r="CQ36" s="6">
        <f t="shared" si="48"/>
        <v>0</v>
      </c>
      <c r="CR36" s="6">
        <f t="shared" si="49"/>
        <v>0</v>
      </c>
      <c r="CS36" s="6">
        <f t="shared" si="50"/>
        <v>0</v>
      </c>
      <c r="CT36" s="6" t="str">
        <f t="shared" si="51"/>
        <v/>
      </c>
      <c r="CU36" s="6">
        <f t="shared" si="52"/>
        <v>0</v>
      </c>
      <c r="CV36" s="6">
        <f t="shared" si="53"/>
        <v>0</v>
      </c>
      <c r="CW36" s="6">
        <f t="shared" si="54"/>
        <v>0</v>
      </c>
      <c r="CX36" s="6">
        <f t="shared" si="55"/>
        <v>0</v>
      </c>
      <c r="CY36" s="6">
        <f t="shared" si="56"/>
        <v>0</v>
      </c>
      <c r="CZ36" s="6">
        <f t="shared" si="57"/>
        <v>0</v>
      </c>
      <c r="DA36" s="6" t="str">
        <f t="shared" si="58"/>
        <v/>
      </c>
      <c r="DB36" s="6">
        <f t="shared" si="59"/>
        <v>0</v>
      </c>
      <c r="DC36" s="6">
        <f t="shared" si="60"/>
        <v>0</v>
      </c>
      <c r="DD36" s="6">
        <f t="shared" si="61"/>
        <v>0</v>
      </c>
      <c r="DE36" s="6">
        <f t="shared" si="62"/>
        <v>0</v>
      </c>
      <c r="DF36" s="6">
        <f t="shared" si="63"/>
        <v>0</v>
      </c>
      <c r="DG36" s="6">
        <f t="shared" si="64"/>
        <v>0</v>
      </c>
      <c r="DH36" s="6" t="str">
        <f t="shared" si="65"/>
        <v/>
      </c>
      <c r="DI36" s="6">
        <f t="shared" si="66"/>
        <v>0</v>
      </c>
      <c r="DJ36" s="6">
        <f t="shared" si="67"/>
        <v>0</v>
      </c>
      <c r="DK36" s="6">
        <f t="shared" si="68"/>
        <v>0</v>
      </c>
      <c r="DL36" s="6">
        <f t="shared" si="69"/>
        <v>0</v>
      </c>
      <c r="DM36" s="6">
        <f t="shared" si="70"/>
        <v>0</v>
      </c>
      <c r="DN36" s="6">
        <f t="shared" si="71"/>
        <v>0</v>
      </c>
      <c r="DO36" s="6" t="str">
        <f t="shared" si="72"/>
        <v>60/60/60</v>
      </c>
      <c r="DP36" s="6">
        <f t="shared" si="73"/>
        <v>60</v>
      </c>
      <c r="DQ36" s="6">
        <f t="shared" si="74"/>
        <v>60</v>
      </c>
      <c r="DR36" s="6">
        <f t="shared" si="75"/>
        <v>60</v>
      </c>
      <c r="DS36" s="6">
        <f t="shared" si="76"/>
        <v>0</v>
      </c>
      <c r="DT36" s="6">
        <f t="shared" si="77"/>
        <v>0</v>
      </c>
      <c r="DU36" s="6">
        <f t="shared" si="78"/>
        <v>0</v>
      </c>
      <c r="DV36" s="6" t="str">
        <f t="shared" si="79"/>
        <v>60W/ 60W/ 60W</v>
      </c>
      <c r="DW36" s="6">
        <f t="shared" si="80"/>
        <v>60</v>
      </c>
      <c r="DX36" s="6" t="str">
        <f t="shared" si="81"/>
        <v>60/60/60</v>
      </c>
      <c r="DY36" s="6">
        <f t="shared" si="82"/>
        <v>60</v>
      </c>
      <c r="DZ36" s="6">
        <f t="shared" si="83"/>
        <v>60</v>
      </c>
      <c r="EA36" s="6">
        <f t="shared" si="84"/>
        <v>60</v>
      </c>
      <c r="EB36" s="6">
        <f t="shared" si="85"/>
        <v>0</v>
      </c>
      <c r="EC36" s="6">
        <f t="shared" si="86"/>
        <v>0</v>
      </c>
      <c r="ED36" s="6">
        <f t="shared" si="87"/>
        <v>0</v>
      </c>
      <c r="EE36" s="6" t="str">
        <f t="shared" si="88"/>
        <v>60W/ 60W/ 60W</v>
      </c>
      <c r="EF36" s="6">
        <f t="shared" si="89"/>
        <v>60</v>
      </c>
      <c r="EG36" s="6" t="str">
        <f t="shared" si="90"/>
        <v/>
      </c>
      <c r="EH36" s="6">
        <f t="shared" si="91"/>
        <v>0</v>
      </c>
      <c r="EI36" s="6">
        <f t="shared" si="92"/>
        <v>0</v>
      </c>
      <c r="EJ36" s="6">
        <f t="shared" si="93"/>
        <v>0</v>
      </c>
      <c r="EK36" s="6">
        <f t="shared" si="94"/>
        <v>0</v>
      </c>
      <c r="EL36" s="6">
        <f t="shared" si="95"/>
        <v>0</v>
      </c>
      <c r="EM36" s="6">
        <f t="shared" si="96"/>
        <v>0</v>
      </c>
      <c r="EN36" s="6" t="str">
        <f t="shared" si="97"/>
        <v/>
      </c>
      <c r="EO36" s="6">
        <f t="shared" si="98"/>
        <v>0</v>
      </c>
      <c r="EP36" s="6" t="str">
        <f t="shared" si="99"/>
        <v/>
      </c>
      <c r="EQ36" s="6">
        <f t="shared" si="100"/>
        <v>0</v>
      </c>
      <c r="ER36" s="6">
        <f t="shared" si="101"/>
        <v>0</v>
      </c>
      <c r="ES36" s="6">
        <f t="shared" si="102"/>
        <v>0</v>
      </c>
      <c r="ET36" s="6">
        <f t="shared" si="103"/>
        <v>0</v>
      </c>
      <c r="EU36" s="6">
        <f t="shared" si="104"/>
        <v>0</v>
      </c>
      <c r="EV36" s="6">
        <f t="shared" si="105"/>
        <v>0</v>
      </c>
      <c r="EW36" s="6" t="str">
        <f t="shared" si="106"/>
        <v/>
      </c>
      <c r="EX36" s="6">
        <f t="shared" si="107"/>
        <v>0</v>
      </c>
      <c r="EY36" s="6" t="str">
        <f t="shared" si="108"/>
        <v/>
      </c>
      <c r="EZ36" s="6">
        <f t="shared" si="109"/>
        <v>0</v>
      </c>
      <c r="FA36" s="6">
        <f t="shared" si="110"/>
        <v>0</v>
      </c>
      <c r="FB36" s="6">
        <f t="shared" si="111"/>
        <v>0</v>
      </c>
      <c r="FC36" s="6">
        <f t="shared" si="112"/>
        <v>0</v>
      </c>
      <c r="FD36" s="6">
        <f t="shared" si="113"/>
        <v>0</v>
      </c>
      <c r="FE36" s="6">
        <f t="shared" si="114"/>
        <v>0</v>
      </c>
      <c r="FF36" s="6" t="str">
        <f t="shared" si="115"/>
        <v/>
      </c>
      <c r="FG36" s="6">
        <f t="shared" si="116"/>
        <v>0</v>
      </c>
      <c r="FH36" s="6" t="str">
        <f t="shared" si="117"/>
        <v/>
      </c>
      <c r="FI36" s="6">
        <f t="shared" si="118"/>
        <v>0</v>
      </c>
      <c r="FJ36" s="6">
        <f t="shared" si="119"/>
        <v>0</v>
      </c>
      <c r="FK36" s="6">
        <f t="shared" si="120"/>
        <v>0</v>
      </c>
      <c r="FL36" s="6">
        <f t="shared" si="121"/>
        <v>0</v>
      </c>
      <c r="FM36" s="6">
        <f t="shared" si="122"/>
        <v>0</v>
      </c>
      <c r="FN36" s="6">
        <f t="shared" si="123"/>
        <v>0</v>
      </c>
      <c r="FO36" s="6" t="str">
        <f t="shared" si="124"/>
        <v/>
      </c>
      <c r="FP36" s="6">
        <f t="shared" si="125"/>
        <v>0</v>
      </c>
      <c r="FQ36" s="6">
        <f t="shared" si="126"/>
        <v>60</v>
      </c>
      <c r="FR36" s="6" t="str">
        <f t="shared" si="127"/>
        <v>2100</v>
      </c>
      <c r="FS36" s="6" t="str">
        <f t="shared" si="128"/>
        <v>1800</v>
      </c>
      <c r="FT36" s="6" t="str">
        <f t="shared" si="129"/>
        <v/>
      </c>
      <c r="FU36" s="6" t="str">
        <f t="shared" si="130"/>
        <v/>
      </c>
      <c r="FV36" s="6" t="str">
        <f t="shared" si="131"/>
        <v/>
      </c>
      <c r="FW36" s="6" t="str">
        <f t="shared" si="132"/>
        <v/>
      </c>
      <c r="FX36" s="6" t="str">
        <f t="shared" si="133"/>
        <v>25/25/25</v>
      </c>
      <c r="FY36" s="6">
        <f t="shared" si="134"/>
        <v>25</v>
      </c>
      <c r="FZ36" s="6">
        <f t="shared" si="135"/>
        <v>25</v>
      </c>
      <c r="GA36" s="6">
        <f t="shared" si="136"/>
        <v>25</v>
      </c>
      <c r="GB36" s="6">
        <f t="shared" si="137"/>
        <v>0</v>
      </c>
      <c r="GC36" s="6">
        <f t="shared" si="138"/>
        <v>0</v>
      </c>
      <c r="GD36" s="6">
        <f t="shared" si="139"/>
        <v>0</v>
      </c>
      <c r="GE36" s="6" t="str">
        <f t="shared" si="140"/>
        <v>25m/ 25m/ 25m</v>
      </c>
      <c r="GF36" s="6" t="str">
        <f t="shared" si="141"/>
        <v>25/25/25</v>
      </c>
      <c r="GG36" s="6">
        <f t="shared" si="142"/>
        <v>25</v>
      </c>
      <c r="GH36" s="6">
        <f t="shared" si="143"/>
        <v>25</v>
      </c>
      <c r="GI36" s="6">
        <f t="shared" si="144"/>
        <v>25</v>
      </c>
      <c r="GJ36" s="6">
        <f t="shared" si="145"/>
        <v>0</v>
      </c>
      <c r="GK36" s="6">
        <f t="shared" si="146"/>
        <v>0</v>
      </c>
      <c r="GL36" s="6">
        <f t="shared" si="147"/>
        <v>0</v>
      </c>
      <c r="GM36" s="6" t="str">
        <f t="shared" si="148"/>
        <v>25m/ 25m/ 25m</v>
      </c>
      <c r="GN36" s="6" t="str">
        <f t="shared" si="149"/>
        <v/>
      </c>
      <c r="GO36" s="6">
        <f t="shared" si="150"/>
        <v>0</v>
      </c>
      <c r="GP36" s="6">
        <f t="shared" si="151"/>
        <v>0</v>
      </c>
      <c r="GQ36" s="6">
        <f t="shared" si="152"/>
        <v>0</v>
      </c>
      <c r="GR36" s="6">
        <f t="shared" si="153"/>
        <v>0</v>
      </c>
      <c r="GS36" s="6">
        <f t="shared" si="154"/>
        <v>0</v>
      </c>
      <c r="GT36" s="6">
        <f t="shared" si="155"/>
        <v>0</v>
      </c>
      <c r="GU36" s="6" t="str">
        <f t="shared" si="156"/>
        <v/>
      </c>
      <c r="GV36" s="6" t="str">
        <f t="shared" si="157"/>
        <v/>
      </c>
      <c r="GW36" s="6">
        <f t="shared" si="158"/>
        <v>0</v>
      </c>
      <c r="GX36" s="6">
        <f t="shared" si="159"/>
        <v>0</v>
      </c>
      <c r="GY36" s="6">
        <f t="shared" si="160"/>
        <v>0</v>
      </c>
      <c r="GZ36" s="6">
        <f t="shared" si="161"/>
        <v>0</v>
      </c>
      <c r="HA36" s="6">
        <f t="shared" si="162"/>
        <v>0</v>
      </c>
      <c r="HB36" s="6">
        <f t="shared" si="163"/>
        <v>0</v>
      </c>
      <c r="HC36" s="6" t="str">
        <f t="shared" si="164"/>
        <v/>
      </c>
      <c r="HD36" s="6" t="str">
        <f t="shared" si="165"/>
        <v/>
      </c>
      <c r="HE36" s="6">
        <f t="shared" si="166"/>
        <v>0</v>
      </c>
      <c r="HF36" s="6">
        <f t="shared" si="167"/>
        <v>0</v>
      </c>
      <c r="HG36" s="6">
        <f t="shared" si="168"/>
        <v>0</v>
      </c>
      <c r="HH36" s="6">
        <f t="shared" si="169"/>
        <v>0</v>
      </c>
      <c r="HI36" s="6">
        <f t="shared" si="170"/>
        <v>0</v>
      </c>
      <c r="HJ36" s="6">
        <f t="shared" si="171"/>
        <v>0</v>
      </c>
      <c r="HK36" s="6" t="str">
        <f t="shared" si="172"/>
        <v/>
      </c>
      <c r="HL36" s="6" t="str">
        <f t="shared" si="173"/>
        <v/>
      </c>
      <c r="HM36" s="6">
        <f t="shared" si="174"/>
        <v>0</v>
      </c>
      <c r="HN36" s="6">
        <f t="shared" si="175"/>
        <v>0</v>
      </c>
      <c r="HO36" s="6">
        <f t="shared" si="176"/>
        <v>0</v>
      </c>
      <c r="HP36" s="6">
        <f t="shared" si="177"/>
        <v>0</v>
      </c>
      <c r="HQ36" s="6">
        <f t="shared" si="178"/>
        <v>0</v>
      </c>
      <c r="HR36" s="6">
        <f t="shared" si="179"/>
        <v>0</v>
      </c>
      <c r="HS36" s="6" t="str">
        <f t="shared" si="180"/>
        <v/>
      </c>
      <c r="HT36" s="6" t="str">
        <f>INDEX(LabNameList,MATCH(V36,LabIDList,0))</f>
        <v>Trung tâm Kiểm định và Chứng nhận 1</v>
      </c>
      <c r="HU36" s="6">
        <f t="shared" si="181"/>
        <v>25</v>
      </c>
      <c r="HV36" s="6">
        <f t="shared" si="182"/>
        <v>25</v>
      </c>
      <c r="HW36" s="6">
        <f t="shared" si="183"/>
        <v>0</v>
      </c>
      <c r="HX36" s="6">
        <f t="shared" si="184"/>
        <v>0</v>
      </c>
      <c r="HY36" s="6">
        <f t="shared" si="185"/>
        <v>0</v>
      </c>
      <c r="HZ36" s="6">
        <f t="shared" si="186"/>
        <v>0</v>
      </c>
      <c r="IA36" s="5">
        <f t="shared" si="187"/>
        <v>25</v>
      </c>
      <c r="IB36" s="5">
        <f t="shared" si="188"/>
        <v>13</v>
      </c>
      <c r="IC36" s="132" t="str">
        <f t="shared" si="189"/>
        <v>A</v>
      </c>
      <c r="ID36" s="132" t="str">
        <f t="shared" si="190"/>
        <v>04016</v>
      </c>
      <c r="IE36" s="132" t="str">
        <f t="shared" si="191"/>
        <v>181019</v>
      </c>
      <c r="IF36" s="132" t="str">
        <f t="shared" si="192"/>
        <v>TG05</v>
      </c>
      <c r="IG36" s="171">
        <f t="shared" si="193"/>
        <v>43756</v>
      </c>
      <c r="IH36" s="171">
        <f t="shared" si="194"/>
        <v>45583</v>
      </c>
      <c r="II36" s="6">
        <v>37</v>
      </c>
    </row>
    <row r="37" spans="1:243" ht="165.75">
      <c r="A37" s="5">
        <f>Input!A37</f>
        <v>35</v>
      </c>
      <c r="B37" s="132" t="str">
        <f>Profile!$A$3</f>
        <v>VINAPHONE</v>
      </c>
      <c r="C37" s="132" t="str">
        <f>Profile!$F$3</f>
        <v>VINAPHONE</v>
      </c>
      <c r="D37" s="5" t="str">
        <f>Input!B37</f>
        <v>VONG-LA-SAP-MAI2-DAH_HNI</v>
      </c>
      <c r="E37" s="107" t="str">
        <f>Input!C37</f>
        <v>Thôn Sáp Mai, xã Võng La, huyện Đông Anh, thành phố Hà Nội</v>
      </c>
      <c r="F37" s="5" t="str">
        <f>Input!D37</f>
        <v>Hà Nội</v>
      </c>
      <c r="G37" s="5">
        <f>Input!E37</f>
        <v>105.755618</v>
      </c>
      <c r="H37" s="5">
        <f>Input!F37</f>
        <v>21.110651000000001</v>
      </c>
      <c r="I37" s="5">
        <f>Input!G37</f>
        <v>1</v>
      </c>
      <c r="J37" s="5">
        <f>Input!H37</f>
        <v>2</v>
      </c>
      <c r="K37" s="5" t="str">
        <f t="shared" si="0"/>
        <v>TỔNG CÔNG TY HẠ TẦNG MẠNG;TỔNG CÔNG TY HẠ TẦNG MẠNG</v>
      </c>
      <c r="L37" s="5" t="str">
        <f>Input!J37</f>
        <v>VONG-LA-SAP-MAI2-DAH_HNI;VONG-LA-SAP-MAI2-DAH_HNI</v>
      </c>
      <c r="M37" s="5" t="str">
        <f>Input!K37</f>
        <v>NOKIA FLEXI MULTIRADIO BTS RADIO MODULE AND REMOTE RADIO (FRGY);NOKIA FLEXI MULTIRADIO BTS RADIO MODULE AND REMOTE RADIO (FHEL)</v>
      </c>
      <c r="N37" s="5" t="str">
        <f>Input!L37</f>
        <v>3;3</v>
      </c>
      <c r="O37" s="5" t="str">
        <f>Input!M37</f>
        <v>2/2/2;1/1/1</v>
      </c>
      <c r="P37" s="5" t="str">
        <f>Input!N37</f>
        <v>60/60/60;60/60/60</v>
      </c>
      <c r="Q37" s="5" t="str">
        <f>Input!O37</f>
        <v>2100;1800</v>
      </c>
      <c r="R37" s="5" t="str">
        <f>Input!P37</f>
        <v>37/37/37;37/37/37</v>
      </c>
      <c r="S37" s="152" t="b">
        <f>Input!Q37</f>
        <v>1</v>
      </c>
      <c r="T37" s="5" t="str">
        <f>Input!R37</f>
        <v>A04017181019TG05</v>
      </c>
      <c r="U37" s="5">
        <f>Input!S37</f>
        <v>0</v>
      </c>
      <c r="V37" s="5" t="str">
        <f>Input!T37</f>
        <v>VCC1</v>
      </c>
      <c r="W37" s="5" t="str">
        <f>Input!U37</f>
        <v>1902961/19/TG/TT1</v>
      </c>
      <c r="X37" s="7" t="str">
        <f>TEXT(Input!V37,"dd/mm/yyyy")</f>
        <v>18/10/2019</v>
      </c>
      <c r="Y37" s="5" t="b">
        <f>Input!W37</f>
        <v>1</v>
      </c>
      <c r="Z37" s="152" t="b">
        <f>Input!X37</f>
        <v>1</v>
      </c>
      <c r="AA37" s="5">
        <f t="shared" si="1"/>
        <v>37</v>
      </c>
      <c r="AB37" s="152" t="b">
        <f>Input!Y37</f>
        <v>0</v>
      </c>
      <c r="AC37" s="5">
        <f>VALUE(Input!Z37)</f>
        <v>0</v>
      </c>
      <c r="AD37" s="5" t="b">
        <f>Input!AA37</f>
        <v>0</v>
      </c>
      <c r="AE37" s="5" t="str">
        <f>Input!AB37</f>
        <v>Vũ Văn Giáp</v>
      </c>
      <c r="AF37" s="5" t="str">
        <f>Input!AC37</f>
        <v>Lê Tiến Cường</v>
      </c>
      <c r="AG37" s="132" t="str">
        <f>Options!$J$25</f>
        <v>TRUNG TÂM KIỂM ĐỊNH VÀ CHỨNG NHẬN 1</v>
      </c>
      <c r="AH37" s="132" t="str">
        <f>Options!$J$26</f>
        <v>TP. Hà Nội</v>
      </c>
      <c r="AI37" s="132" t="str">
        <f>Options!$J$29</f>
        <v>GIÁM ĐỐC</v>
      </c>
      <c r="AJ37" s="132" t="str">
        <f>Options!$J$30</f>
        <v/>
      </c>
      <c r="AK37" s="132" t="str">
        <f>Options!$J$31</f>
        <v>Bùi Ngọc Dũng</v>
      </c>
      <c r="AL37" s="6"/>
      <c r="AM37" s="6" t="str">
        <f>INDEX(ApplicantNameList,MATCH(B37,ApplicantIDList,0))</f>
        <v>Tổng Công ty Hạ tầng mạng</v>
      </c>
      <c r="AN37" s="6" t="str">
        <f>INDEX(OperatorNameList,MATCH(C37,OperatorIDList,0))</f>
        <v>TỔNG CÔNG TY HẠ TẦNG MẠNG</v>
      </c>
      <c r="AO37" s="5">
        <f t="shared" si="2"/>
        <v>3</v>
      </c>
      <c r="AP37" s="85" t="str">
        <f t="shared" si="3"/>
        <v>thành phố Hà Nội</v>
      </c>
      <c r="AQ37" s="233" t="str">
        <f t="shared" si="4"/>
        <v>huyện Đông Anh</v>
      </c>
      <c r="AR37" s="233" t="str">
        <f t="shared" si="5"/>
        <v>xã Võng La</v>
      </c>
      <c r="AS37" s="234" t="str">
        <f>INDEX(CityIDList,MATCH(F37,CityNameList,0))</f>
        <v>HNI</v>
      </c>
      <c r="AT37" s="6" t="str">
        <f>IF(J37&gt;=1,INDEX(OperatorNameList,MATCH(AZ37,OperatorIDList,0)),"")</f>
        <v>TỔNG CÔNG TY HẠ TẦNG MẠNG</v>
      </c>
      <c r="AU37" s="6" t="str">
        <f>IF(J37&gt;=2,INDEX(OperatorNameList,MATCH(BA37,OperatorIDList,0)),"")</f>
        <v>TỔNG CÔNG TY HẠ TẦNG MẠNG</v>
      </c>
      <c r="AV37" s="6" t="str">
        <f>IF(J37&gt;=3,INDEX(OperatorNameList,MATCH(BB37,OperatorIDList,0)),"")</f>
        <v/>
      </c>
      <c r="AW37" s="6" t="str">
        <f>IF(J37&gt;=4,INDEX(OperatorNameList,MATCH(BC37,OperatorIDList,0)),"")</f>
        <v/>
      </c>
      <c r="AX37" s="6" t="str">
        <f>IF(J37&gt;=5,INDEX(OperatorNameList,MATCH(BD37,OperatorIDList,0)),"")</f>
        <v/>
      </c>
      <c r="AY37" s="6" t="str">
        <f>IF(J37&gt;=6,INDEX(OperatorNameList,MATCH(BE37,OperatorIDList,0)),"")</f>
        <v/>
      </c>
      <c r="AZ37" s="6" t="str">
        <f t="shared" si="6"/>
        <v>VINAPHONE</v>
      </c>
      <c r="BA37" s="6" t="str">
        <f t="shared" si="7"/>
        <v>VINAPHONE</v>
      </c>
      <c r="BB37" s="6" t="str">
        <f t="shared" si="8"/>
        <v/>
      </c>
      <c r="BC37" s="6" t="str">
        <f t="shared" si="9"/>
        <v/>
      </c>
      <c r="BD37" s="6" t="str">
        <f t="shared" si="10"/>
        <v/>
      </c>
      <c r="BE37" s="6" t="str">
        <f t="shared" si="11"/>
        <v/>
      </c>
      <c r="BF37" s="6" t="str">
        <f>Input!I37</f>
        <v>VINAPHONE;VINAPHONE</v>
      </c>
      <c r="BG37" s="6" t="str">
        <f t="shared" si="12"/>
        <v>VONG-LA-SAP-MAI2-DAH_HNI</v>
      </c>
      <c r="BH37" s="6" t="str">
        <f t="shared" si="13"/>
        <v>VONG-LA-SAP-MAI2-DAH_HNI</v>
      </c>
      <c r="BI37" s="6" t="str">
        <f t="shared" si="14"/>
        <v/>
      </c>
      <c r="BJ37" s="6" t="str">
        <f t="shared" si="15"/>
        <v/>
      </c>
      <c r="BK37" s="6" t="str">
        <f t="shared" si="16"/>
        <v/>
      </c>
      <c r="BL37" s="6" t="str">
        <f t="shared" si="17"/>
        <v/>
      </c>
      <c r="BM37" s="6" t="str">
        <f t="shared" si="18"/>
        <v>NOKIA FLEXI MULTIRADIO BTS RADIO MODULE AND REMOTE RADIO (FRGY)</v>
      </c>
      <c r="BN37" s="6" t="str">
        <f t="shared" si="19"/>
        <v>NOKIA FLEXI MULTIRADIO BTS RADIO MODULE AND REMOTE RADIO (FHEL)</v>
      </c>
      <c r="BO37" s="6" t="str">
        <f t="shared" si="20"/>
        <v/>
      </c>
      <c r="BP37" s="6" t="str">
        <f t="shared" si="21"/>
        <v/>
      </c>
      <c r="BQ37" s="6" t="str">
        <f t="shared" si="22"/>
        <v/>
      </c>
      <c r="BR37" s="6" t="str">
        <f t="shared" si="23"/>
        <v/>
      </c>
      <c r="BS37" s="6">
        <f t="shared" si="24"/>
        <v>3</v>
      </c>
      <c r="BT37" s="6">
        <f t="shared" si="25"/>
        <v>3</v>
      </c>
      <c r="BU37" s="6">
        <f t="shared" si="26"/>
        <v>0</v>
      </c>
      <c r="BV37" s="6">
        <f t="shared" si="27"/>
        <v>0</v>
      </c>
      <c r="BW37" s="6">
        <f t="shared" si="28"/>
        <v>0</v>
      </c>
      <c r="BX37" s="6">
        <f t="shared" si="29"/>
        <v>0</v>
      </c>
      <c r="BY37" s="6" t="str">
        <f t="shared" si="30"/>
        <v>2/2/2</v>
      </c>
      <c r="BZ37" s="6">
        <f t="shared" si="31"/>
        <v>2</v>
      </c>
      <c r="CA37" s="6">
        <f t="shared" si="32"/>
        <v>2</v>
      </c>
      <c r="CB37" s="6">
        <f t="shared" si="33"/>
        <v>2</v>
      </c>
      <c r="CC37" s="6">
        <f t="shared" si="34"/>
        <v>0</v>
      </c>
      <c r="CD37" s="6">
        <f t="shared" si="35"/>
        <v>0</v>
      </c>
      <c r="CE37" s="6">
        <f t="shared" si="36"/>
        <v>0</v>
      </c>
      <c r="CF37" s="6" t="str">
        <f t="shared" si="37"/>
        <v>1/1/1</v>
      </c>
      <c r="CG37" s="6">
        <f t="shared" si="38"/>
        <v>1</v>
      </c>
      <c r="CH37" s="6">
        <f t="shared" si="39"/>
        <v>1</v>
      </c>
      <c r="CI37" s="6">
        <f t="shared" si="40"/>
        <v>1</v>
      </c>
      <c r="CJ37" s="6">
        <f t="shared" si="41"/>
        <v>0</v>
      </c>
      <c r="CK37" s="6">
        <f t="shared" si="42"/>
        <v>0</v>
      </c>
      <c r="CL37" s="6">
        <f t="shared" si="43"/>
        <v>0</v>
      </c>
      <c r="CM37" s="6" t="str">
        <f t="shared" si="44"/>
        <v/>
      </c>
      <c r="CN37" s="6">
        <f t="shared" si="45"/>
        <v>0</v>
      </c>
      <c r="CO37" s="6">
        <f t="shared" si="46"/>
        <v>0</v>
      </c>
      <c r="CP37" s="6">
        <f t="shared" si="47"/>
        <v>0</v>
      </c>
      <c r="CQ37" s="6">
        <f t="shared" si="48"/>
        <v>0</v>
      </c>
      <c r="CR37" s="6">
        <f t="shared" si="49"/>
        <v>0</v>
      </c>
      <c r="CS37" s="6">
        <f t="shared" si="50"/>
        <v>0</v>
      </c>
      <c r="CT37" s="6" t="str">
        <f t="shared" si="51"/>
        <v/>
      </c>
      <c r="CU37" s="6">
        <f t="shared" si="52"/>
        <v>0</v>
      </c>
      <c r="CV37" s="6">
        <f t="shared" si="53"/>
        <v>0</v>
      </c>
      <c r="CW37" s="6">
        <f t="shared" si="54"/>
        <v>0</v>
      </c>
      <c r="CX37" s="6">
        <f t="shared" si="55"/>
        <v>0</v>
      </c>
      <c r="CY37" s="6">
        <f t="shared" si="56"/>
        <v>0</v>
      </c>
      <c r="CZ37" s="6">
        <f t="shared" si="57"/>
        <v>0</v>
      </c>
      <c r="DA37" s="6" t="str">
        <f t="shared" si="58"/>
        <v/>
      </c>
      <c r="DB37" s="6">
        <f t="shared" si="59"/>
        <v>0</v>
      </c>
      <c r="DC37" s="6">
        <f t="shared" si="60"/>
        <v>0</v>
      </c>
      <c r="DD37" s="6">
        <f t="shared" si="61"/>
        <v>0</v>
      </c>
      <c r="DE37" s="6">
        <f t="shared" si="62"/>
        <v>0</v>
      </c>
      <c r="DF37" s="6">
        <f t="shared" si="63"/>
        <v>0</v>
      </c>
      <c r="DG37" s="6">
        <f t="shared" si="64"/>
        <v>0</v>
      </c>
      <c r="DH37" s="6" t="str">
        <f t="shared" si="65"/>
        <v/>
      </c>
      <c r="DI37" s="6">
        <f t="shared" si="66"/>
        <v>0</v>
      </c>
      <c r="DJ37" s="6">
        <f t="shared" si="67"/>
        <v>0</v>
      </c>
      <c r="DK37" s="6">
        <f t="shared" si="68"/>
        <v>0</v>
      </c>
      <c r="DL37" s="6">
        <f t="shared" si="69"/>
        <v>0</v>
      </c>
      <c r="DM37" s="6">
        <f t="shared" si="70"/>
        <v>0</v>
      </c>
      <c r="DN37" s="6">
        <f t="shared" si="71"/>
        <v>0</v>
      </c>
      <c r="DO37" s="6" t="str">
        <f t="shared" si="72"/>
        <v>60/60/60</v>
      </c>
      <c r="DP37" s="6">
        <f t="shared" si="73"/>
        <v>60</v>
      </c>
      <c r="DQ37" s="6">
        <f t="shared" si="74"/>
        <v>60</v>
      </c>
      <c r="DR37" s="6">
        <f t="shared" si="75"/>
        <v>60</v>
      </c>
      <c r="DS37" s="6">
        <f t="shared" si="76"/>
        <v>0</v>
      </c>
      <c r="DT37" s="6">
        <f t="shared" si="77"/>
        <v>0</v>
      </c>
      <c r="DU37" s="6">
        <f t="shared" si="78"/>
        <v>0</v>
      </c>
      <c r="DV37" s="6" t="str">
        <f t="shared" si="79"/>
        <v>60W/ 60W/ 60W</v>
      </c>
      <c r="DW37" s="6">
        <f t="shared" si="80"/>
        <v>60</v>
      </c>
      <c r="DX37" s="6" t="str">
        <f t="shared" si="81"/>
        <v>60/60/60</v>
      </c>
      <c r="DY37" s="6">
        <f t="shared" si="82"/>
        <v>60</v>
      </c>
      <c r="DZ37" s="6">
        <f t="shared" si="83"/>
        <v>60</v>
      </c>
      <c r="EA37" s="6">
        <f t="shared" si="84"/>
        <v>60</v>
      </c>
      <c r="EB37" s="6">
        <f t="shared" si="85"/>
        <v>0</v>
      </c>
      <c r="EC37" s="6">
        <f t="shared" si="86"/>
        <v>0</v>
      </c>
      <c r="ED37" s="6">
        <f t="shared" si="87"/>
        <v>0</v>
      </c>
      <c r="EE37" s="6" t="str">
        <f t="shared" si="88"/>
        <v>60W/ 60W/ 60W</v>
      </c>
      <c r="EF37" s="6">
        <f t="shared" si="89"/>
        <v>60</v>
      </c>
      <c r="EG37" s="6" t="str">
        <f t="shared" si="90"/>
        <v/>
      </c>
      <c r="EH37" s="6">
        <f t="shared" si="91"/>
        <v>0</v>
      </c>
      <c r="EI37" s="6">
        <f t="shared" si="92"/>
        <v>0</v>
      </c>
      <c r="EJ37" s="6">
        <f t="shared" si="93"/>
        <v>0</v>
      </c>
      <c r="EK37" s="6">
        <f t="shared" si="94"/>
        <v>0</v>
      </c>
      <c r="EL37" s="6">
        <f t="shared" si="95"/>
        <v>0</v>
      </c>
      <c r="EM37" s="6">
        <f t="shared" si="96"/>
        <v>0</v>
      </c>
      <c r="EN37" s="6" t="str">
        <f t="shared" si="97"/>
        <v/>
      </c>
      <c r="EO37" s="6">
        <f t="shared" si="98"/>
        <v>0</v>
      </c>
      <c r="EP37" s="6" t="str">
        <f t="shared" si="99"/>
        <v/>
      </c>
      <c r="EQ37" s="6">
        <f t="shared" si="100"/>
        <v>0</v>
      </c>
      <c r="ER37" s="6">
        <f t="shared" si="101"/>
        <v>0</v>
      </c>
      <c r="ES37" s="6">
        <f t="shared" si="102"/>
        <v>0</v>
      </c>
      <c r="ET37" s="6">
        <f t="shared" si="103"/>
        <v>0</v>
      </c>
      <c r="EU37" s="6">
        <f t="shared" si="104"/>
        <v>0</v>
      </c>
      <c r="EV37" s="6">
        <f t="shared" si="105"/>
        <v>0</v>
      </c>
      <c r="EW37" s="6" t="str">
        <f t="shared" si="106"/>
        <v/>
      </c>
      <c r="EX37" s="6">
        <f t="shared" si="107"/>
        <v>0</v>
      </c>
      <c r="EY37" s="6" t="str">
        <f t="shared" si="108"/>
        <v/>
      </c>
      <c r="EZ37" s="6">
        <f t="shared" si="109"/>
        <v>0</v>
      </c>
      <c r="FA37" s="6">
        <f t="shared" si="110"/>
        <v>0</v>
      </c>
      <c r="FB37" s="6">
        <f t="shared" si="111"/>
        <v>0</v>
      </c>
      <c r="FC37" s="6">
        <f t="shared" si="112"/>
        <v>0</v>
      </c>
      <c r="FD37" s="6">
        <f t="shared" si="113"/>
        <v>0</v>
      </c>
      <c r="FE37" s="6">
        <f t="shared" si="114"/>
        <v>0</v>
      </c>
      <c r="FF37" s="6" t="str">
        <f t="shared" si="115"/>
        <v/>
      </c>
      <c r="FG37" s="6">
        <f t="shared" si="116"/>
        <v>0</v>
      </c>
      <c r="FH37" s="6" t="str">
        <f t="shared" si="117"/>
        <v/>
      </c>
      <c r="FI37" s="6">
        <f t="shared" si="118"/>
        <v>0</v>
      </c>
      <c r="FJ37" s="6">
        <f t="shared" si="119"/>
        <v>0</v>
      </c>
      <c r="FK37" s="6">
        <f t="shared" si="120"/>
        <v>0</v>
      </c>
      <c r="FL37" s="6">
        <f t="shared" si="121"/>
        <v>0</v>
      </c>
      <c r="FM37" s="6">
        <f t="shared" si="122"/>
        <v>0</v>
      </c>
      <c r="FN37" s="6">
        <f t="shared" si="123"/>
        <v>0</v>
      </c>
      <c r="FO37" s="6" t="str">
        <f t="shared" si="124"/>
        <v/>
      </c>
      <c r="FP37" s="6">
        <f t="shared" si="125"/>
        <v>0</v>
      </c>
      <c r="FQ37" s="6">
        <f t="shared" si="126"/>
        <v>60</v>
      </c>
      <c r="FR37" s="6" t="str">
        <f t="shared" si="127"/>
        <v>2100</v>
      </c>
      <c r="FS37" s="6" t="str">
        <f t="shared" si="128"/>
        <v>1800</v>
      </c>
      <c r="FT37" s="6" t="str">
        <f t="shared" si="129"/>
        <v/>
      </c>
      <c r="FU37" s="6" t="str">
        <f t="shared" si="130"/>
        <v/>
      </c>
      <c r="FV37" s="6" t="str">
        <f t="shared" si="131"/>
        <v/>
      </c>
      <c r="FW37" s="6" t="str">
        <f t="shared" si="132"/>
        <v/>
      </c>
      <c r="FX37" s="6" t="str">
        <f t="shared" si="133"/>
        <v>37/37/37</v>
      </c>
      <c r="FY37" s="6">
        <f t="shared" si="134"/>
        <v>37</v>
      </c>
      <c r="FZ37" s="6">
        <f t="shared" si="135"/>
        <v>37</v>
      </c>
      <c r="GA37" s="6">
        <f t="shared" si="136"/>
        <v>37</v>
      </c>
      <c r="GB37" s="6">
        <f t="shared" si="137"/>
        <v>0</v>
      </c>
      <c r="GC37" s="6">
        <f t="shared" si="138"/>
        <v>0</v>
      </c>
      <c r="GD37" s="6">
        <f t="shared" si="139"/>
        <v>0</v>
      </c>
      <c r="GE37" s="6" t="str">
        <f t="shared" si="140"/>
        <v>37m/ 37m/ 37m</v>
      </c>
      <c r="GF37" s="6" t="str">
        <f t="shared" si="141"/>
        <v>37/37/37</v>
      </c>
      <c r="GG37" s="6">
        <f t="shared" si="142"/>
        <v>37</v>
      </c>
      <c r="GH37" s="6">
        <f t="shared" si="143"/>
        <v>37</v>
      </c>
      <c r="GI37" s="6">
        <f t="shared" si="144"/>
        <v>37</v>
      </c>
      <c r="GJ37" s="6">
        <f t="shared" si="145"/>
        <v>0</v>
      </c>
      <c r="GK37" s="6">
        <f t="shared" si="146"/>
        <v>0</v>
      </c>
      <c r="GL37" s="6">
        <f t="shared" si="147"/>
        <v>0</v>
      </c>
      <c r="GM37" s="6" t="str">
        <f t="shared" si="148"/>
        <v>37m/ 37m/ 37m</v>
      </c>
      <c r="GN37" s="6" t="str">
        <f t="shared" si="149"/>
        <v/>
      </c>
      <c r="GO37" s="6">
        <f t="shared" si="150"/>
        <v>0</v>
      </c>
      <c r="GP37" s="6">
        <f t="shared" si="151"/>
        <v>0</v>
      </c>
      <c r="GQ37" s="6">
        <f t="shared" si="152"/>
        <v>0</v>
      </c>
      <c r="GR37" s="6">
        <f t="shared" si="153"/>
        <v>0</v>
      </c>
      <c r="GS37" s="6">
        <f t="shared" si="154"/>
        <v>0</v>
      </c>
      <c r="GT37" s="6">
        <f t="shared" si="155"/>
        <v>0</v>
      </c>
      <c r="GU37" s="6" t="str">
        <f t="shared" si="156"/>
        <v/>
      </c>
      <c r="GV37" s="6" t="str">
        <f t="shared" si="157"/>
        <v/>
      </c>
      <c r="GW37" s="6">
        <f t="shared" si="158"/>
        <v>0</v>
      </c>
      <c r="GX37" s="6">
        <f t="shared" si="159"/>
        <v>0</v>
      </c>
      <c r="GY37" s="6">
        <f t="shared" si="160"/>
        <v>0</v>
      </c>
      <c r="GZ37" s="6">
        <f t="shared" si="161"/>
        <v>0</v>
      </c>
      <c r="HA37" s="6">
        <f t="shared" si="162"/>
        <v>0</v>
      </c>
      <c r="HB37" s="6">
        <f t="shared" si="163"/>
        <v>0</v>
      </c>
      <c r="HC37" s="6" t="str">
        <f t="shared" si="164"/>
        <v/>
      </c>
      <c r="HD37" s="6" t="str">
        <f t="shared" si="165"/>
        <v/>
      </c>
      <c r="HE37" s="6">
        <f t="shared" si="166"/>
        <v>0</v>
      </c>
      <c r="HF37" s="6">
        <f t="shared" si="167"/>
        <v>0</v>
      </c>
      <c r="HG37" s="6">
        <f t="shared" si="168"/>
        <v>0</v>
      </c>
      <c r="HH37" s="6">
        <f t="shared" si="169"/>
        <v>0</v>
      </c>
      <c r="HI37" s="6">
        <f t="shared" si="170"/>
        <v>0</v>
      </c>
      <c r="HJ37" s="6">
        <f t="shared" si="171"/>
        <v>0</v>
      </c>
      <c r="HK37" s="6" t="str">
        <f t="shared" si="172"/>
        <v/>
      </c>
      <c r="HL37" s="6" t="str">
        <f t="shared" si="173"/>
        <v/>
      </c>
      <c r="HM37" s="6">
        <f t="shared" si="174"/>
        <v>0</v>
      </c>
      <c r="HN37" s="6">
        <f t="shared" si="175"/>
        <v>0</v>
      </c>
      <c r="HO37" s="6">
        <f t="shared" si="176"/>
        <v>0</v>
      </c>
      <c r="HP37" s="6">
        <f t="shared" si="177"/>
        <v>0</v>
      </c>
      <c r="HQ37" s="6">
        <f t="shared" si="178"/>
        <v>0</v>
      </c>
      <c r="HR37" s="6">
        <f t="shared" si="179"/>
        <v>0</v>
      </c>
      <c r="HS37" s="6" t="str">
        <f t="shared" si="180"/>
        <v/>
      </c>
      <c r="HT37" s="6" t="str">
        <f>INDEX(LabNameList,MATCH(V37,LabIDList,0))</f>
        <v>Trung tâm Kiểm định và Chứng nhận 1</v>
      </c>
      <c r="HU37" s="6">
        <f t="shared" si="181"/>
        <v>37</v>
      </c>
      <c r="HV37" s="6">
        <f t="shared" si="182"/>
        <v>37</v>
      </c>
      <c r="HW37" s="6">
        <f t="shared" si="183"/>
        <v>0</v>
      </c>
      <c r="HX37" s="6">
        <f t="shared" si="184"/>
        <v>0</v>
      </c>
      <c r="HY37" s="6">
        <f t="shared" si="185"/>
        <v>0</v>
      </c>
      <c r="HZ37" s="6">
        <f t="shared" si="186"/>
        <v>0</v>
      </c>
      <c r="IA37" s="5">
        <f t="shared" si="187"/>
        <v>37</v>
      </c>
      <c r="IB37" s="5">
        <f t="shared" si="188"/>
        <v>37</v>
      </c>
      <c r="IC37" s="132" t="str">
        <f t="shared" si="189"/>
        <v>A</v>
      </c>
      <c r="ID37" s="132" t="str">
        <f t="shared" si="190"/>
        <v>04017</v>
      </c>
      <c r="IE37" s="132" t="str">
        <f t="shared" si="191"/>
        <v>181019</v>
      </c>
      <c r="IF37" s="132" t="str">
        <f t="shared" si="192"/>
        <v>TG05</v>
      </c>
      <c r="IG37" s="171">
        <f t="shared" si="193"/>
        <v>43756</v>
      </c>
      <c r="IH37" s="171">
        <f t="shared" si="194"/>
        <v>45583</v>
      </c>
      <c r="II37" s="6">
        <v>37</v>
      </c>
    </row>
    <row r="38" spans="1:243" ht="165.75">
      <c r="A38" s="5">
        <f>Input!A38</f>
        <v>36</v>
      </c>
      <c r="B38" s="132" t="str">
        <f>Profile!$A$3</f>
        <v>VINAPHONE</v>
      </c>
      <c r="C38" s="132" t="str">
        <f>Profile!$F$3</f>
        <v>VINAPHONE</v>
      </c>
      <c r="D38" s="5" t="str">
        <f>Input!B38</f>
        <v>QUANG-MINH-TO5-MLH_HNI</v>
      </c>
      <c r="E38" s="107" t="str">
        <f>Input!C38</f>
        <v>Tổ 5, thị trấn Quang Minh, huyện Mê Linh, thành phố Hà Nội</v>
      </c>
      <c r="F38" s="5" t="str">
        <f>Input!D38</f>
        <v>Hà Nội</v>
      </c>
      <c r="G38" s="5">
        <f>Input!E38</f>
        <v>105.768676</v>
      </c>
      <c r="H38" s="5">
        <f>Input!F38</f>
        <v>21.195115999999999</v>
      </c>
      <c r="I38" s="5">
        <f>Input!G38</f>
        <v>1</v>
      </c>
      <c r="J38" s="5">
        <f>Input!H38</f>
        <v>2</v>
      </c>
      <c r="K38" s="5" t="str">
        <f t="shared" si="0"/>
        <v>TỔNG CÔNG TY HẠ TẦNG MẠNG;TỔNG CÔNG TY HẠ TẦNG MẠNG</v>
      </c>
      <c r="L38" s="5" t="str">
        <f>Input!J38</f>
        <v>QUANG-MINH-TO5-MLH_HNI;QUANG-MINH-TO5-MLH_HNI</v>
      </c>
      <c r="M38" s="5" t="str">
        <f>Input!K38</f>
        <v>NOKIA FLEXI MULTIRADIO BTS RADIO MODULE AND REMOTE RADIO (FRGY);NOKIA FLEXI MULTIRADIO BTS RADIO MODULE AND REMOTE RADIO (FHEL)</v>
      </c>
      <c r="N38" s="5" t="str">
        <f>Input!L38</f>
        <v>3;3</v>
      </c>
      <c r="O38" s="5" t="str">
        <f>Input!M38</f>
        <v>2/2/2;1/1/1</v>
      </c>
      <c r="P38" s="5" t="str">
        <f>Input!N38</f>
        <v>60/60/60;60/60/60</v>
      </c>
      <c r="Q38" s="5" t="str">
        <f>Input!O38</f>
        <v>2100;1800</v>
      </c>
      <c r="R38" s="5" t="str">
        <f>Input!P38</f>
        <v>26/26/26;26/26/26</v>
      </c>
      <c r="S38" s="152" t="b">
        <f>Input!Q38</f>
        <v>1</v>
      </c>
      <c r="T38" s="5" t="str">
        <f>Input!R38</f>
        <v>A04018181019TG05</v>
      </c>
      <c r="U38" s="5">
        <f>Input!S38</f>
        <v>0</v>
      </c>
      <c r="V38" s="5" t="str">
        <f>Input!T38</f>
        <v>VCC1</v>
      </c>
      <c r="W38" s="5" t="str">
        <f>Input!U38</f>
        <v>1902965/19/TG/TT1</v>
      </c>
      <c r="X38" s="7" t="str">
        <f>TEXT(Input!V38,"dd/mm/yyyy")</f>
        <v>18/10/2019</v>
      </c>
      <c r="Y38" s="5" t="b">
        <f>Input!W38</f>
        <v>0</v>
      </c>
      <c r="Z38" s="152" t="b">
        <f>Input!X38</f>
        <v>0</v>
      </c>
      <c r="AA38" s="5">
        <f t="shared" si="1"/>
        <v>26</v>
      </c>
      <c r="AB38" s="152" t="b">
        <f>Input!Y38</f>
        <v>1</v>
      </c>
      <c r="AC38" s="5">
        <f>VALUE(Input!Z38)</f>
        <v>16</v>
      </c>
      <c r="AD38" s="5" t="b">
        <f>Input!AA38</f>
        <v>0</v>
      </c>
      <c r="AE38" s="5" t="str">
        <f>Input!AB38</f>
        <v>Vũ Văn Giáp</v>
      </c>
      <c r="AF38" s="5" t="str">
        <f>Input!AC38</f>
        <v>Lê Tiến Cường</v>
      </c>
      <c r="AG38" s="132" t="str">
        <f>Options!$J$25</f>
        <v>TRUNG TÂM KIỂM ĐỊNH VÀ CHỨNG NHẬN 1</v>
      </c>
      <c r="AH38" s="132" t="str">
        <f>Options!$J$26</f>
        <v>TP. Hà Nội</v>
      </c>
      <c r="AI38" s="132" t="str">
        <f>Options!$J$29</f>
        <v>GIÁM ĐỐC</v>
      </c>
      <c r="AJ38" s="132" t="str">
        <f>Options!$J$30</f>
        <v/>
      </c>
      <c r="AK38" s="132" t="str">
        <f>Options!$J$31</f>
        <v>Bùi Ngọc Dũng</v>
      </c>
      <c r="AL38" s="6"/>
      <c r="AM38" s="6" t="str">
        <f>INDEX(ApplicantNameList,MATCH(B38,ApplicantIDList,0))</f>
        <v>Tổng Công ty Hạ tầng mạng</v>
      </c>
      <c r="AN38" s="6" t="str">
        <f>INDEX(OperatorNameList,MATCH(C38,OperatorIDList,0))</f>
        <v>TỔNG CÔNG TY HẠ TẦNG MẠNG</v>
      </c>
      <c r="AO38" s="5">
        <f t="shared" si="2"/>
        <v>3</v>
      </c>
      <c r="AP38" s="85" t="str">
        <f t="shared" si="3"/>
        <v>thành phố Hà Nội</v>
      </c>
      <c r="AQ38" s="233" t="str">
        <f t="shared" si="4"/>
        <v>huyện Mê Linh</v>
      </c>
      <c r="AR38" s="233" t="str">
        <f t="shared" si="5"/>
        <v>thị trấn Quang Minh</v>
      </c>
      <c r="AS38" s="234" t="str">
        <f>INDEX(CityIDList,MATCH(F38,CityNameList,0))</f>
        <v>HNI</v>
      </c>
      <c r="AT38" s="6" t="str">
        <f>IF(J38&gt;=1,INDEX(OperatorNameList,MATCH(AZ38,OperatorIDList,0)),"")</f>
        <v>TỔNG CÔNG TY HẠ TẦNG MẠNG</v>
      </c>
      <c r="AU38" s="6" t="str">
        <f>IF(J38&gt;=2,INDEX(OperatorNameList,MATCH(BA38,OperatorIDList,0)),"")</f>
        <v>TỔNG CÔNG TY HẠ TẦNG MẠNG</v>
      </c>
      <c r="AV38" s="6" t="str">
        <f>IF(J38&gt;=3,INDEX(OperatorNameList,MATCH(BB38,OperatorIDList,0)),"")</f>
        <v/>
      </c>
      <c r="AW38" s="6" t="str">
        <f>IF(J38&gt;=4,INDEX(OperatorNameList,MATCH(BC38,OperatorIDList,0)),"")</f>
        <v/>
      </c>
      <c r="AX38" s="6" t="str">
        <f>IF(J38&gt;=5,INDEX(OperatorNameList,MATCH(BD38,OperatorIDList,0)),"")</f>
        <v/>
      </c>
      <c r="AY38" s="6" t="str">
        <f>IF(J38&gt;=6,INDEX(OperatorNameList,MATCH(BE38,OperatorIDList,0)),"")</f>
        <v/>
      </c>
      <c r="AZ38" s="6" t="str">
        <f t="shared" si="6"/>
        <v>VINAPHONE</v>
      </c>
      <c r="BA38" s="6" t="str">
        <f t="shared" si="7"/>
        <v>VINAPHONE</v>
      </c>
      <c r="BB38" s="6" t="str">
        <f t="shared" si="8"/>
        <v/>
      </c>
      <c r="BC38" s="6" t="str">
        <f t="shared" si="9"/>
        <v/>
      </c>
      <c r="BD38" s="6" t="str">
        <f t="shared" si="10"/>
        <v/>
      </c>
      <c r="BE38" s="6" t="str">
        <f t="shared" si="11"/>
        <v/>
      </c>
      <c r="BF38" s="6" t="str">
        <f>Input!I38</f>
        <v>VINAPHONE;VINAPHONE</v>
      </c>
      <c r="BG38" s="6" t="str">
        <f t="shared" si="12"/>
        <v>QUANG-MINH-TO5-MLH_HNI</v>
      </c>
      <c r="BH38" s="6" t="str">
        <f t="shared" si="13"/>
        <v>QUANG-MINH-TO5-MLH_HNI</v>
      </c>
      <c r="BI38" s="6" t="str">
        <f t="shared" si="14"/>
        <v/>
      </c>
      <c r="BJ38" s="6" t="str">
        <f t="shared" si="15"/>
        <v/>
      </c>
      <c r="BK38" s="6" t="str">
        <f t="shared" si="16"/>
        <v/>
      </c>
      <c r="BL38" s="6" t="str">
        <f t="shared" si="17"/>
        <v/>
      </c>
      <c r="BM38" s="6" t="str">
        <f t="shared" si="18"/>
        <v>NOKIA FLEXI MULTIRADIO BTS RADIO MODULE AND REMOTE RADIO (FRGY)</v>
      </c>
      <c r="BN38" s="6" t="str">
        <f t="shared" si="19"/>
        <v>NOKIA FLEXI MULTIRADIO BTS RADIO MODULE AND REMOTE RADIO (FHEL)</v>
      </c>
      <c r="BO38" s="6" t="str">
        <f t="shared" si="20"/>
        <v/>
      </c>
      <c r="BP38" s="6" t="str">
        <f t="shared" si="21"/>
        <v/>
      </c>
      <c r="BQ38" s="6" t="str">
        <f t="shared" si="22"/>
        <v/>
      </c>
      <c r="BR38" s="6" t="str">
        <f t="shared" si="23"/>
        <v/>
      </c>
      <c r="BS38" s="6">
        <f t="shared" si="24"/>
        <v>3</v>
      </c>
      <c r="BT38" s="6">
        <f t="shared" si="25"/>
        <v>3</v>
      </c>
      <c r="BU38" s="6">
        <f t="shared" si="26"/>
        <v>0</v>
      </c>
      <c r="BV38" s="6">
        <f t="shared" si="27"/>
        <v>0</v>
      </c>
      <c r="BW38" s="6">
        <f t="shared" si="28"/>
        <v>0</v>
      </c>
      <c r="BX38" s="6">
        <f t="shared" si="29"/>
        <v>0</v>
      </c>
      <c r="BY38" s="6" t="str">
        <f t="shared" si="30"/>
        <v>2/2/2</v>
      </c>
      <c r="BZ38" s="6">
        <f t="shared" si="31"/>
        <v>2</v>
      </c>
      <c r="CA38" s="6">
        <f t="shared" si="32"/>
        <v>2</v>
      </c>
      <c r="CB38" s="6">
        <f t="shared" si="33"/>
        <v>2</v>
      </c>
      <c r="CC38" s="6">
        <f t="shared" si="34"/>
        <v>0</v>
      </c>
      <c r="CD38" s="6">
        <f t="shared" si="35"/>
        <v>0</v>
      </c>
      <c r="CE38" s="6">
        <f t="shared" si="36"/>
        <v>0</v>
      </c>
      <c r="CF38" s="6" t="str">
        <f t="shared" si="37"/>
        <v>1/1/1</v>
      </c>
      <c r="CG38" s="6">
        <f t="shared" si="38"/>
        <v>1</v>
      </c>
      <c r="CH38" s="6">
        <f t="shared" si="39"/>
        <v>1</v>
      </c>
      <c r="CI38" s="6">
        <f t="shared" si="40"/>
        <v>1</v>
      </c>
      <c r="CJ38" s="6">
        <f t="shared" si="41"/>
        <v>0</v>
      </c>
      <c r="CK38" s="6">
        <f t="shared" si="42"/>
        <v>0</v>
      </c>
      <c r="CL38" s="6">
        <f t="shared" si="43"/>
        <v>0</v>
      </c>
      <c r="CM38" s="6" t="str">
        <f t="shared" si="44"/>
        <v/>
      </c>
      <c r="CN38" s="6">
        <f t="shared" si="45"/>
        <v>0</v>
      </c>
      <c r="CO38" s="6">
        <f t="shared" si="46"/>
        <v>0</v>
      </c>
      <c r="CP38" s="6">
        <f t="shared" si="47"/>
        <v>0</v>
      </c>
      <c r="CQ38" s="6">
        <f t="shared" si="48"/>
        <v>0</v>
      </c>
      <c r="CR38" s="6">
        <f t="shared" si="49"/>
        <v>0</v>
      </c>
      <c r="CS38" s="6">
        <f t="shared" si="50"/>
        <v>0</v>
      </c>
      <c r="CT38" s="6" t="str">
        <f t="shared" si="51"/>
        <v/>
      </c>
      <c r="CU38" s="6">
        <f t="shared" si="52"/>
        <v>0</v>
      </c>
      <c r="CV38" s="6">
        <f t="shared" si="53"/>
        <v>0</v>
      </c>
      <c r="CW38" s="6">
        <f t="shared" si="54"/>
        <v>0</v>
      </c>
      <c r="CX38" s="6">
        <f t="shared" si="55"/>
        <v>0</v>
      </c>
      <c r="CY38" s="6">
        <f t="shared" si="56"/>
        <v>0</v>
      </c>
      <c r="CZ38" s="6">
        <f t="shared" si="57"/>
        <v>0</v>
      </c>
      <c r="DA38" s="6" t="str">
        <f t="shared" si="58"/>
        <v/>
      </c>
      <c r="DB38" s="6">
        <f t="shared" si="59"/>
        <v>0</v>
      </c>
      <c r="DC38" s="6">
        <f t="shared" si="60"/>
        <v>0</v>
      </c>
      <c r="DD38" s="6">
        <f t="shared" si="61"/>
        <v>0</v>
      </c>
      <c r="DE38" s="6">
        <f t="shared" si="62"/>
        <v>0</v>
      </c>
      <c r="DF38" s="6">
        <f t="shared" si="63"/>
        <v>0</v>
      </c>
      <c r="DG38" s="6">
        <f t="shared" si="64"/>
        <v>0</v>
      </c>
      <c r="DH38" s="6" t="str">
        <f t="shared" si="65"/>
        <v/>
      </c>
      <c r="DI38" s="6">
        <f t="shared" si="66"/>
        <v>0</v>
      </c>
      <c r="DJ38" s="6">
        <f t="shared" si="67"/>
        <v>0</v>
      </c>
      <c r="DK38" s="6">
        <f t="shared" si="68"/>
        <v>0</v>
      </c>
      <c r="DL38" s="6">
        <f t="shared" si="69"/>
        <v>0</v>
      </c>
      <c r="DM38" s="6">
        <f t="shared" si="70"/>
        <v>0</v>
      </c>
      <c r="DN38" s="6">
        <f t="shared" si="71"/>
        <v>0</v>
      </c>
      <c r="DO38" s="6" t="str">
        <f t="shared" si="72"/>
        <v>60/60/60</v>
      </c>
      <c r="DP38" s="6">
        <f t="shared" si="73"/>
        <v>60</v>
      </c>
      <c r="DQ38" s="6">
        <f t="shared" si="74"/>
        <v>60</v>
      </c>
      <c r="DR38" s="6">
        <f t="shared" si="75"/>
        <v>60</v>
      </c>
      <c r="DS38" s="6">
        <f t="shared" si="76"/>
        <v>0</v>
      </c>
      <c r="DT38" s="6">
        <f t="shared" si="77"/>
        <v>0</v>
      </c>
      <c r="DU38" s="6">
        <f t="shared" si="78"/>
        <v>0</v>
      </c>
      <c r="DV38" s="6" t="str">
        <f t="shared" si="79"/>
        <v>60W/ 60W/ 60W</v>
      </c>
      <c r="DW38" s="6">
        <f t="shared" si="80"/>
        <v>60</v>
      </c>
      <c r="DX38" s="6" t="str">
        <f t="shared" si="81"/>
        <v>60/60/60</v>
      </c>
      <c r="DY38" s="6">
        <f t="shared" si="82"/>
        <v>60</v>
      </c>
      <c r="DZ38" s="6">
        <f t="shared" si="83"/>
        <v>60</v>
      </c>
      <c r="EA38" s="6">
        <f t="shared" si="84"/>
        <v>60</v>
      </c>
      <c r="EB38" s="6">
        <f t="shared" si="85"/>
        <v>0</v>
      </c>
      <c r="EC38" s="6">
        <f t="shared" si="86"/>
        <v>0</v>
      </c>
      <c r="ED38" s="6">
        <f t="shared" si="87"/>
        <v>0</v>
      </c>
      <c r="EE38" s="6" t="str">
        <f t="shared" si="88"/>
        <v>60W/ 60W/ 60W</v>
      </c>
      <c r="EF38" s="6">
        <f t="shared" si="89"/>
        <v>60</v>
      </c>
      <c r="EG38" s="6" t="str">
        <f t="shared" si="90"/>
        <v/>
      </c>
      <c r="EH38" s="6">
        <f t="shared" si="91"/>
        <v>0</v>
      </c>
      <c r="EI38" s="6">
        <f t="shared" si="92"/>
        <v>0</v>
      </c>
      <c r="EJ38" s="6">
        <f t="shared" si="93"/>
        <v>0</v>
      </c>
      <c r="EK38" s="6">
        <f t="shared" si="94"/>
        <v>0</v>
      </c>
      <c r="EL38" s="6">
        <f t="shared" si="95"/>
        <v>0</v>
      </c>
      <c r="EM38" s="6">
        <f t="shared" si="96"/>
        <v>0</v>
      </c>
      <c r="EN38" s="6" t="str">
        <f t="shared" si="97"/>
        <v/>
      </c>
      <c r="EO38" s="6">
        <f t="shared" si="98"/>
        <v>0</v>
      </c>
      <c r="EP38" s="6" t="str">
        <f t="shared" si="99"/>
        <v/>
      </c>
      <c r="EQ38" s="6">
        <f t="shared" si="100"/>
        <v>0</v>
      </c>
      <c r="ER38" s="6">
        <f t="shared" si="101"/>
        <v>0</v>
      </c>
      <c r="ES38" s="6">
        <f t="shared" si="102"/>
        <v>0</v>
      </c>
      <c r="ET38" s="6">
        <f t="shared" si="103"/>
        <v>0</v>
      </c>
      <c r="EU38" s="6">
        <f t="shared" si="104"/>
        <v>0</v>
      </c>
      <c r="EV38" s="6">
        <f t="shared" si="105"/>
        <v>0</v>
      </c>
      <c r="EW38" s="6" t="str">
        <f t="shared" si="106"/>
        <v/>
      </c>
      <c r="EX38" s="6">
        <f t="shared" si="107"/>
        <v>0</v>
      </c>
      <c r="EY38" s="6" t="str">
        <f t="shared" si="108"/>
        <v/>
      </c>
      <c r="EZ38" s="6">
        <f t="shared" si="109"/>
        <v>0</v>
      </c>
      <c r="FA38" s="6">
        <f t="shared" si="110"/>
        <v>0</v>
      </c>
      <c r="FB38" s="6">
        <f t="shared" si="111"/>
        <v>0</v>
      </c>
      <c r="FC38" s="6">
        <f t="shared" si="112"/>
        <v>0</v>
      </c>
      <c r="FD38" s="6">
        <f t="shared" si="113"/>
        <v>0</v>
      </c>
      <c r="FE38" s="6">
        <f t="shared" si="114"/>
        <v>0</v>
      </c>
      <c r="FF38" s="6" t="str">
        <f t="shared" si="115"/>
        <v/>
      </c>
      <c r="FG38" s="6">
        <f t="shared" si="116"/>
        <v>0</v>
      </c>
      <c r="FH38" s="6" t="str">
        <f t="shared" si="117"/>
        <v/>
      </c>
      <c r="FI38" s="6">
        <f t="shared" si="118"/>
        <v>0</v>
      </c>
      <c r="FJ38" s="6">
        <f t="shared" si="119"/>
        <v>0</v>
      </c>
      <c r="FK38" s="6">
        <f t="shared" si="120"/>
        <v>0</v>
      </c>
      <c r="FL38" s="6">
        <f t="shared" si="121"/>
        <v>0</v>
      </c>
      <c r="FM38" s="6">
        <f t="shared" si="122"/>
        <v>0</v>
      </c>
      <c r="FN38" s="6">
        <f t="shared" si="123"/>
        <v>0</v>
      </c>
      <c r="FO38" s="6" t="str">
        <f t="shared" si="124"/>
        <v/>
      </c>
      <c r="FP38" s="6">
        <f t="shared" si="125"/>
        <v>0</v>
      </c>
      <c r="FQ38" s="6">
        <f t="shared" si="126"/>
        <v>60</v>
      </c>
      <c r="FR38" s="6" t="str">
        <f t="shared" si="127"/>
        <v>2100</v>
      </c>
      <c r="FS38" s="6" t="str">
        <f t="shared" si="128"/>
        <v>1800</v>
      </c>
      <c r="FT38" s="6" t="str">
        <f t="shared" si="129"/>
        <v/>
      </c>
      <c r="FU38" s="6" t="str">
        <f t="shared" si="130"/>
        <v/>
      </c>
      <c r="FV38" s="6" t="str">
        <f t="shared" si="131"/>
        <v/>
      </c>
      <c r="FW38" s="6" t="str">
        <f t="shared" si="132"/>
        <v/>
      </c>
      <c r="FX38" s="6" t="str">
        <f t="shared" si="133"/>
        <v>26/26/26</v>
      </c>
      <c r="FY38" s="6">
        <f t="shared" si="134"/>
        <v>26</v>
      </c>
      <c r="FZ38" s="6">
        <f t="shared" si="135"/>
        <v>26</v>
      </c>
      <c r="GA38" s="6">
        <f t="shared" si="136"/>
        <v>26</v>
      </c>
      <c r="GB38" s="6">
        <f t="shared" si="137"/>
        <v>0</v>
      </c>
      <c r="GC38" s="6">
        <f t="shared" si="138"/>
        <v>0</v>
      </c>
      <c r="GD38" s="6">
        <f t="shared" si="139"/>
        <v>0</v>
      </c>
      <c r="GE38" s="6" t="str">
        <f t="shared" si="140"/>
        <v>26m/ 26m/ 26m</v>
      </c>
      <c r="GF38" s="6" t="str">
        <f t="shared" si="141"/>
        <v>26/26/26</v>
      </c>
      <c r="GG38" s="6">
        <f t="shared" si="142"/>
        <v>26</v>
      </c>
      <c r="GH38" s="6">
        <f t="shared" si="143"/>
        <v>26</v>
      </c>
      <c r="GI38" s="6">
        <f t="shared" si="144"/>
        <v>26</v>
      </c>
      <c r="GJ38" s="6">
        <f t="shared" si="145"/>
        <v>0</v>
      </c>
      <c r="GK38" s="6">
        <f t="shared" si="146"/>
        <v>0</v>
      </c>
      <c r="GL38" s="6">
        <f t="shared" si="147"/>
        <v>0</v>
      </c>
      <c r="GM38" s="6" t="str">
        <f t="shared" si="148"/>
        <v>26m/ 26m/ 26m</v>
      </c>
      <c r="GN38" s="6" t="str">
        <f t="shared" si="149"/>
        <v/>
      </c>
      <c r="GO38" s="6">
        <f t="shared" si="150"/>
        <v>0</v>
      </c>
      <c r="GP38" s="6">
        <f t="shared" si="151"/>
        <v>0</v>
      </c>
      <c r="GQ38" s="6">
        <f t="shared" si="152"/>
        <v>0</v>
      </c>
      <c r="GR38" s="6">
        <f t="shared" si="153"/>
        <v>0</v>
      </c>
      <c r="GS38" s="6">
        <f t="shared" si="154"/>
        <v>0</v>
      </c>
      <c r="GT38" s="6">
        <f t="shared" si="155"/>
        <v>0</v>
      </c>
      <c r="GU38" s="6" t="str">
        <f t="shared" si="156"/>
        <v/>
      </c>
      <c r="GV38" s="6" t="str">
        <f t="shared" si="157"/>
        <v/>
      </c>
      <c r="GW38" s="6">
        <f t="shared" si="158"/>
        <v>0</v>
      </c>
      <c r="GX38" s="6">
        <f t="shared" si="159"/>
        <v>0</v>
      </c>
      <c r="GY38" s="6">
        <f t="shared" si="160"/>
        <v>0</v>
      </c>
      <c r="GZ38" s="6">
        <f t="shared" si="161"/>
        <v>0</v>
      </c>
      <c r="HA38" s="6">
        <f t="shared" si="162"/>
        <v>0</v>
      </c>
      <c r="HB38" s="6">
        <f t="shared" si="163"/>
        <v>0</v>
      </c>
      <c r="HC38" s="6" t="str">
        <f t="shared" si="164"/>
        <v/>
      </c>
      <c r="HD38" s="6" t="str">
        <f t="shared" si="165"/>
        <v/>
      </c>
      <c r="HE38" s="6">
        <f t="shared" si="166"/>
        <v>0</v>
      </c>
      <c r="HF38" s="6">
        <f t="shared" si="167"/>
        <v>0</v>
      </c>
      <c r="HG38" s="6">
        <f t="shared" si="168"/>
        <v>0</v>
      </c>
      <c r="HH38" s="6">
        <f t="shared" si="169"/>
        <v>0</v>
      </c>
      <c r="HI38" s="6">
        <f t="shared" si="170"/>
        <v>0</v>
      </c>
      <c r="HJ38" s="6">
        <f t="shared" si="171"/>
        <v>0</v>
      </c>
      <c r="HK38" s="6" t="str">
        <f t="shared" si="172"/>
        <v/>
      </c>
      <c r="HL38" s="6" t="str">
        <f t="shared" si="173"/>
        <v/>
      </c>
      <c r="HM38" s="6">
        <f t="shared" si="174"/>
        <v>0</v>
      </c>
      <c r="HN38" s="6">
        <f t="shared" si="175"/>
        <v>0</v>
      </c>
      <c r="HO38" s="6">
        <f t="shared" si="176"/>
        <v>0</v>
      </c>
      <c r="HP38" s="6">
        <f t="shared" si="177"/>
        <v>0</v>
      </c>
      <c r="HQ38" s="6">
        <f t="shared" si="178"/>
        <v>0</v>
      </c>
      <c r="HR38" s="6">
        <f t="shared" si="179"/>
        <v>0</v>
      </c>
      <c r="HS38" s="6" t="str">
        <f t="shared" si="180"/>
        <v/>
      </c>
      <c r="HT38" s="6" t="str">
        <f>INDEX(LabNameList,MATCH(V38,LabIDList,0))</f>
        <v>Trung tâm Kiểm định và Chứng nhận 1</v>
      </c>
      <c r="HU38" s="6">
        <f t="shared" si="181"/>
        <v>26</v>
      </c>
      <c r="HV38" s="6">
        <f t="shared" si="182"/>
        <v>26</v>
      </c>
      <c r="HW38" s="6">
        <f t="shared" si="183"/>
        <v>0</v>
      </c>
      <c r="HX38" s="6">
        <f t="shared" si="184"/>
        <v>0</v>
      </c>
      <c r="HY38" s="6">
        <f t="shared" si="185"/>
        <v>0</v>
      </c>
      <c r="HZ38" s="6">
        <f t="shared" si="186"/>
        <v>0</v>
      </c>
      <c r="IA38" s="5">
        <f t="shared" si="187"/>
        <v>26</v>
      </c>
      <c r="IB38" s="5">
        <f t="shared" si="188"/>
        <v>10</v>
      </c>
      <c r="IC38" s="132" t="str">
        <f t="shared" si="189"/>
        <v>A</v>
      </c>
      <c r="ID38" s="132" t="str">
        <f t="shared" si="190"/>
        <v>04018</v>
      </c>
      <c r="IE38" s="132" t="str">
        <f t="shared" si="191"/>
        <v>181019</v>
      </c>
      <c r="IF38" s="132" t="str">
        <f t="shared" si="192"/>
        <v>TG05</v>
      </c>
      <c r="IG38" s="171">
        <f t="shared" si="193"/>
        <v>43756</v>
      </c>
      <c r="IH38" s="171">
        <f t="shared" si="194"/>
        <v>45583</v>
      </c>
      <c r="II38" s="6">
        <v>37</v>
      </c>
    </row>
    <row r="39" spans="1:243" ht="409.5">
      <c r="A39" s="5">
        <f>Input!A39</f>
        <v>37</v>
      </c>
      <c r="B39" s="132" t="str">
        <f>Profile!$A$3</f>
        <v>VINAPHONE</v>
      </c>
      <c r="C39" s="132" t="str">
        <f>Profile!$F$3</f>
        <v>VINAPHONE</v>
      </c>
      <c r="D39" s="5" t="str">
        <f>Input!B39</f>
        <v>DTT-ME-LINH-MLH_HNI</v>
      </c>
      <c r="E39" s="107" t="str">
        <f>Input!C39</f>
        <v>Khu hành chính, xã Đại Thịnh, huyện Mê Linh, thành phố Hà Nội</v>
      </c>
      <c r="F39" s="5" t="str">
        <f>Input!D39</f>
        <v>Hà Nội</v>
      </c>
      <c r="G39" s="5">
        <f>Input!E39</f>
        <v>105.723142</v>
      </c>
      <c r="H39" s="5">
        <f>Input!F39</f>
        <v>21.184450999999999</v>
      </c>
      <c r="I39" s="5">
        <f>Input!G39</f>
        <v>1</v>
      </c>
      <c r="J39" s="5">
        <f>Input!H39</f>
        <v>3</v>
      </c>
      <c r="K39" s="5" t="str">
        <f t="shared" si="0"/>
        <v>TỔNG CÔNG TY HẠ TẦNG MẠNG;TỔNG CÔNG TY HẠ TẦNG MẠNG;TỔNG CÔNG TY HẠ TẦNG MẠNG</v>
      </c>
      <c r="L39" s="5" t="str">
        <f>Input!J39</f>
        <v>DTT-ME-LINH-MLH_HNI;DTT-ME-LINH-MLH_HNI;DTT-ME-LINH-MLH_HNI;TT-TAY-MO-79-NTL_HNI;TT-TAY-MO-79-NTL_HNI;TT-DUONG-SAT-LUU-PHAI-NGU-HIEP-TTI_HNI;TT-DUONG-SAT-LUU-PHAI-NGU-HIEP-TTI_HNI;TOA-NHA-VINAPHONE-XUAN-LA-THO_HNI;TOA-NHA-VINAPHONE-XUAN-LA-THO_HNI</v>
      </c>
      <c r="M39" s="5"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5" t="str">
        <f>Input!L39</f>
        <v>3;3;3;3;3;3;3;3;3</v>
      </c>
      <c r="O39" s="5" t="str">
        <f>Input!M39</f>
        <v>2/2/2;2/2/2;1/1/1;2/2/2;1/1/1;2/2/2;1/1/1;2/2/2;1/1/1</v>
      </c>
      <c r="P39" s="5" t="str">
        <f>Input!N39</f>
        <v>80/80/80;60/60/60;60/60/60;60/60/60;60/60/60;60/60/60;60/60/60;60/60/60;60/60/60</v>
      </c>
      <c r="Q39" s="5" t="str">
        <f>Input!O39</f>
        <v>900;2100;1800;2100;1800;2100;1800;2100;1800</v>
      </c>
      <c r="R39" s="5" t="str">
        <f>Input!P39</f>
        <v>42/42/42;42/42/42;42/42/42;20/20/20;20/20/20;14,5/14,5/14,5;14,5/14,5/14,5;6,5/6,5/6,5;6,5/6,5/6,5</v>
      </c>
      <c r="S39" s="152" t="b">
        <f>Input!Q39</f>
        <v>1</v>
      </c>
      <c r="T39" s="5" t="str">
        <f>Input!R39</f>
        <v>A04019181019TG05</v>
      </c>
      <c r="U39" s="5">
        <f>Input!S39</f>
        <v>0</v>
      </c>
      <c r="V39" s="5" t="str">
        <f>Input!T39</f>
        <v>VCC1</v>
      </c>
      <c r="W39" s="5" t="str">
        <f>Input!U39</f>
        <v>1902966/19/TG/TT1</v>
      </c>
      <c r="X39" s="7" t="str">
        <f>TEXT(Input!V39,"dd/mm/yyyy")</f>
        <v>18/10/2019</v>
      </c>
      <c r="Y39" s="5" t="b">
        <f>Input!W39</f>
        <v>1</v>
      </c>
      <c r="Z39" s="152" t="b">
        <f>Input!X39</f>
        <v>0</v>
      </c>
      <c r="AA39" s="5">
        <f t="shared" si="1"/>
        <v>42</v>
      </c>
      <c r="AB39" s="152" t="b">
        <f>Input!Y39</f>
        <v>1</v>
      </c>
      <c r="AC39" s="5">
        <f>VALUE(Input!Z39)</f>
        <v>20</v>
      </c>
      <c r="AD39" s="5" t="b">
        <f>Input!AA39</f>
        <v>0</v>
      </c>
      <c r="AE39" s="5" t="str">
        <f>Input!AB39</f>
        <v>Vũ Văn Giáp</v>
      </c>
      <c r="AF39" s="5" t="str">
        <f>Input!AC39</f>
        <v>Lê Tiến Cường</v>
      </c>
      <c r="AG39" s="132" t="str">
        <f>Options!$J$25</f>
        <v>TRUNG TÂM KIỂM ĐỊNH VÀ CHỨNG NHẬN 1</v>
      </c>
      <c r="AH39" s="132" t="str">
        <f>Options!$J$26</f>
        <v>TP. Hà Nội</v>
      </c>
      <c r="AI39" s="132" t="str">
        <f>Options!$J$29</f>
        <v>GIÁM ĐỐC</v>
      </c>
      <c r="AJ39" s="132" t="str">
        <f>Options!$J$30</f>
        <v/>
      </c>
      <c r="AK39" s="132" t="str">
        <f>Options!$J$31</f>
        <v>Bùi Ngọc Dũng</v>
      </c>
      <c r="AL39" s="6"/>
      <c r="AM39" s="6" t="str">
        <f>INDEX(ApplicantNameList,MATCH(B39,ApplicantIDList,0))</f>
        <v>Tổng Công ty Hạ tầng mạng</v>
      </c>
      <c r="AN39" s="6" t="str">
        <f>INDEX(OperatorNameList,MATCH(C39,OperatorIDList,0))</f>
        <v>TỔNG CÔNG TY HẠ TẦNG MẠNG</v>
      </c>
      <c r="AO39" s="5">
        <f t="shared" si="2"/>
        <v>3</v>
      </c>
      <c r="AP39" s="85" t="str">
        <f t="shared" si="3"/>
        <v>thành phố Hà Nội</v>
      </c>
      <c r="AQ39" s="233" t="str">
        <f t="shared" si="4"/>
        <v>huyện Mê Linh</v>
      </c>
      <c r="AR39" s="233" t="str">
        <f t="shared" si="5"/>
        <v>xã Đại Thịnh</v>
      </c>
      <c r="AS39" s="234" t="str">
        <f>INDEX(CityIDList,MATCH(F39,CityNameList,0))</f>
        <v>HNI</v>
      </c>
      <c r="AT39" s="6" t="str">
        <f>IF(J39&gt;=1,INDEX(OperatorNameList,MATCH(AZ39,OperatorIDList,0)),"")</f>
        <v>TỔNG CÔNG TY HẠ TẦNG MẠNG</v>
      </c>
      <c r="AU39" s="6" t="str">
        <f>IF(J39&gt;=2,INDEX(OperatorNameList,MATCH(BA39,OperatorIDList,0)),"")</f>
        <v>TỔNG CÔNG TY HẠ TẦNG MẠNG</v>
      </c>
      <c r="AV39" s="6" t="str">
        <f>IF(J39&gt;=3,INDEX(OperatorNameList,MATCH(BB39,OperatorIDList,0)),"")</f>
        <v>TỔNG CÔNG TY HẠ TẦNG MẠNG</v>
      </c>
      <c r="AW39" s="6" t="str">
        <f>IF(J39&gt;=4,INDEX(OperatorNameList,MATCH(BC39,OperatorIDList,0)),"")</f>
        <v/>
      </c>
      <c r="AX39" s="6" t="str">
        <f>IF(J39&gt;=5,INDEX(OperatorNameList,MATCH(BD39,OperatorIDList,0)),"")</f>
        <v/>
      </c>
      <c r="AY39" s="6" t="str">
        <f>IF(J39&gt;=6,INDEX(OperatorNameList,MATCH(BE39,OperatorIDList,0)),"")</f>
        <v/>
      </c>
      <c r="AZ39" s="6" t="str">
        <f t="shared" si="6"/>
        <v>VINAPHONE</v>
      </c>
      <c r="BA39" s="6" t="str">
        <f t="shared" si="7"/>
        <v>VINAPHONE</v>
      </c>
      <c r="BB39" s="6" t="str">
        <f t="shared" si="8"/>
        <v>VINAPHONE</v>
      </c>
      <c r="BC39" s="6" t="str">
        <f t="shared" si="9"/>
        <v/>
      </c>
      <c r="BD39" s="6" t="str">
        <f t="shared" si="10"/>
        <v/>
      </c>
      <c r="BE39" s="6" t="str">
        <f t="shared" si="11"/>
        <v/>
      </c>
      <c r="BF39" s="6" t="str">
        <f>Input!I39</f>
        <v>VINAPHONE;VINAPHONE;VINAPHONE;VINAPHONE;VINAPHONE;VINAPHONE;VINAPHONE;VINAPHONE;VINAPHONE</v>
      </c>
      <c r="BG39" s="6" t="str">
        <f t="shared" si="12"/>
        <v>DTT-ME-LINH-MLH_HNI</v>
      </c>
      <c r="BH39" s="6" t="str">
        <f t="shared" si="13"/>
        <v>DTT-ME-LINH-MLH_HNI</v>
      </c>
      <c r="BI39" s="6" t="str">
        <f t="shared" si="14"/>
        <v>DTT-ME-LINH-MLH_HNI</v>
      </c>
      <c r="BJ39" s="6" t="str">
        <f t="shared" si="15"/>
        <v/>
      </c>
      <c r="BK39" s="6" t="str">
        <f t="shared" si="16"/>
        <v/>
      </c>
      <c r="BL39" s="6" t="str">
        <f t="shared" si="17"/>
        <v/>
      </c>
      <c r="BM39" s="6" t="str">
        <f t="shared" si="18"/>
        <v>HUAWEI BTS3900</v>
      </c>
      <c r="BN39" s="6" t="str">
        <f t="shared" si="19"/>
        <v>HUAWEI DBS3900 WCDMA</v>
      </c>
      <c r="BO39" s="6" t="str">
        <f t="shared" si="20"/>
        <v>NOKIA FLEXI MULTIRADIO BTS RADIO MODULE AND REMOTE RADIO (FHEL)</v>
      </c>
      <c r="BP39" s="6" t="str">
        <f t="shared" si="21"/>
        <v/>
      </c>
      <c r="BQ39" s="6" t="str">
        <f t="shared" si="22"/>
        <v/>
      </c>
      <c r="BR39" s="6" t="str">
        <f t="shared" si="23"/>
        <v/>
      </c>
      <c r="BS39" s="6">
        <f t="shared" si="24"/>
        <v>3</v>
      </c>
      <c r="BT39" s="6">
        <f t="shared" si="25"/>
        <v>3</v>
      </c>
      <c r="BU39" s="6">
        <f t="shared" si="26"/>
        <v>3</v>
      </c>
      <c r="BV39" s="6">
        <f t="shared" si="27"/>
        <v>0</v>
      </c>
      <c r="BW39" s="6">
        <f t="shared" si="28"/>
        <v>0</v>
      </c>
      <c r="BX39" s="6">
        <f t="shared" si="29"/>
        <v>0</v>
      </c>
      <c r="BY39" s="6" t="str">
        <f t="shared" si="30"/>
        <v>2/2/2</v>
      </c>
      <c r="BZ39" s="6">
        <f t="shared" si="31"/>
        <v>2</v>
      </c>
      <c r="CA39" s="6">
        <f t="shared" si="32"/>
        <v>2</v>
      </c>
      <c r="CB39" s="6">
        <f t="shared" si="33"/>
        <v>2</v>
      </c>
      <c r="CC39" s="6">
        <f t="shared" si="34"/>
        <v>0</v>
      </c>
      <c r="CD39" s="6">
        <f t="shared" si="35"/>
        <v>0</v>
      </c>
      <c r="CE39" s="6">
        <f t="shared" si="36"/>
        <v>0</v>
      </c>
      <c r="CF39" s="6" t="str">
        <f t="shared" si="37"/>
        <v>2/2/2</v>
      </c>
      <c r="CG39" s="6">
        <f t="shared" si="38"/>
        <v>2</v>
      </c>
      <c r="CH39" s="6">
        <f t="shared" si="39"/>
        <v>2</v>
      </c>
      <c r="CI39" s="6">
        <f t="shared" si="40"/>
        <v>2</v>
      </c>
      <c r="CJ39" s="6">
        <f t="shared" si="41"/>
        <v>0</v>
      </c>
      <c r="CK39" s="6">
        <f t="shared" si="42"/>
        <v>0</v>
      </c>
      <c r="CL39" s="6">
        <f t="shared" si="43"/>
        <v>0</v>
      </c>
      <c r="CM39" s="6" t="str">
        <f t="shared" si="44"/>
        <v>1/1/1</v>
      </c>
      <c r="CN39" s="6">
        <f t="shared" si="45"/>
        <v>1</v>
      </c>
      <c r="CO39" s="6">
        <f t="shared" si="46"/>
        <v>1</v>
      </c>
      <c r="CP39" s="6">
        <f t="shared" si="47"/>
        <v>1</v>
      </c>
      <c r="CQ39" s="6">
        <f t="shared" si="48"/>
        <v>0</v>
      </c>
      <c r="CR39" s="6">
        <f t="shared" si="49"/>
        <v>0</v>
      </c>
      <c r="CS39" s="6">
        <f t="shared" si="50"/>
        <v>0</v>
      </c>
      <c r="CT39" s="6" t="str">
        <f t="shared" si="51"/>
        <v/>
      </c>
      <c r="CU39" s="6">
        <f t="shared" si="52"/>
        <v>0</v>
      </c>
      <c r="CV39" s="6">
        <f t="shared" si="53"/>
        <v>0</v>
      </c>
      <c r="CW39" s="6">
        <f t="shared" si="54"/>
        <v>0</v>
      </c>
      <c r="CX39" s="6">
        <f t="shared" si="55"/>
        <v>0</v>
      </c>
      <c r="CY39" s="6">
        <f t="shared" si="56"/>
        <v>0</v>
      </c>
      <c r="CZ39" s="6">
        <f t="shared" si="57"/>
        <v>0</v>
      </c>
      <c r="DA39" s="6" t="str">
        <f t="shared" si="58"/>
        <v/>
      </c>
      <c r="DB39" s="6">
        <f t="shared" si="59"/>
        <v>0</v>
      </c>
      <c r="DC39" s="6">
        <f t="shared" si="60"/>
        <v>0</v>
      </c>
      <c r="DD39" s="6">
        <f t="shared" si="61"/>
        <v>0</v>
      </c>
      <c r="DE39" s="6">
        <f t="shared" si="62"/>
        <v>0</v>
      </c>
      <c r="DF39" s="6">
        <f t="shared" si="63"/>
        <v>0</v>
      </c>
      <c r="DG39" s="6">
        <f t="shared" si="64"/>
        <v>0</v>
      </c>
      <c r="DH39" s="6" t="str">
        <f t="shared" si="65"/>
        <v/>
      </c>
      <c r="DI39" s="6">
        <f t="shared" si="66"/>
        <v>0</v>
      </c>
      <c r="DJ39" s="6">
        <f t="shared" si="67"/>
        <v>0</v>
      </c>
      <c r="DK39" s="6">
        <f t="shared" si="68"/>
        <v>0</v>
      </c>
      <c r="DL39" s="6">
        <f t="shared" si="69"/>
        <v>0</v>
      </c>
      <c r="DM39" s="6">
        <f t="shared" si="70"/>
        <v>0</v>
      </c>
      <c r="DN39" s="6">
        <f t="shared" si="71"/>
        <v>0</v>
      </c>
      <c r="DO39" s="6" t="str">
        <f t="shared" si="72"/>
        <v>80/80/80</v>
      </c>
      <c r="DP39" s="6">
        <f t="shared" si="73"/>
        <v>80</v>
      </c>
      <c r="DQ39" s="6">
        <f t="shared" si="74"/>
        <v>80</v>
      </c>
      <c r="DR39" s="6">
        <f t="shared" si="75"/>
        <v>80</v>
      </c>
      <c r="DS39" s="6">
        <f t="shared" si="76"/>
        <v>0</v>
      </c>
      <c r="DT39" s="6">
        <f t="shared" si="77"/>
        <v>0</v>
      </c>
      <c r="DU39" s="6">
        <f t="shared" si="78"/>
        <v>0</v>
      </c>
      <c r="DV39" s="6" t="str">
        <f t="shared" si="79"/>
        <v>80W/ 80W/ 80W</v>
      </c>
      <c r="DW39" s="6">
        <f t="shared" si="80"/>
        <v>80</v>
      </c>
      <c r="DX39" s="6" t="str">
        <f t="shared" si="81"/>
        <v>60/60/60</v>
      </c>
      <c r="DY39" s="6">
        <f t="shared" si="82"/>
        <v>60</v>
      </c>
      <c r="DZ39" s="6">
        <f t="shared" si="83"/>
        <v>60</v>
      </c>
      <c r="EA39" s="6">
        <f t="shared" si="84"/>
        <v>60</v>
      </c>
      <c r="EB39" s="6">
        <f t="shared" si="85"/>
        <v>0</v>
      </c>
      <c r="EC39" s="6">
        <f t="shared" si="86"/>
        <v>0</v>
      </c>
      <c r="ED39" s="6">
        <f t="shared" si="87"/>
        <v>0</v>
      </c>
      <c r="EE39" s="6" t="str">
        <f t="shared" si="88"/>
        <v>60W/ 60W/ 60W</v>
      </c>
      <c r="EF39" s="6">
        <f t="shared" si="89"/>
        <v>60</v>
      </c>
      <c r="EG39" s="6" t="str">
        <f t="shared" si="90"/>
        <v>60/60/60</v>
      </c>
      <c r="EH39" s="6">
        <f t="shared" si="91"/>
        <v>60</v>
      </c>
      <c r="EI39" s="6">
        <f t="shared" si="92"/>
        <v>60</v>
      </c>
      <c r="EJ39" s="6">
        <f t="shared" si="93"/>
        <v>60</v>
      </c>
      <c r="EK39" s="6">
        <f t="shared" si="94"/>
        <v>0</v>
      </c>
      <c r="EL39" s="6">
        <f t="shared" si="95"/>
        <v>0</v>
      </c>
      <c r="EM39" s="6">
        <f t="shared" si="96"/>
        <v>0</v>
      </c>
      <c r="EN39" s="6" t="str">
        <f t="shared" si="97"/>
        <v>60W/ 60W/ 60W</v>
      </c>
      <c r="EO39" s="6">
        <f t="shared" si="98"/>
        <v>60</v>
      </c>
      <c r="EP39" s="6" t="str">
        <f t="shared" si="99"/>
        <v/>
      </c>
      <c r="EQ39" s="6">
        <f t="shared" si="100"/>
        <v>0</v>
      </c>
      <c r="ER39" s="6">
        <f t="shared" si="101"/>
        <v>0</v>
      </c>
      <c r="ES39" s="6">
        <f t="shared" si="102"/>
        <v>0</v>
      </c>
      <c r="ET39" s="6">
        <f t="shared" si="103"/>
        <v>0</v>
      </c>
      <c r="EU39" s="6">
        <f t="shared" si="104"/>
        <v>0</v>
      </c>
      <c r="EV39" s="6">
        <f t="shared" si="105"/>
        <v>0</v>
      </c>
      <c r="EW39" s="6" t="str">
        <f t="shared" si="106"/>
        <v/>
      </c>
      <c r="EX39" s="6">
        <f t="shared" si="107"/>
        <v>0</v>
      </c>
      <c r="EY39" s="6" t="str">
        <f t="shared" si="108"/>
        <v/>
      </c>
      <c r="EZ39" s="6">
        <f t="shared" si="109"/>
        <v>0</v>
      </c>
      <c r="FA39" s="6">
        <f t="shared" si="110"/>
        <v>0</v>
      </c>
      <c r="FB39" s="6">
        <f t="shared" si="111"/>
        <v>0</v>
      </c>
      <c r="FC39" s="6">
        <f t="shared" si="112"/>
        <v>0</v>
      </c>
      <c r="FD39" s="6">
        <f t="shared" si="113"/>
        <v>0</v>
      </c>
      <c r="FE39" s="6">
        <f t="shared" si="114"/>
        <v>0</v>
      </c>
      <c r="FF39" s="6" t="str">
        <f t="shared" si="115"/>
        <v/>
      </c>
      <c r="FG39" s="6">
        <f t="shared" si="116"/>
        <v>0</v>
      </c>
      <c r="FH39" s="6" t="str">
        <f t="shared" si="117"/>
        <v/>
      </c>
      <c r="FI39" s="6">
        <f t="shared" si="118"/>
        <v>0</v>
      </c>
      <c r="FJ39" s="6">
        <f t="shared" si="119"/>
        <v>0</v>
      </c>
      <c r="FK39" s="6">
        <f t="shared" si="120"/>
        <v>0</v>
      </c>
      <c r="FL39" s="6">
        <f t="shared" si="121"/>
        <v>0</v>
      </c>
      <c r="FM39" s="6">
        <f t="shared" si="122"/>
        <v>0</v>
      </c>
      <c r="FN39" s="6">
        <f t="shared" si="123"/>
        <v>0</v>
      </c>
      <c r="FO39" s="6" t="str">
        <f t="shared" si="124"/>
        <v/>
      </c>
      <c r="FP39" s="6">
        <f t="shared" si="125"/>
        <v>0</v>
      </c>
      <c r="FQ39" s="6">
        <f t="shared" si="126"/>
        <v>80</v>
      </c>
      <c r="FR39" s="6" t="str">
        <f t="shared" si="127"/>
        <v>900</v>
      </c>
      <c r="FS39" s="6" t="str">
        <f t="shared" si="128"/>
        <v>2100</v>
      </c>
      <c r="FT39" s="6" t="str">
        <f t="shared" si="129"/>
        <v>1800</v>
      </c>
      <c r="FU39" s="6" t="str">
        <f t="shared" si="130"/>
        <v/>
      </c>
      <c r="FV39" s="6" t="str">
        <f t="shared" si="131"/>
        <v/>
      </c>
      <c r="FW39" s="6" t="str">
        <f t="shared" si="132"/>
        <v/>
      </c>
      <c r="FX39" s="6" t="str">
        <f t="shared" si="133"/>
        <v>42/42/42</v>
      </c>
      <c r="FY39" s="6">
        <f t="shared" si="134"/>
        <v>42</v>
      </c>
      <c r="FZ39" s="6">
        <f t="shared" si="135"/>
        <v>42</v>
      </c>
      <c r="GA39" s="6">
        <f t="shared" si="136"/>
        <v>42</v>
      </c>
      <c r="GB39" s="6">
        <f t="shared" si="137"/>
        <v>0</v>
      </c>
      <c r="GC39" s="6">
        <f t="shared" si="138"/>
        <v>0</v>
      </c>
      <c r="GD39" s="6">
        <f t="shared" si="139"/>
        <v>0</v>
      </c>
      <c r="GE39" s="6" t="str">
        <f t="shared" si="140"/>
        <v>42m/ 42m/ 42m</v>
      </c>
      <c r="GF39" s="6" t="str">
        <f t="shared" si="141"/>
        <v>42/42/42</v>
      </c>
      <c r="GG39" s="6">
        <f t="shared" si="142"/>
        <v>42</v>
      </c>
      <c r="GH39" s="6">
        <f t="shared" si="143"/>
        <v>42</v>
      </c>
      <c r="GI39" s="6">
        <f t="shared" si="144"/>
        <v>42</v>
      </c>
      <c r="GJ39" s="6">
        <f t="shared" si="145"/>
        <v>0</v>
      </c>
      <c r="GK39" s="6">
        <f t="shared" si="146"/>
        <v>0</v>
      </c>
      <c r="GL39" s="6">
        <f t="shared" si="147"/>
        <v>0</v>
      </c>
      <c r="GM39" s="6" t="str">
        <f t="shared" si="148"/>
        <v>42m/ 42m/ 42m</v>
      </c>
      <c r="GN39" s="6" t="str">
        <f t="shared" si="149"/>
        <v>42/42/42</v>
      </c>
      <c r="GO39" s="6">
        <f t="shared" si="150"/>
        <v>42</v>
      </c>
      <c r="GP39" s="6">
        <f t="shared" si="151"/>
        <v>42</v>
      </c>
      <c r="GQ39" s="6">
        <f t="shared" si="152"/>
        <v>42</v>
      </c>
      <c r="GR39" s="6">
        <f t="shared" si="153"/>
        <v>0</v>
      </c>
      <c r="GS39" s="6">
        <f t="shared" si="154"/>
        <v>0</v>
      </c>
      <c r="GT39" s="6">
        <f t="shared" si="155"/>
        <v>0</v>
      </c>
      <c r="GU39" s="6" t="str">
        <f t="shared" si="156"/>
        <v>42m/ 42m/ 42m</v>
      </c>
      <c r="GV39" s="6" t="str">
        <f t="shared" si="157"/>
        <v/>
      </c>
      <c r="GW39" s="6">
        <f t="shared" si="158"/>
        <v>0</v>
      </c>
      <c r="GX39" s="6">
        <f t="shared" si="159"/>
        <v>0</v>
      </c>
      <c r="GY39" s="6">
        <f t="shared" si="160"/>
        <v>0</v>
      </c>
      <c r="GZ39" s="6">
        <f t="shared" si="161"/>
        <v>0</v>
      </c>
      <c r="HA39" s="6">
        <f t="shared" si="162"/>
        <v>0</v>
      </c>
      <c r="HB39" s="6">
        <f t="shared" si="163"/>
        <v>0</v>
      </c>
      <c r="HC39" s="6" t="str">
        <f t="shared" si="164"/>
        <v/>
      </c>
      <c r="HD39" s="6" t="str">
        <f t="shared" si="165"/>
        <v/>
      </c>
      <c r="HE39" s="6">
        <f t="shared" si="166"/>
        <v>0</v>
      </c>
      <c r="HF39" s="6">
        <f t="shared" si="167"/>
        <v>0</v>
      </c>
      <c r="HG39" s="6">
        <f t="shared" si="168"/>
        <v>0</v>
      </c>
      <c r="HH39" s="6">
        <f t="shared" si="169"/>
        <v>0</v>
      </c>
      <c r="HI39" s="6">
        <f t="shared" si="170"/>
        <v>0</v>
      </c>
      <c r="HJ39" s="6">
        <f t="shared" si="171"/>
        <v>0</v>
      </c>
      <c r="HK39" s="6" t="str">
        <f t="shared" si="172"/>
        <v/>
      </c>
      <c r="HL39" s="6" t="str">
        <f t="shared" si="173"/>
        <v/>
      </c>
      <c r="HM39" s="6">
        <f t="shared" si="174"/>
        <v>0</v>
      </c>
      <c r="HN39" s="6">
        <f t="shared" si="175"/>
        <v>0</v>
      </c>
      <c r="HO39" s="6">
        <f t="shared" si="176"/>
        <v>0</v>
      </c>
      <c r="HP39" s="6">
        <f t="shared" si="177"/>
        <v>0</v>
      </c>
      <c r="HQ39" s="6">
        <f t="shared" si="178"/>
        <v>0</v>
      </c>
      <c r="HR39" s="6">
        <f t="shared" si="179"/>
        <v>0</v>
      </c>
      <c r="HS39" s="6" t="str">
        <f t="shared" si="180"/>
        <v/>
      </c>
      <c r="HT39" s="6" t="str">
        <f>INDEX(LabNameList,MATCH(V39,LabIDList,0))</f>
        <v>Trung tâm Kiểm định và Chứng nhận 1</v>
      </c>
      <c r="HU39" s="6">
        <f t="shared" si="181"/>
        <v>42</v>
      </c>
      <c r="HV39" s="6">
        <f t="shared" si="182"/>
        <v>42</v>
      </c>
      <c r="HW39" s="6">
        <f t="shared" si="183"/>
        <v>42</v>
      </c>
      <c r="HX39" s="6">
        <f t="shared" si="184"/>
        <v>0</v>
      </c>
      <c r="HY39" s="6">
        <f t="shared" si="185"/>
        <v>0</v>
      </c>
      <c r="HZ39" s="6">
        <f t="shared" si="186"/>
        <v>0</v>
      </c>
      <c r="IA39" s="5">
        <f t="shared" si="187"/>
        <v>42</v>
      </c>
      <c r="IB39" s="5">
        <f t="shared" si="188"/>
        <v>22</v>
      </c>
      <c r="IC39" s="132" t="str">
        <f t="shared" si="189"/>
        <v>A</v>
      </c>
      <c r="ID39" s="132" t="str">
        <f t="shared" si="190"/>
        <v>04019</v>
      </c>
      <c r="IE39" s="132" t="str">
        <f t="shared" si="191"/>
        <v>181019</v>
      </c>
      <c r="IF39" s="132" t="str">
        <f t="shared" si="192"/>
        <v>TG05</v>
      </c>
      <c r="IG39" s="171">
        <f t="shared" si="193"/>
        <v>43756</v>
      </c>
      <c r="IH39" s="171">
        <f t="shared" si="194"/>
        <v>45583</v>
      </c>
      <c r="II39" s="6">
        <v>37</v>
      </c>
    </row>
  </sheetData>
  <sheetProtection sheet="1" objects="1" scenarios="1" formatCells="0" formatColumns="0" formatRows="0" sort="0" autoFilter="0" pivotTables="0"/>
  <autoFilter ref="A1:II2"/>
  <conditionalFormatting sqref="F3">
    <cfRule type="expression" dxfId="3158" priority="14434">
      <formula>F3&lt;&gt;RIGHT(SUBSTITUTE(TRIM(E3),".",""),LEN(F3))</formula>
    </cfRule>
  </conditionalFormatting>
  <conditionalFormatting sqref="BS3">
    <cfRule type="expression" dxfId="3157" priority="14260">
      <formula>AND(J3&gt;=1,BS3&lt;1)</formula>
    </cfRule>
  </conditionalFormatting>
  <conditionalFormatting sqref="BT3">
    <cfRule type="expression" dxfId="3156" priority="10617">
      <formula>AND(J3&gt;=2,BT3&lt;1)</formula>
    </cfRule>
  </conditionalFormatting>
  <conditionalFormatting sqref="BU3">
    <cfRule type="expression" dxfId="3155" priority="10615">
      <formula>AND(J3&gt;=3,BU3&lt;1)</formula>
    </cfRule>
  </conditionalFormatting>
  <conditionalFormatting sqref="BV3">
    <cfRule type="expression" dxfId="3154" priority="10614">
      <formula>AND(J3&gt;=4,BV3&lt;1)</formula>
    </cfRule>
  </conditionalFormatting>
  <conditionalFormatting sqref="BW3">
    <cfRule type="expression" dxfId="3153" priority="10616">
      <formula>AND(J3&gt;=5,BW3&lt;1)</formula>
    </cfRule>
  </conditionalFormatting>
  <conditionalFormatting sqref="BX3">
    <cfRule type="expression" dxfId="3152" priority="10612">
      <formula>AND(J3&gt;=6,BX3&lt;1)</formula>
    </cfRule>
  </conditionalFormatting>
  <conditionalFormatting sqref="IC3">
    <cfRule type="expression" dxfId="3151" priority="14827">
      <formula>AND($S3 = TRUE, $IC3&lt;&gt;OptionsUnitCode)</formula>
    </cfRule>
  </conditionalFormatting>
  <conditionalFormatting sqref="A3:II3">
    <cfRule type="containsErrors" dxfId="3150" priority="4943">
      <formula>ISERROR(A3)</formula>
    </cfRule>
  </conditionalFormatting>
  <conditionalFormatting sqref="DP3">
    <cfRule type="expression" dxfId="3149" priority="14744">
      <formula>AND(BS3&gt;=1,DP3&lt;&gt;0, GetEquPower(AZ3,BM3, BZ3, FR3)=0)</formula>
    </cfRule>
    <cfRule type="expression" dxfId="3148" priority="14745">
      <formula>AND(BS3&gt;=1,DP3&lt;&gt;GetEquPower(AZ3,BM3, BZ3, FR3))</formula>
    </cfRule>
  </conditionalFormatting>
  <conditionalFormatting sqref="DQ3">
    <cfRule type="expression" dxfId="3147" priority="14746">
      <formula>AND(BS3&gt;=2,DQ3&lt;&gt;0, GetEquPower(AZ3,BM3, CA3, FR3)=0)</formula>
    </cfRule>
    <cfRule type="expression" dxfId="3146" priority="14747">
      <formula>AND(BS3&gt;=2,DQ3&lt;&gt;GetEquPower(AZ3,BM3, CA3, FR3))</formula>
    </cfRule>
  </conditionalFormatting>
  <conditionalFormatting sqref="DR3">
    <cfRule type="expression" dxfId="3145" priority="14748">
      <formula>AND(BS3&gt;=3,DR3&lt;&gt;0, GetEquPower(AZ3,BM3, CB3, FR3)=0)</formula>
    </cfRule>
    <cfRule type="expression" dxfId="3144" priority="14749">
      <formula>AND(BS3&gt;=3,DR3&lt;&gt;GetEquPower(AZ3,BM3, CB3, FR3))</formula>
    </cfRule>
  </conditionalFormatting>
  <conditionalFormatting sqref="DS3">
    <cfRule type="expression" dxfId="3143" priority="14780">
      <formula>AND(BS3&gt;=4,DS3&lt;&gt;0, GetEquPower(AZ3,BM3, CC3, FR3)=0)</formula>
    </cfRule>
    <cfRule type="expression" dxfId="3142" priority="14781">
      <formula>AND(BS3&gt;=4, DS3&lt;&gt;GetEquPower(AZ3,BM3, CC3, FR3))</formula>
    </cfRule>
  </conditionalFormatting>
  <conditionalFormatting sqref="DT3">
    <cfRule type="expression" dxfId="3141" priority="14792">
      <formula>AND(BS3&gt;=5,DT3&lt;&gt;0, GetEquPower(AZ3,BM3, CD3, FR3)=0)</formula>
    </cfRule>
    <cfRule type="expression" dxfId="3140" priority="14793">
      <formula>AND(BS3&gt;=5, DT3&lt;&gt;GetEquPower(AZ3,BM3, CD3, FR3))</formula>
    </cfRule>
  </conditionalFormatting>
  <conditionalFormatting sqref="DU3">
    <cfRule type="expression" dxfId="3139" priority="14794">
      <formula>AND(BS3&gt;=6,DU3&lt;&gt;0, GetEquPower(AZ3,BM3, CE3, FR3)=0)</formula>
    </cfRule>
    <cfRule type="expression" dxfId="3138" priority="14795">
      <formula>AND(BS3&gt;=6, DU3&lt;&gt;GetEquPower(AZ3,BM3, CE3, FR3))</formula>
    </cfRule>
  </conditionalFormatting>
  <conditionalFormatting sqref="DY3">
    <cfRule type="expression" dxfId="3137" priority="14750">
      <formula>AND(BT3&gt;=1,DY3&lt;&gt;0, GetEquPower(BA3,BN3, CG3, FS3)=0)</formula>
    </cfRule>
    <cfRule type="expression" dxfId="3136" priority="14751">
      <formula>AND(BT3&gt;=1,DY3&lt;&gt;GetEquPower(BA3,BN3, CG3, FS3))</formula>
    </cfRule>
  </conditionalFormatting>
  <conditionalFormatting sqref="DZ3">
    <cfRule type="expression" dxfId="3135" priority="14752">
      <formula>AND(BT3&gt;=2,DZ3&lt;&gt;0, GetEquPower(BA3,BN3, CH3, FS3)=0)</formula>
    </cfRule>
    <cfRule type="expression" dxfId="3134" priority="14753">
      <formula>AND(BT3&gt;=2,DZ3&lt;&gt;GetEquPower(BA3,BN3, CH3, FS3))</formula>
    </cfRule>
  </conditionalFormatting>
  <conditionalFormatting sqref="EA3">
    <cfRule type="expression" dxfId="3133" priority="14754">
      <formula>AND(BT3&gt;=3,EA3&lt;&gt;0, GetEquPower(BA3,BN3, CI3, FS3)=0)</formula>
    </cfRule>
    <cfRule type="expression" dxfId="3132" priority="14755">
      <formula>AND(BT3&gt;=3,EA3&lt;&gt;GetEquPower(BA3,BN3, CI3, FS3))</formula>
    </cfRule>
  </conditionalFormatting>
  <conditionalFormatting sqref="EB3">
    <cfRule type="expression" dxfId="3131" priority="14782">
      <formula>AND(BT3&gt;=4,EB3&lt;&gt;0, GetEquPower(BA3,BN3, CJ3, FS3)=0)</formula>
    </cfRule>
    <cfRule type="expression" dxfId="3130" priority="14783">
      <formula>AND(BT3&gt;=4,EB3&lt;&gt;GetEquPower(BA3,BN3, CJ3, FS3))</formula>
    </cfRule>
  </conditionalFormatting>
  <conditionalFormatting sqref="EC3">
    <cfRule type="expression" dxfId="3129" priority="14796">
      <formula>AND(BT3&gt;=5,EC3&lt;&gt;0, GetEquPower(BA3,BN3, CK3, FS3)=0)</formula>
    </cfRule>
    <cfRule type="expression" dxfId="3128" priority="14797">
      <formula>AND(BT3&gt;=5,EC3&lt;&gt;GetEquPower(BA3,BN3, CK3, FS3))</formula>
    </cfRule>
  </conditionalFormatting>
  <conditionalFormatting sqref="ED3">
    <cfRule type="expression" dxfId="3127" priority="14798">
      <formula>AND(BT3&gt;=6,ED3&lt;&gt;0, GetEquPower(BA3,BN3, CL3, FS3)=0)</formula>
    </cfRule>
    <cfRule type="expression" dxfId="3126" priority="14799">
      <formula>AND(BT3&gt;=6,ED3&lt;&gt;GetEquPower(BA3,BN3, CL3, FS3))</formula>
    </cfRule>
  </conditionalFormatting>
  <conditionalFormatting sqref="EH3">
    <cfRule type="expression" dxfId="3125" priority="14756">
      <formula>AND(BU3&gt;=1,EH3&lt;&gt;0, GetEquPower(BB3,BO3, CN3, FT3)=0)</formula>
    </cfRule>
    <cfRule type="expression" dxfId="3124" priority="14757">
      <formula>AND(BU3&gt;=1,EH3&lt;&gt;GetEquPower(BB3,BO3, CN3, FT3))</formula>
    </cfRule>
  </conditionalFormatting>
  <conditionalFormatting sqref="EI3">
    <cfRule type="expression" dxfId="3123" priority="14758">
      <formula>AND(BU3&gt;=2,EI3&lt;&gt;0, GetEquPower(BB3,BO3, CO3, FT3)=0)</formula>
    </cfRule>
    <cfRule type="expression" dxfId="3122" priority="14759">
      <formula xml:space="preserve"> AND(BU3&gt;=2,EI3&lt;&gt;GetEquPower(BB3,BO3, CO3, FT3))</formula>
    </cfRule>
  </conditionalFormatting>
  <conditionalFormatting sqref="EJ3">
    <cfRule type="expression" dxfId="3121" priority="14760">
      <formula>AND(BU3&gt;=3,EJ3&lt;&gt;0, GetEquPower(BB3,BO3, CP3, FT3)=0)</formula>
    </cfRule>
    <cfRule type="expression" dxfId="3120" priority="14761">
      <formula xml:space="preserve"> AND(BU3&gt;=3,EJ3&lt;&gt;GetEquPower(BB3,BO3, CP3, FT3))</formula>
    </cfRule>
  </conditionalFormatting>
  <conditionalFormatting sqref="EK3">
    <cfRule type="expression" dxfId="3119" priority="14784">
      <formula>AND(BU3&gt;=4,EK3&lt;&gt;0, GetEquPower(BB3,BO3, CQ3, FT3)=0)</formula>
    </cfRule>
    <cfRule type="expression" dxfId="3118" priority="14785">
      <formula xml:space="preserve"> AND(BU3&gt;=4,EK3&lt;&gt;GetEquPower(BB3,BO3, CQ3, FT3))</formula>
    </cfRule>
  </conditionalFormatting>
  <conditionalFormatting sqref="EL3">
    <cfRule type="expression" dxfId="3117" priority="14800">
      <formula>AND(BU3&gt;=5,EL3&lt;&gt;0, GetEquPower(BB3,BO3, CR3, FT3)=0)</formula>
    </cfRule>
    <cfRule type="expression" dxfId="3116" priority="14801">
      <formula xml:space="preserve"> AND(BU3&gt;=5,EL3&lt;&gt;GetEquPower(BB3,BO3, CR3, FT3))</formula>
    </cfRule>
  </conditionalFormatting>
  <conditionalFormatting sqref="EM3">
    <cfRule type="expression" dxfId="3115" priority="14802">
      <formula>AND(BU3&gt;=6,EM3&lt;&gt;0, GetEquPower(BB3,BO3, CS3, FT3)=0)</formula>
    </cfRule>
    <cfRule type="expression" dxfId="3114" priority="14803">
      <formula xml:space="preserve"> AND(BU3&gt;=6,EM3&lt;&gt;GetEquPower(BB3,BO3, CS3, FT3))</formula>
    </cfRule>
  </conditionalFormatting>
  <conditionalFormatting sqref="EQ3">
    <cfRule type="expression" dxfId="3113" priority="14762">
      <formula>AND(BV3&gt;=1,EQ3&lt;&gt;0, GetEquPower(BC3,BP3, CU3, FU3)=0)</formula>
    </cfRule>
    <cfRule type="expression" dxfId="3112" priority="14763">
      <formula>AND(BV3&gt;=1,EQ3&lt;&gt;GetEquPower(BC3,BP3, CU3, FU3))</formula>
    </cfRule>
  </conditionalFormatting>
  <conditionalFormatting sqref="ER3">
    <cfRule type="expression" dxfId="3111" priority="14764">
      <formula>AND(BV3&gt;=2,ER3&lt;&gt;0, GetEquPower(BC3,BP3, CV3, FU3)=0)</formula>
    </cfRule>
    <cfRule type="expression" dxfId="3110" priority="14765">
      <formula>AND(BV3&gt;=2,ER3&lt;&gt;GetEquPower(BC3,BP3, CV3, FU3))</formula>
    </cfRule>
  </conditionalFormatting>
  <conditionalFormatting sqref="ES3">
    <cfRule type="expression" dxfId="3109" priority="14766">
      <formula>AND(BV3&gt;=3,ES3&lt;&gt;0, GetEquPower(BC3,BP3, CW3, FU3)=0)</formula>
    </cfRule>
    <cfRule type="expression" dxfId="3108" priority="14767">
      <formula>AND(BV3&gt;=3,ES3&lt;&gt;GetEquPower(BC3,BP3, CW3, FU3))</formula>
    </cfRule>
  </conditionalFormatting>
  <conditionalFormatting sqref="ET3">
    <cfRule type="expression" dxfId="3107" priority="14786">
      <formula>AND(BV3&gt;=4,ET3&lt;&gt;0, GetEquPower(BC3,BP3, CX3, FU3)=0)</formula>
    </cfRule>
    <cfRule type="expression" dxfId="3106" priority="14787">
      <formula>AND(BV3&gt;=4,ET3&lt;&gt;GetEquPower(BC3,BP3, CX3, FU3))</formula>
    </cfRule>
  </conditionalFormatting>
  <conditionalFormatting sqref="EU3">
    <cfRule type="expression" dxfId="3105" priority="14804">
      <formula>AND(BV3&gt;=5,EU3&lt;&gt;0, GetEquPower(BC3,BP3, CY3, FU3)=0)</formula>
    </cfRule>
    <cfRule type="expression" dxfId="3104" priority="14805">
      <formula>AND(BV3&gt;=5,EU3&lt;&gt;GetEquPower(BC3,BP3, CY3, FU3))</formula>
    </cfRule>
  </conditionalFormatting>
  <conditionalFormatting sqref="EV3">
    <cfRule type="expression" dxfId="3103" priority="14806">
      <formula>AND(BV3&gt;=6,EV3&lt;&gt;0, GetEquPower(BC3,BP3, CZ3, FU3)=0)</formula>
    </cfRule>
    <cfRule type="expression" dxfId="3102" priority="14807">
      <formula>AND(BV3&gt;=6,EV3&lt;&gt;GetEquPower(BC3,BP3, CZ3, FU3))</formula>
    </cfRule>
  </conditionalFormatting>
  <conditionalFormatting sqref="EZ3">
    <cfRule type="expression" dxfId="3101" priority="14768">
      <formula>AND(BW3&gt;=1,EZ3&lt;&gt;0, GetEquPower(BD3,BQ3, DB3, FV3)=0)</formula>
    </cfRule>
    <cfRule type="expression" dxfId="3100" priority="14769">
      <formula>AND(BW3&gt;=1,EZ3&lt;&gt;GetEquPower(BD3,BQ3, DB3, FV3))</formula>
    </cfRule>
  </conditionalFormatting>
  <conditionalFormatting sqref="FA3">
    <cfRule type="expression" dxfId="3099" priority="14770">
      <formula>AND(BW3&gt;=2,FA3&lt;&gt;0, GetEquPower(BD3,BQ3, DC3, FV3)=0)</formula>
    </cfRule>
    <cfRule type="expression" dxfId="3098" priority="14771">
      <formula>AND(BW3&gt;=2,FA3&lt;&gt;GetEquPower(BD3,BQ3, DC3, FV3))</formula>
    </cfRule>
  </conditionalFormatting>
  <conditionalFormatting sqref="FB3">
    <cfRule type="expression" dxfId="3097" priority="14772">
      <formula>AND(BW3&gt;=3,FB3&lt;&gt;0, GetEquPower(BD3,BQ3, DD3, FV3)=0)</formula>
    </cfRule>
    <cfRule type="expression" dxfId="3096" priority="14773">
      <formula>AND(BW3&gt;=3,FB3&lt;&gt;GetEquPower(BD3,BQ3, DD3, FV3))</formula>
    </cfRule>
  </conditionalFormatting>
  <conditionalFormatting sqref="FC3">
    <cfRule type="expression" dxfId="3095" priority="14788">
      <formula>AND(BW3&gt;=4,FC3&lt;&gt;0, GetEquPower(BD3,BQ3, DE3, FV3)=0)</formula>
    </cfRule>
    <cfRule type="expression" dxfId="3094" priority="14789">
      <formula>AND(BW3&gt;=4,FC3&lt;&gt;GetEquPower(BD3,BQ3, DE3, FV3))</formula>
    </cfRule>
  </conditionalFormatting>
  <conditionalFormatting sqref="FD3">
    <cfRule type="expression" dxfId="3093" priority="14808">
      <formula>AND(BW3&gt;=5,FD3&lt;&gt;0, GetEquPower(BD3,BQ3, DF3, FV3)=0)</formula>
    </cfRule>
    <cfRule type="expression" dxfId="3092" priority="14809">
      <formula>AND(BW3&gt;=5,FD3&lt;&gt;GetEquPower(BD3,BQ3, DF3, FV3))</formula>
    </cfRule>
  </conditionalFormatting>
  <conditionalFormatting sqref="FE3">
    <cfRule type="expression" dxfId="3091" priority="14810">
      <formula>AND(BW3&gt;=6,FE3&lt;&gt;0, GetEquPower(BD3,BQ3, DG3, FV3)=0)</formula>
    </cfRule>
    <cfRule type="expression" dxfId="3090" priority="14811">
      <formula>AND(BW3&gt;=6,FE3&lt;&gt;GetEquPower(BD3,BQ3, DG3, FV3))</formula>
    </cfRule>
  </conditionalFormatting>
  <conditionalFormatting sqref="FI3">
    <cfRule type="expression" dxfId="3089" priority="14774">
      <formula>AND(BX3&gt;=1,FI3&lt;&gt;0, GetEquPower(BE3,BR3, DI3, FW3)=0)</formula>
    </cfRule>
    <cfRule type="expression" dxfId="3088" priority="14775">
      <formula>AND(BX3&gt;=1,FI3&lt;&gt;GetEquPower(BE3,BR3, DI3, FW3))</formula>
    </cfRule>
  </conditionalFormatting>
  <conditionalFormatting sqref="FJ3">
    <cfRule type="expression" dxfId="3087" priority="14776">
      <formula>AND(BX3&gt;=2,FJ3&lt;&gt;0, GetEquPower(BE3,BR3, DJ3, FW3)=0)</formula>
    </cfRule>
    <cfRule type="expression" dxfId="3086" priority="14777">
      <formula>AND(BX3&gt;=2,FJ3&lt;&gt;GetEquPower(BE3,BR3, DJ3, FW3))</formula>
    </cfRule>
  </conditionalFormatting>
  <conditionalFormatting sqref="FK3">
    <cfRule type="expression" dxfId="3085" priority="14778">
      <formula>AND(BX3&gt;=3,FK3&lt;&gt;0, GetEquPower(BE3,BR3, DK3, FW3)=0)</formula>
    </cfRule>
    <cfRule type="expression" dxfId="3084" priority="14779">
      <formula>AND(BX3&gt;=3,FK3&lt;&gt;GetEquPower(BE3,BR3, DK3, FW3))</formula>
    </cfRule>
  </conditionalFormatting>
  <conditionalFormatting sqref="FL3">
    <cfRule type="expression" dxfId="3083" priority="14790">
      <formula>AND(BX3&gt;=4,FL3&lt;&gt;0, GetEquPower(BE3,BR3, DL3, FW3)=0)</formula>
    </cfRule>
    <cfRule type="expression" dxfId="3082" priority="14791">
      <formula>AND(BX3&gt;=4,FL3&lt;&gt;GetEquPower(BE3,BR3, DL3, FW3))</formula>
    </cfRule>
  </conditionalFormatting>
  <conditionalFormatting sqref="FM3">
    <cfRule type="expression" dxfId="3081" priority="14812">
      <formula>AND(BX3&gt;=5,FM3&lt;&gt;0, GetEquPower(BE3,BR3, DM3, FW3)=0)</formula>
    </cfRule>
    <cfRule type="expression" dxfId="3080" priority="14813">
      <formula>AND(BX3&gt;=5,FM3&lt;&gt;GetEquPower(BE3,BR3, DM3, FW3))</formula>
    </cfRule>
  </conditionalFormatting>
  <conditionalFormatting sqref="FN3">
    <cfRule type="expression" dxfId="3079" priority="14814">
      <formula>AND(BX3&gt;=6,FN3&lt;&gt;0, GetEquPower(BE3,BR3, DN3, FW3)=0)</formula>
    </cfRule>
    <cfRule type="expression" dxfId="3078" priority="14815">
      <formula>AND(BX3&gt;=6,FN3&lt;&gt;GetEquPower(BE3,BR3, DN3, FW3))</formula>
    </cfRule>
  </conditionalFormatting>
  <conditionalFormatting sqref="F4:F39">
    <cfRule type="expression" dxfId="3077" priority="8">
      <formula>F4&lt;&gt;RIGHT(SUBSTITUTE(TRIM(E4),".",""),LEN(F4))</formula>
    </cfRule>
  </conditionalFormatting>
  <conditionalFormatting sqref="BS4:BS39">
    <cfRule type="expression" dxfId="3076" priority="7">
      <formula>AND(J4&gt;=1,BS4&lt;1)</formula>
    </cfRule>
  </conditionalFormatting>
  <conditionalFormatting sqref="BT4:BT39">
    <cfRule type="expression" dxfId="3075" priority="6">
      <formula>AND(J4&gt;=2,BT4&lt;1)</formula>
    </cfRule>
  </conditionalFormatting>
  <conditionalFormatting sqref="BU4:BU39">
    <cfRule type="expression" dxfId="3074" priority="4">
      <formula>AND(J4&gt;=3,BU4&lt;1)</formula>
    </cfRule>
  </conditionalFormatting>
  <conditionalFormatting sqref="BV4:BV39">
    <cfRule type="expression" dxfId="3073" priority="3">
      <formula>AND(J4&gt;=4,BV4&lt;1)</formula>
    </cfRule>
  </conditionalFormatting>
  <conditionalFormatting sqref="BW4:BW39">
    <cfRule type="expression" dxfId="3072" priority="5">
      <formula>AND(J4&gt;=5,BW4&lt;1)</formula>
    </cfRule>
  </conditionalFormatting>
  <conditionalFormatting sqref="BX4:BX39">
    <cfRule type="expression" dxfId="3071" priority="2">
      <formula>AND(J4&gt;=6,BX4&lt;1)</formula>
    </cfRule>
  </conditionalFormatting>
  <conditionalFormatting sqref="IC4:IC39">
    <cfRule type="expression" dxfId="3070" priority="81">
      <formula>AND($S4 = TRUE, $IC4&lt;&gt;OptionsUnitCode)</formula>
    </cfRule>
  </conditionalFormatting>
  <conditionalFormatting sqref="A4:II39">
    <cfRule type="containsErrors" dxfId="3069" priority="1">
      <formula>ISERROR(A4)</formula>
    </cfRule>
  </conditionalFormatting>
  <conditionalFormatting sqref="DP4:DP39">
    <cfRule type="expression" dxfId="3068" priority="9">
      <formula>AND(BS4&gt;=1,DP4&lt;&gt;0, GetEquPower(AZ4,BM4, BZ4, FR4)=0)</formula>
    </cfRule>
    <cfRule type="expression" dxfId="3067" priority="10">
      <formula>AND(BS4&gt;=1,DP4&lt;&gt;GetEquPower(AZ4,BM4, BZ4, FR4))</formula>
    </cfRule>
  </conditionalFormatting>
  <conditionalFormatting sqref="DQ4:DQ39">
    <cfRule type="expression" dxfId="3066" priority="11">
      <formula>AND(BS4&gt;=2,DQ4&lt;&gt;0, GetEquPower(AZ4,BM4, CA4, FR4)=0)</formula>
    </cfRule>
    <cfRule type="expression" dxfId="3065" priority="12">
      <formula>AND(BS4&gt;=2,DQ4&lt;&gt;GetEquPower(AZ4,BM4, CA4, FR4))</formula>
    </cfRule>
  </conditionalFormatting>
  <conditionalFormatting sqref="DR4:DR39">
    <cfRule type="expression" dxfId="3064" priority="13">
      <formula>AND(BS4&gt;=3,DR4&lt;&gt;0, GetEquPower(AZ4,BM4, CB4, FR4)=0)</formula>
    </cfRule>
    <cfRule type="expression" dxfId="3063" priority="14">
      <formula>AND(BS4&gt;=3,DR4&lt;&gt;GetEquPower(AZ4,BM4, CB4, FR4))</formula>
    </cfRule>
  </conditionalFormatting>
  <conditionalFormatting sqref="DS4:DS39">
    <cfRule type="expression" dxfId="3062" priority="45">
      <formula>AND(BS4&gt;=4,DS4&lt;&gt;0, GetEquPower(AZ4,BM4, CC4, FR4)=0)</formula>
    </cfRule>
    <cfRule type="expression" dxfId="3061" priority="46">
      <formula>AND(BS4&gt;=4, DS4&lt;&gt;GetEquPower(AZ4,BM4, CC4, FR4))</formula>
    </cfRule>
  </conditionalFormatting>
  <conditionalFormatting sqref="DT4:DT39">
    <cfRule type="expression" dxfId="3060" priority="57">
      <formula>AND(BS4&gt;=5,DT4&lt;&gt;0, GetEquPower(AZ4,BM4, CD4, FR4)=0)</formula>
    </cfRule>
    <cfRule type="expression" dxfId="3059" priority="58">
      <formula>AND(BS4&gt;=5, DT4&lt;&gt;GetEquPower(AZ4,BM4, CD4, FR4))</formula>
    </cfRule>
  </conditionalFormatting>
  <conditionalFormatting sqref="DU4:DU39">
    <cfRule type="expression" dxfId="3058" priority="59">
      <formula>AND(BS4&gt;=6,DU4&lt;&gt;0, GetEquPower(AZ4,BM4, CE4, FR4)=0)</formula>
    </cfRule>
    <cfRule type="expression" dxfId="3057" priority="60">
      <formula>AND(BS4&gt;=6, DU4&lt;&gt;GetEquPower(AZ4,BM4, CE4, FR4))</formula>
    </cfRule>
  </conditionalFormatting>
  <conditionalFormatting sqref="DY4:DY39">
    <cfRule type="expression" dxfId="3056" priority="15">
      <formula>AND(BT4&gt;=1,DY4&lt;&gt;0, GetEquPower(BA4,BN4, CG4, FS4)=0)</formula>
    </cfRule>
    <cfRule type="expression" dxfId="3055" priority="16">
      <formula>AND(BT4&gt;=1,DY4&lt;&gt;GetEquPower(BA4,BN4, CG4, FS4))</formula>
    </cfRule>
  </conditionalFormatting>
  <conditionalFormatting sqref="DZ4:DZ39">
    <cfRule type="expression" dxfId="3054" priority="17">
      <formula>AND(BT4&gt;=2,DZ4&lt;&gt;0, GetEquPower(BA4,BN4, CH4, FS4)=0)</formula>
    </cfRule>
    <cfRule type="expression" dxfId="3053" priority="18">
      <formula>AND(BT4&gt;=2,DZ4&lt;&gt;GetEquPower(BA4,BN4, CH4, FS4))</formula>
    </cfRule>
  </conditionalFormatting>
  <conditionalFormatting sqref="EA4:EA39">
    <cfRule type="expression" dxfId="3052" priority="19">
      <formula>AND(BT4&gt;=3,EA4&lt;&gt;0, GetEquPower(BA4,BN4, CI4, FS4)=0)</formula>
    </cfRule>
    <cfRule type="expression" dxfId="3051" priority="20">
      <formula>AND(BT4&gt;=3,EA4&lt;&gt;GetEquPower(BA4,BN4, CI4, FS4))</formula>
    </cfRule>
  </conditionalFormatting>
  <conditionalFormatting sqref="EB4:EB39">
    <cfRule type="expression" dxfId="3050" priority="47">
      <formula>AND(BT4&gt;=4,EB4&lt;&gt;0, GetEquPower(BA4,BN4, CJ4, FS4)=0)</formula>
    </cfRule>
    <cfRule type="expression" dxfId="3049" priority="48">
      <formula>AND(BT4&gt;=4,EB4&lt;&gt;GetEquPower(BA4,BN4, CJ4, FS4))</formula>
    </cfRule>
  </conditionalFormatting>
  <conditionalFormatting sqref="EC4:EC39">
    <cfRule type="expression" dxfId="3048" priority="61">
      <formula>AND(BT4&gt;=5,EC4&lt;&gt;0, GetEquPower(BA4,BN4, CK4, FS4)=0)</formula>
    </cfRule>
    <cfRule type="expression" dxfId="3047" priority="62">
      <formula>AND(BT4&gt;=5,EC4&lt;&gt;GetEquPower(BA4,BN4, CK4, FS4))</formula>
    </cfRule>
  </conditionalFormatting>
  <conditionalFormatting sqref="ED4:ED39">
    <cfRule type="expression" dxfId="3046" priority="63">
      <formula>AND(BT4&gt;=6,ED4&lt;&gt;0, GetEquPower(BA4,BN4, CL4, FS4)=0)</formula>
    </cfRule>
    <cfRule type="expression" dxfId="3045" priority="64">
      <formula>AND(BT4&gt;=6,ED4&lt;&gt;GetEquPower(BA4,BN4, CL4, FS4))</formula>
    </cfRule>
  </conditionalFormatting>
  <conditionalFormatting sqref="EH4:EH39">
    <cfRule type="expression" dxfId="3044" priority="21">
      <formula>AND(BU4&gt;=1,EH4&lt;&gt;0, GetEquPower(BB4,BO4, CN4, FT4)=0)</formula>
    </cfRule>
    <cfRule type="expression" dxfId="3043" priority="22">
      <formula>AND(BU4&gt;=1,EH4&lt;&gt;GetEquPower(BB4,BO4, CN4, FT4))</formula>
    </cfRule>
  </conditionalFormatting>
  <conditionalFormatting sqref="EI4:EI39">
    <cfRule type="expression" dxfId="3042" priority="23">
      <formula>AND(BU4&gt;=2,EI4&lt;&gt;0, GetEquPower(BB4,BO4, CO4, FT4)=0)</formula>
    </cfRule>
    <cfRule type="expression" dxfId="3041" priority="24">
      <formula xml:space="preserve"> AND(BU4&gt;=2,EI4&lt;&gt;GetEquPower(BB4,BO4, CO4, FT4))</formula>
    </cfRule>
  </conditionalFormatting>
  <conditionalFormatting sqref="EJ4:EJ39">
    <cfRule type="expression" dxfId="3040" priority="25">
      <formula>AND(BU4&gt;=3,EJ4&lt;&gt;0, GetEquPower(BB4,BO4, CP4, FT4)=0)</formula>
    </cfRule>
    <cfRule type="expression" dxfId="3039" priority="26">
      <formula xml:space="preserve"> AND(BU4&gt;=3,EJ4&lt;&gt;GetEquPower(BB4,BO4, CP4, FT4))</formula>
    </cfRule>
  </conditionalFormatting>
  <conditionalFormatting sqref="EK4:EK39">
    <cfRule type="expression" dxfId="3038" priority="49">
      <formula>AND(BU4&gt;=4,EK4&lt;&gt;0, GetEquPower(BB4,BO4, CQ4, FT4)=0)</formula>
    </cfRule>
    <cfRule type="expression" dxfId="3037" priority="50">
      <formula xml:space="preserve"> AND(BU4&gt;=4,EK4&lt;&gt;GetEquPower(BB4,BO4, CQ4, FT4))</formula>
    </cfRule>
  </conditionalFormatting>
  <conditionalFormatting sqref="EL4:EL39">
    <cfRule type="expression" dxfId="3036" priority="65">
      <formula>AND(BU4&gt;=5,EL4&lt;&gt;0, GetEquPower(BB4,BO4, CR4, FT4)=0)</formula>
    </cfRule>
    <cfRule type="expression" dxfId="3035" priority="66">
      <formula xml:space="preserve"> AND(BU4&gt;=5,EL4&lt;&gt;GetEquPower(BB4,BO4, CR4, FT4))</formula>
    </cfRule>
  </conditionalFormatting>
  <conditionalFormatting sqref="EM4:EM39">
    <cfRule type="expression" dxfId="3034" priority="67">
      <formula>AND(BU4&gt;=6,EM4&lt;&gt;0, GetEquPower(BB4,BO4, CS4, FT4)=0)</formula>
    </cfRule>
    <cfRule type="expression" dxfId="3033" priority="68">
      <formula xml:space="preserve"> AND(BU4&gt;=6,EM4&lt;&gt;GetEquPower(BB4,BO4, CS4, FT4))</formula>
    </cfRule>
  </conditionalFormatting>
  <conditionalFormatting sqref="EQ4:EQ39">
    <cfRule type="expression" dxfId="3032" priority="27">
      <formula>AND(BV4&gt;=1,EQ4&lt;&gt;0, GetEquPower(BC4,BP4, CU4, FU4)=0)</formula>
    </cfRule>
    <cfRule type="expression" dxfId="3031" priority="28">
      <formula>AND(BV4&gt;=1,EQ4&lt;&gt;GetEquPower(BC4,BP4, CU4, FU4))</formula>
    </cfRule>
  </conditionalFormatting>
  <conditionalFormatting sqref="ER4:ER39">
    <cfRule type="expression" dxfId="3030" priority="29">
      <formula>AND(BV4&gt;=2,ER4&lt;&gt;0, GetEquPower(BC4,BP4, CV4, FU4)=0)</formula>
    </cfRule>
    <cfRule type="expression" dxfId="3029" priority="30">
      <formula>AND(BV4&gt;=2,ER4&lt;&gt;GetEquPower(BC4,BP4, CV4, FU4))</formula>
    </cfRule>
  </conditionalFormatting>
  <conditionalFormatting sqref="ES4:ES39">
    <cfRule type="expression" dxfId="3028" priority="31">
      <formula>AND(BV4&gt;=3,ES4&lt;&gt;0, GetEquPower(BC4,BP4, CW4, FU4)=0)</formula>
    </cfRule>
    <cfRule type="expression" dxfId="3027" priority="32">
      <formula>AND(BV4&gt;=3,ES4&lt;&gt;GetEquPower(BC4,BP4, CW4, FU4))</formula>
    </cfRule>
  </conditionalFormatting>
  <conditionalFormatting sqref="ET4:ET39">
    <cfRule type="expression" dxfId="3026" priority="51">
      <formula>AND(BV4&gt;=4,ET4&lt;&gt;0, GetEquPower(BC4,BP4, CX4, FU4)=0)</formula>
    </cfRule>
    <cfRule type="expression" dxfId="3025" priority="52">
      <formula>AND(BV4&gt;=4,ET4&lt;&gt;GetEquPower(BC4,BP4, CX4, FU4))</formula>
    </cfRule>
  </conditionalFormatting>
  <conditionalFormatting sqref="EU4:EU39">
    <cfRule type="expression" dxfId="3024" priority="69">
      <formula>AND(BV4&gt;=5,EU4&lt;&gt;0, GetEquPower(BC4,BP4, CY4, FU4)=0)</formula>
    </cfRule>
    <cfRule type="expression" dxfId="3023" priority="70">
      <formula>AND(BV4&gt;=5,EU4&lt;&gt;GetEquPower(BC4,BP4, CY4, FU4))</formula>
    </cfRule>
  </conditionalFormatting>
  <conditionalFormatting sqref="EV4:EV39">
    <cfRule type="expression" dxfId="3022" priority="71">
      <formula>AND(BV4&gt;=6,EV4&lt;&gt;0, GetEquPower(BC4,BP4, CZ4, FU4)=0)</formula>
    </cfRule>
    <cfRule type="expression" dxfId="3021" priority="72">
      <formula>AND(BV4&gt;=6,EV4&lt;&gt;GetEquPower(BC4,BP4, CZ4, FU4))</formula>
    </cfRule>
  </conditionalFormatting>
  <conditionalFormatting sqref="EZ4:EZ39">
    <cfRule type="expression" dxfId="3020" priority="33">
      <formula>AND(BW4&gt;=1,EZ4&lt;&gt;0, GetEquPower(BD4,BQ4, DB4, FV4)=0)</formula>
    </cfRule>
    <cfRule type="expression" dxfId="3019" priority="34">
      <formula>AND(BW4&gt;=1,EZ4&lt;&gt;GetEquPower(BD4,BQ4, DB4, FV4))</formula>
    </cfRule>
  </conditionalFormatting>
  <conditionalFormatting sqref="FA4:FA39">
    <cfRule type="expression" dxfId="3018" priority="35">
      <formula>AND(BW4&gt;=2,FA4&lt;&gt;0, GetEquPower(BD4,BQ4, DC4, FV4)=0)</formula>
    </cfRule>
    <cfRule type="expression" dxfId="3017" priority="36">
      <formula>AND(BW4&gt;=2,FA4&lt;&gt;GetEquPower(BD4,BQ4, DC4, FV4))</formula>
    </cfRule>
  </conditionalFormatting>
  <conditionalFormatting sqref="FB4:FB39">
    <cfRule type="expression" dxfId="3016" priority="37">
      <formula>AND(BW4&gt;=3,FB4&lt;&gt;0, GetEquPower(BD4,BQ4, DD4, FV4)=0)</formula>
    </cfRule>
    <cfRule type="expression" dxfId="3015" priority="38">
      <formula>AND(BW4&gt;=3,FB4&lt;&gt;GetEquPower(BD4,BQ4, DD4, FV4))</formula>
    </cfRule>
  </conditionalFormatting>
  <conditionalFormatting sqref="FC4:FC39">
    <cfRule type="expression" dxfId="3014" priority="53">
      <formula>AND(BW4&gt;=4,FC4&lt;&gt;0, GetEquPower(BD4,BQ4, DE4, FV4)=0)</formula>
    </cfRule>
    <cfRule type="expression" dxfId="3013" priority="54">
      <formula>AND(BW4&gt;=4,FC4&lt;&gt;GetEquPower(BD4,BQ4, DE4, FV4))</formula>
    </cfRule>
  </conditionalFormatting>
  <conditionalFormatting sqref="FD4:FD39">
    <cfRule type="expression" dxfId="3012" priority="73">
      <formula>AND(BW4&gt;=5,FD4&lt;&gt;0, GetEquPower(BD4,BQ4, DF4, FV4)=0)</formula>
    </cfRule>
    <cfRule type="expression" dxfId="3011" priority="74">
      <formula>AND(BW4&gt;=5,FD4&lt;&gt;GetEquPower(BD4,BQ4, DF4, FV4))</formula>
    </cfRule>
  </conditionalFormatting>
  <conditionalFormatting sqref="FE4:FE39">
    <cfRule type="expression" dxfId="3010" priority="75">
      <formula>AND(BW4&gt;=6,FE4&lt;&gt;0, GetEquPower(BD4,BQ4, DG4, FV4)=0)</formula>
    </cfRule>
    <cfRule type="expression" dxfId="3009" priority="76">
      <formula>AND(BW4&gt;=6,FE4&lt;&gt;GetEquPower(BD4,BQ4, DG4, FV4))</formula>
    </cfRule>
  </conditionalFormatting>
  <conditionalFormatting sqref="FI4:FI39">
    <cfRule type="expression" dxfId="3008" priority="39">
      <formula>AND(BX4&gt;=1,FI4&lt;&gt;0, GetEquPower(BE4,BR4, DI4, FW4)=0)</formula>
    </cfRule>
    <cfRule type="expression" dxfId="3007" priority="40">
      <formula>AND(BX4&gt;=1,FI4&lt;&gt;GetEquPower(BE4,BR4, DI4, FW4))</formula>
    </cfRule>
  </conditionalFormatting>
  <conditionalFormatting sqref="FJ4:FJ39">
    <cfRule type="expression" dxfId="3006" priority="41">
      <formula>AND(BX4&gt;=2,FJ4&lt;&gt;0, GetEquPower(BE4,BR4, DJ4, FW4)=0)</formula>
    </cfRule>
    <cfRule type="expression" dxfId="3005" priority="42">
      <formula>AND(BX4&gt;=2,FJ4&lt;&gt;GetEquPower(BE4,BR4, DJ4, FW4))</formula>
    </cfRule>
  </conditionalFormatting>
  <conditionalFormatting sqref="FK4:FK39">
    <cfRule type="expression" dxfId="3004" priority="43">
      <formula>AND(BX4&gt;=3,FK4&lt;&gt;0, GetEquPower(BE4,BR4, DK4, FW4)=0)</formula>
    </cfRule>
    <cfRule type="expression" dxfId="3003" priority="44">
      <formula>AND(BX4&gt;=3,FK4&lt;&gt;GetEquPower(BE4,BR4, DK4, FW4))</formula>
    </cfRule>
  </conditionalFormatting>
  <conditionalFormatting sqref="FL4:FL39">
    <cfRule type="expression" dxfId="3002" priority="55">
      <formula>AND(BX4&gt;=4,FL4&lt;&gt;0, GetEquPower(BE4,BR4, DL4, FW4)=0)</formula>
    </cfRule>
    <cfRule type="expression" dxfId="3001" priority="56">
      <formula>AND(BX4&gt;=4,FL4&lt;&gt;GetEquPower(BE4,BR4, DL4, FW4))</formula>
    </cfRule>
  </conditionalFormatting>
  <conditionalFormatting sqref="FM4:FM39">
    <cfRule type="expression" dxfId="3000" priority="77">
      <formula>AND(BX4&gt;=5,FM4&lt;&gt;0, GetEquPower(BE4,BR4, DM4, FW4)=0)</formula>
    </cfRule>
    <cfRule type="expression" dxfId="2999" priority="78">
      <formula>AND(BX4&gt;=5,FM4&lt;&gt;GetEquPower(BE4,BR4, DM4, FW4))</formula>
    </cfRule>
  </conditionalFormatting>
  <conditionalFormatting sqref="FN4:FN39">
    <cfRule type="expression" dxfId="2998" priority="79">
      <formula>AND(BX4&gt;=6,FN4&lt;&gt;0, GetEquPower(BE4,BR4, DN4, FW4)=0)</formula>
    </cfRule>
    <cfRule type="expression" dxfId="2997"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6"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6" width="9.140625" style="81" customWidth="1"/>
    <col min="257" max="16384" width="9.140625" style="81"/>
  </cols>
  <sheetData>
    <row r="1" spans="1:244" s="103" customFormat="1" ht="57">
      <c r="A1" s="164" t="str">
        <f>Check!A1</f>
        <v>No</v>
      </c>
      <c r="B1" s="133" t="s">
        <v>5718</v>
      </c>
      <c r="C1" s="133" t="s">
        <v>5719</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5720</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46" t="s">
        <v>5722</v>
      </c>
    </row>
    <row r="2" spans="1:244" ht="242.25">
      <c r="A2" s="5">
        <v>1</v>
      </c>
      <c r="B2" s="132" t="s">
        <v>5723</v>
      </c>
      <c r="C2" s="132" t="s">
        <v>5723</v>
      </c>
      <c r="D2" s="5" t="s">
        <v>5522</v>
      </c>
      <c r="E2" s="107" t="s">
        <v>5523</v>
      </c>
      <c r="F2" s="5" t="s">
        <v>5351</v>
      </c>
      <c r="G2" s="5">
        <v>105.76466000000001</v>
      </c>
      <c r="H2" s="5">
        <v>21.029509000000001</v>
      </c>
      <c r="I2" s="5">
        <v>1</v>
      </c>
      <c r="J2" s="5">
        <v>3</v>
      </c>
      <c r="K2" s="5" t="s">
        <v>5724</v>
      </c>
      <c r="L2" s="5" t="s">
        <v>5725</v>
      </c>
      <c r="M2" s="5" t="s">
        <v>5726</v>
      </c>
      <c r="N2" s="5" t="s">
        <v>5727</v>
      </c>
      <c r="O2" s="5" t="s">
        <v>5728</v>
      </c>
      <c r="P2" s="5" t="s">
        <v>5729</v>
      </c>
      <c r="Q2" s="5" t="s">
        <v>5730</v>
      </c>
      <c r="R2" s="5" t="s">
        <v>5731</v>
      </c>
      <c r="S2" s="152" t="b">
        <v>1</v>
      </c>
      <c r="T2" s="5" t="s">
        <v>5524</v>
      </c>
      <c r="U2" s="5">
        <v>0</v>
      </c>
      <c r="V2" s="5" t="s">
        <v>5732</v>
      </c>
      <c r="W2" s="5" t="s">
        <v>5525</v>
      </c>
      <c r="X2" s="7" t="s">
        <v>5733</v>
      </c>
      <c r="Y2" s="5" t="b">
        <v>0</v>
      </c>
      <c r="Z2" s="152" t="b">
        <v>0</v>
      </c>
      <c r="AA2" s="5">
        <v>52.5</v>
      </c>
      <c r="AB2" s="152" t="b">
        <v>1</v>
      </c>
      <c r="AC2" s="5">
        <v>50</v>
      </c>
      <c r="AD2" s="5" t="b">
        <v>0</v>
      </c>
      <c r="AE2" s="5" t="s">
        <v>5734</v>
      </c>
      <c r="AF2" s="5" t="s">
        <v>5735</v>
      </c>
      <c r="AG2" s="132" t="s">
        <v>5736</v>
      </c>
      <c r="AH2" s="132" t="s">
        <v>5737</v>
      </c>
      <c r="AI2" s="132" t="s">
        <v>5479</v>
      </c>
      <c r="AJ2" s="132" t="s">
        <v>5738</v>
      </c>
      <c r="AK2" s="132" t="s">
        <v>5739</v>
      </c>
      <c r="AL2" s="6"/>
      <c r="AM2" s="6" t="s">
        <v>5740</v>
      </c>
      <c r="AN2" s="6" t="s">
        <v>5741</v>
      </c>
      <c r="AO2" s="5">
        <v>5</v>
      </c>
      <c r="AP2" s="85" t="s">
        <v>5742</v>
      </c>
      <c r="AQ2" s="233" t="s">
        <v>5743</v>
      </c>
      <c r="AR2" s="233" t="s">
        <v>5744</v>
      </c>
      <c r="AS2" s="234" t="s">
        <v>5350</v>
      </c>
      <c r="AT2" s="6" t="s">
        <v>5741</v>
      </c>
      <c r="AU2" s="6" t="s">
        <v>5741</v>
      </c>
      <c r="AV2" s="6" t="s">
        <v>5741</v>
      </c>
      <c r="AW2" s="6" t="s">
        <v>5738</v>
      </c>
      <c r="AX2" s="6" t="s">
        <v>5738</v>
      </c>
      <c r="AY2" s="6" t="s">
        <v>5738</v>
      </c>
      <c r="AZ2" s="6" t="s">
        <v>5723</v>
      </c>
      <c r="BA2" s="6" t="s">
        <v>5723</v>
      </c>
      <c r="BB2" s="6" t="s">
        <v>5723</v>
      </c>
      <c r="BC2" s="6" t="s">
        <v>5738</v>
      </c>
      <c r="BD2" s="6" t="s">
        <v>5738</v>
      </c>
      <c r="BE2" s="6" t="s">
        <v>5738</v>
      </c>
      <c r="BF2" s="6" t="s">
        <v>5745</v>
      </c>
      <c r="BG2" s="6" t="s">
        <v>5522</v>
      </c>
      <c r="BH2" s="6" t="s">
        <v>5522</v>
      </c>
      <c r="BI2" s="6" t="s">
        <v>5522</v>
      </c>
      <c r="BJ2" s="6" t="s">
        <v>5738</v>
      </c>
      <c r="BK2" s="6" t="s">
        <v>5738</v>
      </c>
      <c r="BL2" s="6" t="s">
        <v>5738</v>
      </c>
      <c r="BM2" s="6" t="s">
        <v>5746</v>
      </c>
      <c r="BN2" s="6" t="s">
        <v>5747</v>
      </c>
      <c r="BO2" s="6" t="s">
        <v>5748</v>
      </c>
      <c r="BP2" s="6" t="s">
        <v>5738</v>
      </c>
      <c r="BQ2" s="6" t="s">
        <v>5738</v>
      </c>
      <c r="BR2" s="6" t="s">
        <v>5738</v>
      </c>
      <c r="BS2" s="6">
        <v>3</v>
      </c>
      <c r="BT2" s="6">
        <v>3</v>
      </c>
      <c r="BU2" s="6">
        <v>3</v>
      </c>
      <c r="BV2" s="6">
        <v>0</v>
      </c>
      <c r="BW2" s="6">
        <v>0</v>
      </c>
      <c r="BX2" s="6">
        <v>0</v>
      </c>
      <c r="BY2" s="6" t="s">
        <v>5467</v>
      </c>
      <c r="BZ2" s="6">
        <v>2</v>
      </c>
      <c r="CA2" s="6">
        <v>2</v>
      </c>
      <c r="CB2" s="6">
        <v>2</v>
      </c>
      <c r="CC2" s="6">
        <v>0</v>
      </c>
      <c r="CD2" s="6">
        <v>0</v>
      </c>
      <c r="CE2" s="6">
        <v>0</v>
      </c>
      <c r="CF2" s="6" t="s">
        <v>5467</v>
      </c>
      <c r="CG2" s="6">
        <v>2</v>
      </c>
      <c r="CH2" s="6">
        <v>2</v>
      </c>
      <c r="CI2" s="6">
        <v>2</v>
      </c>
      <c r="CJ2" s="6">
        <v>0</v>
      </c>
      <c r="CK2" s="6">
        <v>0</v>
      </c>
      <c r="CL2" s="6">
        <v>0</v>
      </c>
      <c r="CM2" s="6" t="s">
        <v>5749</v>
      </c>
      <c r="CN2" s="6">
        <v>1</v>
      </c>
      <c r="CO2" s="6">
        <v>1</v>
      </c>
      <c r="CP2" s="6">
        <v>1</v>
      </c>
      <c r="CQ2" s="6">
        <v>0</v>
      </c>
      <c r="CR2" s="6">
        <v>0</v>
      </c>
      <c r="CS2" s="6">
        <v>0</v>
      </c>
      <c r="CT2" s="6" t="s">
        <v>5738</v>
      </c>
      <c r="CU2" s="6">
        <v>0</v>
      </c>
      <c r="CV2" s="6">
        <v>0</v>
      </c>
      <c r="CW2" s="6">
        <v>0</v>
      </c>
      <c r="CX2" s="6">
        <v>0</v>
      </c>
      <c r="CY2" s="6">
        <v>0</v>
      </c>
      <c r="CZ2" s="6">
        <v>0</v>
      </c>
      <c r="DA2" s="6" t="s">
        <v>5738</v>
      </c>
      <c r="DB2" s="6">
        <v>0</v>
      </c>
      <c r="DC2" s="6">
        <v>0</v>
      </c>
      <c r="DD2" s="6">
        <v>0</v>
      </c>
      <c r="DE2" s="6">
        <v>0</v>
      </c>
      <c r="DF2" s="6">
        <v>0</v>
      </c>
      <c r="DG2" s="6">
        <v>0</v>
      </c>
      <c r="DH2" s="6" t="s">
        <v>5738</v>
      </c>
      <c r="DI2" s="6">
        <v>0</v>
      </c>
      <c r="DJ2" s="6">
        <v>0</v>
      </c>
      <c r="DK2" s="6">
        <v>0</v>
      </c>
      <c r="DL2" s="6">
        <v>0</v>
      </c>
      <c r="DM2" s="6">
        <v>0</v>
      </c>
      <c r="DN2" s="6">
        <v>0</v>
      </c>
      <c r="DO2" s="6" t="s">
        <v>5750</v>
      </c>
      <c r="DP2" s="6">
        <v>80</v>
      </c>
      <c r="DQ2" s="6">
        <v>80</v>
      </c>
      <c r="DR2" s="6">
        <v>80</v>
      </c>
      <c r="DS2" s="6">
        <v>0</v>
      </c>
      <c r="DT2" s="6">
        <v>0</v>
      </c>
      <c r="DU2" s="6">
        <v>0</v>
      </c>
      <c r="DV2" s="6" t="s">
        <v>5751</v>
      </c>
      <c r="DW2" s="6">
        <v>80</v>
      </c>
      <c r="DX2" s="6" t="s">
        <v>5752</v>
      </c>
      <c r="DY2" s="6">
        <v>60</v>
      </c>
      <c r="DZ2" s="6">
        <v>60</v>
      </c>
      <c r="EA2" s="6">
        <v>60</v>
      </c>
      <c r="EB2" s="6">
        <v>0</v>
      </c>
      <c r="EC2" s="6">
        <v>0</v>
      </c>
      <c r="ED2" s="6">
        <v>0</v>
      </c>
      <c r="EE2" s="6" t="s">
        <v>5753</v>
      </c>
      <c r="EF2" s="6">
        <v>60</v>
      </c>
      <c r="EG2" s="6" t="s">
        <v>5752</v>
      </c>
      <c r="EH2" s="6">
        <v>60</v>
      </c>
      <c r="EI2" s="6">
        <v>60</v>
      </c>
      <c r="EJ2" s="6">
        <v>60</v>
      </c>
      <c r="EK2" s="6">
        <v>0</v>
      </c>
      <c r="EL2" s="6">
        <v>0</v>
      </c>
      <c r="EM2" s="6">
        <v>0</v>
      </c>
      <c r="EN2" s="6" t="s">
        <v>5753</v>
      </c>
      <c r="EO2" s="6">
        <v>60</v>
      </c>
      <c r="EP2" s="6" t="s">
        <v>5738</v>
      </c>
      <c r="EQ2" s="6">
        <v>0</v>
      </c>
      <c r="ER2" s="6">
        <v>0</v>
      </c>
      <c r="ES2" s="6">
        <v>0</v>
      </c>
      <c r="ET2" s="6">
        <v>0</v>
      </c>
      <c r="EU2" s="6">
        <v>0</v>
      </c>
      <c r="EV2" s="6">
        <v>0</v>
      </c>
      <c r="EW2" s="6" t="s">
        <v>5738</v>
      </c>
      <c r="EX2" s="6">
        <v>0</v>
      </c>
      <c r="EY2" s="6" t="s">
        <v>5738</v>
      </c>
      <c r="EZ2" s="6">
        <v>0</v>
      </c>
      <c r="FA2" s="6">
        <v>0</v>
      </c>
      <c r="FB2" s="6">
        <v>0</v>
      </c>
      <c r="FC2" s="6">
        <v>0</v>
      </c>
      <c r="FD2" s="6">
        <v>0</v>
      </c>
      <c r="FE2" s="6">
        <v>0</v>
      </c>
      <c r="FF2" s="6" t="s">
        <v>5738</v>
      </c>
      <c r="FG2" s="6">
        <v>0</v>
      </c>
      <c r="FH2" s="6" t="s">
        <v>5738</v>
      </c>
      <c r="FI2" s="6">
        <v>0</v>
      </c>
      <c r="FJ2" s="6">
        <v>0</v>
      </c>
      <c r="FK2" s="6">
        <v>0</v>
      </c>
      <c r="FL2" s="6">
        <v>0</v>
      </c>
      <c r="FM2" s="6">
        <v>0</v>
      </c>
      <c r="FN2" s="6">
        <v>0</v>
      </c>
      <c r="FO2" s="6" t="s">
        <v>5738</v>
      </c>
      <c r="FP2" s="6">
        <v>0</v>
      </c>
      <c r="FQ2" s="6">
        <v>80</v>
      </c>
      <c r="FR2" s="6" t="s">
        <v>3353</v>
      </c>
      <c r="FS2" s="6" t="s">
        <v>5754</v>
      </c>
      <c r="FT2" s="6" t="s">
        <v>5755</v>
      </c>
      <c r="FU2" s="6" t="s">
        <v>5738</v>
      </c>
      <c r="FV2" s="6" t="s">
        <v>5738</v>
      </c>
      <c r="FW2" s="6" t="s">
        <v>5738</v>
      </c>
      <c r="FX2" s="6" t="s">
        <v>5756</v>
      </c>
      <c r="FY2" s="6">
        <v>52.5</v>
      </c>
      <c r="FZ2" s="6">
        <v>52.5</v>
      </c>
      <c r="GA2" s="6">
        <v>52.5</v>
      </c>
      <c r="GB2" s="6">
        <v>0</v>
      </c>
      <c r="GC2" s="6">
        <v>0</v>
      </c>
      <c r="GD2" s="6">
        <v>0</v>
      </c>
      <c r="GE2" s="6" t="s">
        <v>5757</v>
      </c>
      <c r="GF2" s="6" t="s">
        <v>5756</v>
      </c>
      <c r="GG2" s="6">
        <v>52.5</v>
      </c>
      <c r="GH2" s="6">
        <v>52.5</v>
      </c>
      <c r="GI2" s="6">
        <v>52.5</v>
      </c>
      <c r="GJ2" s="6">
        <v>0</v>
      </c>
      <c r="GK2" s="6">
        <v>0</v>
      </c>
      <c r="GL2" s="6">
        <v>0</v>
      </c>
      <c r="GM2" s="6" t="s">
        <v>5757</v>
      </c>
      <c r="GN2" s="6" t="s">
        <v>5756</v>
      </c>
      <c r="GO2" s="6">
        <v>52.5</v>
      </c>
      <c r="GP2" s="6">
        <v>52.5</v>
      </c>
      <c r="GQ2" s="6">
        <v>52.5</v>
      </c>
      <c r="GR2" s="6">
        <v>0</v>
      </c>
      <c r="GS2" s="6">
        <v>0</v>
      </c>
      <c r="GT2" s="6">
        <v>0</v>
      </c>
      <c r="GU2" s="6" t="s">
        <v>5757</v>
      </c>
      <c r="GV2" s="6" t="s">
        <v>5738</v>
      </c>
      <c r="GW2" s="6">
        <v>0</v>
      </c>
      <c r="GX2" s="6">
        <v>0</v>
      </c>
      <c r="GY2" s="6">
        <v>0</v>
      </c>
      <c r="GZ2" s="6">
        <v>0</v>
      </c>
      <c r="HA2" s="6">
        <v>0</v>
      </c>
      <c r="HB2" s="6">
        <v>0</v>
      </c>
      <c r="HC2" s="6" t="s">
        <v>5738</v>
      </c>
      <c r="HD2" s="6" t="s">
        <v>5738</v>
      </c>
      <c r="HE2" s="6">
        <v>0</v>
      </c>
      <c r="HF2" s="6">
        <v>0</v>
      </c>
      <c r="HG2" s="6">
        <v>0</v>
      </c>
      <c r="HH2" s="6">
        <v>0</v>
      </c>
      <c r="HI2" s="6">
        <v>0</v>
      </c>
      <c r="HJ2" s="6">
        <v>0</v>
      </c>
      <c r="HK2" s="6" t="s">
        <v>5738</v>
      </c>
      <c r="HL2" s="6" t="s">
        <v>5738</v>
      </c>
      <c r="HM2" s="6">
        <v>0</v>
      </c>
      <c r="HN2" s="6">
        <v>0</v>
      </c>
      <c r="HO2" s="6">
        <v>0</v>
      </c>
      <c r="HP2" s="6">
        <v>0</v>
      </c>
      <c r="HQ2" s="6">
        <v>0</v>
      </c>
      <c r="HR2" s="6">
        <v>0</v>
      </c>
      <c r="HS2" s="6" t="s">
        <v>5738</v>
      </c>
      <c r="HT2" s="6" t="s">
        <v>5758</v>
      </c>
      <c r="HU2" s="6">
        <v>52.5</v>
      </c>
      <c r="HV2" s="6">
        <v>52.5</v>
      </c>
      <c r="HW2" s="6">
        <v>52.5</v>
      </c>
      <c r="HX2" s="6">
        <v>0</v>
      </c>
      <c r="HY2" s="6">
        <v>0</v>
      </c>
      <c r="HZ2" s="6">
        <v>0</v>
      </c>
      <c r="IA2" s="5">
        <v>52.5</v>
      </c>
      <c r="IB2" s="5">
        <v>2.5</v>
      </c>
      <c r="IC2" s="132" t="s">
        <v>5460</v>
      </c>
      <c r="ID2" s="132" t="s">
        <v>5759</v>
      </c>
      <c r="IE2" s="132" t="s">
        <v>5760</v>
      </c>
      <c r="IF2" s="132" t="s">
        <v>5761</v>
      </c>
      <c r="IG2" s="171">
        <v>43756</v>
      </c>
      <c r="IH2" s="171">
        <v>45583</v>
      </c>
      <c r="II2" s="6">
        <v>37</v>
      </c>
      <c r="IJ2" s="81">
        <v>37</v>
      </c>
    </row>
    <row r="3" spans="1:244" ht="165.75">
      <c r="A3" s="5">
        <v>2</v>
      </c>
      <c r="B3" s="132" t="s">
        <v>5723</v>
      </c>
      <c r="C3" s="132" t="s">
        <v>5723</v>
      </c>
      <c r="D3" s="5" t="s">
        <v>5526</v>
      </c>
      <c r="E3" s="107" t="s">
        <v>5527</v>
      </c>
      <c r="F3" s="5" t="s">
        <v>5351</v>
      </c>
      <c r="G3" s="5">
        <v>105.762325</v>
      </c>
      <c r="H3" s="5">
        <v>21.030860000000001</v>
      </c>
      <c r="I3" s="5">
        <v>1</v>
      </c>
      <c r="J3" s="5">
        <v>2</v>
      </c>
      <c r="K3" s="5" t="s">
        <v>5762</v>
      </c>
      <c r="L3" s="5" t="s">
        <v>5763</v>
      </c>
      <c r="M3" s="5" t="s">
        <v>5764</v>
      </c>
      <c r="N3" s="5" t="s">
        <v>5765</v>
      </c>
      <c r="O3" s="5" t="s">
        <v>5766</v>
      </c>
      <c r="P3" s="5" t="s">
        <v>5767</v>
      </c>
      <c r="Q3" s="5" t="s">
        <v>5768</v>
      </c>
      <c r="R3" s="5" t="s">
        <v>5769</v>
      </c>
      <c r="S3" s="152" t="b">
        <v>1</v>
      </c>
      <c r="T3" s="5" t="s">
        <v>5528</v>
      </c>
      <c r="U3" s="5">
        <v>0</v>
      </c>
      <c r="V3" s="5" t="s">
        <v>5732</v>
      </c>
      <c r="W3" s="5" t="s">
        <v>5529</v>
      </c>
      <c r="X3" s="7" t="s">
        <v>5733</v>
      </c>
      <c r="Y3" s="5" t="b">
        <v>0</v>
      </c>
      <c r="Z3" s="152" t="b">
        <v>0</v>
      </c>
      <c r="AA3" s="5">
        <v>42.5</v>
      </c>
      <c r="AB3" s="152" t="b">
        <v>1</v>
      </c>
      <c r="AC3" s="5">
        <v>36</v>
      </c>
      <c r="AD3" s="5" t="b">
        <v>0</v>
      </c>
      <c r="AE3" s="5" t="s">
        <v>5734</v>
      </c>
      <c r="AF3" s="5" t="s">
        <v>5735</v>
      </c>
      <c r="AG3" s="132" t="s">
        <v>5736</v>
      </c>
      <c r="AH3" s="132" t="s">
        <v>5737</v>
      </c>
      <c r="AI3" s="132" t="s">
        <v>5479</v>
      </c>
      <c r="AJ3" s="132" t="s">
        <v>5738</v>
      </c>
      <c r="AK3" s="132" t="s">
        <v>5739</v>
      </c>
      <c r="AL3" s="6"/>
      <c r="AM3" s="6" t="s">
        <v>5740</v>
      </c>
      <c r="AN3" s="6" t="s">
        <v>5741</v>
      </c>
      <c r="AO3" s="5">
        <v>5</v>
      </c>
      <c r="AP3" s="85" t="s">
        <v>5742</v>
      </c>
      <c r="AQ3" s="233" t="s">
        <v>5743</v>
      </c>
      <c r="AR3" s="233" t="s">
        <v>5770</v>
      </c>
      <c r="AS3" s="234" t="s">
        <v>5350</v>
      </c>
      <c r="AT3" s="6" t="s">
        <v>5741</v>
      </c>
      <c r="AU3" s="6" t="s">
        <v>5741</v>
      </c>
      <c r="AV3" s="6" t="s">
        <v>5738</v>
      </c>
      <c r="AW3" s="6" t="s">
        <v>5738</v>
      </c>
      <c r="AX3" s="6" t="s">
        <v>5738</v>
      </c>
      <c r="AY3" s="6" t="s">
        <v>5738</v>
      </c>
      <c r="AZ3" s="6" t="s">
        <v>5723</v>
      </c>
      <c r="BA3" s="6" t="s">
        <v>5723</v>
      </c>
      <c r="BB3" s="6" t="s">
        <v>5738</v>
      </c>
      <c r="BC3" s="6" t="s">
        <v>5738</v>
      </c>
      <c r="BD3" s="6" t="s">
        <v>5738</v>
      </c>
      <c r="BE3" s="6" t="s">
        <v>5738</v>
      </c>
      <c r="BF3" s="6" t="s">
        <v>5771</v>
      </c>
      <c r="BG3" s="6" t="s">
        <v>5526</v>
      </c>
      <c r="BH3" s="6" t="s">
        <v>5526</v>
      </c>
      <c r="BI3" s="6" t="s">
        <v>5738</v>
      </c>
      <c r="BJ3" s="6" t="s">
        <v>5738</v>
      </c>
      <c r="BK3" s="6" t="s">
        <v>5738</v>
      </c>
      <c r="BL3" s="6" t="s">
        <v>5738</v>
      </c>
      <c r="BM3" s="6" t="s">
        <v>5747</v>
      </c>
      <c r="BN3" s="6" t="s">
        <v>5748</v>
      </c>
      <c r="BO3" s="6" t="s">
        <v>5738</v>
      </c>
      <c r="BP3" s="6" t="s">
        <v>5738</v>
      </c>
      <c r="BQ3" s="6" t="s">
        <v>5738</v>
      </c>
      <c r="BR3" s="6" t="s">
        <v>5738</v>
      </c>
      <c r="BS3" s="6">
        <v>3</v>
      </c>
      <c r="BT3" s="6">
        <v>3</v>
      </c>
      <c r="BU3" s="6">
        <v>0</v>
      </c>
      <c r="BV3" s="6">
        <v>0</v>
      </c>
      <c r="BW3" s="6">
        <v>0</v>
      </c>
      <c r="BX3" s="6">
        <v>0</v>
      </c>
      <c r="BY3" s="6" t="s">
        <v>5467</v>
      </c>
      <c r="BZ3" s="6">
        <v>2</v>
      </c>
      <c r="CA3" s="6">
        <v>2</v>
      </c>
      <c r="CB3" s="6">
        <v>2</v>
      </c>
      <c r="CC3" s="6">
        <v>0</v>
      </c>
      <c r="CD3" s="6">
        <v>0</v>
      </c>
      <c r="CE3" s="6">
        <v>0</v>
      </c>
      <c r="CF3" s="6" t="s">
        <v>5749</v>
      </c>
      <c r="CG3" s="6">
        <v>1</v>
      </c>
      <c r="CH3" s="6">
        <v>1</v>
      </c>
      <c r="CI3" s="6">
        <v>1</v>
      </c>
      <c r="CJ3" s="6">
        <v>0</v>
      </c>
      <c r="CK3" s="6">
        <v>0</v>
      </c>
      <c r="CL3" s="6">
        <v>0</v>
      </c>
      <c r="CM3" s="6" t="s">
        <v>5738</v>
      </c>
      <c r="CN3" s="6">
        <v>0</v>
      </c>
      <c r="CO3" s="6">
        <v>0</v>
      </c>
      <c r="CP3" s="6">
        <v>0</v>
      </c>
      <c r="CQ3" s="6">
        <v>0</v>
      </c>
      <c r="CR3" s="6">
        <v>0</v>
      </c>
      <c r="CS3" s="6">
        <v>0</v>
      </c>
      <c r="CT3" s="6" t="s">
        <v>5738</v>
      </c>
      <c r="CU3" s="6">
        <v>0</v>
      </c>
      <c r="CV3" s="6">
        <v>0</v>
      </c>
      <c r="CW3" s="6">
        <v>0</v>
      </c>
      <c r="CX3" s="6">
        <v>0</v>
      </c>
      <c r="CY3" s="6">
        <v>0</v>
      </c>
      <c r="CZ3" s="6">
        <v>0</v>
      </c>
      <c r="DA3" s="6" t="s">
        <v>5738</v>
      </c>
      <c r="DB3" s="6">
        <v>0</v>
      </c>
      <c r="DC3" s="6">
        <v>0</v>
      </c>
      <c r="DD3" s="6">
        <v>0</v>
      </c>
      <c r="DE3" s="6">
        <v>0</v>
      </c>
      <c r="DF3" s="6">
        <v>0</v>
      </c>
      <c r="DG3" s="6">
        <v>0</v>
      </c>
      <c r="DH3" s="6" t="s">
        <v>5738</v>
      </c>
      <c r="DI3" s="6">
        <v>0</v>
      </c>
      <c r="DJ3" s="6">
        <v>0</v>
      </c>
      <c r="DK3" s="6">
        <v>0</v>
      </c>
      <c r="DL3" s="6">
        <v>0</v>
      </c>
      <c r="DM3" s="6">
        <v>0</v>
      </c>
      <c r="DN3" s="6">
        <v>0</v>
      </c>
      <c r="DO3" s="6" t="s">
        <v>5752</v>
      </c>
      <c r="DP3" s="6">
        <v>60</v>
      </c>
      <c r="DQ3" s="6">
        <v>60</v>
      </c>
      <c r="DR3" s="6">
        <v>60</v>
      </c>
      <c r="DS3" s="6">
        <v>0</v>
      </c>
      <c r="DT3" s="6">
        <v>0</v>
      </c>
      <c r="DU3" s="6">
        <v>0</v>
      </c>
      <c r="DV3" s="6" t="s">
        <v>5753</v>
      </c>
      <c r="DW3" s="6">
        <v>60</v>
      </c>
      <c r="DX3" s="6" t="s">
        <v>5752</v>
      </c>
      <c r="DY3" s="6">
        <v>60</v>
      </c>
      <c r="DZ3" s="6">
        <v>60</v>
      </c>
      <c r="EA3" s="6">
        <v>60</v>
      </c>
      <c r="EB3" s="6">
        <v>0</v>
      </c>
      <c r="EC3" s="6">
        <v>0</v>
      </c>
      <c r="ED3" s="6">
        <v>0</v>
      </c>
      <c r="EE3" s="6" t="s">
        <v>5753</v>
      </c>
      <c r="EF3" s="6">
        <v>60</v>
      </c>
      <c r="EG3" s="6" t="s">
        <v>5738</v>
      </c>
      <c r="EH3" s="6">
        <v>0</v>
      </c>
      <c r="EI3" s="6">
        <v>0</v>
      </c>
      <c r="EJ3" s="6">
        <v>0</v>
      </c>
      <c r="EK3" s="6">
        <v>0</v>
      </c>
      <c r="EL3" s="6">
        <v>0</v>
      </c>
      <c r="EM3" s="6">
        <v>0</v>
      </c>
      <c r="EN3" s="6" t="s">
        <v>5738</v>
      </c>
      <c r="EO3" s="6">
        <v>0</v>
      </c>
      <c r="EP3" s="6" t="s">
        <v>5738</v>
      </c>
      <c r="EQ3" s="6">
        <v>0</v>
      </c>
      <c r="ER3" s="6">
        <v>0</v>
      </c>
      <c r="ES3" s="6">
        <v>0</v>
      </c>
      <c r="ET3" s="6">
        <v>0</v>
      </c>
      <c r="EU3" s="6">
        <v>0</v>
      </c>
      <c r="EV3" s="6">
        <v>0</v>
      </c>
      <c r="EW3" s="6" t="s">
        <v>5738</v>
      </c>
      <c r="EX3" s="6">
        <v>0</v>
      </c>
      <c r="EY3" s="6" t="s">
        <v>5738</v>
      </c>
      <c r="EZ3" s="6">
        <v>0</v>
      </c>
      <c r="FA3" s="6">
        <v>0</v>
      </c>
      <c r="FB3" s="6">
        <v>0</v>
      </c>
      <c r="FC3" s="6">
        <v>0</v>
      </c>
      <c r="FD3" s="6">
        <v>0</v>
      </c>
      <c r="FE3" s="6">
        <v>0</v>
      </c>
      <c r="FF3" s="6" t="s">
        <v>5738</v>
      </c>
      <c r="FG3" s="6">
        <v>0</v>
      </c>
      <c r="FH3" s="6" t="s">
        <v>5738</v>
      </c>
      <c r="FI3" s="6">
        <v>0</v>
      </c>
      <c r="FJ3" s="6">
        <v>0</v>
      </c>
      <c r="FK3" s="6">
        <v>0</v>
      </c>
      <c r="FL3" s="6">
        <v>0</v>
      </c>
      <c r="FM3" s="6">
        <v>0</v>
      </c>
      <c r="FN3" s="6">
        <v>0</v>
      </c>
      <c r="FO3" s="6" t="s">
        <v>5738</v>
      </c>
      <c r="FP3" s="6">
        <v>0</v>
      </c>
      <c r="FQ3" s="6">
        <v>60</v>
      </c>
      <c r="FR3" s="6" t="s">
        <v>5754</v>
      </c>
      <c r="FS3" s="6" t="s">
        <v>5755</v>
      </c>
      <c r="FT3" s="6" t="s">
        <v>5738</v>
      </c>
      <c r="FU3" s="6" t="s">
        <v>5738</v>
      </c>
      <c r="FV3" s="6" t="s">
        <v>5738</v>
      </c>
      <c r="FW3" s="6" t="s">
        <v>5738</v>
      </c>
      <c r="FX3" s="6" t="s">
        <v>5772</v>
      </c>
      <c r="FY3" s="6">
        <v>42.5</v>
      </c>
      <c r="FZ3" s="6">
        <v>42.5</v>
      </c>
      <c r="GA3" s="6">
        <v>42.5</v>
      </c>
      <c r="GB3" s="6">
        <v>0</v>
      </c>
      <c r="GC3" s="6">
        <v>0</v>
      </c>
      <c r="GD3" s="6">
        <v>0</v>
      </c>
      <c r="GE3" s="6" t="s">
        <v>5773</v>
      </c>
      <c r="GF3" s="6" t="s">
        <v>5772</v>
      </c>
      <c r="GG3" s="6">
        <v>42.5</v>
      </c>
      <c r="GH3" s="6">
        <v>42.5</v>
      </c>
      <c r="GI3" s="6">
        <v>42.5</v>
      </c>
      <c r="GJ3" s="6">
        <v>0</v>
      </c>
      <c r="GK3" s="6">
        <v>0</v>
      </c>
      <c r="GL3" s="6">
        <v>0</v>
      </c>
      <c r="GM3" s="6" t="s">
        <v>5773</v>
      </c>
      <c r="GN3" s="6" t="s">
        <v>5738</v>
      </c>
      <c r="GO3" s="6">
        <v>0</v>
      </c>
      <c r="GP3" s="6">
        <v>0</v>
      </c>
      <c r="GQ3" s="6">
        <v>0</v>
      </c>
      <c r="GR3" s="6">
        <v>0</v>
      </c>
      <c r="GS3" s="6">
        <v>0</v>
      </c>
      <c r="GT3" s="6">
        <v>0</v>
      </c>
      <c r="GU3" s="6" t="s">
        <v>5738</v>
      </c>
      <c r="GV3" s="6" t="s">
        <v>5738</v>
      </c>
      <c r="GW3" s="6">
        <v>0</v>
      </c>
      <c r="GX3" s="6">
        <v>0</v>
      </c>
      <c r="GY3" s="6">
        <v>0</v>
      </c>
      <c r="GZ3" s="6">
        <v>0</v>
      </c>
      <c r="HA3" s="6">
        <v>0</v>
      </c>
      <c r="HB3" s="6">
        <v>0</v>
      </c>
      <c r="HC3" s="6" t="s">
        <v>5738</v>
      </c>
      <c r="HD3" s="6" t="s">
        <v>5738</v>
      </c>
      <c r="HE3" s="6">
        <v>0</v>
      </c>
      <c r="HF3" s="6">
        <v>0</v>
      </c>
      <c r="HG3" s="6">
        <v>0</v>
      </c>
      <c r="HH3" s="6">
        <v>0</v>
      </c>
      <c r="HI3" s="6">
        <v>0</v>
      </c>
      <c r="HJ3" s="6">
        <v>0</v>
      </c>
      <c r="HK3" s="6" t="s">
        <v>5738</v>
      </c>
      <c r="HL3" s="6" t="s">
        <v>5738</v>
      </c>
      <c r="HM3" s="6">
        <v>0</v>
      </c>
      <c r="HN3" s="6">
        <v>0</v>
      </c>
      <c r="HO3" s="6">
        <v>0</v>
      </c>
      <c r="HP3" s="6">
        <v>0</v>
      </c>
      <c r="HQ3" s="6">
        <v>0</v>
      </c>
      <c r="HR3" s="6">
        <v>0</v>
      </c>
      <c r="HS3" s="6" t="s">
        <v>5738</v>
      </c>
      <c r="HT3" s="6" t="s">
        <v>5758</v>
      </c>
      <c r="HU3" s="6">
        <v>42.5</v>
      </c>
      <c r="HV3" s="6">
        <v>42.5</v>
      </c>
      <c r="HW3" s="6">
        <v>0</v>
      </c>
      <c r="HX3" s="6">
        <v>0</v>
      </c>
      <c r="HY3" s="6">
        <v>0</v>
      </c>
      <c r="HZ3" s="6">
        <v>0</v>
      </c>
      <c r="IA3" s="5">
        <v>42.5</v>
      </c>
      <c r="IB3" s="5">
        <v>6.5</v>
      </c>
      <c r="IC3" s="132" t="s">
        <v>5460</v>
      </c>
      <c r="ID3" s="132" t="s">
        <v>5774</v>
      </c>
      <c r="IE3" s="132" t="s">
        <v>5760</v>
      </c>
      <c r="IF3" s="132" t="s">
        <v>5761</v>
      </c>
      <c r="IG3" s="171">
        <v>43756</v>
      </c>
      <c r="IH3" s="171">
        <v>45583</v>
      </c>
      <c r="II3" s="6">
        <v>37</v>
      </c>
    </row>
    <row r="4" spans="1:244" ht="165.75">
      <c r="A4" s="5">
        <v>3</v>
      </c>
      <c r="B4" s="132" t="s">
        <v>5723</v>
      </c>
      <c r="C4" s="132" t="s">
        <v>5723</v>
      </c>
      <c r="D4" s="5" t="s">
        <v>5530</v>
      </c>
      <c r="E4" s="107" t="s">
        <v>5531</v>
      </c>
      <c r="F4" s="5" t="s">
        <v>5351</v>
      </c>
      <c r="G4" s="5">
        <v>105.759331</v>
      </c>
      <c r="H4" s="5">
        <v>21.030373999999998</v>
      </c>
      <c r="I4" s="5">
        <v>1</v>
      </c>
      <c r="J4" s="5">
        <v>2</v>
      </c>
      <c r="K4" s="5" t="s">
        <v>5762</v>
      </c>
      <c r="L4" s="5" t="s">
        <v>5775</v>
      </c>
      <c r="M4" s="5" t="s">
        <v>5764</v>
      </c>
      <c r="N4" s="5" t="s">
        <v>5765</v>
      </c>
      <c r="O4" s="5" t="s">
        <v>5766</v>
      </c>
      <c r="P4" s="5" t="s">
        <v>5767</v>
      </c>
      <c r="Q4" s="5" t="s">
        <v>5768</v>
      </c>
      <c r="R4" s="5" t="s">
        <v>5776</v>
      </c>
      <c r="S4" s="152" t="b">
        <v>1</v>
      </c>
      <c r="T4" s="5" t="s">
        <v>5532</v>
      </c>
      <c r="U4" s="5">
        <v>0</v>
      </c>
      <c r="V4" s="5" t="s">
        <v>5732</v>
      </c>
      <c r="W4" s="5" t="s">
        <v>5533</v>
      </c>
      <c r="X4" s="7" t="s">
        <v>5733</v>
      </c>
      <c r="Y4" s="5" t="b">
        <v>0</v>
      </c>
      <c r="Z4" s="152" t="b">
        <v>0</v>
      </c>
      <c r="AA4" s="5">
        <v>16.5</v>
      </c>
      <c r="AB4" s="152" t="b">
        <v>1</v>
      </c>
      <c r="AC4" s="5">
        <v>12</v>
      </c>
      <c r="AD4" s="5" t="b">
        <v>0</v>
      </c>
      <c r="AE4" s="5" t="s">
        <v>5734</v>
      </c>
      <c r="AF4" s="5" t="s">
        <v>5735</v>
      </c>
      <c r="AG4" s="132" t="s">
        <v>5736</v>
      </c>
      <c r="AH4" s="132" t="s">
        <v>5737</v>
      </c>
      <c r="AI4" s="132" t="s">
        <v>5479</v>
      </c>
      <c r="AJ4" s="132" t="s">
        <v>5738</v>
      </c>
      <c r="AK4" s="132" t="s">
        <v>5739</v>
      </c>
      <c r="AL4" s="6"/>
      <c r="AM4" s="6" t="s">
        <v>5740</v>
      </c>
      <c r="AN4" s="6" t="s">
        <v>5741</v>
      </c>
      <c r="AO4" s="5">
        <v>4</v>
      </c>
      <c r="AP4" s="85" t="s">
        <v>5742</v>
      </c>
      <c r="AQ4" s="233" t="s">
        <v>5743</v>
      </c>
      <c r="AR4" s="233" t="s">
        <v>5770</v>
      </c>
      <c r="AS4" s="234" t="s">
        <v>5350</v>
      </c>
      <c r="AT4" s="6" t="s">
        <v>5741</v>
      </c>
      <c r="AU4" s="6" t="s">
        <v>5741</v>
      </c>
      <c r="AV4" s="6" t="s">
        <v>5738</v>
      </c>
      <c r="AW4" s="6" t="s">
        <v>5738</v>
      </c>
      <c r="AX4" s="6" t="s">
        <v>5738</v>
      </c>
      <c r="AY4" s="6" t="s">
        <v>5738</v>
      </c>
      <c r="AZ4" s="6" t="s">
        <v>5723</v>
      </c>
      <c r="BA4" s="6" t="s">
        <v>5723</v>
      </c>
      <c r="BB4" s="6" t="s">
        <v>5738</v>
      </c>
      <c r="BC4" s="6" t="s">
        <v>5738</v>
      </c>
      <c r="BD4" s="6" t="s">
        <v>5738</v>
      </c>
      <c r="BE4" s="6" t="s">
        <v>5738</v>
      </c>
      <c r="BF4" s="6" t="s">
        <v>5771</v>
      </c>
      <c r="BG4" s="6" t="s">
        <v>5530</v>
      </c>
      <c r="BH4" s="6" t="s">
        <v>5530</v>
      </c>
      <c r="BI4" s="6" t="s">
        <v>5738</v>
      </c>
      <c r="BJ4" s="6" t="s">
        <v>5738</v>
      </c>
      <c r="BK4" s="6" t="s">
        <v>5738</v>
      </c>
      <c r="BL4" s="6" t="s">
        <v>5738</v>
      </c>
      <c r="BM4" s="6" t="s">
        <v>5747</v>
      </c>
      <c r="BN4" s="6" t="s">
        <v>5748</v>
      </c>
      <c r="BO4" s="6" t="s">
        <v>5738</v>
      </c>
      <c r="BP4" s="6" t="s">
        <v>5738</v>
      </c>
      <c r="BQ4" s="6" t="s">
        <v>5738</v>
      </c>
      <c r="BR4" s="6" t="s">
        <v>5738</v>
      </c>
      <c r="BS4" s="6">
        <v>3</v>
      </c>
      <c r="BT4" s="6">
        <v>3</v>
      </c>
      <c r="BU4" s="6">
        <v>0</v>
      </c>
      <c r="BV4" s="6">
        <v>0</v>
      </c>
      <c r="BW4" s="6">
        <v>0</v>
      </c>
      <c r="BX4" s="6">
        <v>0</v>
      </c>
      <c r="BY4" s="6" t="s">
        <v>5467</v>
      </c>
      <c r="BZ4" s="6">
        <v>2</v>
      </c>
      <c r="CA4" s="6">
        <v>2</v>
      </c>
      <c r="CB4" s="6">
        <v>2</v>
      </c>
      <c r="CC4" s="6">
        <v>0</v>
      </c>
      <c r="CD4" s="6">
        <v>0</v>
      </c>
      <c r="CE4" s="6">
        <v>0</v>
      </c>
      <c r="CF4" s="6" t="s">
        <v>5749</v>
      </c>
      <c r="CG4" s="6">
        <v>1</v>
      </c>
      <c r="CH4" s="6">
        <v>1</v>
      </c>
      <c r="CI4" s="6">
        <v>1</v>
      </c>
      <c r="CJ4" s="6">
        <v>0</v>
      </c>
      <c r="CK4" s="6">
        <v>0</v>
      </c>
      <c r="CL4" s="6">
        <v>0</v>
      </c>
      <c r="CM4" s="6" t="s">
        <v>5738</v>
      </c>
      <c r="CN4" s="6">
        <v>0</v>
      </c>
      <c r="CO4" s="6">
        <v>0</v>
      </c>
      <c r="CP4" s="6">
        <v>0</v>
      </c>
      <c r="CQ4" s="6">
        <v>0</v>
      </c>
      <c r="CR4" s="6">
        <v>0</v>
      </c>
      <c r="CS4" s="6">
        <v>0</v>
      </c>
      <c r="CT4" s="6" t="s">
        <v>5738</v>
      </c>
      <c r="CU4" s="6">
        <v>0</v>
      </c>
      <c r="CV4" s="6">
        <v>0</v>
      </c>
      <c r="CW4" s="6">
        <v>0</v>
      </c>
      <c r="CX4" s="6">
        <v>0</v>
      </c>
      <c r="CY4" s="6">
        <v>0</v>
      </c>
      <c r="CZ4" s="6">
        <v>0</v>
      </c>
      <c r="DA4" s="6" t="s">
        <v>5738</v>
      </c>
      <c r="DB4" s="6">
        <v>0</v>
      </c>
      <c r="DC4" s="6">
        <v>0</v>
      </c>
      <c r="DD4" s="6">
        <v>0</v>
      </c>
      <c r="DE4" s="6">
        <v>0</v>
      </c>
      <c r="DF4" s="6">
        <v>0</v>
      </c>
      <c r="DG4" s="6">
        <v>0</v>
      </c>
      <c r="DH4" s="6" t="s">
        <v>5738</v>
      </c>
      <c r="DI4" s="6">
        <v>0</v>
      </c>
      <c r="DJ4" s="6">
        <v>0</v>
      </c>
      <c r="DK4" s="6">
        <v>0</v>
      </c>
      <c r="DL4" s="6">
        <v>0</v>
      </c>
      <c r="DM4" s="6">
        <v>0</v>
      </c>
      <c r="DN4" s="6">
        <v>0</v>
      </c>
      <c r="DO4" s="6" t="s">
        <v>5752</v>
      </c>
      <c r="DP4" s="6">
        <v>60</v>
      </c>
      <c r="DQ4" s="6">
        <v>60</v>
      </c>
      <c r="DR4" s="6">
        <v>60</v>
      </c>
      <c r="DS4" s="6">
        <v>0</v>
      </c>
      <c r="DT4" s="6">
        <v>0</v>
      </c>
      <c r="DU4" s="6">
        <v>0</v>
      </c>
      <c r="DV4" s="6" t="s">
        <v>5753</v>
      </c>
      <c r="DW4" s="6">
        <v>60</v>
      </c>
      <c r="DX4" s="6" t="s">
        <v>5752</v>
      </c>
      <c r="DY4" s="6">
        <v>60</v>
      </c>
      <c r="DZ4" s="6">
        <v>60</v>
      </c>
      <c r="EA4" s="6">
        <v>60</v>
      </c>
      <c r="EB4" s="6">
        <v>0</v>
      </c>
      <c r="EC4" s="6">
        <v>0</v>
      </c>
      <c r="ED4" s="6">
        <v>0</v>
      </c>
      <c r="EE4" s="6" t="s">
        <v>5753</v>
      </c>
      <c r="EF4" s="6">
        <v>60</v>
      </c>
      <c r="EG4" s="6" t="s">
        <v>5738</v>
      </c>
      <c r="EH4" s="6">
        <v>0</v>
      </c>
      <c r="EI4" s="6">
        <v>0</v>
      </c>
      <c r="EJ4" s="6">
        <v>0</v>
      </c>
      <c r="EK4" s="6">
        <v>0</v>
      </c>
      <c r="EL4" s="6">
        <v>0</v>
      </c>
      <c r="EM4" s="6">
        <v>0</v>
      </c>
      <c r="EN4" s="6" t="s">
        <v>5738</v>
      </c>
      <c r="EO4" s="6">
        <v>0</v>
      </c>
      <c r="EP4" s="6" t="s">
        <v>5738</v>
      </c>
      <c r="EQ4" s="6">
        <v>0</v>
      </c>
      <c r="ER4" s="6">
        <v>0</v>
      </c>
      <c r="ES4" s="6">
        <v>0</v>
      </c>
      <c r="ET4" s="6">
        <v>0</v>
      </c>
      <c r="EU4" s="6">
        <v>0</v>
      </c>
      <c r="EV4" s="6">
        <v>0</v>
      </c>
      <c r="EW4" s="6" t="s">
        <v>5738</v>
      </c>
      <c r="EX4" s="6">
        <v>0</v>
      </c>
      <c r="EY4" s="6" t="s">
        <v>5738</v>
      </c>
      <c r="EZ4" s="6">
        <v>0</v>
      </c>
      <c r="FA4" s="6">
        <v>0</v>
      </c>
      <c r="FB4" s="6">
        <v>0</v>
      </c>
      <c r="FC4" s="6">
        <v>0</v>
      </c>
      <c r="FD4" s="6">
        <v>0</v>
      </c>
      <c r="FE4" s="6">
        <v>0</v>
      </c>
      <c r="FF4" s="6" t="s">
        <v>5738</v>
      </c>
      <c r="FG4" s="6">
        <v>0</v>
      </c>
      <c r="FH4" s="6" t="s">
        <v>5738</v>
      </c>
      <c r="FI4" s="6">
        <v>0</v>
      </c>
      <c r="FJ4" s="6">
        <v>0</v>
      </c>
      <c r="FK4" s="6">
        <v>0</v>
      </c>
      <c r="FL4" s="6">
        <v>0</v>
      </c>
      <c r="FM4" s="6">
        <v>0</v>
      </c>
      <c r="FN4" s="6">
        <v>0</v>
      </c>
      <c r="FO4" s="6" t="s">
        <v>5738</v>
      </c>
      <c r="FP4" s="6">
        <v>0</v>
      </c>
      <c r="FQ4" s="6">
        <v>60</v>
      </c>
      <c r="FR4" s="6" t="s">
        <v>5754</v>
      </c>
      <c r="FS4" s="6" t="s">
        <v>5755</v>
      </c>
      <c r="FT4" s="6" t="s">
        <v>5738</v>
      </c>
      <c r="FU4" s="6" t="s">
        <v>5738</v>
      </c>
      <c r="FV4" s="6" t="s">
        <v>5738</v>
      </c>
      <c r="FW4" s="6" t="s">
        <v>5738</v>
      </c>
      <c r="FX4" s="6" t="s">
        <v>5777</v>
      </c>
      <c r="FY4" s="6">
        <v>16.5</v>
      </c>
      <c r="FZ4" s="6">
        <v>16.5</v>
      </c>
      <c r="GA4" s="6">
        <v>16.5</v>
      </c>
      <c r="GB4" s="6">
        <v>0</v>
      </c>
      <c r="GC4" s="6">
        <v>0</v>
      </c>
      <c r="GD4" s="6">
        <v>0</v>
      </c>
      <c r="GE4" s="6" t="s">
        <v>5778</v>
      </c>
      <c r="GF4" s="6" t="s">
        <v>5777</v>
      </c>
      <c r="GG4" s="6">
        <v>16.5</v>
      </c>
      <c r="GH4" s="6">
        <v>16.5</v>
      </c>
      <c r="GI4" s="6">
        <v>16.5</v>
      </c>
      <c r="GJ4" s="6">
        <v>0</v>
      </c>
      <c r="GK4" s="6">
        <v>0</v>
      </c>
      <c r="GL4" s="6">
        <v>0</v>
      </c>
      <c r="GM4" s="6" t="s">
        <v>5778</v>
      </c>
      <c r="GN4" s="6" t="s">
        <v>5738</v>
      </c>
      <c r="GO4" s="6">
        <v>0</v>
      </c>
      <c r="GP4" s="6">
        <v>0</v>
      </c>
      <c r="GQ4" s="6">
        <v>0</v>
      </c>
      <c r="GR4" s="6">
        <v>0</v>
      </c>
      <c r="GS4" s="6">
        <v>0</v>
      </c>
      <c r="GT4" s="6">
        <v>0</v>
      </c>
      <c r="GU4" s="6" t="s">
        <v>5738</v>
      </c>
      <c r="GV4" s="6" t="s">
        <v>5738</v>
      </c>
      <c r="GW4" s="6">
        <v>0</v>
      </c>
      <c r="GX4" s="6">
        <v>0</v>
      </c>
      <c r="GY4" s="6">
        <v>0</v>
      </c>
      <c r="GZ4" s="6">
        <v>0</v>
      </c>
      <c r="HA4" s="6">
        <v>0</v>
      </c>
      <c r="HB4" s="6">
        <v>0</v>
      </c>
      <c r="HC4" s="6" t="s">
        <v>5738</v>
      </c>
      <c r="HD4" s="6" t="s">
        <v>5738</v>
      </c>
      <c r="HE4" s="6">
        <v>0</v>
      </c>
      <c r="HF4" s="6">
        <v>0</v>
      </c>
      <c r="HG4" s="6">
        <v>0</v>
      </c>
      <c r="HH4" s="6">
        <v>0</v>
      </c>
      <c r="HI4" s="6">
        <v>0</v>
      </c>
      <c r="HJ4" s="6">
        <v>0</v>
      </c>
      <c r="HK4" s="6" t="s">
        <v>5738</v>
      </c>
      <c r="HL4" s="6" t="s">
        <v>5738</v>
      </c>
      <c r="HM4" s="6">
        <v>0</v>
      </c>
      <c r="HN4" s="6">
        <v>0</v>
      </c>
      <c r="HO4" s="6">
        <v>0</v>
      </c>
      <c r="HP4" s="6">
        <v>0</v>
      </c>
      <c r="HQ4" s="6">
        <v>0</v>
      </c>
      <c r="HR4" s="6">
        <v>0</v>
      </c>
      <c r="HS4" s="6" t="s">
        <v>5738</v>
      </c>
      <c r="HT4" s="6" t="s">
        <v>5758</v>
      </c>
      <c r="HU4" s="6">
        <v>16.5</v>
      </c>
      <c r="HV4" s="6">
        <v>16.5</v>
      </c>
      <c r="HW4" s="6">
        <v>0</v>
      </c>
      <c r="HX4" s="6">
        <v>0</v>
      </c>
      <c r="HY4" s="6">
        <v>0</v>
      </c>
      <c r="HZ4" s="6">
        <v>0</v>
      </c>
      <c r="IA4" s="5">
        <v>16.5</v>
      </c>
      <c r="IB4" s="5">
        <v>4.5</v>
      </c>
      <c r="IC4" s="132" t="s">
        <v>5460</v>
      </c>
      <c r="ID4" s="132" t="s">
        <v>5779</v>
      </c>
      <c r="IE4" s="132" t="s">
        <v>5760</v>
      </c>
      <c r="IF4" s="132" t="s">
        <v>5761</v>
      </c>
      <c r="IG4" s="171">
        <v>43756</v>
      </c>
      <c r="IH4" s="171">
        <v>45583</v>
      </c>
      <c r="II4" s="6">
        <v>37</v>
      </c>
    </row>
    <row r="5" spans="1:244" ht="165.75">
      <c r="A5" s="5">
        <v>4</v>
      </c>
      <c r="B5" s="132" t="s">
        <v>5723</v>
      </c>
      <c r="C5" s="132" t="s">
        <v>5723</v>
      </c>
      <c r="D5" s="5" t="s">
        <v>5534</v>
      </c>
      <c r="E5" s="107" t="s">
        <v>5535</v>
      </c>
      <c r="F5" s="5" t="s">
        <v>5351</v>
      </c>
      <c r="G5" s="5">
        <v>105.77749</v>
      </c>
      <c r="H5" s="5">
        <v>21.019984000000001</v>
      </c>
      <c r="I5" s="5">
        <v>1</v>
      </c>
      <c r="J5" s="5">
        <v>2</v>
      </c>
      <c r="K5" s="5" t="s">
        <v>5762</v>
      </c>
      <c r="L5" s="5" t="s">
        <v>5780</v>
      </c>
      <c r="M5" s="5" t="s">
        <v>5764</v>
      </c>
      <c r="N5" s="5" t="s">
        <v>5765</v>
      </c>
      <c r="O5" s="5" t="s">
        <v>5766</v>
      </c>
      <c r="P5" s="5" t="s">
        <v>5767</v>
      </c>
      <c r="Q5" s="5" t="s">
        <v>5768</v>
      </c>
      <c r="R5" s="5" t="s">
        <v>5781</v>
      </c>
      <c r="S5" s="152" t="b">
        <v>1</v>
      </c>
      <c r="T5" s="5" t="s">
        <v>5536</v>
      </c>
      <c r="U5" s="5">
        <v>0</v>
      </c>
      <c r="V5" s="5" t="s">
        <v>5732</v>
      </c>
      <c r="W5" s="5" t="s">
        <v>5537</v>
      </c>
      <c r="X5" s="7" t="s">
        <v>5733</v>
      </c>
      <c r="Y5" s="5" t="b">
        <v>0</v>
      </c>
      <c r="Z5" s="152" t="b">
        <v>0</v>
      </c>
      <c r="AA5" s="5">
        <v>38</v>
      </c>
      <c r="AB5" s="152" t="b">
        <v>1</v>
      </c>
      <c r="AC5" s="5">
        <v>36</v>
      </c>
      <c r="AD5" s="5" t="b">
        <v>0</v>
      </c>
      <c r="AE5" s="5" t="s">
        <v>5734</v>
      </c>
      <c r="AF5" s="5" t="s">
        <v>5735</v>
      </c>
      <c r="AG5" s="132" t="s">
        <v>5736</v>
      </c>
      <c r="AH5" s="132" t="s">
        <v>5737</v>
      </c>
      <c r="AI5" s="132" t="s">
        <v>5479</v>
      </c>
      <c r="AJ5" s="132" t="s">
        <v>5738</v>
      </c>
      <c r="AK5" s="132" t="s">
        <v>5739</v>
      </c>
      <c r="AL5" s="6"/>
      <c r="AM5" s="6" t="s">
        <v>5740</v>
      </c>
      <c r="AN5" s="6" t="s">
        <v>5741</v>
      </c>
      <c r="AO5" s="5">
        <v>4</v>
      </c>
      <c r="AP5" s="85" t="s">
        <v>5742</v>
      </c>
      <c r="AQ5" s="233" t="s">
        <v>5743</v>
      </c>
      <c r="AR5" s="233" t="s">
        <v>5782</v>
      </c>
      <c r="AS5" s="234" t="s">
        <v>5350</v>
      </c>
      <c r="AT5" s="6" t="s">
        <v>5741</v>
      </c>
      <c r="AU5" s="6" t="s">
        <v>5741</v>
      </c>
      <c r="AV5" s="6" t="s">
        <v>5738</v>
      </c>
      <c r="AW5" s="6" t="s">
        <v>5738</v>
      </c>
      <c r="AX5" s="6" t="s">
        <v>5738</v>
      </c>
      <c r="AY5" s="6" t="s">
        <v>5738</v>
      </c>
      <c r="AZ5" s="6" t="s">
        <v>5723</v>
      </c>
      <c r="BA5" s="6" t="s">
        <v>5723</v>
      </c>
      <c r="BB5" s="6" t="s">
        <v>5738</v>
      </c>
      <c r="BC5" s="6" t="s">
        <v>5738</v>
      </c>
      <c r="BD5" s="6" t="s">
        <v>5738</v>
      </c>
      <c r="BE5" s="6" t="s">
        <v>5738</v>
      </c>
      <c r="BF5" s="6" t="s">
        <v>5771</v>
      </c>
      <c r="BG5" s="6" t="s">
        <v>5534</v>
      </c>
      <c r="BH5" s="6" t="s">
        <v>5534</v>
      </c>
      <c r="BI5" s="6" t="s">
        <v>5738</v>
      </c>
      <c r="BJ5" s="6" t="s">
        <v>5738</v>
      </c>
      <c r="BK5" s="6" t="s">
        <v>5738</v>
      </c>
      <c r="BL5" s="6" t="s">
        <v>5738</v>
      </c>
      <c r="BM5" s="6" t="s">
        <v>5747</v>
      </c>
      <c r="BN5" s="6" t="s">
        <v>5748</v>
      </c>
      <c r="BO5" s="6" t="s">
        <v>5738</v>
      </c>
      <c r="BP5" s="6" t="s">
        <v>5738</v>
      </c>
      <c r="BQ5" s="6" t="s">
        <v>5738</v>
      </c>
      <c r="BR5" s="6" t="s">
        <v>5738</v>
      </c>
      <c r="BS5" s="6">
        <v>3</v>
      </c>
      <c r="BT5" s="6">
        <v>3</v>
      </c>
      <c r="BU5" s="6">
        <v>0</v>
      </c>
      <c r="BV5" s="6">
        <v>0</v>
      </c>
      <c r="BW5" s="6">
        <v>0</v>
      </c>
      <c r="BX5" s="6">
        <v>0</v>
      </c>
      <c r="BY5" s="6" t="s">
        <v>5467</v>
      </c>
      <c r="BZ5" s="6">
        <v>2</v>
      </c>
      <c r="CA5" s="6">
        <v>2</v>
      </c>
      <c r="CB5" s="6">
        <v>2</v>
      </c>
      <c r="CC5" s="6">
        <v>0</v>
      </c>
      <c r="CD5" s="6">
        <v>0</v>
      </c>
      <c r="CE5" s="6">
        <v>0</v>
      </c>
      <c r="CF5" s="6" t="s">
        <v>5749</v>
      </c>
      <c r="CG5" s="6">
        <v>1</v>
      </c>
      <c r="CH5" s="6">
        <v>1</v>
      </c>
      <c r="CI5" s="6">
        <v>1</v>
      </c>
      <c r="CJ5" s="6">
        <v>0</v>
      </c>
      <c r="CK5" s="6">
        <v>0</v>
      </c>
      <c r="CL5" s="6">
        <v>0</v>
      </c>
      <c r="CM5" s="6" t="s">
        <v>5738</v>
      </c>
      <c r="CN5" s="6">
        <v>0</v>
      </c>
      <c r="CO5" s="6">
        <v>0</v>
      </c>
      <c r="CP5" s="6">
        <v>0</v>
      </c>
      <c r="CQ5" s="6">
        <v>0</v>
      </c>
      <c r="CR5" s="6">
        <v>0</v>
      </c>
      <c r="CS5" s="6">
        <v>0</v>
      </c>
      <c r="CT5" s="6" t="s">
        <v>5738</v>
      </c>
      <c r="CU5" s="6">
        <v>0</v>
      </c>
      <c r="CV5" s="6">
        <v>0</v>
      </c>
      <c r="CW5" s="6">
        <v>0</v>
      </c>
      <c r="CX5" s="6">
        <v>0</v>
      </c>
      <c r="CY5" s="6">
        <v>0</v>
      </c>
      <c r="CZ5" s="6">
        <v>0</v>
      </c>
      <c r="DA5" s="6" t="s">
        <v>5738</v>
      </c>
      <c r="DB5" s="6">
        <v>0</v>
      </c>
      <c r="DC5" s="6">
        <v>0</v>
      </c>
      <c r="DD5" s="6">
        <v>0</v>
      </c>
      <c r="DE5" s="6">
        <v>0</v>
      </c>
      <c r="DF5" s="6">
        <v>0</v>
      </c>
      <c r="DG5" s="6">
        <v>0</v>
      </c>
      <c r="DH5" s="6" t="s">
        <v>5738</v>
      </c>
      <c r="DI5" s="6">
        <v>0</v>
      </c>
      <c r="DJ5" s="6">
        <v>0</v>
      </c>
      <c r="DK5" s="6">
        <v>0</v>
      </c>
      <c r="DL5" s="6">
        <v>0</v>
      </c>
      <c r="DM5" s="6">
        <v>0</v>
      </c>
      <c r="DN5" s="6">
        <v>0</v>
      </c>
      <c r="DO5" s="6" t="s">
        <v>5752</v>
      </c>
      <c r="DP5" s="6">
        <v>60</v>
      </c>
      <c r="DQ5" s="6">
        <v>60</v>
      </c>
      <c r="DR5" s="6">
        <v>60</v>
      </c>
      <c r="DS5" s="6">
        <v>0</v>
      </c>
      <c r="DT5" s="6">
        <v>0</v>
      </c>
      <c r="DU5" s="6">
        <v>0</v>
      </c>
      <c r="DV5" s="6" t="s">
        <v>5753</v>
      </c>
      <c r="DW5" s="6">
        <v>60</v>
      </c>
      <c r="DX5" s="6" t="s">
        <v>5752</v>
      </c>
      <c r="DY5" s="6">
        <v>60</v>
      </c>
      <c r="DZ5" s="6">
        <v>60</v>
      </c>
      <c r="EA5" s="6">
        <v>60</v>
      </c>
      <c r="EB5" s="6">
        <v>0</v>
      </c>
      <c r="EC5" s="6">
        <v>0</v>
      </c>
      <c r="ED5" s="6">
        <v>0</v>
      </c>
      <c r="EE5" s="6" t="s">
        <v>5753</v>
      </c>
      <c r="EF5" s="6">
        <v>60</v>
      </c>
      <c r="EG5" s="6" t="s">
        <v>5738</v>
      </c>
      <c r="EH5" s="6">
        <v>0</v>
      </c>
      <c r="EI5" s="6">
        <v>0</v>
      </c>
      <c r="EJ5" s="6">
        <v>0</v>
      </c>
      <c r="EK5" s="6">
        <v>0</v>
      </c>
      <c r="EL5" s="6">
        <v>0</v>
      </c>
      <c r="EM5" s="6">
        <v>0</v>
      </c>
      <c r="EN5" s="6" t="s">
        <v>5738</v>
      </c>
      <c r="EO5" s="6">
        <v>0</v>
      </c>
      <c r="EP5" s="6" t="s">
        <v>5738</v>
      </c>
      <c r="EQ5" s="6">
        <v>0</v>
      </c>
      <c r="ER5" s="6">
        <v>0</v>
      </c>
      <c r="ES5" s="6">
        <v>0</v>
      </c>
      <c r="ET5" s="6">
        <v>0</v>
      </c>
      <c r="EU5" s="6">
        <v>0</v>
      </c>
      <c r="EV5" s="6">
        <v>0</v>
      </c>
      <c r="EW5" s="6" t="s">
        <v>5738</v>
      </c>
      <c r="EX5" s="6">
        <v>0</v>
      </c>
      <c r="EY5" s="6" t="s">
        <v>5738</v>
      </c>
      <c r="EZ5" s="6">
        <v>0</v>
      </c>
      <c r="FA5" s="6">
        <v>0</v>
      </c>
      <c r="FB5" s="6">
        <v>0</v>
      </c>
      <c r="FC5" s="6">
        <v>0</v>
      </c>
      <c r="FD5" s="6">
        <v>0</v>
      </c>
      <c r="FE5" s="6">
        <v>0</v>
      </c>
      <c r="FF5" s="6" t="s">
        <v>5738</v>
      </c>
      <c r="FG5" s="6">
        <v>0</v>
      </c>
      <c r="FH5" s="6" t="s">
        <v>5738</v>
      </c>
      <c r="FI5" s="6">
        <v>0</v>
      </c>
      <c r="FJ5" s="6">
        <v>0</v>
      </c>
      <c r="FK5" s="6">
        <v>0</v>
      </c>
      <c r="FL5" s="6">
        <v>0</v>
      </c>
      <c r="FM5" s="6">
        <v>0</v>
      </c>
      <c r="FN5" s="6">
        <v>0</v>
      </c>
      <c r="FO5" s="6" t="s">
        <v>5738</v>
      </c>
      <c r="FP5" s="6">
        <v>0</v>
      </c>
      <c r="FQ5" s="6">
        <v>60</v>
      </c>
      <c r="FR5" s="6" t="s">
        <v>5754</v>
      </c>
      <c r="FS5" s="6" t="s">
        <v>5755</v>
      </c>
      <c r="FT5" s="6" t="s">
        <v>5738</v>
      </c>
      <c r="FU5" s="6" t="s">
        <v>5738</v>
      </c>
      <c r="FV5" s="6" t="s">
        <v>5738</v>
      </c>
      <c r="FW5" s="6" t="s">
        <v>5738</v>
      </c>
      <c r="FX5" s="6" t="s">
        <v>5783</v>
      </c>
      <c r="FY5" s="6">
        <v>38</v>
      </c>
      <c r="FZ5" s="6">
        <v>38</v>
      </c>
      <c r="GA5" s="6">
        <v>38</v>
      </c>
      <c r="GB5" s="6">
        <v>0</v>
      </c>
      <c r="GC5" s="6">
        <v>0</v>
      </c>
      <c r="GD5" s="6">
        <v>0</v>
      </c>
      <c r="GE5" s="6" t="s">
        <v>5784</v>
      </c>
      <c r="GF5" s="6" t="s">
        <v>5783</v>
      </c>
      <c r="GG5" s="6">
        <v>38</v>
      </c>
      <c r="GH5" s="6">
        <v>38</v>
      </c>
      <c r="GI5" s="6">
        <v>38</v>
      </c>
      <c r="GJ5" s="6">
        <v>0</v>
      </c>
      <c r="GK5" s="6">
        <v>0</v>
      </c>
      <c r="GL5" s="6">
        <v>0</v>
      </c>
      <c r="GM5" s="6" t="s">
        <v>5784</v>
      </c>
      <c r="GN5" s="6" t="s">
        <v>5738</v>
      </c>
      <c r="GO5" s="6">
        <v>0</v>
      </c>
      <c r="GP5" s="6">
        <v>0</v>
      </c>
      <c r="GQ5" s="6">
        <v>0</v>
      </c>
      <c r="GR5" s="6">
        <v>0</v>
      </c>
      <c r="GS5" s="6">
        <v>0</v>
      </c>
      <c r="GT5" s="6">
        <v>0</v>
      </c>
      <c r="GU5" s="6" t="s">
        <v>5738</v>
      </c>
      <c r="GV5" s="6" t="s">
        <v>5738</v>
      </c>
      <c r="GW5" s="6">
        <v>0</v>
      </c>
      <c r="GX5" s="6">
        <v>0</v>
      </c>
      <c r="GY5" s="6">
        <v>0</v>
      </c>
      <c r="GZ5" s="6">
        <v>0</v>
      </c>
      <c r="HA5" s="6">
        <v>0</v>
      </c>
      <c r="HB5" s="6">
        <v>0</v>
      </c>
      <c r="HC5" s="6" t="s">
        <v>5738</v>
      </c>
      <c r="HD5" s="6" t="s">
        <v>5738</v>
      </c>
      <c r="HE5" s="6">
        <v>0</v>
      </c>
      <c r="HF5" s="6">
        <v>0</v>
      </c>
      <c r="HG5" s="6">
        <v>0</v>
      </c>
      <c r="HH5" s="6">
        <v>0</v>
      </c>
      <c r="HI5" s="6">
        <v>0</v>
      </c>
      <c r="HJ5" s="6">
        <v>0</v>
      </c>
      <c r="HK5" s="6" t="s">
        <v>5738</v>
      </c>
      <c r="HL5" s="6" t="s">
        <v>5738</v>
      </c>
      <c r="HM5" s="6">
        <v>0</v>
      </c>
      <c r="HN5" s="6">
        <v>0</v>
      </c>
      <c r="HO5" s="6">
        <v>0</v>
      </c>
      <c r="HP5" s="6">
        <v>0</v>
      </c>
      <c r="HQ5" s="6">
        <v>0</v>
      </c>
      <c r="HR5" s="6">
        <v>0</v>
      </c>
      <c r="HS5" s="6" t="s">
        <v>5738</v>
      </c>
      <c r="HT5" s="6" t="s">
        <v>5758</v>
      </c>
      <c r="HU5" s="6">
        <v>38</v>
      </c>
      <c r="HV5" s="6">
        <v>38</v>
      </c>
      <c r="HW5" s="6">
        <v>0</v>
      </c>
      <c r="HX5" s="6">
        <v>0</v>
      </c>
      <c r="HY5" s="6">
        <v>0</v>
      </c>
      <c r="HZ5" s="6">
        <v>0</v>
      </c>
      <c r="IA5" s="5">
        <v>38</v>
      </c>
      <c r="IB5" s="5">
        <v>2</v>
      </c>
      <c r="IC5" s="132" t="s">
        <v>5460</v>
      </c>
      <c r="ID5" s="132" t="s">
        <v>5785</v>
      </c>
      <c r="IE5" s="132" t="s">
        <v>5760</v>
      </c>
      <c r="IF5" s="132" t="s">
        <v>5761</v>
      </c>
      <c r="IG5" s="171">
        <v>43756</v>
      </c>
      <c r="IH5" s="171">
        <v>45583</v>
      </c>
      <c r="II5" s="6">
        <v>37</v>
      </c>
    </row>
    <row r="6" spans="1:244" ht="165.75">
      <c r="A6" s="5">
        <v>5</v>
      </c>
      <c r="B6" s="132" t="s">
        <v>5723</v>
      </c>
      <c r="C6" s="132" t="s">
        <v>5723</v>
      </c>
      <c r="D6" s="5" t="s">
        <v>5538</v>
      </c>
      <c r="E6" s="107" t="s">
        <v>5539</v>
      </c>
      <c r="F6" s="5" t="s">
        <v>5351</v>
      </c>
      <c r="G6" s="5">
        <v>105.775795</v>
      </c>
      <c r="H6" s="5">
        <v>21.017797000000002</v>
      </c>
      <c r="I6" s="5">
        <v>1</v>
      </c>
      <c r="J6" s="5">
        <v>2</v>
      </c>
      <c r="K6" s="5" t="s">
        <v>5762</v>
      </c>
      <c r="L6" s="5" t="s">
        <v>5786</v>
      </c>
      <c r="M6" s="5" t="s">
        <v>5764</v>
      </c>
      <c r="N6" s="5" t="s">
        <v>5765</v>
      </c>
      <c r="O6" s="5" t="s">
        <v>5766</v>
      </c>
      <c r="P6" s="5" t="s">
        <v>5767</v>
      </c>
      <c r="Q6" s="5" t="s">
        <v>5768</v>
      </c>
      <c r="R6" s="5" t="s">
        <v>5769</v>
      </c>
      <c r="S6" s="152" t="b">
        <v>1</v>
      </c>
      <c r="T6" s="5" t="s">
        <v>5540</v>
      </c>
      <c r="U6" s="5">
        <v>0</v>
      </c>
      <c r="V6" s="5" t="s">
        <v>5732</v>
      </c>
      <c r="W6" s="5" t="s">
        <v>5541</v>
      </c>
      <c r="X6" s="7" t="s">
        <v>5733</v>
      </c>
      <c r="Y6" s="5" t="b">
        <v>0</v>
      </c>
      <c r="Z6" s="152" t="b">
        <v>0</v>
      </c>
      <c r="AA6" s="5">
        <v>42.5</v>
      </c>
      <c r="AB6" s="152" t="b">
        <v>1</v>
      </c>
      <c r="AC6" s="5">
        <v>40</v>
      </c>
      <c r="AD6" s="5" t="b">
        <v>0</v>
      </c>
      <c r="AE6" s="5" t="s">
        <v>5734</v>
      </c>
      <c r="AF6" s="5" t="s">
        <v>5735</v>
      </c>
      <c r="AG6" s="132" t="s">
        <v>5736</v>
      </c>
      <c r="AH6" s="132" t="s">
        <v>5737</v>
      </c>
      <c r="AI6" s="132" t="s">
        <v>5479</v>
      </c>
      <c r="AJ6" s="132" t="s">
        <v>5738</v>
      </c>
      <c r="AK6" s="132" t="s">
        <v>5739</v>
      </c>
      <c r="AL6" s="6"/>
      <c r="AM6" s="6" t="s">
        <v>5740</v>
      </c>
      <c r="AN6" s="6" t="s">
        <v>5741</v>
      </c>
      <c r="AO6" s="5">
        <v>4</v>
      </c>
      <c r="AP6" s="85" t="s">
        <v>5742</v>
      </c>
      <c r="AQ6" s="233" t="s">
        <v>5743</v>
      </c>
      <c r="AR6" s="233" t="s">
        <v>5782</v>
      </c>
      <c r="AS6" s="234" t="s">
        <v>5350</v>
      </c>
      <c r="AT6" s="6" t="s">
        <v>5741</v>
      </c>
      <c r="AU6" s="6" t="s">
        <v>5741</v>
      </c>
      <c r="AV6" s="6" t="s">
        <v>5738</v>
      </c>
      <c r="AW6" s="6" t="s">
        <v>5738</v>
      </c>
      <c r="AX6" s="6" t="s">
        <v>5738</v>
      </c>
      <c r="AY6" s="6" t="s">
        <v>5738</v>
      </c>
      <c r="AZ6" s="6" t="s">
        <v>5723</v>
      </c>
      <c r="BA6" s="6" t="s">
        <v>5723</v>
      </c>
      <c r="BB6" s="6" t="s">
        <v>5738</v>
      </c>
      <c r="BC6" s="6" t="s">
        <v>5738</v>
      </c>
      <c r="BD6" s="6" t="s">
        <v>5738</v>
      </c>
      <c r="BE6" s="6" t="s">
        <v>5738</v>
      </c>
      <c r="BF6" s="6" t="s">
        <v>5771</v>
      </c>
      <c r="BG6" s="6" t="s">
        <v>5538</v>
      </c>
      <c r="BH6" s="6" t="s">
        <v>5538</v>
      </c>
      <c r="BI6" s="6" t="s">
        <v>5738</v>
      </c>
      <c r="BJ6" s="6" t="s">
        <v>5738</v>
      </c>
      <c r="BK6" s="6" t="s">
        <v>5738</v>
      </c>
      <c r="BL6" s="6" t="s">
        <v>5738</v>
      </c>
      <c r="BM6" s="6" t="s">
        <v>5747</v>
      </c>
      <c r="BN6" s="6" t="s">
        <v>5748</v>
      </c>
      <c r="BO6" s="6" t="s">
        <v>5738</v>
      </c>
      <c r="BP6" s="6" t="s">
        <v>5738</v>
      </c>
      <c r="BQ6" s="6" t="s">
        <v>5738</v>
      </c>
      <c r="BR6" s="6" t="s">
        <v>5738</v>
      </c>
      <c r="BS6" s="6">
        <v>3</v>
      </c>
      <c r="BT6" s="6">
        <v>3</v>
      </c>
      <c r="BU6" s="6">
        <v>0</v>
      </c>
      <c r="BV6" s="6">
        <v>0</v>
      </c>
      <c r="BW6" s="6">
        <v>0</v>
      </c>
      <c r="BX6" s="6">
        <v>0</v>
      </c>
      <c r="BY6" s="6" t="s">
        <v>5467</v>
      </c>
      <c r="BZ6" s="6">
        <v>2</v>
      </c>
      <c r="CA6" s="6">
        <v>2</v>
      </c>
      <c r="CB6" s="6">
        <v>2</v>
      </c>
      <c r="CC6" s="6">
        <v>0</v>
      </c>
      <c r="CD6" s="6">
        <v>0</v>
      </c>
      <c r="CE6" s="6">
        <v>0</v>
      </c>
      <c r="CF6" s="6" t="s">
        <v>5749</v>
      </c>
      <c r="CG6" s="6">
        <v>1</v>
      </c>
      <c r="CH6" s="6">
        <v>1</v>
      </c>
      <c r="CI6" s="6">
        <v>1</v>
      </c>
      <c r="CJ6" s="6">
        <v>0</v>
      </c>
      <c r="CK6" s="6">
        <v>0</v>
      </c>
      <c r="CL6" s="6">
        <v>0</v>
      </c>
      <c r="CM6" s="6" t="s">
        <v>5738</v>
      </c>
      <c r="CN6" s="6">
        <v>0</v>
      </c>
      <c r="CO6" s="6">
        <v>0</v>
      </c>
      <c r="CP6" s="6">
        <v>0</v>
      </c>
      <c r="CQ6" s="6">
        <v>0</v>
      </c>
      <c r="CR6" s="6">
        <v>0</v>
      </c>
      <c r="CS6" s="6">
        <v>0</v>
      </c>
      <c r="CT6" s="6" t="s">
        <v>5738</v>
      </c>
      <c r="CU6" s="6">
        <v>0</v>
      </c>
      <c r="CV6" s="6">
        <v>0</v>
      </c>
      <c r="CW6" s="6">
        <v>0</v>
      </c>
      <c r="CX6" s="6">
        <v>0</v>
      </c>
      <c r="CY6" s="6">
        <v>0</v>
      </c>
      <c r="CZ6" s="6">
        <v>0</v>
      </c>
      <c r="DA6" s="6" t="s">
        <v>5738</v>
      </c>
      <c r="DB6" s="6">
        <v>0</v>
      </c>
      <c r="DC6" s="6">
        <v>0</v>
      </c>
      <c r="DD6" s="6">
        <v>0</v>
      </c>
      <c r="DE6" s="6">
        <v>0</v>
      </c>
      <c r="DF6" s="6">
        <v>0</v>
      </c>
      <c r="DG6" s="6">
        <v>0</v>
      </c>
      <c r="DH6" s="6" t="s">
        <v>5738</v>
      </c>
      <c r="DI6" s="6">
        <v>0</v>
      </c>
      <c r="DJ6" s="6">
        <v>0</v>
      </c>
      <c r="DK6" s="6">
        <v>0</v>
      </c>
      <c r="DL6" s="6">
        <v>0</v>
      </c>
      <c r="DM6" s="6">
        <v>0</v>
      </c>
      <c r="DN6" s="6">
        <v>0</v>
      </c>
      <c r="DO6" s="6" t="s">
        <v>5752</v>
      </c>
      <c r="DP6" s="6">
        <v>60</v>
      </c>
      <c r="DQ6" s="6">
        <v>60</v>
      </c>
      <c r="DR6" s="6">
        <v>60</v>
      </c>
      <c r="DS6" s="6">
        <v>0</v>
      </c>
      <c r="DT6" s="6">
        <v>0</v>
      </c>
      <c r="DU6" s="6">
        <v>0</v>
      </c>
      <c r="DV6" s="6" t="s">
        <v>5753</v>
      </c>
      <c r="DW6" s="6">
        <v>60</v>
      </c>
      <c r="DX6" s="6" t="s">
        <v>5752</v>
      </c>
      <c r="DY6" s="6">
        <v>60</v>
      </c>
      <c r="DZ6" s="6">
        <v>60</v>
      </c>
      <c r="EA6" s="6">
        <v>60</v>
      </c>
      <c r="EB6" s="6">
        <v>0</v>
      </c>
      <c r="EC6" s="6">
        <v>0</v>
      </c>
      <c r="ED6" s="6">
        <v>0</v>
      </c>
      <c r="EE6" s="6" t="s">
        <v>5753</v>
      </c>
      <c r="EF6" s="6">
        <v>60</v>
      </c>
      <c r="EG6" s="6" t="s">
        <v>5738</v>
      </c>
      <c r="EH6" s="6">
        <v>0</v>
      </c>
      <c r="EI6" s="6">
        <v>0</v>
      </c>
      <c r="EJ6" s="6">
        <v>0</v>
      </c>
      <c r="EK6" s="6">
        <v>0</v>
      </c>
      <c r="EL6" s="6">
        <v>0</v>
      </c>
      <c r="EM6" s="6">
        <v>0</v>
      </c>
      <c r="EN6" s="6" t="s">
        <v>5738</v>
      </c>
      <c r="EO6" s="6">
        <v>0</v>
      </c>
      <c r="EP6" s="6" t="s">
        <v>5738</v>
      </c>
      <c r="EQ6" s="6">
        <v>0</v>
      </c>
      <c r="ER6" s="6">
        <v>0</v>
      </c>
      <c r="ES6" s="6">
        <v>0</v>
      </c>
      <c r="ET6" s="6">
        <v>0</v>
      </c>
      <c r="EU6" s="6">
        <v>0</v>
      </c>
      <c r="EV6" s="6">
        <v>0</v>
      </c>
      <c r="EW6" s="6" t="s">
        <v>5738</v>
      </c>
      <c r="EX6" s="6">
        <v>0</v>
      </c>
      <c r="EY6" s="6" t="s">
        <v>5738</v>
      </c>
      <c r="EZ6" s="6">
        <v>0</v>
      </c>
      <c r="FA6" s="6">
        <v>0</v>
      </c>
      <c r="FB6" s="6">
        <v>0</v>
      </c>
      <c r="FC6" s="6">
        <v>0</v>
      </c>
      <c r="FD6" s="6">
        <v>0</v>
      </c>
      <c r="FE6" s="6">
        <v>0</v>
      </c>
      <c r="FF6" s="6" t="s">
        <v>5738</v>
      </c>
      <c r="FG6" s="6">
        <v>0</v>
      </c>
      <c r="FH6" s="6" t="s">
        <v>5738</v>
      </c>
      <c r="FI6" s="6">
        <v>0</v>
      </c>
      <c r="FJ6" s="6">
        <v>0</v>
      </c>
      <c r="FK6" s="6">
        <v>0</v>
      </c>
      <c r="FL6" s="6">
        <v>0</v>
      </c>
      <c r="FM6" s="6">
        <v>0</v>
      </c>
      <c r="FN6" s="6">
        <v>0</v>
      </c>
      <c r="FO6" s="6" t="s">
        <v>5738</v>
      </c>
      <c r="FP6" s="6">
        <v>0</v>
      </c>
      <c r="FQ6" s="6">
        <v>60</v>
      </c>
      <c r="FR6" s="6" t="s">
        <v>5754</v>
      </c>
      <c r="FS6" s="6" t="s">
        <v>5755</v>
      </c>
      <c r="FT6" s="6" t="s">
        <v>5738</v>
      </c>
      <c r="FU6" s="6" t="s">
        <v>5738</v>
      </c>
      <c r="FV6" s="6" t="s">
        <v>5738</v>
      </c>
      <c r="FW6" s="6" t="s">
        <v>5738</v>
      </c>
      <c r="FX6" s="6" t="s">
        <v>5772</v>
      </c>
      <c r="FY6" s="6">
        <v>42.5</v>
      </c>
      <c r="FZ6" s="6">
        <v>42.5</v>
      </c>
      <c r="GA6" s="6">
        <v>42.5</v>
      </c>
      <c r="GB6" s="6">
        <v>0</v>
      </c>
      <c r="GC6" s="6">
        <v>0</v>
      </c>
      <c r="GD6" s="6">
        <v>0</v>
      </c>
      <c r="GE6" s="6" t="s">
        <v>5773</v>
      </c>
      <c r="GF6" s="6" t="s">
        <v>5772</v>
      </c>
      <c r="GG6" s="6">
        <v>42.5</v>
      </c>
      <c r="GH6" s="6">
        <v>42.5</v>
      </c>
      <c r="GI6" s="6">
        <v>42.5</v>
      </c>
      <c r="GJ6" s="6">
        <v>0</v>
      </c>
      <c r="GK6" s="6">
        <v>0</v>
      </c>
      <c r="GL6" s="6">
        <v>0</v>
      </c>
      <c r="GM6" s="6" t="s">
        <v>5773</v>
      </c>
      <c r="GN6" s="6" t="s">
        <v>5738</v>
      </c>
      <c r="GO6" s="6">
        <v>0</v>
      </c>
      <c r="GP6" s="6">
        <v>0</v>
      </c>
      <c r="GQ6" s="6">
        <v>0</v>
      </c>
      <c r="GR6" s="6">
        <v>0</v>
      </c>
      <c r="GS6" s="6">
        <v>0</v>
      </c>
      <c r="GT6" s="6">
        <v>0</v>
      </c>
      <c r="GU6" s="6" t="s">
        <v>5738</v>
      </c>
      <c r="GV6" s="6" t="s">
        <v>5738</v>
      </c>
      <c r="GW6" s="6">
        <v>0</v>
      </c>
      <c r="GX6" s="6">
        <v>0</v>
      </c>
      <c r="GY6" s="6">
        <v>0</v>
      </c>
      <c r="GZ6" s="6">
        <v>0</v>
      </c>
      <c r="HA6" s="6">
        <v>0</v>
      </c>
      <c r="HB6" s="6">
        <v>0</v>
      </c>
      <c r="HC6" s="6" t="s">
        <v>5738</v>
      </c>
      <c r="HD6" s="6" t="s">
        <v>5738</v>
      </c>
      <c r="HE6" s="6">
        <v>0</v>
      </c>
      <c r="HF6" s="6">
        <v>0</v>
      </c>
      <c r="HG6" s="6">
        <v>0</v>
      </c>
      <c r="HH6" s="6">
        <v>0</v>
      </c>
      <c r="HI6" s="6">
        <v>0</v>
      </c>
      <c r="HJ6" s="6">
        <v>0</v>
      </c>
      <c r="HK6" s="6" t="s">
        <v>5738</v>
      </c>
      <c r="HL6" s="6" t="s">
        <v>5738</v>
      </c>
      <c r="HM6" s="6">
        <v>0</v>
      </c>
      <c r="HN6" s="6">
        <v>0</v>
      </c>
      <c r="HO6" s="6">
        <v>0</v>
      </c>
      <c r="HP6" s="6">
        <v>0</v>
      </c>
      <c r="HQ6" s="6">
        <v>0</v>
      </c>
      <c r="HR6" s="6">
        <v>0</v>
      </c>
      <c r="HS6" s="6" t="s">
        <v>5738</v>
      </c>
      <c r="HT6" s="6" t="s">
        <v>5758</v>
      </c>
      <c r="HU6" s="6">
        <v>42.5</v>
      </c>
      <c r="HV6" s="6">
        <v>42.5</v>
      </c>
      <c r="HW6" s="6">
        <v>0</v>
      </c>
      <c r="HX6" s="6">
        <v>0</v>
      </c>
      <c r="HY6" s="6">
        <v>0</v>
      </c>
      <c r="HZ6" s="6">
        <v>0</v>
      </c>
      <c r="IA6" s="5">
        <v>42.5</v>
      </c>
      <c r="IB6" s="5">
        <v>2.5</v>
      </c>
      <c r="IC6" s="132" t="s">
        <v>5460</v>
      </c>
      <c r="ID6" s="132" t="s">
        <v>5787</v>
      </c>
      <c r="IE6" s="132" t="s">
        <v>5760</v>
      </c>
      <c r="IF6" s="132" t="s">
        <v>5761</v>
      </c>
      <c r="IG6" s="171">
        <v>43756</v>
      </c>
      <c r="IH6" s="171">
        <v>45583</v>
      </c>
      <c r="II6" s="6">
        <v>37</v>
      </c>
    </row>
    <row r="7" spans="1:244" ht="165.75">
      <c r="A7" s="5">
        <v>6</v>
      </c>
      <c r="B7" s="132" t="s">
        <v>5723</v>
      </c>
      <c r="C7" s="132" t="s">
        <v>5723</v>
      </c>
      <c r="D7" s="5" t="s">
        <v>5542</v>
      </c>
      <c r="E7" s="107" t="s">
        <v>5543</v>
      </c>
      <c r="F7" s="5" t="s">
        <v>5351</v>
      </c>
      <c r="G7" s="5">
        <v>105.779681</v>
      </c>
      <c r="H7" s="5">
        <v>21.011955</v>
      </c>
      <c r="I7" s="5">
        <v>1</v>
      </c>
      <c r="J7" s="5">
        <v>2</v>
      </c>
      <c r="K7" s="5" t="s">
        <v>5762</v>
      </c>
      <c r="L7" s="5" t="s">
        <v>5788</v>
      </c>
      <c r="M7" s="5" t="s">
        <v>5764</v>
      </c>
      <c r="N7" s="5" t="s">
        <v>5765</v>
      </c>
      <c r="O7" s="5" t="s">
        <v>5766</v>
      </c>
      <c r="P7" s="5" t="s">
        <v>5767</v>
      </c>
      <c r="Q7" s="5" t="s">
        <v>5768</v>
      </c>
      <c r="R7" s="5" t="s">
        <v>5789</v>
      </c>
      <c r="S7" s="152" t="b">
        <v>1</v>
      </c>
      <c r="T7" s="5" t="s">
        <v>5544</v>
      </c>
      <c r="U7" s="5">
        <v>0</v>
      </c>
      <c r="V7" s="5" t="s">
        <v>5732</v>
      </c>
      <c r="W7" s="5" t="s">
        <v>5545</v>
      </c>
      <c r="X7" s="7" t="s">
        <v>5733</v>
      </c>
      <c r="Y7" s="5" t="b">
        <v>0</v>
      </c>
      <c r="Z7" s="152" t="b">
        <v>0</v>
      </c>
      <c r="AA7" s="5">
        <v>40</v>
      </c>
      <c r="AB7" s="152" t="b">
        <v>1</v>
      </c>
      <c r="AC7" s="5">
        <v>36</v>
      </c>
      <c r="AD7" s="5" t="b">
        <v>0</v>
      </c>
      <c r="AE7" s="5" t="s">
        <v>5734</v>
      </c>
      <c r="AF7" s="5" t="s">
        <v>5735</v>
      </c>
      <c r="AG7" s="132" t="s">
        <v>5736</v>
      </c>
      <c r="AH7" s="132" t="s">
        <v>5737</v>
      </c>
      <c r="AI7" s="132" t="s">
        <v>5479</v>
      </c>
      <c r="AJ7" s="132" t="s">
        <v>5738</v>
      </c>
      <c r="AK7" s="132" t="s">
        <v>5739</v>
      </c>
      <c r="AL7" s="6"/>
      <c r="AM7" s="6" t="s">
        <v>5740</v>
      </c>
      <c r="AN7" s="6" t="s">
        <v>5741</v>
      </c>
      <c r="AO7" s="5">
        <v>5</v>
      </c>
      <c r="AP7" s="85" t="s">
        <v>5742</v>
      </c>
      <c r="AQ7" s="233" t="s">
        <v>5743</v>
      </c>
      <c r="AR7" s="233" t="s">
        <v>5790</v>
      </c>
      <c r="AS7" s="234" t="s">
        <v>5350</v>
      </c>
      <c r="AT7" s="6" t="s">
        <v>5741</v>
      </c>
      <c r="AU7" s="6" t="s">
        <v>5741</v>
      </c>
      <c r="AV7" s="6" t="s">
        <v>5738</v>
      </c>
      <c r="AW7" s="6" t="s">
        <v>5738</v>
      </c>
      <c r="AX7" s="6" t="s">
        <v>5738</v>
      </c>
      <c r="AY7" s="6" t="s">
        <v>5738</v>
      </c>
      <c r="AZ7" s="6" t="s">
        <v>5723</v>
      </c>
      <c r="BA7" s="6" t="s">
        <v>5723</v>
      </c>
      <c r="BB7" s="6" t="s">
        <v>5738</v>
      </c>
      <c r="BC7" s="6" t="s">
        <v>5738</v>
      </c>
      <c r="BD7" s="6" t="s">
        <v>5738</v>
      </c>
      <c r="BE7" s="6" t="s">
        <v>5738</v>
      </c>
      <c r="BF7" s="6" t="s">
        <v>5771</v>
      </c>
      <c r="BG7" s="6" t="s">
        <v>5542</v>
      </c>
      <c r="BH7" s="6" t="s">
        <v>5542</v>
      </c>
      <c r="BI7" s="6" t="s">
        <v>5738</v>
      </c>
      <c r="BJ7" s="6" t="s">
        <v>5738</v>
      </c>
      <c r="BK7" s="6" t="s">
        <v>5738</v>
      </c>
      <c r="BL7" s="6" t="s">
        <v>5738</v>
      </c>
      <c r="BM7" s="6" t="s">
        <v>5747</v>
      </c>
      <c r="BN7" s="6" t="s">
        <v>5748</v>
      </c>
      <c r="BO7" s="6" t="s">
        <v>5738</v>
      </c>
      <c r="BP7" s="6" t="s">
        <v>5738</v>
      </c>
      <c r="BQ7" s="6" t="s">
        <v>5738</v>
      </c>
      <c r="BR7" s="6" t="s">
        <v>5738</v>
      </c>
      <c r="BS7" s="6">
        <v>3</v>
      </c>
      <c r="BT7" s="6">
        <v>3</v>
      </c>
      <c r="BU7" s="6">
        <v>0</v>
      </c>
      <c r="BV7" s="6">
        <v>0</v>
      </c>
      <c r="BW7" s="6">
        <v>0</v>
      </c>
      <c r="BX7" s="6">
        <v>0</v>
      </c>
      <c r="BY7" s="6" t="s">
        <v>5467</v>
      </c>
      <c r="BZ7" s="6">
        <v>2</v>
      </c>
      <c r="CA7" s="6">
        <v>2</v>
      </c>
      <c r="CB7" s="6">
        <v>2</v>
      </c>
      <c r="CC7" s="6">
        <v>0</v>
      </c>
      <c r="CD7" s="6">
        <v>0</v>
      </c>
      <c r="CE7" s="6">
        <v>0</v>
      </c>
      <c r="CF7" s="6" t="s">
        <v>5749</v>
      </c>
      <c r="CG7" s="6">
        <v>1</v>
      </c>
      <c r="CH7" s="6">
        <v>1</v>
      </c>
      <c r="CI7" s="6">
        <v>1</v>
      </c>
      <c r="CJ7" s="6">
        <v>0</v>
      </c>
      <c r="CK7" s="6">
        <v>0</v>
      </c>
      <c r="CL7" s="6">
        <v>0</v>
      </c>
      <c r="CM7" s="6" t="s">
        <v>5738</v>
      </c>
      <c r="CN7" s="6">
        <v>0</v>
      </c>
      <c r="CO7" s="6">
        <v>0</v>
      </c>
      <c r="CP7" s="6">
        <v>0</v>
      </c>
      <c r="CQ7" s="6">
        <v>0</v>
      </c>
      <c r="CR7" s="6">
        <v>0</v>
      </c>
      <c r="CS7" s="6">
        <v>0</v>
      </c>
      <c r="CT7" s="6" t="s">
        <v>5738</v>
      </c>
      <c r="CU7" s="6">
        <v>0</v>
      </c>
      <c r="CV7" s="6">
        <v>0</v>
      </c>
      <c r="CW7" s="6">
        <v>0</v>
      </c>
      <c r="CX7" s="6">
        <v>0</v>
      </c>
      <c r="CY7" s="6">
        <v>0</v>
      </c>
      <c r="CZ7" s="6">
        <v>0</v>
      </c>
      <c r="DA7" s="6" t="s">
        <v>5738</v>
      </c>
      <c r="DB7" s="6">
        <v>0</v>
      </c>
      <c r="DC7" s="6">
        <v>0</v>
      </c>
      <c r="DD7" s="6">
        <v>0</v>
      </c>
      <c r="DE7" s="6">
        <v>0</v>
      </c>
      <c r="DF7" s="6">
        <v>0</v>
      </c>
      <c r="DG7" s="6">
        <v>0</v>
      </c>
      <c r="DH7" s="6" t="s">
        <v>5738</v>
      </c>
      <c r="DI7" s="6">
        <v>0</v>
      </c>
      <c r="DJ7" s="6">
        <v>0</v>
      </c>
      <c r="DK7" s="6">
        <v>0</v>
      </c>
      <c r="DL7" s="6">
        <v>0</v>
      </c>
      <c r="DM7" s="6">
        <v>0</v>
      </c>
      <c r="DN7" s="6">
        <v>0</v>
      </c>
      <c r="DO7" s="6" t="s">
        <v>5752</v>
      </c>
      <c r="DP7" s="6">
        <v>60</v>
      </c>
      <c r="DQ7" s="6">
        <v>60</v>
      </c>
      <c r="DR7" s="6">
        <v>60</v>
      </c>
      <c r="DS7" s="6">
        <v>0</v>
      </c>
      <c r="DT7" s="6">
        <v>0</v>
      </c>
      <c r="DU7" s="6">
        <v>0</v>
      </c>
      <c r="DV7" s="6" t="s">
        <v>5753</v>
      </c>
      <c r="DW7" s="6">
        <v>60</v>
      </c>
      <c r="DX7" s="6" t="s">
        <v>5752</v>
      </c>
      <c r="DY7" s="6">
        <v>60</v>
      </c>
      <c r="DZ7" s="6">
        <v>60</v>
      </c>
      <c r="EA7" s="6">
        <v>60</v>
      </c>
      <c r="EB7" s="6">
        <v>0</v>
      </c>
      <c r="EC7" s="6">
        <v>0</v>
      </c>
      <c r="ED7" s="6">
        <v>0</v>
      </c>
      <c r="EE7" s="6" t="s">
        <v>5753</v>
      </c>
      <c r="EF7" s="6">
        <v>60</v>
      </c>
      <c r="EG7" s="6" t="s">
        <v>5738</v>
      </c>
      <c r="EH7" s="6">
        <v>0</v>
      </c>
      <c r="EI7" s="6">
        <v>0</v>
      </c>
      <c r="EJ7" s="6">
        <v>0</v>
      </c>
      <c r="EK7" s="6">
        <v>0</v>
      </c>
      <c r="EL7" s="6">
        <v>0</v>
      </c>
      <c r="EM7" s="6">
        <v>0</v>
      </c>
      <c r="EN7" s="6" t="s">
        <v>5738</v>
      </c>
      <c r="EO7" s="6">
        <v>0</v>
      </c>
      <c r="EP7" s="6" t="s">
        <v>5738</v>
      </c>
      <c r="EQ7" s="6">
        <v>0</v>
      </c>
      <c r="ER7" s="6">
        <v>0</v>
      </c>
      <c r="ES7" s="6">
        <v>0</v>
      </c>
      <c r="ET7" s="6">
        <v>0</v>
      </c>
      <c r="EU7" s="6">
        <v>0</v>
      </c>
      <c r="EV7" s="6">
        <v>0</v>
      </c>
      <c r="EW7" s="6" t="s">
        <v>5738</v>
      </c>
      <c r="EX7" s="6">
        <v>0</v>
      </c>
      <c r="EY7" s="6" t="s">
        <v>5738</v>
      </c>
      <c r="EZ7" s="6">
        <v>0</v>
      </c>
      <c r="FA7" s="6">
        <v>0</v>
      </c>
      <c r="FB7" s="6">
        <v>0</v>
      </c>
      <c r="FC7" s="6">
        <v>0</v>
      </c>
      <c r="FD7" s="6">
        <v>0</v>
      </c>
      <c r="FE7" s="6">
        <v>0</v>
      </c>
      <c r="FF7" s="6" t="s">
        <v>5738</v>
      </c>
      <c r="FG7" s="6">
        <v>0</v>
      </c>
      <c r="FH7" s="6" t="s">
        <v>5738</v>
      </c>
      <c r="FI7" s="6">
        <v>0</v>
      </c>
      <c r="FJ7" s="6">
        <v>0</v>
      </c>
      <c r="FK7" s="6">
        <v>0</v>
      </c>
      <c r="FL7" s="6">
        <v>0</v>
      </c>
      <c r="FM7" s="6">
        <v>0</v>
      </c>
      <c r="FN7" s="6">
        <v>0</v>
      </c>
      <c r="FO7" s="6" t="s">
        <v>5738</v>
      </c>
      <c r="FP7" s="6">
        <v>0</v>
      </c>
      <c r="FQ7" s="6">
        <v>60</v>
      </c>
      <c r="FR7" s="6" t="s">
        <v>5754</v>
      </c>
      <c r="FS7" s="6" t="s">
        <v>5755</v>
      </c>
      <c r="FT7" s="6" t="s">
        <v>5738</v>
      </c>
      <c r="FU7" s="6" t="s">
        <v>5738</v>
      </c>
      <c r="FV7" s="6" t="s">
        <v>5738</v>
      </c>
      <c r="FW7" s="6" t="s">
        <v>5738</v>
      </c>
      <c r="FX7" s="6" t="s">
        <v>5791</v>
      </c>
      <c r="FY7" s="6">
        <v>40</v>
      </c>
      <c r="FZ7" s="6">
        <v>40</v>
      </c>
      <c r="GA7" s="6">
        <v>40</v>
      </c>
      <c r="GB7" s="6">
        <v>0</v>
      </c>
      <c r="GC7" s="6">
        <v>0</v>
      </c>
      <c r="GD7" s="6">
        <v>0</v>
      </c>
      <c r="GE7" s="6" t="s">
        <v>5792</v>
      </c>
      <c r="GF7" s="6" t="s">
        <v>5791</v>
      </c>
      <c r="GG7" s="6">
        <v>40</v>
      </c>
      <c r="GH7" s="6">
        <v>40</v>
      </c>
      <c r="GI7" s="6">
        <v>40</v>
      </c>
      <c r="GJ7" s="6">
        <v>0</v>
      </c>
      <c r="GK7" s="6">
        <v>0</v>
      </c>
      <c r="GL7" s="6">
        <v>0</v>
      </c>
      <c r="GM7" s="6" t="s">
        <v>5792</v>
      </c>
      <c r="GN7" s="6" t="s">
        <v>5738</v>
      </c>
      <c r="GO7" s="6">
        <v>0</v>
      </c>
      <c r="GP7" s="6">
        <v>0</v>
      </c>
      <c r="GQ7" s="6">
        <v>0</v>
      </c>
      <c r="GR7" s="6">
        <v>0</v>
      </c>
      <c r="GS7" s="6">
        <v>0</v>
      </c>
      <c r="GT7" s="6">
        <v>0</v>
      </c>
      <c r="GU7" s="6" t="s">
        <v>5738</v>
      </c>
      <c r="GV7" s="6" t="s">
        <v>5738</v>
      </c>
      <c r="GW7" s="6">
        <v>0</v>
      </c>
      <c r="GX7" s="6">
        <v>0</v>
      </c>
      <c r="GY7" s="6">
        <v>0</v>
      </c>
      <c r="GZ7" s="6">
        <v>0</v>
      </c>
      <c r="HA7" s="6">
        <v>0</v>
      </c>
      <c r="HB7" s="6">
        <v>0</v>
      </c>
      <c r="HC7" s="6" t="s">
        <v>5738</v>
      </c>
      <c r="HD7" s="6" t="s">
        <v>5738</v>
      </c>
      <c r="HE7" s="6">
        <v>0</v>
      </c>
      <c r="HF7" s="6">
        <v>0</v>
      </c>
      <c r="HG7" s="6">
        <v>0</v>
      </c>
      <c r="HH7" s="6">
        <v>0</v>
      </c>
      <c r="HI7" s="6">
        <v>0</v>
      </c>
      <c r="HJ7" s="6">
        <v>0</v>
      </c>
      <c r="HK7" s="6" t="s">
        <v>5738</v>
      </c>
      <c r="HL7" s="6" t="s">
        <v>5738</v>
      </c>
      <c r="HM7" s="6">
        <v>0</v>
      </c>
      <c r="HN7" s="6">
        <v>0</v>
      </c>
      <c r="HO7" s="6">
        <v>0</v>
      </c>
      <c r="HP7" s="6">
        <v>0</v>
      </c>
      <c r="HQ7" s="6">
        <v>0</v>
      </c>
      <c r="HR7" s="6">
        <v>0</v>
      </c>
      <c r="HS7" s="6" t="s">
        <v>5738</v>
      </c>
      <c r="HT7" s="6" t="s">
        <v>5758</v>
      </c>
      <c r="HU7" s="6">
        <v>40</v>
      </c>
      <c r="HV7" s="6">
        <v>40</v>
      </c>
      <c r="HW7" s="6">
        <v>0</v>
      </c>
      <c r="HX7" s="6">
        <v>0</v>
      </c>
      <c r="HY7" s="6">
        <v>0</v>
      </c>
      <c r="HZ7" s="6">
        <v>0</v>
      </c>
      <c r="IA7" s="5">
        <v>40</v>
      </c>
      <c r="IB7" s="5">
        <v>4</v>
      </c>
      <c r="IC7" s="132" t="s">
        <v>5460</v>
      </c>
      <c r="ID7" s="132" t="s">
        <v>5793</v>
      </c>
      <c r="IE7" s="132" t="s">
        <v>5760</v>
      </c>
      <c r="IF7" s="132" t="s">
        <v>5761</v>
      </c>
      <c r="IG7" s="171">
        <v>43756</v>
      </c>
      <c r="IH7" s="171">
        <v>45583</v>
      </c>
      <c r="II7" s="6">
        <v>37</v>
      </c>
    </row>
    <row r="8" spans="1:244" ht="127.5">
      <c r="A8" s="5">
        <v>7</v>
      </c>
      <c r="B8" s="132" t="s">
        <v>5723</v>
      </c>
      <c r="C8" s="132" t="s">
        <v>5723</v>
      </c>
      <c r="D8" s="5" t="s">
        <v>5546</v>
      </c>
      <c r="E8" s="107" t="s">
        <v>5547</v>
      </c>
      <c r="F8" s="5" t="s">
        <v>5351</v>
      </c>
      <c r="G8" s="5">
        <v>105.765581</v>
      </c>
      <c r="H8" s="5">
        <v>21.013064</v>
      </c>
      <c r="I8" s="5">
        <v>1</v>
      </c>
      <c r="J8" s="5">
        <v>3</v>
      </c>
      <c r="K8" s="5" t="s">
        <v>5724</v>
      </c>
      <c r="L8" s="5" t="s">
        <v>5794</v>
      </c>
      <c r="M8" s="5" t="s">
        <v>5795</v>
      </c>
      <c r="N8" s="5" t="s">
        <v>5727</v>
      </c>
      <c r="O8" s="5" t="s">
        <v>5728</v>
      </c>
      <c r="P8" s="5" t="s">
        <v>5729</v>
      </c>
      <c r="Q8" s="5" t="s">
        <v>5730</v>
      </c>
      <c r="R8" s="5" t="s">
        <v>5796</v>
      </c>
      <c r="S8" s="152" t="b">
        <v>1</v>
      </c>
      <c r="T8" s="5" t="s">
        <v>5548</v>
      </c>
      <c r="U8" s="5">
        <v>0</v>
      </c>
      <c r="V8" s="5" t="s">
        <v>5732</v>
      </c>
      <c r="W8" s="5" t="s">
        <v>5549</v>
      </c>
      <c r="X8" s="7" t="s">
        <v>5733</v>
      </c>
      <c r="Y8" s="5" t="b">
        <v>0</v>
      </c>
      <c r="Z8" s="152" t="b">
        <v>0</v>
      </c>
      <c r="AA8" s="5">
        <v>26</v>
      </c>
      <c r="AB8" s="152" t="b">
        <v>1</v>
      </c>
      <c r="AC8" s="5">
        <v>24</v>
      </c>
      <c r="AD8" s="5" t="b">
        <v>0</v>
      </c>
      <c r="AE8" s="5" t="s">
        <v>5734</v>
      </c>
      <c r="AF8" s="5" t="s">
        <v>5735</v>
      </c>
      <c r="AG8" s="132" t="s">
        <v>5736</v>
      </c>
      <c r="AH8" s="132" t="s">
        <v>5737</v>
      </c>
      <c r="AI8" s="132" t="s">
        <v>5479</v>
      </c>
      <c r="AJ8" s="132" t="s">
        <v>5738</v>
      </c>
      <c r="AK8" s="132" t="s">
        <v>5739</v>
      </c>
      <c r="AL8" s="6"/>
      <c r="AM8" s="6" t="s">
        <v>5740</v>
      </c>
      <c r="AN8" s="6" t="s">
        <v>5741</v>
      </c>
      <c r="AO8" s="5">
        <v>3</v>
      </c>
      <c r="AP8" s="85" t="s">
        <v>5742</v>
      </c>
      <c r="AQ8" s="233" t="s">
        <v>5743</v>
      </c>
      <c r="AR8" s="233" t="s">
        <v>5797</v>
      </c>
      <c r="AS8" s="234" t="s">
        <v>5350</v>
      </c>
      <c r="AT8" s="6" t="s">
        <v>5741</v>
      </c>
      <c r="AU8" s="6" t="s">
        <v>5741</v>
      </c>
      <c r="AV8" s="6" t="s">
        <v>5741</v>
      </c>
      <c r="AW8" s="6" t="s">
        <v>5738</v>
      </c>
      <c r="AX8" s="6" t="s">
        <v>5738</v>
      </c>
      <c r="AY8" s="6" t="s">
        <v>5738</v>
      </c>
      <c r="AZ8" s="6" t="s">
        <v>5723</v>
      </c>
      <c r="BA8" s="6" t="s">
        <v>5723</v>
      </c>
      <c r="BB8" s="6" t="s">
        <v>5723</v>
      </c>
      <c r="BC8" s="6" t="s">
        <v>5738</v>
      </c>
      <c r="BD8" s="6" t="s">
        <v>5738</v>
      </c>
      <c r="BE8" s="6" t="s">
        <v>5738</v>
      </c>
      <c r="BF8" s="6" t="s">
        <v>5745</v>
      </c>
      <c r="BG8" s="6" t="s">
        <v>5546</v>
      </c>
      <c r="BH8" s="6" t="s">
        <v>5546</v>
      </c>
      <c r="BI8" s="6" t="s">
        <v>5546</v>
      </c>
      <c r="BJ8" s="6" t="s">
        <v>5738</v>
      </c>
      <c r="BK8" s="6" t="s">
        <v>5738</v>
      </c>
      <c r="BL8" s="6" t="s">
        <v>5738</v>
      </c>
      <c r="BM8" s="6" t="s">
        <v>5798</v>
      </c>
      <c r="BN8" s="6" t="s">
        <v>5799</v>
      </c>
      <c r="BO8" s="6" t="s">
        <v>5748</v>
      </c>
      <c r="BP8" s="6" t="s">
        <v>5738</v>
      </c>
      <c r="BQ8" s="6" t="s">
        <v>5738</v>
      </c>
      <c r="BR8" s="6" t="s">
        <v>5738</v>
      </c>
      <c r="BS8" s="6">
        <v>3</v>
      </c>
      <c r="BT8" s="6">
        <v>3</v>
      </c>
      <c r="BU8" s="6">
        <v>3</v>
      </c>
      <c r="BV8" s="6">
        <v>0</v>
      </c>
      <c r="BW8" s="6">
        <v>0</v>
      </c>
      <c r="BX8" s="6">
        <v>0</v>
      </c>
      <c r="BY8" s="6" t="s">
        <v>5467</v>
      </c>
      <c r="BZ8" s="6">
        <v>2</v>
      </c>
      <c r="CA8" s="6">
        <v>2</v>
      </c>
      <c r="CB8" s="6">
        <v>2</v>
      </c>
      <c r="CC8" s="6">
        <v>0</v>
      </c>
      <c r="CD8" s="6">
        <v>0</v>
      </c>
      <c r="CE8" s="6">
        <v>0</v>
      </c>
      <c r="CF8" s="6" t="s">
        <v>5467</v>
      </c>
      <c r="CG8" s="6">
        <v>2</v>
      </c>
      <c r="CH8" s="6">
        <v>2</v>
      </c>
      <c r="CI8" s="6">
        <v>2</v>
      </c>
      <c r="CJ8" s="6">
        <v>0</v>
      </c>
      <c r="CK8" s="6">
        <v>0</v>
      </c>
      <c r="CL8" s="6">
        <v>0</v>
      </c>
      <c r="CM8" s="6" t="s">
        <v>5749</v>
      </c>
      <c r="CN8" s="6">
        <v>1</v>
      </c>
      <c r="CO8" s="6">
        <v>1</v>
      </c>
      <c r="CP8" s="6">
        <v>1</v>
      </c>
      <c r="CQ8" s="6">
        <v>0</v>
      </c>
      <c r="CR8" s="6">
        <v>0</v>
      </c>
      <c r="CS8" s="6">
        <v>0</v>
      </c>
      <c r="CT8" s="6" t="s">
        <v>5738</v>
      </c>
      <c r="CU8" s="6">
        <v>0</v>
      </c>
      <c r="CV8" s="6">
        <v>0</v>
      </c>
      <c r="CW8" s="6">
        <v>0</v>
      </c>
      <c r="CX8" s="6">
        <v>0</v>
      </c>
      <c r="CY8" s="6">
        <v>0</v>
      </c>
      <c r="CZ8" s="6">
        <v>0</v>
      </c>
      <c r="DA8" s="6" t="s">
        <v>5738</v>
      </c>
      <c r="DB8" s="6">
        <v>0</v>
      </c>
      <c r="DC8" s="6">
        <v>0</v>
      </c>
      <c r="DD8" s="6">
        <v>0</v>
      </c>
      <c r="DE8" s="6">
        <v>0</v>
      </c>
      <c r="DF8" s="6">
        <v>0</v>
      </c>
      <c r="DG8" s="6">
        <v>0</v>
      </c>
      <c r="DH8" s="6" t="s">
        <v>5738</v>
      </c>
      <c r="DI8" s="6">
        <v>0</v>
      </c>
      <c r="DJ8" s="6">
        <v>0</v>
      </c>
      <c r="DK8" s="6">
        <v>0</v>
      </c>
      <c r="DL8" s="6">
        <v>0</v>
      </c>
      <c r="DM8" s="6">
        <v>0</v>
      </c>
      <c r="DN8" s="6">
        <v>0</v>
      </c>
      <c r="DO8" s="6" t="s">
        <v>5750</v>
      </c>
      <c r="DP8" s="6">
        <v>80</v>
      </c>
      <c r="DQ8" s="6">
        <v>80</v>
      </c>
      <c r="DR8" s="6">
        <v>80</v>
      </c>
      <c r="DS8" s="6">
        <v>0</v>
      </c>
      <c r="DT8" s="6">
        <v>0</v>
      </c>
      <c r="DU8" s="6">
        <v>0</v>
      </c>
      <c r="DV8" s="6" t="s">
        <v>5751</v>
      </c>
      <c r="DW8" s="6">
        <v>80</v>
      </c>
      <c r="DX8" s="6" t="s">
        <v>5752</v>
      </c>
      <c r="DY8" s="6">
        <v>60</v>
      </c>
      <c r="DZ8" s="6">
        <v>60</v>
      </c>
      <c r="EA8" s="6">
        <v>60</v>
      </c>
      <c r="EB8" s="6">
        <v>0</v>
      </c>
      <c r="EC8" s="6">
        <v>0</v>
      </c>
      <c r="ED8" s="6">
        <v>0</v>
      </c>
      <c r="EE8" s="6" t="s">
        <v>5753</v>
      </c>
      <c r="EF8" s="6">
        <v>60</v>
      </c>
      <c r="EG8" s="6" t="s">
        <v>5752</v>
      </c>
      <c r="EH8" s="6">
        <v>60</v>
      </c>
      <c r="EI8" s="6">
        <v>60</v>
      </c>
      <c r="EJ8" s="6">
        <v>60</v>
      </c>
      <c r="EK8" s="6">
        <v>0</v>
      </c>
      <c r="EL8" s="6">
        <v>0</v>
      </c>
      <c r="EM8" s="6">
        <v>0</v>
      </c>
      <c r="EN8" s="6" t="s">
        <v>5753</v>
      </c>
      <c r="EO8" s="6">
        <v>60</v>
      </c>
      <c r="EP8" s="6" t="s">
        <v>5738</v>
      </c>
      <c r="EQ8" s="6">
        <v>0</v>
      </c>
      <c r="ER8" s="6">
        <v>0</v>
      </c>
      <c r="ES8" s="6">
        <v>0</v>
      </c>
      <c r="ET8" s="6">
        <v>0</v>
      </c>
      <c r="EU8" s="6">
        <v>0</v>
      </c>
      <c r="EV8" s="6">
        <v>0</v>
      </c>
      <c r="EW8" s="6" t="s">
        <v>5738</v>
      </c>
      <c r="EX8" s="6">
        <v>0</v>
      </c>
      <c r="EY8" s="6" t="s">
        <v>5738</v>
      </c>
      <c r="EZ8" s="6">
        <v>0</v>
      </c>
      <c r="FA8" s="6">
        <v>0</v>
      </c>
      <c r="FB8" s="6">
        <v>0</v>
      </c>
      <c r="FC8" s="6">
        <v>0</v>
      </c>
      <c r="FD8" s="6">
        <v>0</v>
      </c>
      <c r="FE8" s="6">
        <v>0</v>
      </c>
      <c r="FF8" s="6" t="s">
        <v>5738</v>
      </c>
      <c r="FG8" s="6">
        <v>0</v>
      </c>
      <c r="FH8" s="6" t="s">
        <v>5738</v>
      </c>
      <c r="FI8" s="6">
        <v>0</v>
      </c>
      <c r="FJ8" s="6">
        <v>0</v>
      </c>
      <c r="FK8" s="6">
        <v>0</v>
      </c>
      <c r="FL8" s="6">
        <v>0</v>
      </c>
      <c r="FM8" s="6">
        <v>0</v>
      </c>
      <c r="FN8" s="6">
        <v>0</v>
      </c>
      <c r="FO8" s="6" t="s">
        <v>5738</v>
      </c>
      <c r="FP8" s="6">
        <v>0</v>
      </c>
      <c r="FQ8" s="6">
        <v>80</v>
      </c>
      <c r="FR8" s="6" t="s">
        <v>3353</v>
      </c>
      <c r="FS8" s="6" t="s">
        <v>5754</v>
      </c>
      <c r="FT8" s="6" t="s">
        <v>5755</v>
      </c>
      <c r="FU8" s="6" t="s">
        <v>5738</v>
      </c>
      <c r="FV8" s="6" t="s">
        <v>5738</v>
      </c>
      <c r="FW8" s="6" t="s">
        <v>5738</v>
      </c>
      <c r="FX8" s="6" t="s">
        <v>5800</v>
      </c>
      <c r="FY8" s="6">
        <v>26</v>
      </c>
      <c r="FZ8" s="6">
        <v>26</v>
      </c>
      <c r="GA8" s="6">
        <v>26</v>
      </c>
      <c r="GB8" s="6">
        <v>0</v>
      </c>
      <c r="GC8" s="6">
        <v>0</v>
      </c>
      <c r="GD8" s="6">
        <v>0</v>
      </c>
      <c r="GE8" s="6" t="s">
        <v>5801</v>
      </c>
      <c r="GF8" s="6" t="s">
        <v>5800</v>
      </c>
      <c r="GG8" s="6">
        <v>26</v>
      </c>
      <c r="GH8" s="6">
        <v>26</v>
      </c>
      <c r="GI8" s="6">
        <v>26</v>
      </c>
      <c r="GJ8" s="6">
        <v>0</v>
      </c>
      <c r="GK8" s="6">
        <v>0</v>
      </c>
      <c r="GL8" s="6">
        <v>0</v>
      </c>
      <c r="GM8" s="6" t="s">
        <v>5801</v>
      </c>
      <c r="GN8" s="6" t="s">
        <v>5800</v>
      </c>
      <c r="GO8" s="6">
        <v>26</v>
      </c>
      <c r="GP8" s="6">
        <v>26</v>
      </c>
      <c r="GQ8" s="6">
        <v>26</v>
      </c>
      <c r="GR8" s="6">
        <v>0</v>
      </c>
      <c r="GS8" s="6">
        <v>0</v>
      </c>
      <c r="GT8" s="6">
        <v>0</v>
      </c>
      <c r="GU8" s="6" t="s">
        <v>5801</v>
      </c>
      <c r="GV8" s="6" t="s">
        <v>5738</v>
      </c>
      <c r="GW8" s="6">
        <v>0</v>
      </c>
      <c r="GX8" s="6">
        <v>0</v>
      </c>
      <c r="GY8" s="6">
        <v>0</v>
      </c>
      <c r="GZ8" s="6">
        <v>0</v>
      </c>
      <c r="HA8" s="6">
        <v>0</v>
      </c>
      <c r="HB8" s="6">
        <v>0</v>
      </c>
      <c r="HC8" s="6" t="s">
        <v>5738</v>
      </c>
      <c r="HD8" s="6" t="s">
        <v>5738</v>
      </c>
      <c r="HE8" s="6">
        <v>0</v>
      </c>
      <c r="HF8" s="6">
        <v>0</v>
      </c>
      <c r="HG8" s="6">
        <v>0</v>
      </c>
      <c r="HH8" s="6">
        <v>0</v>
      </c>
      <c r="HI8" s="6">
        <v>0</v>
      </c>
      <c r="HJ8" s="6">
        <v>0</v>
      </c>
      <c r="HK8" s="6" t="s">
        <v>5738</v>
      </c>
      <c r="HL8" s="6" t="s">
        <v>5738</v>
      </c>
      <c r="HM8" s="6">
        <v>0</v>
      </c>
      <c r="HN8" s="6">
        <v>0</v>
      </c>
      <c r="HO8" s="6">
        <v>0</v>
      </c>
      <c r="HP8" s="6">
        <v>0</v>
      </c>
      <c r="HQ8" s="6">
        <v>0</v>
      </c>
      <c r="HR8" s="6">
        <v>0</v>
      </c>
      <c r="HS8" s="6" t="s">
        <v>5738</v>
      </c>
      <c r="HT8" s="6" t="s">
        <v>5758</v>
      </c>
      <c r="HU8" s="6">
        <v>26</v>
      </c>
      <c r="HV8" s="6">
        <v>26</v>
      </c>
      <c r="HW8" s="6">
        <v>26</v>
      </c>
      <c r="HX8" s="6">
        <v>0</v>
      </c>
      <c r="HY8" s="6">
        <v>0</v>
      </c>
      <c r="HZ8" s="6">
        <v>0</v>
      </c>
      <c r="IA8" s="5">
        <v>26</v>
      </c>
      <c r="IB8" s="5">
        <v>2</v>
      </c>
      <c r="IC8" s="132" t="s">
        <v>5460</v>
      </c>
      <c r="ID8" s="132" t="s">
        <v>5802</v>
      </c>
      <c r="IE8" s="132" t="s">
        <v>5760</v>
      </c>
      <c r="IF8" s="132" t="s">
        <v>5761</v>
      </c>
      <c r="IG8" s="171">
        <v>43756</v>
      </c>
      <c r="IH8" s="171">
        <v>45583</v>
      </c>
      <c r="II8" s="6">
        <v>37</v>
      </c>
    </row>
    <row r="9" spans="1:244" ht="165.75">
      <c r="A9" s="5">
        <v>8</v>
      </c>
      <c r="B9" s="132" t="s">
        <v>5723</v>
      </c>
      <c r="C9" s="132" t="s">
        <v>5723</v>
      </c>
      <c r="D9" s="5" t="s">
        <v>5550</v>
      </c>
      <c r="E9" s="107" t="s">
        <v>5551</v>
      </c>
      <c r="F9" s="5" t="s">
        <v>5351</v>
      </c>
      <c r="G9" s="5">
        <v>105.782861</v>
      </c>
      <c r="H9" s="5">
        <v>21.012195999999999</v>
      </c>
      <c r="I9" s="5">
        <v>1</v>
      </c>
      <c r="J9" s="5">
        <v>2</v>
      </c>
      <c r="K9" s="5" t="s">
        <v>5762</v>
      </c>
      <c r="L9" s="5" t="s">
        <v>5803</v>
      </c>
      <c r="M9" s="5" t="s">
        <v>5764</v>
      </c>
      <c r="N9" s="5" t="s">
        <v>5765</v>
      </c>
      <c r="O9" s="5" t="s">
        <v>5766</v>
      </c>
      <c r="P9" s="5" t="s">
        <v>5767</v>
      </c>
      <c r="Q9" s="5" t="s">
        <v>5768</v>
      </c>
      <c r="R9" s="5" t="s">
        <v>5804</v>
      </c>
      <c r="S9" s="152" t="b">
        <v>1</v>
      </c>
      <c r="T9" s="5" t="s">
        <v>5552</v>
      </c>
      <c r="U9" s="5">
        <v>0</v>
      </c>
      <c r="V9" s="5" t="s">
        <v>5732</v>
      </c>
      <c r="W9" s="5" t="s">
        <v>5553</v>
      </c>
      <c r="X9" s="7" t="s">
        <v>5733</v>
      </c>
      <c r="Y9" s="5" t="b">
        <v>0</v>
      </c>
      <c r="Z9" s="152" t="b">
        <v>0</v>
      </c>
      <c r="AA9" s="5">
        <v>28.5</v>
      </c>
      <c r="AB9" s="152" t="b">
        <v>1</v>
      </c>
      <c r="AC9" s="5">
        <v>26</v>
      </c>
      <c r="AD9" s="5" t="b">
        <v>0</v>
      </c>
      <c r="AE9" s="5" t="s">
        <v>5734</v>
      </c>
      <c r="AF9" s="5" t="s">
        <v>5735</v>
      </c>
      <c r="AG9" s="132" t="s">
        <v>5736</v>
      </c>
      <c r="AH9" s="132" t="s">
        <v>5737</v>
      </c>
      <c r="AI9" s="132" t="s">
        <v>5479</v>
      </c>
      <c r="AJ9" s="132" t="s">
        <v>5738</v>
      </c>
      <c r="AK9" s="132" t="s">
        <v>5739</v>
      </c>
      <c r="AL9" s="6"/>
      <c r="AM9" s="6" t="s">
        <v>5740</v>
      </c>
      <c r="AN9" s="6" t="s">
        <v>5741</v>
      </c>
      <c r="AO9" s="5">
        <v>4</v>
      </c>
      <c r="AP9" s="85" t="s">
        <v>5742</v>
      </c>
      <c r="AQ9" s="233" t="s">
        <v>5743</v>
      </c>
      <c r="AR9" s="233" t="s">
        <v>5790</v>
      </c>
      <c r="AS9" s="234" t="s">
        <v>5350</v>
      </c>
      <c r="AT9" s="6" t="s">
        <v>5741</v>
      </c>
      <c r="AU9" s="6" t="s">
        <v>5741</v>
      </c>
      <c r="AV9" s="6" t="s">
        <v>5738</v>
      </c>
      <c r="AW9" s="6" t="s">
        <v>5738</v>
      </c>
      <c r="AX9" s="6" t="s">
        <v>5738</v>
      </c>
      <c r="AY9" s="6" t="s">
        <v>5738</v>
      </c>
      <c r="AZ9" s="6" t="s">
        <v>5723</v>
      </c>
      <c r="BA9" s="6" t="s">
        <v>5723</v>
      </c>
      <c r="BB9" s="6" t="s">
        <v>5738</v>
      </c>
      <c r="BC9" s="6" t="s">
        <v>5738</v>
      </c>
      <c r="BD9" s="6" t="s">
        <v>5738</v>
      </c>
      <c r="BE9" s="6" t="s">
        <v>5738</v>
      </c>
      <c r="BF9" s="6" t="s">
        <v>5771</v>
      </c>
      <c r="BG9" s="6" t="s">
        <v>5550</v>
      </c>
      <c r="BH9" s="6" t="s">
        <v>5550</v>
      </c>
      <c r="BI9" s="6" t="s">
        <v>5738</v>
      </c>
      <c r="BJ9" s="6" t="s">
        <v>5738</v>
      </c>
      <c r="BK9" s="6" t="s">
        <v>5738</v>
      </c>
      <c r="BL9" s="6" t="s">
        <v>5738</v>
      </c>
      <c r="BM9" s="6" t="s">
        <v>5747</v>
      </c>
      <c r="BN9" s="6" t="s">
        <v>5748</v>
      </c>
      <c r="BO9" s="6" t="s">
        <v>5738</v>
      </c>
      <c r="BP9" s="6" t="s">
        <v>5738</v>
      </c>
      <c r="BQ9" s="6" t="s">
        <v>5738</v>
      </c>
      <c r="BR9" s="6" t="s">
        <v>5738</v>
      </c>
      <c r="BS9" s="6">
        <v>3</v>
      </c>
      <c r="BT9" s="6">
        <v>3</v>
      </c>
      <c r="BU9" s="6">
        <v>0</v>
      </c>
      <c r="BV9" s="6">
        <v>0</v>
      </c>
      <c r="BW9" s="6">
        <v>0</v>
      </c>
      <c r="BX9" s="6">
        <v>0</v>
      </c>
      <c r="BY9" s="6" t="s">
        <v>5467</v>
      </c>
      <c r="BZ9" s="6">
        <v>2</v>
      </c>
      <c r="CA9" s="6">
        <v>2</v>
      </c>
      <c r="CB9" s="6">
        <v>2</v>
      </c>
      <c r="CC9" s="6">
        <v>0</v>
      </c>
      <c r="CD9" s="6">
        <v>0</v>
      </c>
      <c r="CE9" s="6">
        <v>0</v>
      </c>
      <c r="CF9" s="6" t="s">
        <v>5749</v>
      </c>
      <c r="CG9" s="6">
        <v>1</v>
      </c>
      <c r="CH9" s="6">
        <v>1</v>
      </c>
      <c r="CI9" s="6">
        <v>1</v>
      </c>
      <c r="CJ9" s="6">
        <v>0</v>
      </c>
      <c r="CK9" s="6">
        <v>0</v>
      </c>
      <c r="CL9" s="6">
        <v>0</v>
      </c>
      <c r="CM9" s="6" t="s">
        <v>5738</v>
      </c>
      <c r="CN9" s="6">
        <v>0</v>
      </c>
      <c r="CO9" s="6">
        <v>0</v>
      </c>
      <c r="CP9" s="6">
        <v>0</v>
      </c>
      <c r="CQ9" s="6">
        <v>0</v>
      </c>
      <c r="CR9" s="6">
        <v>0</v>
      </c>
      <c r="CS9" s="6">
        <v>0</v>
      </c>
      <c r="CT9" s="6" t="s">
        <v>5738</v>
      </c>
      <c r="CU9" s="6">
        <v>0</v>
      </c>
      <c r="CV9" s="6">
        <v>0</v>
      </c>
      <c r="CW9" s="6">
        <v>0</v>
      </c>
      <c r="CX9" s="6">
        <v>0</v>
      </c>
      <c r="CY9" s="6">
        <v>0</v>
      </c>
      <c r="CZ9" s="6">
        <v>0</v>
      </c>
      <c r="DA9" s="6" t="s">
        <v>5738</v>
      </c>
      <c r="DB9" s="6">
        <v>0</v>
      </c>
      <c r="DC9" s="6">
        <v>0</v>
      </c>
      <c r="DD9" s="6">
        <v>0</v>
      </c>
      <c r="DE9" s="6">
        <v>0</v>
      </c>
      <c r="DF9" s="6">
        <v>0</v>
      </c>
      <c r="DG9" s="6">
        <v>0</v>
      </c>
      <c r="DH9" s="6" t="s">
        <v>5738</v>
      </c>
      <c r="DI9" s="6">
        <v>0</v>
      </c>
      <c r="DJ9" s="6">
        <v>0</v>
      </c>
      <c r="DK9" s="6">
        <v>0</v>
      </c>
      <c r="DL9" s="6">
        <v>0</v>
      </c>
      <c r="DM9" s="6">
        <v>0</v>
      </c>
      <c r="DN9" s="6">
        <v>0</v>
      </c>
      <c r="DO9" s="6" t="s">
        <v>5752</v>
      </c>
      <c r="DP9" s="6">
        <v>60</v>
      </c>
      <c r="DQ9" s="6">
        <v>60</v>
      </c>
      <c r="DR9" s="6">
        <v>60</v>
      </c>
      <c r="DS9" s="6">
        <v>0</v>
      </c>
      <c r="DT9" s="6">
        <v>0</v>
      </c>
      <c r="DU9" s="6">
        <v>0</v>
      </c>
      <c r="DV9" s="6" t="s">
        <v>5753</v>
      </c>
      <c r="DW9" s="6">
        <v>60</v>
      </c>
      <c r="DX9" s="6" t="s">
        <v>5752</v>
      </c>
      <c r="DY9" s="6">
        <v>60</v>
      </c>
      <c r="DZ9" s="6">
        <v>60</v>
      </c>
      <c r="EA9" s="6">
        <v>60</v>
      </c>
      <c r="EB9" s="6">
        <v>0</v>
      </c>
      <c r="EC9" s="6">
        <v>0</v>
      </c>
      <c r="ED9" s="6">
        <v>0</v>
      </c>
      <c r="EE9" s="6" t="s">
        <v>5753</v>
      </c>
      <c r="EF9" s="6">
        <v>60</v>
      </c>
      <c r="EG9" s="6" t="s">
        <v>5738</v>
      </c>
      <c r="EH9" s="6">
        <v>0</v>
      </c>
      <c r="EI9" s="6">
        <v>0</v>
      </c>
      <c r="EJ9" s="6">
        <v>0</v>
      </c>
      <c r="EK9" s="6">
        <v>0</v>
      </c>
      <c r="EL9" s="6">
        <v>0</v>
      </c>
      <c r="EM9" s="6">
        <v>0</v>
      </c>
      <c r="EN9" s="6" t="s">
        <v>5738</v>
      </c>
      <c r="EO9" s="6">
        <v>0</v>
      </c>
      <c r="EP9" s="6" t="s">
        <v>5738</v>
      </c>
      <c r="EQ9" s="6">
        <v>0</v>
      </c>
      <c r="ER9" s="6">
        <v>0</v>
      </c>
      <c r="ES9" s="6">
        <v>0</v>
      </c>
      <c r="ET9" s="6">
        <v>0</v>
      </c>
      <c r="EU9" s="6">
        <v>0</v>
      </c>
      <c r="EV9" s="6">
        <v>0</v>
      </c>
      <c r="EW9" s="6" t="s">
        <v>5738</v>
      </c>
      <c r="EX9" s="6">
        <v>0</v>
      </c>
      <c r="EY9" s="6" t="s">
        <v>5738</v>
      </c>
      <c r="EZ9" s="6">
        <v>0</v>
      </c>
      <c r="FA9" s="6">
        <v>0</v>
      </c>
      <c r="FB9" s="6">
        <v>0</v>
      </c>
      <c r="FC9" s="6">
        <v>0</v>
      </c>
      <c r="FD9" s="6">
        <v>0</v>
      </c>
      <c r="FE9" s="6">
        <v>0</v>
      </c>
      <c r="FF9" s="6" t="s">
        <v>5738</v>
      </c>
      <c r="FG9" s="6">
        <v>0</v>
      </c>
      <c r="FH9" s="6" t="s">
        <v>5738</v>
      </c>
      <c r="FI9" s="6">
        <v>0</v>
      </c>
      <c r="FJ9" s="6">
        <v>0</v>
      </c>
      <c r="FK9" s="6">
        <v>0</v>
      </c>
      <c r="FL9" s="6">
        <v>0</v>
      </c>
      <c r="FM9" s="6">
        <v>0</v>
      </c>
      <c r="FN9" s="6">
        <v>0</v>
      </c>
      <c r="FO9" s="6" t="s">
        <v>5738</v>
      </c>
      <c r="FP9" s="6">
        <v>0</v>
      </c>
      <c r="FQ9" s="6">
        <v>60</v>
      </c>
      <c r="FR9" s="6" t="s">
        <v>5754</v>
      </c>
      <c r="FS9" s="6" t="s">
        <v>5755</v>
      </c>
      <c r="FT9" s="6" t="s">
        <v>5738</v>
      </c>
      <c r="FU9" s="6" t="s">
        <v>5738</v>
      </c>
      <c r="FV9" s="6" t="s">
        <v>5738</v>
      </c>
      <c r="FW9" s="6" t="s">
        <v>5738</v>
      </c>
      <c r="FX9" s="6" t="s">
        <v>5805</v>
      </c>
      <c r="FY9" s="6">
        <v>28.5</v>
      </c>
      <c r="FZ9" s="6">
        <v>28.5</v>
      </c>
      <c r="GA9" s="6">
        <v>28.5</v>
      </c>
      <c r="GB9" s="6">
        <v>0</v>
      </c>
      <c r="GC9" s="6">
        <v>0</v>
      </c>
      <c r="GD9" s="6">
        <v>0</v>
      </c>
      <c r="GE9" s="6" t="s">
        <v>5806</v>
      </c>
      <c r="GF9" s="6" t="s">
        <v>5805</v>
      </c>
      <c r="GG9" s="6">
        <v>28.5</v>
      </c>
      <c r="GH9" s="6">
        <v>28.5</v>
      </c>
      <c r="GI9" s="6">
        <v>28.5</v>
      </c>
      <c r="GJ9" s="6">
        <v>0</v>
      </c>
      <c r="GK9" s="6">
        <v>0</v>
      </c>
      <c r="GL9" s="6">
        <v>0</v>
      </c>
      <c r="GM9" s="6" t="s">
        <v>5806</v>
      </c>
      <c r="GN9" s="6" t="s">
        <v>5738</v>
      </c>
      <c r="GO9" s="6">
        <v>0</v>
      </c>
      <c r="GP9" s="6">
        <v>0</v>
      </c>
      <c r="GQ9" s="6">
        <v>0</v>
      </c>
      <c r="GR9" s="6">
        <v>0</v>
      </c>
      <c r="GS9" s="6">
        <v>0</v>
      </c>
      <c r="GT9" s="6">
        <v>0</v>
      </c>
      <c r="GU9" s="6" t="s">
        <v>5738</v>
      </c>
      <c r="GV9" s="6" t="s">
        <v>5738</v>
      </c>
      <c r="GW9" s="6">
        <v>0</v>
      </c>
      <c r="GX9" s="6">
        <v>0</v>
      </c>
      <c r="GY9" s="6">
        <v>0</v>
      </c>
      <c r="GZ9" s="6">
        <v>0</v>
      </c>
      <c r="HA9" s="6">
        <v>0</v>
      </c>
      <c r="HB9" s="6">
        <v>0</v>
      </c>
      <c r="HC9" s="6" t="s">
        <v>5738</v>
      </c>
      <c r="HD9" s="6" t="s">
        <v>5738</v>
      </c>
      <c r="HE9" s="6">
        <v>0</v>
      </c>
      <c r="HF9" s="6">
        <v>0</v>
      </c>
      <c r="HG9" s="6">
        <v>0</v>
      </c>
      <c r="HH9" s="6">
        <v>0</v>
      </c>
      <c r="HI9" s="6">
        <v>0</v>
      </c>
      <c r="HJ9" s="6">
        <v>0</v>
      </c>
      <c r="HK9" s="6" t="s">
        <v>5738</v>
      </c>
      <c r="HL9" s="6" t="s">
        <v>5738</v>
      </c>
      <c r="HM9" s="6">
        <v>0</v>
      </c>
      <c r="HN9" s="6">
        <v>0</v>
      </c>
      <c r="HO9" s="6">
        <v>0</v>
      </c>
      <c r="HP9" s="6">
        <v>0</v>
      </c>
      <c r="HQ9" s="6">
        <v>0</v>
      </c>
      <c r="HR9" s="6">
        <v>0</v>
      </c>
      <c r="HS9" s="6" t="s">
        <v>5738</v>
      </c>
      <c r="HT9" s="6" t="s">
        <v>5758</v>
      </c>
      <c r="HU9" s="6">
        <v>28.5</v>
      </c>
      <c r="HV9" s="6">
        <v>28.5</v>
      </c>
      <c r="HW9" s="6">
        <v>0</v>
      </c>
      <c r="HX9" s="6">
        <v>0</v>
      </c>
      <c r="HY9" s="6">
        <v>0</v>
      </c>
      <c r="HZ9" s="6">
        <v>0</v>
      </c>
      <c r="IA9" s="5">
        <v>28.5</v>
      </c>
      <c r="IB9" s="5">
        <v>2.5</v>
      </c>
      <c r="IC9" s="132" t="s">
        <v>5460</v>
      </c>
      <c r="ID9" s="132" t="s">
        <v>5807</v>
      </c>
      <c r="IE9" s="132" t="s">
        <v>5760</v>
      </c>
      <c r="IF9" s="132" t="s">
        <v>5761</v>
      </c>
      <c r="IG9" s="171">
        <v>43756</v>
      </c>
      <c r="IH9" s="171">
        <v>45583</v>
      </c>
      <c r="II9" s="6">
        <v>37</v>
      </c>
    </row>
    <row r="10" spans="1:244" ht="127.5">
      <c r="A10" s="5">
        <v>9</v>
      </c>
      <c r="B10" s="132" t="s">
        <v>5723</v>
      </c>
      <c r="C10" s="132" t="s">
        <v>5723</v>
      </c>
      <c r="D10" s="5" t="s">
        <v>5554</v>
      </c>
      <c r="E10" s="107" t="s">
        <v>5555</v>
      </c>
      <c r="F10" s="5" t="s">
        <v>5351</v>
      </c>
      <c r="G10" s="5">
        <v>105.753192</v>
      </c>
      <c r="H10" s="5">
        <v>20.995712000000001</v>
      </c>
      <c r="I10" s="5">
        <v>1</v>
      </c>
      <c r="J10" s="5">
        <v>3</v>
      </c>
      <c r="K10" s="5" t="s">
        <v>5724</v>
      </c>
      <c r="L10" s="5" t="s">
        <v>5808</v>
      </c>
      <c r="M10" s="5" t="s">
        <v>5809</v>
      </c>
      <c r="N10" s="5" t="s">
        <v>5727</v>
      </c>
      <c r="O10" s="5" t="s">
        <v>5728</v>
      </c>
      <c r="P10" s="5" t="s">
        <v>5810</v>
      </c>
      <c r="Q10" s="5" t="s">
        <v>5811</v>
      </c>
      <c r="R10" s="5" t="s">
        <v>5812</v>
      </c>
      <c r="S10" s="152" t="b">
        <v>1</v>
      </c>
      <c r="T10" s="5" t="s">
        <v>5556</v>
      </c>
      <c r="U10" s="5">
        <v>0</v>
      </c>
      <c r="V10" s="5" t="s">
        <v>5732</v>
      </c>
      <c r="W10" s="5" t="s">
        <v>5557</v>
      </c>
      <c r="X10" s="7" t="s">
        <v>5733</v>
      </c>
      <c r="Y10" s="5" t="b">
        <v>0</v>
      </c>
      <c r="Z10" s="152" t="b">
        <v>0</v>
      </c>
      <c r="AA10" s="5">
        <v>31</v>
      </c>
      <c r="AB10" s="152" t="b">
        <v>1</v>
      </c>
      <c r="AC10" s="5">
        <v>16</v>
      </c>
      <c r="AD10" s="5" t="b">
        <v>0</v>
      </c>
      <c r="AE10" s="5" t="s">
        <v>5734</v>
      </c>
      <c r="AF10" s="5" t="s">
        <v>5735</v>
      </c>
      <c r="AG10" s="132" t="s">
        <v>5736</v>
      </c>
      <c r="AH10" s="132" t="s">
        <v>5737</v>
      </c>
      <c r="AI10" s="132" t="s">
        <v>5479</v>
      </c>
      <c r="AJ10" s="132" t="s">
        <v>5738</v>
      </c>
      <c r="AK10" s="132" t="s">
        <v>5739</v>
      </c>
      <c r="AL10" s="6"/>
      <c r="AM10" s="6" t="s">
        <v>5740</v>
      </c>
      <c r="AN10" s="6" t="s">
        <v>5741</v>
      </c>
      <c r="AO10" s="5">
        <v>4</v>
      </c>
      <c r="AP10" s="85" t="s">
        <v>5742</v>
      </c>
      <c r="AQ10" s="233" t="s">
        <v>5743</v>
      </c>
      <c r="AR10" s="233" t="s">
        <v>5813</v>
      </c>
      <c r="AS10" s="234" t="s">
        <v>5350</v>
      </c>
      <c r="AT10" s="6" t="s">
        <v>5741</v>
      </c>
      <c r="AU10" s="6" t="s">
        <v>5741</v>
      </c>
      <c r="AV10" s="6" t="s">
        <v>5741</v>
      </c>
      <c r="AW10" s="6" t="s">
        <v>5738</v>
      </c>
      <c r="AX10" s="6" t="s">
        <v>5738</v>
      </c>
      <c r="AY10" s="6" t="s">
        <v>5738</v>
      </c>
      <c r="AZ10" s="6" t="s">
        <v>5723</v>
      </c>
      <c r="BA10" s="6" t="s">
        <v>5723</v>
      </c>
      <c r="BB10" s="6" t="s">
        <v>5723</v>
      </c>
      <c r="BC10" s="6" t="s">
        <v>5738</v>
      </c>
      <c r="BD10" s="6" t="s">
        <v>5738</v>
      </c>
      <c r="BE10" s="6" t="s">
        <v>5738</v>
      </c>
      <c r="BF10" s="6" t="s">
        <v>5745</v>
      </c>
      <c r="BG10" s="6" t="s">
        <v>5554</v>
      </c>
      <c r="BH10" s="6" t="s">
        <v>5554</v>
      </c>
      <c r="BI10" s="6" t="s">
        <v>5554</v>
      </c>
      <c r="BJ10" s="6" t="s">
        <v>5738</v>
      </c>
      <c r="BK10" s="6" t="s">
        <v>5738</v>
      </c>
      <c r="BL10" s="6" t="s">
        <v>5738</v>
      </c>
      <c r="BM10" s="6" t="s">
        <v>5798</v>
      </c>
      <c r="BN10" s="6" t="s">
        <v>5798</v>
      </c>
      <c r="BO10" s="6" t="s">
        <v>5748</v>
      </c>
      <c r="BP10" s="6" t="s">
        <v>5738</v>
      </c>
      <c r="BQ10" s="6" t="s">
        <v>5738</v>
      </c>
      <c r="BR10" s="6" t="s">
        <v>5738</v>
      </c>
      <c r="BS10" s="6">
        <v>3</v>
      </c>
      <c r="BT10" s="6">
        <v>3</v>
      </c>
      <c r="BU10" s="6">
        <v>3</v>
      </c>
      <c r="BV10" s="6">
        <v>0</v>
      </c>
      <c r="BW10" s="6">
        <v>0</v>
      </c>
      <c r="BX10" s="6">
        <v>0</v>
      </c>
      <c r="BY10" s="6" t="s">
        <v>5467</v>
      </c>
      <c r="BZ10" s="6">
        <v>2</v>
      </c>
      <c r="CA10" s="6">
        <v>2</v>
      </c>
      <c r="CB10" s="6">
        <v>2</v>
      </c>
      <c r="CC10" s="6">
        <v>0</v>
      </c>
      <c r="CD10" s="6">
        <v>0</v>
      </c>
      <c r="CE10" s="6">
        <v>0</v>
      </c>
      <c r="CF10" s="6" t="s">
        <v>5467</v>
      </c>
      <c r="CG10" s="6">
        <v>2</v>
      </c>
      <c r="CH10" s="6">
        <v>2</v>
      </c>
      <c r="CI10" s="6">
        <v>2</v>
      </c>
      <c r="CJ10" s="6">
        <v>0</v>
      </c>
      <c r="CK10" s="6">
        <v>0</v>
      </c>
      <c r="CL10" s="6">
        <v>0</v>
      </c>
      <c r="CM10" s="6" t="s">
        <v>5749</v>
      </c>
      <c r="CN10" s="6">
        <v>1</v>
      </c>
      <c r="CO10" s="6">
        <v>1</v>
      </c>
      <c r="CP10" s="6">
        <v>1</v>
      </c>
      <c r="CQ10" s="6">
        <v>0</v>
      </c>
      <c r="CR10" s="6">
        <v>0</v>
      </c>
      <c r="CS10" s="6">
        <v>0</v>
      </c>
      <c r="CT10" s="6" t="s">
        <v>5738</v>
      </c>
      <c r="CU10" s="6">
        <v>0</v>
      </c>
      <c r="CV10" s="6">
        <v>0</v>
      </c>
      <c r="CW10" s="6">
        <v>0</v>
      </c>
      <c r="CX10" s="6">
        <v>0</v>
      </c>
      <c r="CY10" s="6">
        <v>0</v>
      </c>
      <c r="CZ10" s="6">
        <v>0</v>
      </c>
      <c r="DA10" s="6" t="s">
        <v>5738</v>
      </c>
      <c r="DB10" s="6">
        <v>0</v>
      </c>
      <c r="DC10" s="6">
        <v>0</v>
      </c>
      <c r="DD10" s="6">
        <v>0</v>
      </c>
      <c r="DE10" s="6">
        <v>0</v>
      </c>
      <c r="DF10" s="6">
        <v>0</v>
      </c>
      <c r="DG10" s="6">
        <v>0</v>
      </c>
      <c r="DH10" s="6" t="s">
        <v>5738</v>
      </c>
      <c r="DI10" s="6">
        <v>0</v>
      </c>
      <c r="DJ10" s="6">
        <v>0</v>
      </c>
      <c r="DK10" s="6">
        <v>0</v>
      </c>
      <c r="DL10" s="6">
        <v>0</v>
      </c>
      <c r="DM10" s="6">
        <v>0</v>
      </c>
      <c r="DN10" s="6">
        <v>0</v>
      </c>
      <c r="DO10" s="6" t="s">
        <v>5750</v>
      </c>
      <c r="DP10" s="6">
        <v>80</v>
      </c>
      <c r="DQ10" s="6">
        <v>80</v>
      </c>
      <c r="DR10" s="6">
        <v>80</v>
      </c>
      <c r="DS10" s="6">
        <v>0</v>
      </c>
      <c r="DT10" s="6">
        <v>0</v>
      </c>
      <c r="DU10" s="6">
        <v>0</v>
      </c>
      <c r="DV10" s="6" t="s">
        <v>5751</v>
      </c>
      <c r="DW10" s="6">
        <v>80</v>
      </c>
      <c r="DX10" s="6" t="s">
        <v>5750</v>
      </c>
      <c r="DY10" s="6">
        <v>80</v>
      </c>
      <c r="DZ10" s="6">
        <v>80</v>
      </c>
      <c r="EA10" s="6">
        <v>80</v>
      </c>
      <c r="EB10" s="6">
        <v>0</v>
      </c>
      <c r="EC10" s="6">
        <v>0</v>
      </c>
      <c r="ED10" s="6">
        <v>0</v>
      </c>
      <c r="EE10" s="6" t="s">
        <v>5751</v>
      </c>
      <c r="EF10" s="6">
        <v>80</v>
      </c>
      <c r="EG10" s="6" t="s">
        <v>5752</v>
      </c>
      <c r="EH10" s="6">
        <v>60</v>
      </c>
      <c r="EI10" s="6">
        <v>60</v>
      </c>
      <c r="EJ10" s="6">
        <v>60</v>
      </c>
      <c r="EK10" s="6">
        <v>0</v>
      </c>
      <c r="EL10" s="6">
        <v>0</v>
      </c>
      <c r="EM10" s="6">
        <v>0</v>
      </c>
      <c r="EN10" s="6" t="s">
        <v>5753</v>
      </c>
      <c r="EO10" s="6">
        <v>60</v>
      </c>
      <c r="EP10" s="6" t="s">
        <v>5738</v>
      </c>
      <c r="EQ10" s="6">
        <v>0</v>
      </c>
      <c r="ER10" s="6">
        <v>0</v>
      </c>
      <c r="ES10" s="6">
        <v>0</v>
      </c>
      <c r="ET10" s="6">
        <v>0</v>
      </c>
      <c r="EU10" s="6">
        <v>0</v>
      </c>
      <c r="EV10" s="6">
        <v>0</v>
      </c>
      <c r="EW10" s="6" t="s">
        <v>5738</v>
      </c>
      <c r="EX10" s="6">
        <v>0</v>
      </c>
      <c r="EY10" s="6" t="s">
        <v>5738</v>
      </c>
      <c r="EZ10" s="6">
        <v>0</v>
      </c>
      <c r="FA10" s="6">
        <v>0</v>
      </c>
      <c r="FB10" s="6">
        <v>0</v>
      </c>
      <c r="FC10" s="6">
        <v>0</v>
      </c>
      <c r="FD10" s="6">
        <v>0</v>
      </c>
      <c r="FE10" s="6">
        <v>0</v>
      </c>
      <c r="FF10" s="6" t="s">
        <v>5738</v>
      </c>
      <c r="FG10" s="6">
        <v>0</v>
      </c>
      <c r="FH10" s="6" t="s">
        <v>5738</v>
      </c>
      <c r="FI10" s="6">
        <v>0</v>
      </c>
      <c r="FJ10" s="6">
        <v>0</v>
      </c>
      <c r="FK10" s="6">
        <v>0</v>
      </c>
      <c r="FL10" s="6">
        <v>0</v>
      </c>
      <c r="FM10" s="6">
        <v>0</v>
      </c>
      <c r="FN10" s="6">
        <v>0</v>
      </c>
      <c r="FO10" s="6" t="s">
        <v>5738</v>
      </c>
      <c r="FP10" s="6">
        <v>0</v>
      </c>
      <c r="FQ10" s="6">
        <v>80</v>
      </c>
      <c r="FR10" s="6" t="s">
        <v>3353</v>
      </c>
      <c r="FS10" s="6" t="s">
        <v>5755</v>
      </c>
      <c r="FT10" s="6" t="s">
        <v>5755</v>
      </c>
      <c r="FU10" s="6" t="s">
        <v>5738</v>
      </c>
      <c r="FV10" s="6" t="s">
        <v>5738</v>
      </c>
      <c r="FW10" s="6" t="s">
        <v>5738</v>
      </c>
      <c r="FX10" s="6" t="s">
        <v>5814</v>
      </c>
      <c r="FY10" s="6">
        <v>31</v>
      </c>
      <c r="FZ10" s="6">
        <v>31</v>
      </c>
      <c r="GA10" s="6">
        <v>31</v>
      </c>
      <c r="GB10" s="6">
        <v>0</v>
      </c>
      <c r="GC10" s="6">
        <v>0</v>
      </c>
      <c r="GD10" s="6">
        <v>0</v>
      </c>
      <c r="GE10" s="6" t="s">
        <v>5815</v>
      </c>
      <c r="GF10" s="6" t="s">
        <v>5814</v>
      </c>
      <c r="GG10" s="6">
        <v>31</v>
      </c>
      <c r="GH10" s="6">
        <v>31</v>
      </c>
      <c r="GI10" s="6">
        <v>31</v>
      </c>
      <c r="GJ10" s="6">
        <v>0</v>
      </c>
      <c r="GK10" s="6">
        <v>0</v>
      </c>
      <c r="GL10" s="6">
        <v>0</v>
      </c>
      <c r="GM10" s="6" t="s">
        <v>5815</v>
      </c>
      <c r="GN10" s="6" t="s">
        <v>5814</v>
      </c>
      <c r="GO10" s="6">
        <v>31</v>
      </c>
      <c r="GP10" s="6">
        <v>31</v>
      </c>
      <c r="GQ10" s="6">
        <v>31</v>
      </c>
      <c r="GR10" s="6">
        <v>0</v>
      </c>
      <c r="GS10" s="6">
        <v>0</v>
      </c>
      <c r="GT10" s="6">
        <v>0</v>
      </c>
      <c r="GU10" s="6" t="s">
        <v>5815</v>
      </c>
      <c r="GV10" s="6" t="s">
        <v>5738</v>
      </c>
      <c r="GW10" s="6">
        <v>0</v>
      </c>
      <c r="GX10" s="6">
        <v>0</v>
      </c>
      <c r="GY10" s="6">
        <v>0</v>
      </c>
      <c r="GZ10" s="6">
        <v>0</v>
      </c>
      <c r="HA10" s="6">
        <v>0</v>
      </c>
      <c r="HB10" s="6">
        <v>0</v>
      </c>
      <c r="HC10" s="6" t="s">
        <v>5738</v>
      </c>
      <c r="HD10" s="6" t="s">
        <v>5738</v>
      </c>
      <c r="HE10" s="6">
        <v>0</v>
      </c>
      <c r="HF10" s="6">
        <v>0</v>
      </c>
      <c r="HG10" s="6">
        <v>0</v>
      </c>
      <c r="HH10" s="6">
        <v>0</v>
      </c>
      <c r="HI10" s="6">
        <v>0</v>
      </c>
      <c r="HJ10" s="6">
        <v>0</v>
      </c>
      <c r="HK10" s="6" t="s">
        <v>5738</v>
      </c>
      <c r="HL10" s="6" t="s">
        <v>5738</v>
      </c>
      <c r="HM10" s="6">
        <v>0</v>
      </c>
      <c r="HN10" s="6">
        <v>0</v>
      </c>
      <c r="HO10" s="6">
        <v>0</v>
      </c>
      <c r="HP10" s="6">
        <v>0</v>
      </c>
      <c r="HQ10" s="6">
        <v>0</v>
      </c>
      <c r="HR10" s="6">
        <v>0</v>
      </c>
      <c r="HS10" s="6" t="s">
        <v>5738</v>
      </c>
      <c r="HT10" s="6" t="s">
        <v>5758</v>
      </c>
      <c r="HU10" s="6">
        <v>31</v>
      </c>
      <c r="HV10" s="6">
        <v>31</v>
      </c>
      <c r="HW10" s="6">
        <v>31</v>
      </c>
      <c r="HX10" s="6">
        <v>0</v>
      </c>
      <c r="HY10" s="6">
        <v>0</v>
      </c>
      <c r="HZ10" s="6">
        <v>0</v>
      </c>
      <c r="IA10" s="5">
        <v>31</v>
      </c>
      <c r="IB10" s="5">
        <v>15</v>
      </c>
      <c r="IC10" s="132" t="s">
        <v>5460</v>
      </c>
      <c r="ID10" s="132" t="s">
        <v>5816</v>
      </c>
      <c r="IE10" s="132" t="s">
        <v>5760</v>
      </c>
      <c r="IF10" s="132" t="s">
        <v>5761</v>
      </c>
      <c r="IG10" s="171">
        <v>43756</v>
      </c>
      <c r="IH10" s="171">
        <v>45583</v>
      </c>
      <c r="II10" s="6">
        <v>37</v>
      </c>
    </row>
    <row r="11" spans="1:244" ht="165.75">
      <c r="A11" s="5">
        <v>10</v>
      </c>
      <c r="B11" s="132" t="s">
        <v>5723</v>
      </c>
      <c r="C11" s="132" t="s">
        <v>5723</v>
      </c>
      <c r="D11" s="5" t="s">
        <v>5558</v>
      </c>
      <c r="E11" s="107" t="s">
        <v>5559</v>
      </c>
      <c r="F11" s="5" t="s">
        <v>5351</v>
      </c>
      <c r="G11" s="5">
        <v>105.76770999999999</v>
      </c>
      <c r="H11" s="5">
        <v>21.013743999999999</v>
      </c>
      <c r="I11" s="5">
        <v>1</v>
      </c>
      <c r="J11" s="5">
        <v>2</v>
      </c>
      <c r="K11" s="5" t="s">
        <v>5762</v>
      </c>
      <c r="L11" s="5" t="s">
        <v>5817</v>
      </c>
      <c r="M11" s="5" t="s">
        <v>5764</v>
      </c>
      <c r="N11" s="5" t="s">
        <v>5765</v>
      </c>
      <c r="O11" s="5" t="s">
        <v>5766</v>
      </c>
      <c r="P11" s="5" t="s">
        <v>5767</v>
      </c>
      <c r="Q11" s="5" t="s">
        <v>5768</v>
      </c>
      <c r="R11" s="5" t="s">
        <v>5804</v>
      </c>
      <c r="S11" s="152" t="b">
        <v>1</v>
      </c>
      <c r="T11" s="5" t="s">
        <v>5560</v>
      </c>
      <c r="U11" s="5">
        <v>0</v>
      </c>
      <c r="V11" s="5" t="s">
        <v>5732</v>
      </c>
      <c r="W11" s="5" t="s">
        <v>5561</v>
      </c>
      <c r="X11" s="7" t="s">
        <v>5733</v>
      </c>
      <c r="Y11" s="5" t="b">
        <v>0</v>
      </c>
      <c r="Z11" s="152" t="b">
        <v>0</v>
      </c>
      <c r="AA11" s="5">
        <v>28.5</v>
      </c>
      <c r="AB11" s="152" t="b">
        <v>1</v>
      </c>
      <c r="AC11" s="5">
        <v>26</v>
      </c>
      <c r="AD11" s="5" t="b">
        <v>0</v>
      </c>
      <c r="AE11" s="5" t="s">
        <v>5734</v>
      </c>
      <c r="AF11" s="5" t="s">
        <v>5735</v>
      </c>
      <c r="AG11" s="132" t="s">
        <v>5736</v>
      </c>
      <c r="AH11" s="132" t="s">
        <v>5737</v>
      </c>
      <c r="AI11" s="132" t="s">
        <v>5479</v>
      </c>
      <c r="AJ11" s="132" t="s">
        <v>5738</v>
      </c>
      <c r="AK11" s="132" t="s">
        <v>5739</v>
      </c>
      <c r="AL11" s="6"/>
      <c r="AM11" s="6" t="s">
        <v>5740</v>
      </c>
      <c r="AN11" s="6" t="s">
        <v>5741</v>
      </c>
      <c r="AO11" s="5">
        <v>5</v>
      </c>
      <c r="AP11" s="85" t="s">
        <v>5742</v>
      </c>
      <c r="AQ11" s="233" t="s">
        <v>5743</v>
      </c>
      <c r="AR11" s="233" t="s">
        <v>5797</v>
      </c>
      <c r="AS11" s="234" t="s">
        <v>5350</v>
      </c>
      <c r="AT11" s="6" t="s">
        <v>5741</v>
      </c>
      <c r="AU11" s="6" t="s">
        <v>5741</v>
      </c>
      <c r="AV11" s="6" t="s">
        <v>5738</v>
      </c>
      <c r="AW11" s="6" t="s">
        <v>5738</v>
      </c>
      <c r="AX11" s="6" t="s">
        <v>5738</v>
      </c>
      <c r="AY11" s="6" t="s">
        <v>5738</v>
      </c>
      <c r="AZ11" s="6" t="s">
        <v>5723</v>
      </c>
      <c r="BA11" s="6" t="s">
        <v>5723</v>
      </c>
      <c r="BB11" s="6" t="s">
        <v>5738</v>
      </c>
      <c r="BC11" s="6" t="s">
        <v>5738</v>
      </c>
      <c r="BD11" s="6" t="s">
        <v>5738</v>
      </c>
      <c r="BE11" s="6" t="s">
        <v>5738</v>
      </c>
      <c r="BF11" s="6" t="s">
        <v>5771</v>
      </c>
      <c r="BG11" s="6" t="s">
        <v>5558</v>
      </c>
      <c r="BH11" s="6" t="s">
        <v>5558</v>
      </c>
      <c r="BI11" s="6" t="s">
        <v>5738</v>
      </c>
      <c r="BJ11" s="6" t="s">
        <v>5738</v>
      </c>
      <c r="BK11" s="6" t="s">
        <v>5738</v>
      </c>
      <c r="BL11" s="6" t="s">
        <v>5738</v>
      </c>
      <c r="BM11" s="6" t="s">
        <v>5747</v>
      </c>
      <c r="BN11" s="6" t="s">
        <v>5748</v>
      </c>
      <c r="BO11" s="6" t="s">
        <v>5738</v>
      </c>
      <c r="BP11" s="6" t="s">
        <v>5738</v>
      </c>
      <c r="BQ11" s="6" t="s">
        <v>5738</v>
      </c>
      <c r="BR11" s="6" t="s">
        <v>5738</v>
      </c>
      <c r="BS11" s="6">
        <v>3</v>
      </c>
      <c r="BT11" s="6">
        <v>3</v>
      </c>
      <c r="BU11" s="6">
        <v>0</v>
      </c>
      <c r="BV11" s="6">
        <v>0</v>
      </c>
      <c r="BW11" s="6">
        <v>0</v>
      </c>
      <c r="BX11" s="6">
        <v>0</v>
      </c>
      <c r="BY11" s="6" t="s">
        <v>5467</v>
      </c>
      <c r="BZ11" s="6">
        <v>2</v>
      </c>
      <c r="CA11" s="6">
        <v>2</v>
      </c>
      <c r="CB11" s="6">
        <v>2</v>
      </c>
      <c r="CC11" s="6">
        <v>0</v>
      </c>
      <c r="CD11" s="6">
        <v>0</v>
      </c>
      <c r="CE11" s="6">
        <v>0</v>
      </c>
      <c r="CF11" s="6" t="s">
        <v>5749</v>
      </c>
      <c r="CG11" s="6">
        <v>1</v>
      </c>
      <c r="CH11" s="6">
        <v>1</v>
      </c>
      <c r="CI11" s="6">
        <v>1</v>
      </c>
      <c r="CJ11" s="6">
        <v>0</v>
      </c>
      <c r="CK11" s="6">
        <v>0</v>
      </c>
      <c r="CL11" s="6">
        <v>0</v>
      </c>
      <c r="CM11" s="6" t="s">
        <v>5738</v>
      </c>
      <c r="CN11" s="6">
        <v>0</v>
      </c>
      <c r="CO11" s="6">
        <v>0</v>
      </c>
      <c r="CP11" s="6">
        <v>0</v>
      </c>
      <c r="CQ11" s="6">
        <v>0</v>
      </c>
      <c r="CR11" s="6">
        <v>0</v>
      </c>
      <c r="CS11" s="6">
        <v>0</v>
      </c>
      <c r="CT11" s="6" t="s">
        <v>5738</v>
      </c>
      <c r="CU11" s="6">
        <v>0</v>
      </c>
      <c r="CV11" s="6">
        <v>0</v>
      </c>
      <c r="CW11" s="6">
        <v>0</v>
      </c>
      <c r="CX11" s="6">
        <v>0</v>
      </c>
      <c r="CY11" s="6">
        <v>0</v>
      </c>
      <c r="CZ11" s="6">
        <v>0</v>
      </c>
      <c r="DA11" s="6" t="s">
        <v>5738</v>
      </c>
      <c r="DB11" s="6">
        <v>0</v>
      </c>
      <c r="DC11" s="6">
        <v>0</v>
      </c>
      <c r="DD11" s="6">
        <v>0</v>
      </c>
      <c r="DE11" s="6">
        <v>0</v>
      </c>
      <c r="DF11" s="6">
        <v>0</v>
      </c>
      <c r="DG11" s="6">
        <v>0</v>
      </c>
      <c r="DH11" s="6" t="s">
        <v>5738</v>
      </c>
      <c r="DI11" s="6">
        <v>0</v>
      </c>
      <c r="DJ11" s="6">
        <v>0</v>
      </c>
      <c r="DK11" s="6">
        <v>0</v>
      </c>
      <c r="DL11" s="6">
        <v>0</v>
      </c>
      <c r="DM11" s="6">
        <v>0</v>
      </c>
      <c r="DN11" s="6">
        <v>0</v>
      </c>
      <c r="DO11" s="6" t="s">
        <v>5752</v>
      </c>
      <c r="DP11" s="6">
        <v>60</v>
      </c>
      <c r="DQ11" s="6">
        <v>60</v>
      </c>
      <c r="DR11" s="6">
        <v>60</v>
      </c>
      <c r="DS11" s="6">
        <v>0</v>
      </c>
      <c r="DT11" s="6">
        <v>0</v>
      </c>
      <c r="DU11" s="6">
        <v>0</v>
      </c>
      <c r="DV11" s="6" t="s">
        <v>5753</v>
      </c>
      <c r="DW11" s="6">
        <v>60</v>
      </c>
      <c r="DX11" s="6" t="s">
        <v>5752</v>
      </c>
      <c r="DY11" s="6">
        <v>60</v>
      </c>
      <c r="DZ11" s="6">
        <v>60</v>
      </c>
      <c r="EA11" s="6">
        <v>60</v>
      </c>
      <c r="EB11" s="6">
        <v>0</v>
      </c>
      <c r="EC11" s="6">
        <v>0</v>
      </c>
      <c r="ED11" s="6">
        <v>0</v>
      </c>
      <c r="EE11" s="6" t="s">
        <v>5753</v>
      </c>
      <c r="EF11" s="6">
        <v>60</v>
      </c>
      <c r="EG11" s="6" t="s">
        <v>5738</v>
      </c>
      <c r="EH11" s="6">
        <v>0</v>
      </c>
      <c r="EI11" s="6">
        <v>0</v>
      </c>
      <c r="EJ11" s="6">
        <v>0</v>
      </c>
      <c r="EK11" s="6">
        <v>0</v>
      </c>
      <c r="EL11" s="6">
        <v>0</v>
      </c>
      <c r="EM11" s="6">
        <v>0</v>
      </c>
      <c r="EN11" s="6" t="s">
        <v>5738</v>
      </c>
      <c r="EO11" s="6">
        <v>0</v>
      </c>
      <c r="EP11" s="6" t="s">
        <v>5738</v>
      </c>
      <c r="EQ11" s="6">
        <v>0</v>
      </c>
      <c r="ER11" s="6">
        <v>0</v>
      </c>
      <c r="ES11" s="6">
        <v>0</v>
      </c>
      <c r="ET11" s="6">
        <v>0</v>
      </c>
      <c r="EU11" s="6">
        <v>0</v>
      </c>
      <c r="EV11" s="6">
        <v>0</v>
      </c>
      <c r="EW11" s="6" t="s">
        <v>5738</v>
      </c>
      <c r="EX11" s="6">
        <v>0</v>
      </c>
      <c r="EY11" s="6" t="s">
        <v>5738</v>
      </c>
      <c r="EZ11" s="6">
        <v>0</v>
      </c>
      <c r="FA11" s="6">
        <v>0</v>
      </c>
      <c r="FB11" s="6">
        <v>0</v>
      </c>
      <c r="FC11" s="6">
        <v>0</v>
      </c>
      <c r="FD11" s="6">
        <v>0</v>
      </c>
      <c r="FE11" s="6">
        <v>0</v>
      </c>
      <c r="FF11" s="6" t="s">
        <v>5738</v>
      </c>
      <c r="FG11" s="6">
        <v>0</v>
      </c>
      <c r="FH11" s="6" t="s">
        <v>5738</v>
      </c>
      <c r="FI11" s="6">
        <v>0</v>
      </c>
      <c r="FJ11" s="6">
        <v>0</v>
      </c>
      <c r="FK11" s="6">
        <v>0</v>
      </c>
      <c r="FL11" s="6">
        <v>0</v>
      </c>
      <c r="FM11" s="6">
        <v>0</v>
      </c>
      <c r="FN11" s="6">
        <v>0</v>
      </c>
      <c r="FO11" s="6" t="s">
        <v>5738</v>
      </c>
      <c r="FP11" s="6">
        <v>0</v>
      </c>
      <c r="FQ11" s="6">
        <v>60</v>
      </c>
      <c r="FR11" s="6" t="s">
        <v>5754</v>
      </c>
      <c r="FS11" s="6" t="s">
        <v>5755</v>
      </c>
      <c r="FT11" s="6" t="s">
        <v>5738</v>
      </c>
      <c r="FU11" s="6" t="s">
        <v>5738</v>
      </c>
      <c r="FV11" s="6" t="s">
        <v>5738</v>
      </c>
      <c r="FW11" s="6" t="s">
        <v>5738</v>
      </c>
      <c r="FX11" s="6" t="s">
        <v>5805</v>
      </c>
      <c r="FY11" s="6">
        <v>28.5</v>
      </c>
      <c r="FZ11" s="6">
        <v>28.5</v>
      </c>
      <c r="GA11" s="6">
        <v>28.5</v>
      </c>
      <c r="GB11" s="6">
        <v>0</v>
      </c>
      <c r="GC11" s="6">
        <v>0</v>
      </c>
      <c r="GD11" s="6">
        <v>0</v>
      </c>
      <c r="GE11" s="6" t="s">
        <v>5806</v>
      </c>
      <c r="GF11" s="6" t="s">
        <v>5805</v>
      </c>
      <c r="GG11" s="6">
        <v>28.5</v>
      </c>
      <c r="GH11" s="6">
        <v>28.5</v>
      </c>
      <c r="GI11" s="6">
        <v>28.5</v>
      </c>
      <c r="GJ11" s="6">
        <v>0</v>
      </c>
      <c r="GK11" s="6">
        <v>0</v>
      </c>
      <c r="GL11" s="6">
        <v>0</v>
      </c>
      <c r="GM11" s="6" t="s">
        <v>5806</v>
      </c>
      <c r="GN11" s="6" t="s">
        <v>5738</v>
      </c>
      <c r="GO11" s="6">
        <v>0</v>
      </c>
      <c r="GP11" s="6">
        <v>0</v>
      </c>
      <c r="GQ11" s="6">
        <v>0</v>
      </c>
      <c r="GR11" s="6">
        <v>0</v>
      </c>
      <c r="GS11" s="6">
        <v>0</v>
      </c>
      <c r="GT11" s="6">
        <v>0</v>
      </c>
      <c r="GU11" s="6" t="s">
        <v>5738</v>
      </c>
      <c r="GV11" s="6" t="s">
        <v>5738</v>
      </c>
      <c r="GW11" s="6">
        <v>0</v>
      </c>
      <c r="GX11" s="6">
        <v>0</v>
      </c>
      <c r="GY11" s="6">
        <v>0</v>
      </c>
      <c r="GZ11" s="6">
        <v>0</v>
      </c>
      <c r="HA11" s="6">
        <v>0</v>
      </c>
      <c r="HB11" s="6">
        <v>0</v>
      </c>
      <c r="HC11" s="6" t="s">
        <v>5738</v>
      </c>
      <c r="HD11" s="6" t="s">
        <v>5738</v>
      </c>
      <c r="HE11" s="6">
        <v>0</v>
      </c>
      <c r="HF11" s="6">
        <v>0</v>
      </c>
      <c r="HG11" s="6">
        <v>0</v>
      </c>
      <c r="HH11" s="6">
        <v>0</v>
      </c>
      <c r="HI11" s="6">
        <v>0</v>
      </c>
      <c r="HJ11" s="6">
        <v>0</v>
      </c>
      <c r="HK11" s="6" t="s">
        <v>5738</v>
      </c>
      <c r="HL11" s="6" t="s">
        <v>5738</v>
      </c>
      <c r="HM11" s="6">
        <v>0</v>
      </c>
      <c r="HN11" s="6">
        <v>0</v>
      </c>
      <c r="HO11" s="6">
        <v>0</v>
      </c>
      <c r="HP11" s="6">
        <v>0</v>
      </c>
      <c r="HQ11" s="6">
        <v>0</v>
      </c>
      <c r="HR11" s="6">
        <v>0</v>
      </c>
      <c r="HS11" s="6" t="s">
        <v>5738</v>
      </c>
      <c r="HT11" s="6" t="s">
        <v>5758</v>
      </c>
      <c r="HU11" s="6">
        <v>28.5</v>
      </c>
      <c r="HV11" s="6">
        <v>28.5</v>
      </c>
      <c r="HW11" s="6">
        <v>0</v>
      </c>
      <c r="HX11" s="6">
        <v>0</v>
      </c>
      <c r="HY11" s="6">
        <v>0</v>
      </c>
      <c r="HZ11" s="6">
        <v>0</v>
      </c>
      <c r="IA11" s="5">
        <v>28.5</v>
      </c>
      <c r="IB11" s="5">
        <v>2.5</v>
      </c>
      <c r="IC11" s="132" t="s">
        <v>5460</v>
      </c>
      <c r="ID11" s="132" t="s">
        <v>5818</v>
      </c>
      <c r="IE11" s="132" t="s">
        <v>5760</v>
      </c>
      <c r="IF11" s="132" t="s">
        <v>5761</v>
      </c>
      <c r="IG11" s="171">
        <v>43756</v>
      </c>
      <c r="IH11" s="171">
        <v>45583</v>
      </c>
      <c r="II11" s="6">
        <v>37</v>
      </c>
    </row>
    <row r="12" spans="1:244" ht="127.5">
      <c r="A12" s="5">
        <v>11</v>
      </c>
      <c r="B12" s="132" t="s">
        <v>5723</v>
      </c>
      <c r="C12" s="132" t="s">
        <v>5723</v>
      </c>
      <c r="D12" s="5" t="s">
        <v>5562</v>
      </c>
      <c r="E12" s="107" t="s">
        <v>5563</v>
      </c>
      <c r="F12" s="5" t="s">
        <v>5351</v>
      </c>
      <c r="G12" s="5">
        <v>105.744625</v>
      </c>
      <c r="H12" s="5">
        <v>21.002666999999999</v>
      </c>
      <c r="I12" s="5">
        <v>1</v>
      </c>
      <c r="J12" s="5">
        <v>3</v>
      </c>
      <c r="K12" s="5" t="s">
        <v>5724</v>
      </c>
      <c r="L12" s="5" t="s">
        <v>5819</v>
      </c>
      <c r="M12" s="5" t="s">
        <v>5795</v>
      </c>
      <c r="N12" s="5" t="s">
        <v>5727</v>
      </c>
      <c r="O12" s="5" t="s">
        <v>5728</v>
      </c>
      <c r="P12" s="5" t="s">
        <v>5729</v>
      </c>
      <c r="Q12" s="5" t="s">
        <v>5730</v>
      </c>
      <c r="R12" s="5" t="s">
        <v>5820</v>
      </c>
      <c r="S12" s="152" t="b">
        <v>1</v>
      </c>
      <c r="T12" s="5" t="s">
        <v>5564</v>
      </c>
      <c r="U12" s="5">
        <v>0</v>
      </c>
      <c r="V12" s="5" t="s">
        <v>5732</v>
      </c>
      <c r="W12" s="5" t="s">
        <v>5565</v>
      </c>
      <c r="X12" s="7" t="s">
        <v>5733</v>
      </c>
      <c r="Y12" s="5" t="b">
        <v>0</v>
      </c>
      <c r="Z12" s="152" t="b">
        <v>0</v>
      </c>
      <c r="AA12" s="5">
        <v>16.5</v>
      </c>
      <c r="AB12" s="152" t="b">
        <v>1</v>
      </c>
      <c r="AC12" s="5">
        <v>12</v>
      </c>
      <c r="AD12" s="5" t="b">
        <v>0</v>
      </c>
      <c r="AE12" s="5" t="s">
        <v>5734</v>
      </c>
      <c r="AF12" s="5" t="s">
        <v>5735</v>
      </c>
      <c r="AG12" s="132" t="s">
        <v>5736</v>
      </c>
      <c r="AH12" s="132" t="s">
        <v>5737</v>
      </c>
      <c r="AI12" s="132" t="s">
        <v>5479</v>
      </c>
      <c r="AJ12" s="132" t="s">
        <v>5738</v>
      </c>
      <c r="AK12" s="132" t="s">
        <v>5739</v>
      </c>
      <c r="AL12" s="6"/>
      <c r="AM12" s="6" t="s">
        <v>5740</v>
      </c>
      <c r="AN12" s="6" t="s">
        <v>5741</v>
      </c>
      <c r="AO12" s="5">
        <v>5</v>
      </c>
      <c r="AP12" s="85" t="s">
        <v>5742</v>
      </c>
      <c r="AQ12" s="233" t="s">
        <v>5743</v>
      </c>
      <c r="AR12" s="233" t="s">
        <v>5821</v>
      </c>
      <c r="AS12" s="234" t="s">
        <v>5350</v>
      </c>
      <c r="AT12" s="6" t="s">
        <v>5741</v>
      </c>
      <c r="AU12" s="6" t="s">
        <v>5741</v>
      </c>
      <c r="AV12" s="6" t="s">
        <v>5741</v>
      </c>
      <c r="AW12" s="6" t="s">
        <v>5738</v>
      </c>
      <c r="AX12" s="6" t="s">
        <v>5738</v>
      </c>
      <c r="AY12" s="6" t="s">
        <v>5738</v>
      </c>
      <c r="AZ12" s="6" t="s">
        <v>5723</v>
      </c>
      <c r="BA12" s="6" t="s">
        <v>5723</v>
      </c>
      <c r="BB12" s="6" t="s">
        <v>5723</v>
      </c>
      <c r="BC12" s="6" t="s">
        <v>5738</v>
      </c>
      <c r="BD12" s="6" t="s">
        <v>5738</v>
      </c>
      <c r="BE12" s="6" t="s">
        <v>5738</v>
      </c>
      <c r="BF12" s="6" t="s">
        <v>5745</v>
      </c>
      <c r="BG12" s="6" t="s">
        <v>5562</v>
      </c>
      <c r="BH12" s="6" t="s">
        <v>5562</v>
      </c>
      <c r="BI12" s="6" t="s">
        <v>5562</v>
      </c>
      <c r="BJ12" s="6" t="s">
        <v>5738</v>
      </c>
      <c r="BK12" s="6" t="s">
        <v>5738</v>
      </c>
      <c r="BL12" s="6" t="s">
        <v>5738</v>
      </c>
      <c r="BM12" s="6" t="s">
        <v>5798</v>
      </c>
      <c r="BN12" s="6" t="s">
        <v>5799</v>
      </c>
      <c r="BO12" s="6" t="s">
        <v>5748</v>
      </c>
      <c r="BP12" s="6" t="s">
        <v>5738</v>
      </c>
      <c r="BQ12" s="6" t="s">
        <v>5738</v>
      </c>
      <c r="BR12" s="6" t="s">
        <v>5738</v>
      </c>
      <c r="BS12" s="6">
        <v>3</v>
      </c>
      <c r="BT12" s="6">
        <v>3</v>
      </c>
      <c r="BU12" s="6">
        <v>3</v>
      </c>
      <c r="BV12" s="6">
        <v>0</v>
      </c>
      <c r="BW12" s="6">
        <v>0</v>
      </c>
      <c r="BX12" s="6">
        <v>0</v>
      </c>
      <c r="BY12" s="6" t="s">
        <v>5467</v>
      </c>
      <c r="BZ12" s="6">
        <v>2</v>
      </c>
      <c r="CA12" s="6">
        <v>2</v>
      </c>
      <c r="CB12" s="6">
        <v>2</v>
      </c>
      <c r="CC12" s="6">
        <v>0</v>
      </c>
      <c r="CD12" s="6">
        <v>0</v>
      </c>
      <c r="CE12" s="6">
        <v>0</v>
      </c>
      <c r="CF12" s="6" t="s">
        <v>5467</v>
      </c>
      <c r="CG12" s="6">
        <v>2</v>
      </c>
      <c r="CH12" s="6">
        <v>2</v>
      </c>
      <c r="CI12" s="6">
        <v>2</v>
      </c>
      <c r="CJ12" s="6">
        <v>0</v>
      </c>
      <c r="CK12" s="6">
        <v>0</v>
      </c>
      <c r="CL12" s="6">
        <v>0</v>
      </c>
      <c r="CM12" s="6" t="s">
        <v>5749</v>
      </c>
      <c r="CN12" s="6">
        <v>1</v>
      </c>
      <c r="CO12" s="6">
        <v>1</v>
      </c>
      <c r="CP12" s="6">
        <v>1</v>
      </c>
      <c r="CQ12" s="6">
        <v>0</v>
      </c>
      <c r="CR12" s="6">
        <v>0</v>
      </c>
      <c r="CS12" s="6">
        <v>0</v>
      </c>
      <c r="CT12" s="6" t="s">
        <v>5738</v>
      </c>
      <c r="CU12" s="6">
        <v>0</v>
      </c>
      <c r="CV12" s="6">
        <v>0</v>
      </c>
      <c r="CW12" s="6">
        <v>0</v>
      </c>
      <c r="CX12" s="6">
        <v>0</v>
      </c>
      <c r="CY12" s="6">
        <v>0</v>
      </c>
      <c r="CZ12" s="6">
        <v>0</v>
      </c>
      <c r="DA12" s="6" t="s">
        <v>5738</v>
      </c>
      <c r="DB12" s="6">
        <v>0</v>
      </c>
      <c r="DC12" s="6">
        <v>0</v>
      </c>
      <c r="DD12" s="6">
        <v>0</v>
      </c>
      <c r="DE12" s="6">
        <v>0</v>
      </c>
      <c r="DF12" s="6">
        <v>0</v>
      </c>
      <c r="DG12" s="6">
        <v>0</v>
      </c>
      <c r="DH12" s="6" t="s">
        <v>5738</v>
      </c>
      <c r="DI12" s="6">
        <v>0</v>
      </c>
      <c r="DJ12" s="6">
        <v>0</v>
      </c>
      <c r="DK12" s="6">
        <v>0</v>
      </c>
      <c r="DL12" s="6">
        <v>0</v>
      </c>
      <c r="DM12" s="6">
        <v>0</v>
      </c>
      <c r="DN12" s="6">
        <v>0</v>
      </c>
      <c r="DO12" s="6" t="s">
        <v>5750</v>
      </c>
      <c r="DP12" s="6">
        <v>80</v>
      </c>
      <c r="DQ12" s="6">
        <v>80</v>
      </c>
      <c r="DR12" s="6">
        <v>80</v>
      </c>
      <c r="DS12" s="6">
        <v>0</v>
      </c>
      <c r="DT12" s="6">
        <v>0</v>
      </c>
      <c r="DU12" s="6">
        <v>0</v>
      </c>
      <c r="DV12" s="6" t="s">
        <v>5751</v>
      </c>
      <c r="DW12" s="6">
        <v>80</v>
      </c>
      <c r="DX12" s="6" t="s">
        <v>5752</v>
      </c>
      <c r="DY12" s="6">
        <v>60</v>
      </c>
      <c r="DZ12" s="6">
        <v>60</v>
      </c>
      <c r="EA12" s="6">
        <v>60</v>
      </c>
      <c r="EB12" s="6">
        <v>0</v>
      </c>
      <c r="EC12" s="6">
        <v>0</v>
      </c>
      <c r="ED12" s="6">
        <v>0</v>
      </c>
      <c r="EE12" s="6" t="s">
        <v>5753</v>
      </c>
      <c r="EF12" s="6">
        <v>60</v>
      </c>
      <c r="EG12" s="6" t="s">
        <v>5752</v>
      </c>
      <c r="EH12" s="6">
        <v>60</v>
      </c>
      <c r="EI12" s="6">
        <v>60</v>
      </c>
      <c r="EJ12" s="6">
        <v>60</v>
      </c>
      <c r="EK12" s="6">
        <v>0</v>
      </c>
      <c r="EL12" s="6">
        <v>0</v>
      </c>
      <c r="EM12" s="6">
        <v>0</v>
      </c>
      <c r="EN12" s="6" t="s">
        <v>5753</v>
      </c>
      <c r="EO12" s="6">
        <v>60</v>
      </c>
      <c r="EP12" s="6" t="s">
        <v>5738</v>
      </c>
      <c r="EQ12" s="6">
        <v>0</v>
      </c>
      <c r="ER12" s="6">
        <v>0</v>
      </c>
      <c r="ES12" s="6">
        <v>0</v>
      </c>
      <c r="ET12" s="6">
        <v>0</v>
      </c>
      <c r="EU12" s="6">
        <v>0</v>
      </c>
      <c r="EV12" s="6">
        <v>0</v>
      </c>
      <c r="EW12" s="6" t="s">
        <v>5738</v>
      </c>
      <c r="EX12" s="6">
        <v>0</v>
      </c>
      <c r="EY12" s="6" t="s">
        <v>5738</v>
      </c>
      <c r="EZ12" s="6">
        <v>0</v>
      </c>
      <c r="FA12" s="6">
        <v>0</v>
      </c>
      <c r="FB12" s="6">
        <v>0</v>
      </c>
      <c r="FC12" s="6">
        <v>0</v>
      </c>
      <c r="FD12" s="6">
        <v>0</v>
      </c>
      <c r="FE12" s="6">
        <v>0</v>
      </c>
      <c r="FF12" s="6" t="s">
        <v>5738</v>
      </c>
      <c r="FG12" s="6">
        <v>0</v>
      </c>
      <c r="FH12" s="6" t="s">
        <v>5738</v>
      </c>
      <c r="FI12" s="6">
        <v>0</v>
      </c>
      <c r="FJ12" s="6">
        <v>0</v>
      </c>
      <c r="FK12" s="6">
        <v>0</v>
      </c>
      <c r="FL12" s="6">
        <v>0</v>
      </c>
      <c r="FM12" s="6">
        <v>0</v>
      </c>
      <c r="FN12" s="6">
        <v>0</v>
      </c>
      <c r="FO12" s="6" t="s">
        <v>5738</v>
      </c>
      <c r="FP12" s="6">
        <v>0</v>
      </c>
      <c r="FQ12" s="6">
        <v>80</v>
      </c>
      <c r="FR12" s="6" t="s">
        <v>3353</v>
      </c>
      <c r="FS12" s="6" t="s">
        <v>5754</v>
      </c>
      <c r="FT12" s="6" t="s">
        <v>5755</v>
      </c>
      <c r="FU12" s="6" t="s">
        <v>5738</v>
      </c>
      <c r="FV12" s="6" t="s">
        <v>5738</v>
      </c>
      <c r="FW12" s="6" t="s">
        <v>5738</v>
      </c>
      <c r="FX12" s="6" t="s">
        <v>5777</v>
      </c>
      <c r="FY12" s="6">
        <v>16.5</v>
      </c>
      <c r="FZ12" s="6">
        <v>16.5</v>
      </c>
      <c r="GA12" s="6">
        <v>16.5</v>
      </c>
      <c r="GB12" s="6">
        <v>0</v>
      </c>
      <c r="GC12" s="6">
        <v>0</v>
      </c>
      <c r="GD12" s="6">
        <v>0</v>
      </c>
      <c r="GE12" s="6" t="s">
        <v>5778</v>
      </c>
      <c r="GF12" s="6" t="s">
        <v>5777</v>
      </c>
      <c r="GG12" s="6">
        <v>16.5</v>
      </c>
      <c r="GH12" s="6">
        <v>16.5</v>
      </c>
      <c r="GI12" s="6">
        <v>16.5</v>
      </c>
      <c r="GJ12" s="6">
        <v>0</v>
      </c>
      <c r="GK12" s="6">
        <v>0</v>
      </c>
      <c r="GL12" s="6">
        <v>0</v>
      </c>
      <c r="GM12" s="6" t="s">
        <v>5778</v>
      </c>
      <c r="GN12" s="6" t="s">
        <v>5777</v>
      </c>
      <c r="GO12" s="6">
        <v>16.5</v>
      </c>
      <c r="GP12" s="6">
        <v>16.5</v>
      </c>
      <c r="GQ12" s="6">
        <v>16.5</v>
      </c>
      <c r="GR12" s="6">
        <v>0</v>
      </c>
      <c r="GS12" s="6">
        <v>0</v>
      </c>
      <c r="GT12" s="6">
        <v>0</v>
      </c>
      <c r="GU12" s="6" t="s">
        <v>5778</v>
      </c>
      <c r="GV12" s="6" t="s">
        <v>5738</v>
      </c>
      <c r="GW12" s="6">
        <v>0</v>
      </c>
      <c r="GX12" s="6">
        <v>0</v>
      </c>
      <c r="GY12" s="6">
        <v>0</v>
      </c>
      <c r="GZ12" s="6">
        <v>0</v>
      </c>
      <c r="HA12" s="6">
        <v>0</v>
      </c>
      <c r="HB12" s="6">
        <v>0</v>
      </c>
      <c r="HC12" s="6" t="s">
        <v>5738</v>
      </c>
      <c r="HD12" s="6" t="s">
        <v>5738</v>
      </c>
      <c r="HE12" s="6">
        <v>0</v>
      </c>
      <c r="HF12" s="6">
        <v>0</v>
      </c>
      <c r="HG12" s="6">
        <v>0</v>
      </c>
      <c r="HH12" s="6">
        <v>0</v>
      </c>
      <c r="HI12" s="6">
        <v>0</v>
      </c>
      <c r="HJ12" s="6">
        <v>0</v>
      </c>
      <c r="HK12" s="6" t="s">
        <v>5738</v>
      </c>
      <c r="HL12" s="6" t="s">
        <v>5738</v>
      </c>
      <c r="HM12" s="6">
        <v>0</v>
      </c>
      <c r="HN12" s="6">
        <v>0</v>
      </c>
      <c r="HO12" s="6">
        <v>0</v>
      </c>
      <c r="HP12" s="6">
        <v>0</v>
      </c>
      <c r="HQ12" s="6">
        <v>0</v>
      </c>
      <c r="HR12" s="6">
        <v>0</v>
      </c>
      <c r="HS12" s="6" t="s">
        <v>5738</v>
      </c>
      <c r="HT12" s="6" t="s">
        <v>5758</v>
      </c>
      <c r="HU12" s="6">
        <v>16.5</v>
      </c>
      <c r="HV12" s="6">
        <v>16.5</v>
      </c>
      <c r="HW12" s="6">
        <v>16.5</v>
      </c>
      <c r="HX12" s="6">
        <v>0</v>
      </c>
      <c r="HY12" s="6">
        <v>0</v>
      </c>
      <c r="HZ12" s="6">
        <v>0</v>
      </c>
      <c r="IA12" s="5">
        <v>16.5</v>
      </c>
      <c r="IB12" s="5">
        <v>4.5</v>
      </c>
      <c r="IC12" s="132" t="s">
        <v>5460</v>
      </c>
      <c r="ID12" s="132" t="s">
        <v>5822</v>
      </c>
      <c r="IE12" s="132" t="s">
        <v>5760</v>
      </c>
      <c r="IF12" s="132" t="s">
        <v>5761</v>
      </c>
      <c r="IG12" s="171">
        <v>43756</v>
      </c>
      <c r="IH12" s="171">
        <v>45583</v>
      </c>
      <c r="II12" s="6">
        <v>37</v>
      </c>
    </row>
    <row r="13" spans="1:244" ht="127.5">
      <c r="A13" s="5">
        <v>12</v>
      </c>
      <c r="B13" s="132" t="s">
        <v>5723</v>
      </c>
      <c r="C13" s="132" t="s">
        <v>5723</v>
      </c>
      <c r="D13" s="5" t="s">
        <v>5566</v>
      </c>
      <c r="E13" s="107" t="s">
        <v>5567</v>
      </c>
      <c r="F13" s="5" t="s">
        <v>5351</v>
      </c>
      <c r="G13" s="5">
        <v>105.73210400000001</v>
      </c>
      <c r="H13" s="5">
        <v>21.050927999999999</v>
      </c>
      <c r="I13" s="5">
        <v>1</v>
      </c>
      <c r="J13" s="5">
        <v>3</v>
      </c>
      <c r="K13" s="5" t="s">
        <v>5724</v>
      </c>
      <c r="L13" s="5" t="s">
        <v>5823</v>
      </c>
      <c r="M13" s="5" t="s">
        <v>5795</v>
      </c>
      <c r="N13" s="5" t="s">
        <v>5727</v>
      </c>
      <c r="O13" s="5" t="s">
        <v>5728</v>
      </c>
      <c r="P13" s="5" t="s">
        <v>5729</v>
      </c>
      <c r="Q13" s="5" t="s">
        <v>5730</v>
      </c>
      <c r="R13" s="5" t="s">
        <v>5824</v>
      </c>
      <c r="S13" s="152" t="b">
        <v>1</v>
      </c>
      <c r="T13" s="5" t="s">
        <v>5568</v>
      </c>
      <c r="U13" s="5">
        <v>0</v>
      </c>
      <c r="V13" s="5" t="s">
        <v>5732</v>
      </c>
      <c r="W13" s="5" t="s">
        <v>5569</v>
      </c>
      <c r="X13" s="7" t="s">
        <v>5733</v>
      </c>
      <c r="Y13" s="5" t="b">
        <v>0</v>
      </c>
      <c r="Z13" s="152" t="b">
        <v>0</v>
      </c>
      <c r="AA13" s="5">
        <v>18</v>
      </c>
      <c r="AB13" s="152" t="b">
        <v>1</v>
      </c>
      <c r="AC13" s="5">
        <v>12</v>
      </c>
      <c r="AD13" s="5" t="b">
        <v>0</v>
      </c>
      <c r="AE13" s="5" t="s">
        <v>5734</v>
      </c>
      <c r="AF13" s="5" t="s">
        <v>5735</v>
      </c>
      <c r="AG13" s="132" t="s">
        <v>5736</v>
      </c>
      <c r="AH13" s="132" t="s">
        <v>5737</v>
      </c>
      <c r="AI13" s="132" t="s">
        <v>5479</v>
      </c>
      <c r="AJ13" s="132" t="s">
        <v>5738</v>
      </c>
      <c r="AK13" s="132" t="s">
        <v>5739</v>
      </c>
      <c r="AL13" s="6"/>
      <c r="AM13" s="6" t="s">
        <v>5740</v>
      </c>
      <c r="AN13" s="6" t="s">
        <v>5741</v>
      </c>
      <c r="AO13" s="5">
        <v>5</v>
      </c>
      <c r="AP13" s="85" t="s">
        <v>5742</v>
      </c>
      <c r="AQ13" s="233" t="s">
        <v>5743</v>
      </c>
      <c r="AR13" s="233" t="s">
        <v>5825</v>
      </c>
      <c r="AS13" s="234" t="s">
        <v>5350</v>
      </c>
      <c r="AT13" s="6" t="s">
        <v>5741</v>
      </c>
      <c r="AU13" s="6" t="s">
        <v>5741</v>
      </c>
      <c r="AV13" s="6" t="s">
        <v>5741</v>
      </c>
      <c r="AW13" s="6" t="s">
        <v>5738</v>
      </c>
      <c r="AX13" s="6" t="s">
        <v>5738</v>
      </c>
      <c r="AY13" s="6" t="s">
        <v>5738</v>
      </c>
      <c r="AZ13" s="6" t="s">
        <v>5723</v>
      </c>
      <c r="BA13" s="6" t="s">
        <v>5723</v>
      </c>
      <c r="BB13" s="6" t="s">
        <v>5723</v>
      </c>
      <c r="BC13" s="6" t="s">
        <v>5738</v>
      </c>
      <c r="BD13" s="6" t="s">
        <v>5738</v>
      </c>
      <c r="BE13" s="6" t="s">
        <v>5738</v>
      </c>
      <c r="BF13" s="6" t="s">
        <v>5745</v>
      </c>
      <c r="BG13" s="6" t="s">
        <v>5566</v>
      </c>
      <c r="BH13" s="6" t="s">
        <v>5566</v>
      </c>
      <c r="BI13" s="6" t="s">
        <v>5566</v>
      </c>
      <c r="BJ13" s="6" t="s">
        <v>5738</v>
      </c>
      <c r="BK13" s="6" t="s">
        <v>5738</v>
      </c>
      <c r="BL13" s="6" t="s">
        <v>5738</v>
      </c>
      <c r="BM13" s="6" t="s">
        <v>5798</v>
      </c>
      <c r="BN13" s="6" t="s">
        <v>5799</v>
      </c>
      <c r="BO13" s="6" t="s">
        <v>5748</v>
      </c>
      <c r="BP13" s="6" t="s">
        <v>5738</v>
      </c>
      <c r="BQ13" s="6" t="s">
        <v>5738</v>
      </c>
      <c r="BR13" s="6" t="s">
        <v>5738</v>
      </c>
      <c r="BS13" s="6">
        <v>3</v>
      </c>
      <c r="BT13" s="6">
        <v>3</v>
      </c>
      <c r="BU13" s="6">
        <v>3</v>
      </c>
      <c r="BV13" s="6">
        <v>0</v>
      </c>
      <c r="BW13" s="6">
        <v>0</v>
      </c>
      <c r="BX13" s="6">
        <v>0</v>
      </c>
      <c r="BY13" s="6" t="s">
        <v>5467</v>
      </c>
      <c r="BZ13" s="6">
        <v>2</v>
      </c>
      <c r="CA13" s="6">
        <v>2</v>
      </c>
      <c r="CB13" s="6">
        <v>2</v>
      </c>
      <c r="CC13" s="6">
        <v>0</v>
      </c>
      <c r="CD13" s="6">
        <v>0</v>
      </c>
      <c r="CE13" s="6">
        <v>0</v>
      </c>
      <c r="CF13" s="6" t="s">
        <v>5467</v>
      </c>
      <c r="CG13" s="6">
        <v>2</v>
      </c>
      <c r="CH13" s="6">
        <v>2</v>
      </c>
      <c r="CI13" s="6">
        <v>2</v>
      </c>
      <c r="CJ13" s="6">
        <v>0</v>
      </c>
      <c r="CK13" s="6">
        <v>0</v>
      </c>
      <c r="CL13" s="6">
        <v>0</v>
      </c>
      <c r="CM13" s="6" t="s">
        <v>5749</v>
      </c>
      <c r="CN13" s="6">
        <v>1</v>
      </c>
      <c r="CO13" s="6">
        <v>1</v>
      </c>
      <c r="CP13" s="6">
        <v>1</v>
      </c>
      <c r="CQ13" s="6">
        <v>0</v>
      </c>
      <c r="CR13" s="6">
        <v>0</v>
      </c>
      <c r="CS13" s="6">
        <v>0</v>
      </c>
      <c r="CT13" s="6" t="s">
        <v>5738</v>
      </c>
      <c r="CU13" s="6">
        <v>0</v>
      </c>
      <c r="CV13" s="6">
        <v>0</v>
      </c>
      <c r="CW13" s="6">
        <v>0</v>
      </c>
      <c r="CX13" s="6">
        <v>0</v>
      </c>
      <c r="CY13" s="6">
        <v>0</v>
      </c>
      <c r="CZ13" s="6">
        <v>0</v>
      </c>
      <c r="DA13" s="6" t="s">
        <v>5738</v>
      </c>
      <c r="DB13" s="6">
        <v>0</v>
      </c>
      <c r="DC13" s="6">
        <v>0</v>
      </c>
      <c r="DD13" s="6">
        <v>0</v>
      </c>
      <c r="DE13" s="6">
        <v>0</v>
      </c>
      <c r="DF13" s="6">
        <v>0</v>
      </c>
      <c r="DG13" s="6">
        <v>0</v>
      </c>
      <c r="DH13" s="6" t="s">
        <v>5738</v>
      </c>
      <c r="DI13" s="6">
        <v>0</v>
      </c>
      <c r="DJ13" s="6">
        <v>0</v>
      </c>
      <c r="DK13" s="6">
        <v>0</v>
      </c>
      <c r="DL13" s="6">
        <v>0</v>
      </c>
      <c r="DM13" s="6">
        <v>0</v>
      </c>
      <c r="DN13" s="6">
        <v>0</v>
      </c>
      <c r="DO13" s="6" t="s">
        <v>5750</v>
      </c>
      <c r="DP13" s="6">
        <v>80</v>
      </c>
      <c r="DQ13" s="6">
        <v>80</v>
      </c>
      <c r="DR13" s="6">
        <v>80</v>
      </c>
      <c r="DS13" s="6">
        <v>0</v>
      </c>
      <c r="DT13" s="6">
        <v>0</v>
      </c>
      <c r="DU13" s="6">
        <v>0</v>
      </c>
      <c r="DV13" s="6" t="s">
        <v>5751</v>
      </c>
      <c r="DW13" s="6">
        <v>80</v>
      </c>
      <c r="DX13" s="6" t="s">
        <v>5752</v>
      </c>
      <c r="DY13" s="6">
        <v>60</v>
      </c>
      <c r="DZ13" s="6">
        <v>60</v>
      </c>
      <c r="EA13" s="6">
        <v>60</v>
      </c>
      <c r="EB13" s="6">
        <v>0</v>
      </c>
      <c r="EC13" s="6">
        <v>0</v>
      </c>
      <c r="ED13" s="6">
        <v>0</v>
      </c>
      <c r="EE13" s="6" t="s">
        <v>5753</v>
      </c>
      <c r="EF13" s="6">
        <v>60</v>
      </c>
      <c r="EG13" s="6" t="s">
        <v>5752</v>
      </c>
      <c r="EH13" s="6">
        <v>60</v>
      </c>
      <c r="EI13" s="6">
        <v>60</v>
      </c>
      <c r="EJ13" s="6">
        <v>60</v>
      </c>
      <c r="EK13" s="6">
        <v>0</v>
      </c>
      <c r="EL13" s="6">
        <v>0</v>
      </c>
      <c r="EM13" s="6">
        <v>0</v>
      </c>
      <c r="EN13" s="6" t="s">
        <v>5753</v>
      </c>
      <c r="EO13" s="6">
        <v>60</v>
      </c>
      <c r="EP13" s="6" t="s">
        <v>5738</v>
      </c>
      <c r="EQ13" s="6">
        <v>0</v>
      </c>
      <c r="ER13" s="6">
        <v>0</v>
      </c>
      <c r="ES13" s="6">
        <v>0</v>
      </c>
      <c r="ET13" s="6">
        <v>0</v>
      </c>
      <c r="EU13" s="6">
        <v>0</v>
      </c>
      <c r="EV13" s="6">
        <v>0</v>
      </c>
      <c r="EW13" s="6" t="s">
        <v>5738</v>
      </c>
      <c r="EX13" s="6">
        <v>0</v>
      </c>
      <c r="EY13" s="6" t="s">
        <v>5738</v>
      </c>
      <c r="EZ13" s="6">
        <v>0</v>
      </c>
      <c r="FA13" s="6">
        <v>0</v>
      </c>
      <c r="FB13" s="6">
        <v>0</v>
      </c>
      <c r="FC13" s="6">
        <v>0</v>
      </c>
      <c r="FD13" s="6">
        <v>0</v>
      </c>
      <c r="FE13" s="6">
        <v>0</v>
      </c>
      <c r="FF13" s="6" t="s">
        <v>5738</v>
      </c>
      <c r="FG13" s="6">
        <v>0</v>
      </c>
      <c r="FH13" s="6" t="s">
        <v>5738</v>
      </c>
      <c r="FI13" s="6">
        <v>0</v>
      </c>
      <c r="FJ13" s="6">
        <v>0</v>
      </c>
      <c r="FK13" s="6">
        <v>0</v>
      </c>
      <c r="FL13" s="6">
        <v>0</v>
      </c>
      <c r="FM13" s="6">
        <v>0</v>
      </c>
      <c r="FN13" s="6">
        <v>0</v>
      </c>
      <c r="FO13" s="6" t="s">
        <v>5738</v>
      </c>
      <c r="FP13" s="6">
        <v>0</v>
      </c>
      <c r="FQ13" s="6">
        <v>80</v>
      </c>
      <c r="FR13" s="6" t="s">
        <v>3353</v>
      </c>
      <c r="FS13" s="6" t="s">
        <v>5754</v>
      </c>
      <c r="FT13" s="6" t="s">
        <v>5755</v>
      </c>
      <c r="FU13" s="6" t="s">
        <v>5738</v>
      </c>
      <c r="FV13" s="6" t="s">
        <v>5738</v>
      </c>
      <c r="FW13" s="6" t="s">
        <v>5738</v>
      </c>
      <c r="FX13" s="6" t="s">
        <v>5826</v>
      </c>
      <c r="FY13" s="6">
        <v>18</v>
      </c>
      <c r="FZ13" s="6">
        <v>18</v>
      </c>
      <c r="GA13" s="6">
        <v>18</v>
      </c>
      <c r="GB13" s="6">
        <v>0</v>
      </c>
      <c r="GC13" s="6">
        <v>0</v>
      </c>
      <c r="GD13" s="6">
        <v>0</v>
      </c>
      <c r="GE13" s="6" t="s">
        <v>5827</v>
      </c>
      <c r="GF13" s="6" t="s">
        <v>5826</v>
      </c>
      <c r="GG13" s="6">
        <v>18</v>
      </c>
      <c r="GH13" s="6">
        <v>18</v>
      </c>
      <c r="GI13" s="6">
        <v>18</v>
      </c>
      <c r="GJ13" s="6">
        <v>0</v>
      </c>
      <c r="GK13" s="6">
        <v>0</v>
      </c>
      <c r="GL13" s="6">
        <v>0</v>
      </c>
      <c r="GM13" s="6" t="s">
        <v>5827</v>
      </c>
      <c r="GN13" s="6" t="s">
        <v>5826</v>
      </c>
      <c r="GO13" s="6">
        <v>18</v>
      </c>
      <c r="GP13" s="6">
        <v>18</v>
      </c>
      <c r="GQ13" s="6">
        <v>18</v>
      </c>
      <c r="GR13" s="6">
        <v>0</v>
      </c>
      <c r="GS13" s="6">
        <v>0</v>
      </c>
      <c r="GT13" s="6">
        <v>0</v>
      </c>
      <c r="GU13" s="6" t="s">
        <v>5827</v>
      </c>
      <c r="GV13" s="6" t="s">
        <v>5738</v>
      </c>
      <c r="GW13" s="6">
        <v>0</v>
      </c>
      <c r="GX13" s="6">
        <v>0</v>
      </c>
      <c r="GY13" s="6">
        <v>0</v>
      </c>
      <c r="GZ13" s="6">
        <v>0</v>
      </c>
      <c r="HA13" s="6">
        <v>0</v>
      </c>
      <c r="HB13" s="6">
        <v>0</v>
      </c>
      <c r="HC13" s="6" t="s">
        <v>5738</v>
      </c>
      <c r="HD13" s="6" t="s">
        <v>5738</v>
      </c>
      <c r="HE13" s="6">
        <v>0</v>
      </c>
      <c r="HF13" s="6">
        <v>0</v>
      </c>
      <c r="HG13" s="6">
        <v>0</v>
      </c>
      <c r="HH13" s="6">
        <v>0</v>
      </c>
      <c r="HI13" s="6">
        <v>0</v>
      </c>
      <c r="HJ13" s="6">
        <v>0</v>
      </c>
      <c r="HK13" s="6" t="s">
        <v>5738</v>
      </c>
      <c r="HL13" s="6" t="s">
        <v>5738</v>
      </c>
      <c r="HM13" s="6">
        <v>0</v>
      </c>
      <c r="HN13" s="6">
        <v>0</v>
      </c>
      <c r="HO13" s="6">
        <v>0</v>
      </c>
      <c r="HP13" s="6">
        <v>0</v>
      </c>
      <c r="HQ13" s="6">
        <v>0</v>
      </c>
      <c r="HR13" s="6">
        <v>0</v>
      </c>
      <c r="HS13" s="6" t="s">
        <v>5738</v>
      </c>
      <c r="HT13" s="6" t="s">
        <v>5758</v>
      </c>
      <c r="HU13" s="6">
        <v>18</v>
      </c>
      <c r="HV13" s="6">
        <v>18</v>
      </c>
      <c r="HW13" s="6">
        <v>18</v>
      </c>
      <c r="HX13" s="6">
        <v>0</v>
      </c>
      <c r="HY13" s="6">
        <v>0</v>
      </c>
      <c r="HZ13" s="6">
        <v>0</v>
      </c>
      <c r="IA13" s="5">
        <v>18</v>
      </c>
      <c r="IB13" s="5">
        <v>6</v>
      </c>
      <c r="IC13" s="132" t="s">
        <v>5460</v>
      </c>
      <c r="ID13" s="132" t="s">
        <v>5828</v>
      </c>
      <c r="IE13" s="132" t="s">
        <v>5760</v>
      </c>
      <c r="IF13" s="132" t="s">
        <v>5761</v>
      </c>
      <c r="IG13" s="171">
        <v>43756</v>
      </c>
      <c r="IH13" s="171">
        <v>45583</v>
      </c>
      <c r="II13" s="6">
        <v>37</v>
      </c>
    </row>
    <row r="14" spans="1:244" ht="76.5">
      <c r="A14" s="5">
        <v>13</v>
      </c>
      <c r="B14" s="132" t="s">
        <v>5723</v>
      </c>
      <c r="C14" s="132" t="s">
        <v>5723</v>
      </c>
      <c r="D14" s="5" t="s">
        <v>5570</v>
      </c>
      <c r="E14" s="107" t="s">
        <v>5571</v>
      </c>
      <c r="F14" s="5" t="s">
        <v>5351</v>
      </c>
      <c r="G14" s="5">
        <v>105.847146</v>
      </c>
      <c r="H14" s="5">
        <v>20.960182</v>
      </c>
      <c r="I14" s="5">
        <v>1</v>
      </c>
      <c r="J14" s="5">
        <v>2</v>
      </c>
      <c r="K14" s="5" t="s">
        <v>5762</v>
      </c>
      <c r="L14" s="5" t="s">
        <v>5829</v>
      </c>
      <c r="M14" s="5" t="s">
        <v>5830</v>
      </c>
      <c r="N14" s="5" t="s">
        <v>5765</v>
      </c>
      <c r="O14" s="5" t="s">
        <v>5831</v>
      </c>
      <c r="P14" s="5" t="s">
        <v>5832</v>
      </c>
      <c r="Q14" s="5" t="s">
        <v>5833</v>
      </c>
      <c r="R14" s="5" t="s">
        <v>5834</v>
      </c>
      <c r="S14" s="152" t="b">
        <v>1</v>
      </c>
      <c r="T14" s="5" t="s">
        <v>5572</v>
      </c>
      <c r="U14" s="5">
        <v>0</v>
      </c>
      <c r="V14" s="5" t="s">
        <v>5732</v>
      </c>
      <c r="W14" s="5" t="s">
        <v>5573</v>
      </c>
      <c r="X14" s="7" t="s">
        <v>5733</v>
      </c>
      <c r="Y14" s="5" t="b">
        <v>0</v>
      </c>
      <c r="Z14" s="152" t="b">
        <v>0</v>
      </c>
      <c r="AA14" s="5">
        <v>33.5</v>
      </c>
      <c r="AB14" s="152" t="b">
        <v>1</v>
      </c>
      <c r="AC14" s="5">
        <v>30</v>
      </c>
      <c r="AD14" s="5" t="b">
        <v>0</v>
      </c>
      <c r="AE14" s="5" t="s">
        <v>5734</v>
      </c>
      <c r="AF14" s="5" t="s">
        <v>5735</v>
      </c>
      <c r="AG14" s="132" t="s">
        <v>5736</v>
      </c>
      <c r="AH14" s="132" t="s">
        <v>5737</v>
      </c>
      <c r="AI14" s="132" t="s">
        <v>5479</v>
      </c>
      <c r="AJ14" s="132" t="s">
        <v>5738</v>
      </c>
      <c r="AK14" s="132" t="s">
        <v>5739</v>
      </c>
      <c r="AL14" s="6"/>
      <c r="AM14" s="6" t="s">
        <v>5740</v>
      </c>
      <c r="AN14" s="6" t="s">
        <v>5741</v>
      </c>
      <c r="AO14" s="5">
        <v>4</v>
      </c>
      <c r="AP14" s="85" t="s">
        <v>5742</v>
      </c>
      <c r="AQ14" s="233" t="s">
        <v>5835</v>
      </c>
      <c r="AR14" s="233" t="s">
        <v>5836</v>
      </c>
      <c r="AS14" s="234" t="s">
        <v>5350</v>
      </c>
      <c r="AT14" s="6" t="s">
        <v>5741</v>
      </c>
      <c r="AU14" s="6" t="s">
        <v>5741</v>
      </c>
      <c r="AV14" s="6" t="s">
        <v>5738</v>
      </c>
      <c r="AW14" s="6" t="s">
        <v>5738</v>
      </c>
      <c r="AX14" s="6" t="s">
        <v>5738</v>
      </c>
      <c r="AY14" s="6" t="s">
        <v>5738</v>
      </c>
      <c r="AZ14" s="6" t="s">
        <v>5723</v>
      </c>
      <c r="BA14" s="6" t="s">
        <v>5723</v>
      </c>
      <c r="BB14" s="6" t="s">
        <v>5738</v>
      </c>
      <c r="BC14" s="6" t="s">
        <v>5738</v>
      </c>
      <c r="BD14" s="6" t="s">
        <v>5738</v>
      </c>
      <c r="BE14" s="6" t="s">
        <v>5738</v>
      </c>
      <c r="BF14" s="6" t="s">
        <v>5771</v>
      </c>
      <c r="BG14" s="6" t="s">
        <v>5570</v>
      </c>
      <c r="BH14" s="6" t="s">
        <v>5570</v>
      </c>
      <c r="BI14" s="6" t="s">
        <v>5738</v>
      </c>
      <c r="BJ14" s="6" t="s">
        <v>5738</v>
      </c>
      <c r="BK14" s="6" t="s">
        <v>5738</v>
      </c>
      <c r="BL14" s="6" t="s">
        <v>5738</v>
      </c>
      <c r="BM14" s="6" t="s">
        <v>5798</v>
      </c>
      <c r="BN14" s="6" t="s">
        <v>5799</v>
      </c>
      <c r="BO14" s="6" t="s">
        <v>5738</v>
      </c>
      <c r="BP14" s="6" t="s">
        <v>5738</v>
      </c>
      <c r="BQ14" s="6" t="s">
        <v>5738</v>
      </c>
      <c r="BR14" s="6" t="s">
        <v>5738</v>
      </c>
      <c r="BS14" s="6">
        <v>3</v>
      </c>
      <c r="BT14" s="6">
        <v>3</v>
      </c>
      <c r="BU14" s="6">
        <v>0</v>
      </c>
      <c r="BV14" s="6">
        <v>0</v>
      </c>
      <c r="BW14" s="6">
        <v>0</v>
      </c>
      <c r="BX14" s="6">
        <v>0</v>
      </c>
      <c r="BY14" s="6" t="s">
        <v>5467</v>
      </c>
      <c r="BZ14" s="6">
        <v>2</v>
      </c>
      <c r="CA14" s="6">
        <v>2</v>
      </c>
      <c r="CB14" s="6">
        <v>2</v>
      </c>
      <c r="CC14" s="6">
        <v>0</v>
      </c>
      <c r="CD14" s="6">
        <v>0</v>
      </c>
      <c r="CE14" s="6">
        <v>0</v>
      </c>
      <c r="CF14" s="6" t="s">
        <v>5467</v>
      </c>
      <c r="CG14" s="6">
        <v>2</v>
      </c>
      <c r="CH14" s="6">
        <v>2</v>
      </c>
      <c r="CI14" s="6">
        <v>2</v>
      </c>
      <c r="CJ14" s="6">
        <v>0</v>
      </c>
      <c r="CK14" s="6">
        <v>0</v>
      </c>
      <c r="CL14" s="6">
        <v>0</v>
      </c>
      <c r="CM14" s="6" t="s">
        <v>5738</v>
      </c>
      <c r="CN14" s="6">
        <v>0</v>
      </c>
      <c r="CO14" s="6">
        <v>0</v>
      </c>
      <c r="CP14" s="6">
        <v>0</v>
      </c>
      <c r="CQ14" s="6">
        <v>0</v>
      </c>
      <c r="CR14" s="6">
        <v>0</v>
      </c>
      <c r="CS14" s="6">
        <v>0</v>
      </c>
      <c r="CT14" s="6" t="s">
        <v>5738</v>
      </c>
      <c r="CU14" s="6">
        <v>0</v>
      </c>
      <c r="CV14" s="6">
        <v>0</v>
      </c>
      <c r="CW14" s="6">
        <v>0</v>
      </c>
      <c r="CX14" s="6">
        <v>0</v>
      </c>
      <c r="CY14" s="6">
        <v>0</v>
      </c>
      <c r="CZ14" s="6">
        <v>0</v>
      </c>
      <c r="DA14" s="6" t="s">
        <v>5738</v>
      </c>
      <c r="DB14" s="6">
        <v>0</v>
      </c>
      <c r="DC14" s="6">
        <v>0</v>
      </c>
      <c r="DD14" s="6">
        <v>0</v>
      </c>
      <c r="DE14" s="6">
        <v>0</v>
      </c>
      <c r="DF14" s="6">
        <v>0</v>
      </c>
      <c r="DG14" s="6">
        <v>0</v>
      </c>
      <c r="DH14" s="6" t="s">
        <v>5738</v>
      </c>
      <c r="DI14" s="6">
        <v>0</v>
      </c>
      <c r="DJ14" s="6">
        <v>0</v>
      </c>
      <c r="DK14" s="6">
        <v>0</v>
      </c>
      <c r="DL14" s="6">
        <v>0</v>
      </c>
      <c r="DM14" s="6">
        <v>0</v>
      </c>
      <c r="DN14" s="6">
        <v>0</v>
      </c>
      <c r="DO14" s="6" t="s">
        <v>5750</v>
      </c>
      <c r="DP14" s="6">
        <v>80</v>
      </c>
      <c r="DQ14" s="6">
        <v>80</v>
      </c>
      <c r="DR14" s="6">
        <v>80</v>
      </c>
      <c r="DS14" s="6">
        <v>0</v>
      </c>
      <c r="DT14" s="6">
        <v>0</v>
      </c>
      <c r="DU14" s="6">
        <v>0</v>
      </c>
      <c r="DV14" s="6" t="s">
        <v>5751</v>
      </c>
      <c r="DW14" s="6">
        <v>80</v>
      </c>
      <c r="DX14" s="6" t="s">
        <v>5752</v>
      </c>
      <c r="DY14" s="6">
        <v>60</v>
      </c>
      <c r="DZ14" s="6">
        <v>60</v>
      </c>
      <c r="EA14" s="6">
        <v>60</v>
      </c>
      <c r="EB14" s="6">
        <v>0</v>
      </c>
      <c r="EC14" s="6">
        <v>0</v>
      </c>
      <c r="ED14" s="6">
        <v>0</v>
      </c>
      <c r="EE14" s="6" t="s">
        <v>5753</v>
      </c>
      <c r="EF14" s="6">
        <v>60</v>
      </c>
      <c r="EG14" s="6" t="s">
        <v>5738</v>
      </c>
      <c r="EH14" s="6">
        <v>0</v>
      </c>
      <c r="EI14" s="6">
        <v>0</v>
      </c>
      <c r="EJ14" s="6">
        <v>0</v>
      </c>
      <c r="EK14" s="6">
        <v>0</v>
      </c>
      <c r="EL14" s="6">
        <v>0</v>
      </c>
      <c r="EM14" s="6">
        <v>0</v>
      </c>
      <c r="EN14" s="6" t="s">
        <v>5738</v>
      </c>
      <c r="EO14" s="6">
        <v>0</v>
      </c>
      <c r="EP14" s="6" t="s">
        <v>5738</v>
      </c>
      <c r="EQ14" s="6">
        <v>0</v>
      </c>
      <c r="ER14" s="6">
        <v>0</v>
      </c>
      <c r="ES14" s="6">
        <v>0</v>
      </c>
      <c r="ET14" s="6">
        <v>0</v>
      </c>
      <c r="EU14" s="6">
        <v>0</v>
      </c>
      <c r="EV14" s="6">
        <v>0</v>
      </c>
      <c r="EW14" s="6" t="s">
        <v>5738</v>
      </c>
      <c r="EX14" s="6">
        <v>0</v>
      </c>
      <c r="EY14" s="6" t="s">
        <v>5738</v>
      </c>
      <c r="EZ14" s="6">
        <v>0</v>
      </c>
      <c r="FA14" s="6">
        <v>0</v>
      </c>
      <c r="FB14" s="6">
        <v>0</v>
      </c>
      <c r="FC14" s="6">
        <v>0</v>
      </c>
      <c r="FD14" s="6">
        <v>0</v>
      </c>
      <c r="FE14" s="6">
        <v>0</v>
      </c>
      <c r="FF14" s="6" t="s">
        <v>5738</v>
      </c>
      <c r="FG14" s="6">
        <v>0</v>
      </c>
      <c r="FH14" s="6" t="s">
        <v>5738</v>
      </c>
      <c r="FI14" s="6">
        <v>0</v>
      </c>
      <c r="FJ14" s="6">
        <v>0</v>
      </c>
      <c r="FK14" s="6">
        <v>0</v>
      </c>
      <c r="FL14" s="6">
        <v>0</v>
      </c>
      <c r="FM14" s="6">
        <v>0</v>
      </c>
      <c r="FN14" s="6">
        <v>0</v>
      </c>
      <c r="FO14" s="6" t="s">
        <v>5738</v>
      </c>
      <c r="FP14" s="6">
        <v>0</v>
      </c>
      <c r="FQ14" s="6">
        <v>80</v>
      </c>
      <c r="FR14" s="6" t="s">
        <v>5755</v>
      </c>
      <c r="FS14" s="6" t="s">
        <v>5754</v>
      </c>
      <c r="FT14" s="6" t="s">
        <v>5738</v>
      </c>
      <c r="FU14" s="6" t="s">
        <v>5738</v>
      </c>
      <c r="FV14" s="6" t="s">
        <v>5738</v>
      </c>
      <c r="FW14" s="6" t="s">
        <v>5738</v>
      </c>
      <c r="FX14" s="6" t="s">
        <v>5837</v>
      </c>
      <c r="FY14" s="6">
        <v>33.5</v>
      </c>
      <c r="FZ14" s="6">
        <v>33.5</v>
      </c>
      <c r="GA14" s="6">
        <v>33.5</v>
      </c>
      <c r="GB14" s="6">
        <v>0</v>
      </c>
      <c r="GC14" s="6">
        <v>0</v>
      </c>
      <c r="GD14" s="6">
        <v>0</v>
      </c>
      <c r="GE14" s="6" t="s">
        <v>5838</v>
      </c>
      <c r="GF14" s="6" t="s">
        <v>5837</v>
      </c>
      <c r="GG14" s="6">
        <v>33.5</v>
      </c>
      <c r="GH14" s="6">
        <v>33.5</v>
      </c>
      <c r="GI14" s="6">
        <v>33.5</v>
      </c>
      <c r="GJ14" s="6">
        <v>0</v>
      </c>
      <c r="GK14" s="6">
        <v>0</v>
      </c>
      <c r="GL14" s="6">
        <v>0</v>
      </c>
      <c r="GM14" s="6" t="s">
        <v>5838</v>
      </c>
      <c r="GN14" s="6" t="s">
        <v>5738</v>
      </c>
      <c r="GO14" s="6">
        <v>0</v>
      </c>
      <c r="GP14" s="6">
        <v>0</v>
      </c>
      <c r="GQ14" s="6">
        <v>0</v>
      </c>
      <c r="GR14" s="6">
        <v>0</v>
      </c>
      <c r="GS14" s="6">
        <v>0</v>
      </c>
      <c r="GT14" s="6">
        <v>0</v>
      </c>
      <c r="GU14" s="6" t="s">
        <v>5738</v>
      </c>
      <c r="GV14" s="6" t="s">
        <v>5738</v>
      </c>
      <c r="GW14" s="6">
        <v>0</v>
      </c>
      <c r="GX14" s="6">
        <v>0</v>
      </c>
      <c r="GY14" s="6">
        <v>0</v>
      </c>
      <c r="GZ14" s="6">
        <v>0</v>
      </c>
      <c r="HA14" s="6">
        <v>0</v>
      </c>
      <c r="HB14" s="6">
        <v>0</v>
      </c>
      <c r="HC14" s="6" t="s">
        <v>5738</v>
      </c>
      <c r="HD14" s="6" t="s">
        <v>5738</v>
      </c>
      <c r="HE14" s="6">
        <v>0</v>
      </c>
      <c r="HF14" s="6">
        <v>0</v>
      </c>
      <c r="HG14" s="6">
        <v>0</v>
      </c>
      <c r="HH14" s="6">
        <v>0</v>
      </c>
      <c r="HI14" s="6">
        <v>0</v>
      </c>
      <c r="HJ14" s="6">
        <v>0</v>
      </c>
      <c r="HK14" s="6" t="s">
        <v>5738</v>
      </c>
      <c r="HL14" s="6" t="s">
        <v>5738</v>
      </c>
      <c r="HM14" s="6">
        <v>0</v>
      </c>
      <c r="HN14" s="6">
        <v>0</v>
      </c>
      <c r="HO14" s="6">
        <v>0</v>
      </c>
      <c r="HP14" s="6">
        <v>0</v>
      </c>
      <c r="HQ14" s="6">
        <v>0</v>
      </c>
      <c r="HR14" s="6">
        <v>0</v>
      </c>
      <c r="HS14" s="6" t="s">
        <v>5738</v>
      </c>
      <c r="HT14" s="6" t="s">
        <v>5758</v>
      </c>
      <c r="HU14" s="6">
        <v>33.5</v>
      </c>
      <c r="HV14" s="6">
        <v>33.5</v>
      </c>
      <c r="HW14" s="6">
        <v>0</v>
      </c>
      <c r="HX14" s="6">
        <v>0</v>
      </c>
      <c r="HY14" s="6">
        <v>0</v>
      </c>
      <c r="HZ14" s="6">
        <v>0</v>
      </c>
      <c r="IA14" s="5">
        <v>33.5</v>
      </c>
      <c r="IB14" s="5">
        <v>3.5</v>
      </c>
      <c r="IC14" s="132" t="s">
        <v>5460</v>
      </c>
      <c r="ID14" s="132" t="s">
        <v>5839</v>
      </c>
      <c r="IE14" s="132" t="s">
        <v>5760</v>
      </c>
      <c r="IF14" s="132" t="s">
        <v>5761</v>
      </c>
      <c r="IG14" s="171">
        <v>43756</v>
      </c>
      <c r="IH14" s="171">
        <v>45583</v>
      </c>
      <c r="II14" s="6">
        <v>37</v>
      </c>
    </row>
    <row r="15" spans="1:244" ht="165.75">
      <c r="A15" s="5">
        <v>14</v>
      </c>
      <c r="B15" s="132" t="s">
        <v>5723</v>
      </c>
      <c r="C15" s="132" t="s">
        <v>5723</v>
      </c>
      <c r="D15" s="5" t="s">
        <v>5574</v>
      </c>
      <c r="E15" s="107" t="s">
        <v>5575</v>
      </c>
      <c r="F15" s="5" t="s">
        <v>5351</v>
      </c>
      <c r="G15" s="5">
        <v>105.89388599999999</v>
      </c>
      <c r="H15" s="5">
        <v>20.975974000000001</v>
      </c>
      <c r="I15" s="5">
        <v>1</v>
      </c>
      <c r="J15" s="5">
        <v>2</v>
      </c>
      <c r="K15" s="5" t="s">
        <v>5762</v>
      </c>
      <c r="L15" s="5" t="s">
        <v>5840</v>
      </c>
      <c r="M15" s="5" t="s">
        <v>5764</v>
      </c>
      <c r="N15" s="5" t="s">
        <v>5765</v>
      </c>
      <c r="O15" s="5" t="s">
        <v>5766</v>
      </c>
      <c r="P15" s="5" t="s">
        <v>5767</v>
      </c>
      <c r="Q15" s="5" t="s">
        <v>5768</v>
      </c>
      <c r="R15" s="5" t="s">
        <v>5841</v>
      </c>
      <c r="S15" s="152" t="b">
        <v>1</v>
      </c>
      <c r="T15" s="5" t="s">
        <v>5576</v>
      </c>
      <c r="U15" s="5">
        <v>0</v>
      </c>
      <c r="V15" s="5" t="s">
        <v>5732</v>
      </c>
      <c r="W15" s="5" t="s">
        <v>5577</v>
      </c>
      <c r="X15" s="7" t="s">
        <v>5733</v>
      </c>
      <c r="Y15" s="5" t="b">
        <v>0</v>
      </c>
      <c r="Z15" s="152" t="b">
        <v>0</v>
      </c>
      <c r="AA15" s="5">
        <v>24</v>
      </c>
      <c r="AB15" s="152" t="b">
        <v>1</v>
      </c>
      <c r="AC15" s="5">
        <v>20</v>
      </c>
      <c r="AD15" s="5" t="b">
        <v>0</v>
      </c>
      <c r="AE15" s="5" t="s">
        <v>5734</v>
      </c>
      <c r="AF15" s="5" t="s">
        <v>5735</v>
      </c>
      <c r="AG15" s="132" t="s">
        <v>5736</v>
      </c>
      <c r="AH15" s="132" t="s">
        <v>5737</v>
      </c>
      <c r="AI15" s="132" t="s">
        <v>5479</v>
      </c>
      <c r="AJ15" s="132" t="s">
        <v>5738</v>
      </c>
      <c r="AK15" s="132" t="s">
        <v>5739</v>
      </c>
      <c r="AL15" s="6"/>
      <c r="AM15" s="6" t="s">
        <v>5740</v>
      </c>
      <c r="AN15" s="6" t="s">
        <v>5741</v>
      </c>
      <c r="AO15" s="5">
        <v>5</v>
      </c>
      <c r="AP15" s="85" t="s">
        <v>5742</v>
      </c>
      <c r="AQ15" s="233" t="s">
        <v>5835</v>
      </c>
      <c r="AR15" s="233" t="s">
        <v>5842</v>
      </c>
      <c r="AS15" s="234" t="s">
        <v>5350</v>
      </c>
      <c r="AT15" s="6" t="s">
        <v>5741</v>
      </c>
      <c r="AU15" s="6" t="s">
        <v>5741</v>
      </c>
      <c r="AV15" s="6" t="s">
        <v>5738</v>
      </c>
      <c r="AW15" s="6" t="s">
        <v>5738</v>
      </c>
      <c r="AX15" s="6" t="s">
        <v>5738</v>
      </c>
      <c r="AY15" s="6" t="s">
        <v>5738</v>
      </c>
      <c r="AZ15" s="6" t="s">
        <v>5723</v>
      </c>
      <c r="BA15" s="6" t="s">
        <v>5723</v>
      </c>
      <c r="BB15" s="6" t="s">
        <v>5738</v>
      </c>
      <c r="BC15" s="6" t="s">
        <v>5738</v>
      </c>
      <c r="BD15" s="6" t="s">
        <v>5738</v>
      </c>
      <c r="BE15" s="6" t="s">
        <v>5738</v>
      </c>
      <c r="BF15" s="6" t="s">
        <v>5771</v>
      </c>
      <c r="BG15" s="6" t="s">
        <v>5574</v>
      </c>
      <c r="BH15" s="6" t="s">
        <v>5574</v>
      </c>
      <c r="BI15" s="6" t="s">
        <v>5738</v>
      </c>
      <c r="BJ15" s="6" t="s">
        <v>5738</v>
      </c>
      <c r="BK15" s="6" t="s">
        <v>5738</v>
      </c>
      <c r="BL15" s="6" t="s">
        <v>5738</v>
      </c>
      <c r="BM15" s="6" t="s">
        <v>5747</v>
      </c>
      <c r="BN15" s="6" t="s">
        <v>5748</v>
      </c>
      <c r="BO15" s="6" t="s">
        <v>5738</v>
      </c>
      <c r="BP15" s="6" t="s">
        <v>5738</v>
      </c>
      <c r="BQ15" s="6" t="s">
        <v>5738</v>
      </c>
      <c r="BR15" s="6" t="s">
        <v>5738</v>
      </c>
      <c r="BS15" s="6">
        <v>3</v>
      </c>
      <c r="BT15" s="6">
        <v>3</v>
      </c>
      <c r="BU15" s="6">
        <v>0</v>
      </c>
      <c r="BV15" s="6">
        <v>0</v>
      </c>
      <c r="BW15" s="6">
        <v>0</v>
      </c>
      <c r="BX15" s="6">
        <v>0</v>
      </c>
      <c r="BY15" s="6" t="s">
        <v>5467</v>
      </c>
      <c r="BZ15" s="6">
        <v>2</v>
      </c>
      <c r="CA15" s="6">
        <v>2</v>
      </c>
      <c r="CB15" s="6">
        <v>2</v>
      </c>
      <c r="CC15" s="6">
        <v>0</v>
      </c>
      <c r="CD15" s="6">
        <v>0</v>
      </c>
      <c r="CE15" s="6">
        <v>0</v>
      </c>
      <c r="CF15" s="6" t="s">
        <v>5749</v>
      </c>
      <c r="CG15" s="6">
        <v>1</v>
      </c>
      <c r="CH15" s="6">
        <v>1</v>
      </c>
      <c r="CI15" s="6">
        <v>1</v>
      </c>
      <c r="CJ15" s="6">
        <v>0</v>
      </c>
      <c r="CK15" s="6">
        <v>0</v>
      </c>
      <c r="CL15" s="6">
        <v>0</v>
      </c>
      <c r="CM15" s="6" t="s">
        <v>5738</v>
      </c>
      <c r="CN15" s="6">
        <v>0</v>
      </c>
      <c r="CO15" s="6">
        <v>0</v>
      </c>
      <c r="CP15" s="6">
        <v>0</v>
      </c>
      <c r="CQ15" s="6">
        <v>0</v>
      </c>
      <c r="CR15" s="6">
        <v>0</v>
      </c>
      <c r="CS15" s="6">
        <v>0</v>
      </c>
      <c r="CT15" s="6" t="s">
        <v>5738</v>
      </c>
      <c r="CU15" s="6">
        <v>0</v>
      </c>
      <c r="CV15" s="6">
        <v>0</v>
      </c>
      <c r="CW15" s="6">
        <v>0</v>
      </c>
      <c r="CX15" s="6">
        <v>0</v>
      </c>
      <c r="CY15" s="6">
        <v>0</v>
      </c>
      <c r="CZ15" s="6">
        <v>0</v>
      </c>
      <c r="DA15" s="6" t="s">
        <v>5738</v>
      </c>
      <c r="DB15" s="6">
        <v>0</v>
      </c>
      <c r="DC15" s="6">
        <v>0</v>
      </c>
      <c r="DD15" s="6">
        <v>0</v>
      </c>
      <c r="DE15" s="6">
        <v>0</v>
      </c>
      <c r="DF15" s="6">
        <v>0</v>
      </c>
      <c r="DG15" s="6">
        <v>0</v>
      </c>
      <c r="DH15" s="6" t="s">
        <v>5738</v>
      </c>
      <c r="DI15" s="6">
        <v>0</v>
      </c>
      <c r="DJ15" s="6">
        <v>0</v>
      </c>
      <c r="DK15" s="6">
        <v>0</v>
      </c>
      <c r="DL15" s="6">
        <v>0</v>
      </c>
      <c r="DM15" s="6">
        <v>0</v>
      </c>
      <c r="DN15" s="6">
        <v>0</v>
      </c>
      <c r="DO15" s="6" t="s">
        <v>5752</v>
      </c>
      <c r="DP15" s="6">
        <v>60</v>
      </c>
      <c r="DQ15" s="6">
        <v>60</v>
      </c>
      <c r="DR15" s="6">
        <v>60</v>
      </c>
      <c r="DS15" s="6">
        <v>0</v>
      </c>
      <c r="DT15" s="6">
        <v>0</v>
      </c>
      <c r="DU15" s="6">
        <v>0</v>
      </c>
      <c r="DV15" s="6" t="s">
        <v>5753</v>
      </c>
      <c r="DW15" s="6">
        <v>60</v>
      </c>
      <c r="DX15" s="6" t="s">
        <v>5752</v>
      </c>
      <c r="DY15" s="6">
        <v>60</v>
      </c>
      <c r="DZ15" s="6">
        <v>60</v>
      </c>
      <c r="EA15" s="6">
        <v>60</v>
      </c>
      <c r="EB15" s="6">
        <v>0</v>
      </c>
      <c r="EC15" s="6">
        <v>0</v>
      </c>
      <c r="ED15" s="6">
        <v>0</v>
      </c>
      <c r="EE15" s="6" t="s">
        <v>5753</v>
      </c>
      <c r="EF15" s="6">
        <v>60</v>
      </c>
      <c r="EG15" s="6" t="s">
        <v>5738</v>
      </c>
      <c r="EH15" s="6">
        <v>0</v>
      </c>
      <c r="EI15" s="6">
        <v>0</v>
      </c>
      <c r="EJ15" s="6">
        <v>0</v>
      </c>
      <c r="EK15" s="6">
        <v>0</v>
      </c>
      <c r="EL15" s="6">
        <v>0</v>
      </c>
      <c r="EM15" s="6">
        <v>0</v>
      </c>
      <c r="EN15" s="6" t="s">
        <v>5738</v>
      </c>
      <c r="EO15" s="6">
        <v>0</v>
      </c>
      <c r="EP15" s="6" t="s">
        <v>5738</v>
      </c>
      <c r="EQ15" s="6">
        <v>0</v>
      </c>
      <c r="ER15" s="6">
        <v>0</v>
      </c>
      <c r="ES15" s="6">
        <v>0</v>
      </c>
      <c r="ET15" s="6">
        <v>0</v>
      </c>
      <c r="EU15" s="6">
        <v>0</v>
      </c>
      <c r="EV15" s="6">
        <v>0</v>
      </c>
      <c r="EW15" s="6" t="s">
        <v>5738</v>
      </c>
      <c r="EX15" s="6">
        <v>0</v>
      </c>
      <c r="EY15" s="6" t="s">
        <v>5738</v>
      </c>
      <c r="EZ15" s="6">
        <v>0</v>
      </c>
      <c r="FA15" s="6">
        <v>0</v>
      </c>
      <c r="FB15" s="6">
        <v>0</v>
      </c>
      <c r="FC15" s="6">
        <v>0</v>
      </c>
      <c r="FD15" s="6">
        <v>0</v>
      </c>
      <c r="FE15" s="6">
        <v>0</v>
      </c>
      <c r="FF15" s="6" t="s">
        <v>5738</v>
      </c>
      <c r="FG15" s="6">
        <v>0</v>
      </c>
      <c r="FH15" s="6" t="s">
        <v>5738</v>
      </c>
      <c r="FI15" s="6">
        <v>0</v>
      </c>
      <c r="FJ15" s="6">
        <v>0</v>
      </c>
      <c r="FK15" s="6">
        <v>0</v>
      </c>
      <c r="FL15" s="6">
        <v>0</v>
      </c>
      <c r="FM15" s="6">
        <v>0</v>
      </c>
      <c r="FN15" s="6">
        <v>0</v>
      </c>
      <c r="FO15" s="6" t="s">
        <v>5738</v>
      </c>
      <c r="FP15" s="6">
        <v>0</v>
      </c>
      <c r="FQ15" s="6">
        <v>60</v>
      </c>
      <c r="FR15" s="6" t="s">
        <v>5754</v>
      </c>
      <c r="FS15" s="6" t="s">
        <v>5755</v>
      </c>
      <c r="FT15" s="6" t="s">
        <v>5738</v>
      </c>
      <c r="FU15" s="6" t="s">
        <v>5738</v>
      </c>
      <c r="FV15" s="6" t="s">
        <v>5738</v>
      </c>
      <c r="FW15" s="6" t="s">
        <v>5738</v>
      </c>
      <c r="FX15" s="6" t="s">
        <v>5843</v>
      </c>
      <c r="FY15" s="6">
        <v>24</v>
      </c>
      <c r="FZ15" s="6">
        <v>24</v>
      </c>
      <c r="GA15" s="6">
        <v>24</v>
      </c>
      <c r="GB15" s="6">
        <v>0</v>
      </c>
      <c r="GC15" s="6">
        <v>0</v>
      </c>
      <c r="GD15" s="6">
        <v>0</v>
      </c>
      <c r="GE15" s="6" t="s">
        <v>5844</v>
      </c>
      <c r="GF15" s="6" t="s">
        <v>5843</v>
      </c>
      <c r="GG15" s="6">
        <v>24</v>
      </c>
      <c r="GH15" s="6">
        <v>24</v>
      </c>
      <c r="GI15" s="6">
        <v>24</v>
      </c>
      <c r="GJ15" s="6">
        <v>0</v>
      </c>
      <c r="GK15" s="6">
        <v>0</v>
      </c>
      <c r="GL15" s="6">
        <v>0</v>
      </c>
      <c r="GM15" s="6" t="s">
        <v>5844</v>
      </c>
      <c r="GN15" s="6" t="s">
        <v>5738</v>
      </c>
      <c r="GO15" s="6">
        <v>0</v>
      </c>
      <c r="GP15" s="6">
        <v>0</v>
      </c>
      <c r="GQ15" s="6">
        <v>0</v>
      </c>
      <c r="GR15" s="6">
        <v>0</v>
      </c>
      <c r="GS15" s="6">
        <v>0</v>
      </c>
      <c r="GT15" s="6">
        <v>0</v>
      </c>
      <c r="GU15" s="6" t="s">
        <v>5738</v>
      </c>
      <c r="GV15" s="6" t="s">
        <v>5738</v>
      </c>
      <c r="GW15" s="6">
        <v>0</v>
      </c>
      <c r="GX15" s="6">
        <v>0</v>
      </c>
      <c r="GY15" s="6">
        <v>0</v>
      </c>
      <c r="GZ15" s="6">
        <v>0</v>
      </c>
      <c r="HA15" s="6">
        <v>0</v>
      </c>
      <c r="HB15" s="6">
        <v>0</v>
      </c>
      <c r="HC15" s="6" t="s">
        <v>5738</v>
      </c>
      <c r="HD15" s="6" t="s">
        <v>5738</v>
      </c>
      <c r="HE15" s="6">
        <v>0</v>
      </c>
      <c r="HF15" s="6">
        <v>0</v>
      </c>
      <c r="HG15" s="6">
        <v>0</v>
      </c>
      <c r="HH15" s="6">
        <v>0</v>
      </c>
      <c r="HI15" s="6">
        <v>0</v>
      </c>
      <c r="HJ15" s="6">
        <v>0</v>
      </c>
      <c r="HK15" s="6" t="s">
        <v>5738</v>
      </c>
      <c r="HL15" s="6" t="s">
        <v>5738</v>
      </c>
      <c r="HM15" s="6">
        <v>0</v>
      </c>
      <c r="HN15" s="6">
        <v>0</v>
      </c>
      <c r="HO15" s="6">
        <v>0</v>
      </c>
      <c r="HP15" s="6">
        <v>0</v>
      </c>
      <c r="HQ15" s="6">
        <v>0</v>
      </c>
      <c r="HR15" s="6">
        <v>0</v>
      </c>
      <c r="HS15" s="6" t="s">
        <v>5738</v>
      </c>
      <c r="HT15" s="6" t="s">
        <v>5758</v>
      </c>
      <c r="HU15" s="6">
        <v>24</v>
      </c>
      <c r="HV15" s="6">
        <v>24</v>
      </c>
      <c r="HW15" s="6">
        <v>0</v>
      </c>
      <c r="HX15" s="6">
        <v>0</v>
      </c>
      <c r="HY15" s="6">
        <v>0</v>
      </c>
      <c r="HZ15" s="6">
        <v>0</v>
      </c>
      <c r="IA15" s="5">
        <v>24</v>
      </c>
      <c r="IB15" s="5">
        <v>4</v>
      </c>
      <c r="IC15" s="132" t="s">
        <v>5460</v>
      </c>
      <c r="ID15" s="132" t="s">
        <v>5845</v>
      </c>
      <c r="IE15" s="132" t="s">
        <v>5760</v>
      </c>
      <c r="IF15" s="132" t="s">
        <v>5761</v>
      </c>
      <c r="IG15" s="171">
        <v>43756</v>
      </c>
      <c r="IH15" s="171">
        <v>45583</v>
      </c>
      <c r="II15" s="6">
        <v>37</v>
      </c>
    </row>
    <row r="16" spans="1:244" ht="165.75">
      <c r="A16" s="5">
        <v>15</v>
      </c>
      <c r="B16" s="132" t="s">
        <v>5723</v>
      </c>
      <c r="C16" s="132" t="s">
        <v>5723</v>
      </c>
      <c r="D16" s="5" t="s">
        <v>5578</v>
      </c>
      <c r="E16" s="107" t="s">
        <v>5579</v>
      </c>
      <c r="F16" s="5" t="s">
        <v>5351</v>
      </c>
      <c r="G16" s="5">
        <v>105.878833</v>
      </c>
      <c r="H16" s="5">
        <v>20.981013000000001</v>
      </c>
      <c r="I16" s="5">
        <v>1</v>
      </c>
      <c r="J16" s="5">
        <v>2</v>
      </c>
      <c r="K16" s="5" t="s">
        <v>5762</v>
      </c>
      <c r="L16" s="5" t="s">
        <v>5846</v>
      </c>
      <c r="M16" s="5" t="s">
        <v>5764</v>
      </c>
      <c r="N16" s="5" t="s">
        <v>5847</v>
      </c>
      <c r="O16" s="5" t="s">
        <v>5848</v>
      </c>
      <c r="P16" s="5" t="s">
        <v>5849</v>
      </c>
      <c r="Q16" s="5" t="s">
        <v>5768</v>
      </c>
      <c r="R16" s="5" t="s">
        <v>5850</v>
      </c>
      <c r="S16" s="152" t="b">
        <v>1</v>
      </c>
      <c r="T16" s="5" t="s">
        <v>5580</v>
      </c>
      <c r="U16" s="5">
        <v>0</v>
      </c>
      <c r="V16" s="5" t="s">
        <v>5732</v>
      </c>
      <c r="W16" s="5" t="s">
        <v>5581</v>
      </c>
      <c r="X16" s="7" t="s">
        <v>5733</v>
      </c>
      <c r="Y16" s="5" t="b">
        <v>0</v>
      </c>
      <c r="Z16" s="152" t="b">
        <v>0</v>
      </c>
      <c r="AA16" s="5">
        <v>52</v>
      </c>
      <c r="AB16" s="152" t="b">
        <v>1</v>
      </c>
      <c r="AC16" s="5">
        <v>50</v>
      </c>
      <c r="AD16" s="5" t="b">
        <v>0</v>
      </c>
      <c r="AE16" s="5" t="s">
        <v>5734</v>
      </c>
      <c r="AF16" s="5" t="s">
        <v>5735</v>
      </c>
      <c r="AG16" s="132" t="s">
        <v>5736</v>
      </c>
      <c r="AH16" s="132" t="s">
        <v>5737</v>
      </c>
      <c r="AI16" s="132" t="s">
        <v>5479</v>
      </c>
      <c r="AJ16" s="132" t="s">
        <v>5738</v>
      </c>
      <c r="AK16" s="132" t="s">
        <v>5739</v>
      </c>
      <c r="AL16" s="6"/>
      <c r="AM16" s="6" t="s">
        <v>5740</v>
      </c>
      <c r="AN16" s="6" t="s">
        <v>5741</v>
      </c>
      <c r="AO16" s="5">
        <v>5</v>
      </c>
      <c r="AP16" s="85" t="s">
        <v>5742</v>
      </c>
      <c r="AQ16" s="233" t="s">
        <v>5835</v>
      </c>
      <c r="AR16" s="233" t="s">
        <v>5842</v>
      </c>
      <c r="AS16" s="234" t="s">
        <v>5350</v>
      </c>
      <c r="AT16" s="6" t="s">
        <v>5741</v>
      </c>
      <c r="AU16" s="6" t="s">
        <v>5741</v>
      </c>
      <c r="AV16" s="6" t="s">
        <v>5738</v>
      </c>
      <c r="AW16" s="6" t="s">
        <v>5738</v>
      </c>
      <c r="AX16" s="6" t="s">
        <v>5738</v>
      </c>
      <c r="AY16" s="6" t="s">
        <v>5738</v>
      </c>
      <c r="AZ16" s="6" t="s">
        <v>5723</v>
      </c>
      <c r="BA16" s="6" t="s">
        <v>5723</v>
      </c>
      <c r="BB16" s="6" t="s">
        <v>5738</v>
      </c>
      <c r="BC16" s="6" t="s">
        <v>5738</v>
      </c>
      <c r="BD16" s="6" t="s">
        <v>5738</v>
      </c>
      <c r="BE16" s="6" t="s">
        <v>5738</v>
      </c>
      <c r="BF16" s="6" t="s">
        <v>5771</v>
      </c>
      <c r="BG16" s="6" t="s">
        <v>5578</v>
      </c>
      <c r="BH16" s="6" t="s">
        <v>5578</v>
      </c>
      <c r="BI16" s="6" t="s">
        <v>5738</v>
      </c>
      <c r="BJ16" s="6" t="s">
        <v>5738</v>
      </c>
      <c r="BK16" s="6" t="s">
        <v>5738</v>
      </c>
      <c r="BL16" s="6" t="s">
        <v>5738</v>
      </c>
      <c r="BM16" s="6" t="s">
        <v>5747</v>
      </c>
      <c r="BN16" s="6" t="s">
        <v>5748</v>
      </c>
      <c r="BO16" s="6" t="s">
        <v>5738</v>
      </c>
      <c r="BP16" s="6" t="s">
        <v>5738</v>
      </c>
      <c r="BQ16" s="6" t="s">
        <v>5738</v>
      </c>
      <c r="BR16" s="6" t="s">
        <v>5738</v>
      </c>
      <c r="BS16" s="6">
        <v>1</v>
      </c>
      <c r="BT16" s="6">
        <v>1</v>
      </c>
      <c r="BU16" s="6">
        <v>0</v>
      </c>
      <c r="BV16" s="6">
        <v>0</v>
      </c>
      <c r="BW16" s="6">
        <v>0</v>
      </c>
      <c r="BX16" s="6">
        <v>0</v>
      </c>
      <c r="BY16" s="6" t="s">
        <v>5851</v>
      </c>
      <c r="BZ16" s="6">
        <v>2</v>
      </c>
      <c r="CA16" s="6">
        <v>0</v>
      </c>
      <c r="CB16" s="6">
        <v>0</v>
      </c>
      <c r="CC16" s="6">
        <v>0</v>
      </c>
      <c r="CD16" s="6">
        <v>0</v>
      </c>
      <c r="CE16" s="6">
        <v>0</v>
      </c>
      <c r="CF16" s="6" t="s">
        <v>5852</v>
      </c>
      <c r="CG16" s="6">
        <v>1</v>
      </c>
      <c r="CH16" s="6">
        <v>0</v>
      </c>
      <c r="CI16" s="6">
        <v>0</v>
      </c>
      <c r="CJ16" s="6">
        <v>0</v>
      </c>
      <c r="CK16" s="6">
        <v>0</v>
      </c>
      <c r="CL16" s="6">
        <v>0</v>
      </c>
      <c r="CM16" s="6" t="s">
        <v>5738</v>
      </c>
      <c r="CN16" s="6">
        <v>0</v>
      </c>
      <c r="CO16" s="6">
        <v>0</v>
      </c>
      <c r="CP16" s="6">
        <v>0</v>
      </c>
      <c r="CQ16" s="6">
        <v>0</v>
      </c>
      <c r="CR16" s="6">
        <v>0</v>
      </c>
      <c r="CS16" s="6">
        <v>0</v>
      </c>
      <c r="CT16" s="6" t="s">
        <v>5738</v>
      </c>
      <c r="CU16" s="6">
        <v>0</v>
      </c>
      <c r="CV16" s="6">
        <v>0</v>
      </c>
      <c r="CW16" s="6">
        <v>0</v>
      </c>
      <c r="CX16" s="6">
        <v>0</v>
      </c>
      <c r="CY16" s="6">
        <v>0</v>
      </c>
      <c r="CZ16" s="6">
        <v>0</v>
      </c>
      <c r="DA16" s="6" t="s">
        <v>5738</v>
      </c>
      <c r="DB16" s="6">
        <v>0</v>
      </c>
      <c r="DC16" s="6">
        <v>0</v>
      </c>
      <c r="DD16" s="6">
        <v>0</v>
      </c>
      <c r="DE16" s="6">
        <v>0</v>
      </c>
      <c r="DF16" s="6">
        <v>0</v>
      </c>
      <c r="DG16" s="6">
        <v>0</v>
      </c>
      <c r="DH16" s="6" t="s">
        <v>5738</v>
      </c>
      <c r="DI16" s="6">
        <v>0</v>
      </c>
      <c r="DJ16" s="6">
        <v>0</v>
      </c>
      <c r="DK16" s="6">
        <v>0</v>
      </c>
      <c r="DL16" s="6">
        <v>0</v>
      </c>
      <c r="DM16" s="6">
        <v>0</v>
      </c>
      <c r="DN16" s="6">
        <v>0</v>
      </c>
      <c r="DO16" s="6" t="s">
        <v>5853</v>
      </c>
      <c r="DP16" s="6">
        <v>60</v>
      </c>
      <c r="DQ16" s="6">
        <v>0</v>
      </c>
      <c r="DR16" s="6">
        <v>0</v>
      </c>
      <c r="DS16" s="6">
        <v>0</v>
      </c>
      <c r="DT16" s="6">
        <v>0</v>
      </c>
      <c r="DU16" s="6">
        <v>0</v>
      </c>
      <c r="DV16" s="6" t="s">
        <v>5854</v>
      </c>
      <c r="DW16" s="6">
        <v>60</v>
      </c>
      <c r="DX16" s="6" t="s">
        <v>5853</v>
      </c>
      <c r="DY16" s="6">
        <v>60</v>
      </c>
      <c r="DZ16" s="6">
        <v>0</v>
      </c>
      <c r="EA16" s="6">
        <v>0</v>
      </c>
      <c r="EB16" s="6">
        <v>0</v>
      </c>
      <c r="EC16" s="6">
        <v>0</v>
      </c>
      <c r="ED16" s="6">
        <v>0</v>
      </c>
      <c r="EE16" s="6" t="s">
        <v>5854</v>
      </c>
      <c r="EF16" s="6">
        <v>60</v>
      </c>
      <c r="EG16" s="6" t="s">
        <v>5738</v>
      </c>
      <c r="EH16" s="6">
        <v>0</v>
      </c>
      <c r="EI16" s="6">
        <v>0</v>
      </c>
      <c r="EJ16" s="6">
        <v>0</v>
      </c>
      <c r="EK16" s="6">
        <v>0</v>
      </c>
      <c r="EL16" s="6">
        <v>0</v>
      </c>
      <c r="EM16" s="6">
        <v>0</v>
      </c>
      <c r="EN16" s="6" t="s">
        <v>5738</v>
      </c>
      <c r="EO16" s="6">
        <v>0</v>
      </c>
      <c r="EP16" s="6" t="s">
        <v>5738</v>
      </c>
      <c r="EQ16" s="6">
        <v>0</v>
      </c>
      <c r="ER16" s="6">
        <v>0</v>
      </c>
      <c r="ES16" s="6">
        <v>0</v>
      </c>
      <c r="ET16" s="6">
        <v>0</v>
      </c>
      <c r="EU16" s="6">
        <v>0</v>
      </c>
      <c r="EV16" s="6">
        <v>0</v>
      </c>
      <c r="EW16" s="6" t="s">
        <v>5738</v>
      </c>
      <c r="EX16" s="6">
        <v>0</v>
      </c>
      <c r="EY16" s="6" t="s">
        <v>5738</v>
      </c>
      <c r="EZ16" s="6">
        <v>0</v>
      </c>
      <c r="FA16" s="6">
        <v>0</v>
      </c>
      <c r="FB16" s="6">
        <v>0</v>
      </c>
      <c r="FC16" s="6">
        <v>0</v>
      </c>
      <c r="FD16" s="6">
        <v>0</v>
      </c>
      <c r="FE16" s="6">
        <v>0</v>
      </c>
      <c r="FF16" s="6" t="s">
        <v>5738</v>
      </c>
      <c r="FG16" s="6">
        <v>0</v>
      </c>
      <c r="FH16" s="6" t="s">
        <v>5738</v>
      </c>
      <c r="FI16" s="6">
        <v>0</v>
      </c>
      <c r="FJ16" s="6">
        <v>0</v>
      </c>
      <c r="FK16" s="6">
        <v>0</v>
      </c>
      <c r="FL16" s="6">
        <v>0</v>
      </c>
      <c r="FM16" s="6">
        <v>0</v>
      </c>
      <c r="FN16" s="6">
        <v>0</v>
      </c>
      <c r="FO16" s="6" t="s">
        <v>5738</v>
      </c>
      <c r="FP16" s="6">
        <v>0</v>
      </c>
      <c r="FQ16" s="6">
        <v>60</v>
      </c>
      <c r="FR16" s="6" t="s">
        <v>5754</v>
      </c>
      <c r="FS16" s="6" t="s">
        <v>5755</v>
      </c>
      <c r="FT16" s="6" t="s">
        <v>5738</v>
      </c>
      <c r="FU16" s="6" t="s">
        <v>5738</v>
      </c>
      <c r="FV16" s="6" t="s">
        <v>5738</v>
      </c>
      <c r="FW16" s="6" t="s">
        <v>5738</v>
      </c>
      <c r="FX16" s="6" t="s">
        <v>5855</v>
      </c>
      <c r="FY16" s="6">
        <v>52</v>
      </c>
      <c r="FZ16" s="6">
        <v>0</v>
      </c>
      <c r="GA16" s="6">
        <v>0</v>
      </c>
      <c r="GB16" s="6">
        <v>0</v>
      </c>
      <c r="GC16" s="6">
        <v>0</v>
      </c>
      <c r="GD16" s="6">
        <v>0</v>
      </c>
      <c r="GE16" s="6" t="s">
        <v>5856</v>
      </c>
      <c r="GF16" s="6" t="s">
        <v>5855</v>
      </c>
      <c r="GG16" s="6">
        <v>52</v>
      </c>
      <c r="GH16" s="6">
        <v>0</v>
      </c>
      <c r="GI16" s="6">
        <v>0</v>
      </c>
      <c r="GJ16" s="6">
        <v>0</v>
      </c>
      <c r="GK16" s="6">
        <v>0</v>
      </c>
      <c r="GL16" s="6">
        <v>0</v>
      </c>
      <c r="GM16" s="6" t="s">
        <v>5856</v>
      </c>
      <c r="GN16" s="6" t="s">
        <v>5738</v>
      </c>
      <c r="GO16" s="6">
        <v>0</v>
      </c>
      <c r="GP16" s="6">
        <v>0</v>
      </c>
      <c r="GQ16" s="6">
        <v>0</v>
      </c>
      <c r="GR16" s="6">
        <v>0</v>
      </c>
      <c r="GS16" s="6">
        <v>0</v>
      </c>
      <c r="GT16" s="6">
        <v>0</v>
      </c>
      <c r="GU16" s="6" t="s">
        <v>5738</v>
      </c>
      <c r="GV16" s="6" t="s">
        <v>5738</v>
      </c>
      <c r="GW16" s="6">
        <v>0</v>
      </c>
      <c r="GX16" s="6">
        <v>0</v>
      </c>
      <c r="GY16" s="6">
        <v>0</v>
      </c>
      <c r="GZ16" s="6">
        <v>0</v>
      </c>
      <c r="HA16" s="6">
        <v>0</v>
      </c>
      <c r="HB16" s="6">
        <v>0</v>
      </c>
      <c r="HC16" s="6" t="s">
        <v>5738</v>
      </c>
      <c r="HD16" s="6" t="s">
        <v>5738</v>
      </c>
      <c r="HE16" s="6">
        <v>0</v>
      </c>
      <c r="HF16" s="6">
        <v>0</v>
      </c>
      <c r="HG16" s="6">
        <v>0</v>
      </c>
      <c r="HH16" s="6">
        <v>0</v>
      </c>
      <c r="HI16" s="6">
        <v>0</v>
      </c>
      <c r="HJ16" s="6">
        <v>0</v>
      </c>
      <c r="HK16" s="6" t="s">
        <v>5738</v>
      </c>
      <c r="HL16" s="6" t="s">
        <v>5738</v>
      </c>
      <c r="HM16" s="6">
        <v>0</v>
      </c>
      <c r="HN16" s="6">
        <v>0</v>
      </c>
      <c r="HO16" s="6">
        <v>0</v>
      </c>
      <c r="HP16" s="6">
        <v>0</v>
      </c>
      <c r="HQ16" s="6">
        <v>0</v>
      </c>
      <c r="HR16" s="6">
        <v>0</v>
      </c>
      <c r="HS16" s="6" t="s">
        <v>5738</v>
      </c>
      <c r="HT16" s="6" t="s">
        <v>5758</v>
      </c>
      <c r="HU16" s="6">
        <v>52</v>
      </c>
      <c r="HV16" s="6">
        <v>52</v>
      </c>
      <c r="HW16" s="6">
        <v>0</v>
      </c>
      <c r="HX16" s="6">
        <v>0</v>
      </c>
      <c r="HY16" s="6">
        <v>0</v>
      </c>
      <c r="HZ16" s="6">
        <v>0</v>
      </c>
      <c r="IA16" s="5">
        <v>52</v>
      </c>
      <c r="IB16" s="5">
        <v>2</v>
      </c>
      <c r="IC16" s="132" t="s">
        <v>5460</v>
      </c>
      <c r="ID16" s="132" t="s">
        <v>5857</v>
      </c>
      <c r="IE16" s="132" t="s">
        <v>5760</v>
      </c>
      <c r="IF16" s="132" t="s">
        <v>5761</v>
      </c>
      <c r="IG16" s="171">
        <v>43756</v>
      </c>
      <c r="IH16" s="171">
        <v>45583</v>
      </c>
      <c r="II16" s="6">
        <v>37</v>
      </c>
    </row>
    <row r="17" spans="1:243" ht="165.75">
      <c r="A17" s="5">
        <v>16</v>
      </c>
      <c r="B17" s="132" t="s">
        <v>5723</v>
      </c>
      <c r="C17" s="132" t="s">
        <v>5723</v>
      </c>
      <c r="D17" s="5" t="s">
        <v>5582</v>
      </c>
      <c r="E17" s="107" t="s">
        <v>5583</v>
      </c>
      <c r="F17" s="5" t="s">
        <v>5351</v>
      </c>
      <c r="G17" s="5">
        <v>105.850808</v>
      </c>
      <c r="H17" s="5">
        <v>20.971896999999998</v>
      </c>
      <c r="I17" s="5">
        <v>1</v>
      </c>
      <c r="J17" s="5">
        <v>2</v>
      </c>
      <c r="K17" s="5" t="s">
        <v>5762</v>
      </c>
      <c r="L17" s="5" t="s">
        <v>5858</v>
      </c>
      <c r="M17" s="5" t="s">
        <v>5764</v>
      </c>
      <c r="N17" s="5" t="s">
        <v>5765</v>
      </c>
      <c r="O17" s="5" t="s">
        <v>5766</v>
      </c>
      <c r="P17" s="5" t="s">
        <v>5767</v>
      </c>
      <c r="Q17" s="5" t="s">
        <v>5768</v>
      </c>
      <c r="R17" s="5" t="s">
        <v>5859</v>
      </c>
      <c r="S17" s="152" t="b">
        <v>1</v>
      </c>
      <c r="T17" s="5" t="s">
        <v>5584</v>
      </c>
      <c r="U17" s="5">
        <v>0</v>
      </c>
      <c r="V17" s="5" t="s">
        <v>5732</v>
      </c>
      <c r="W17" s="5" t="s">
        <v>5585</v>
      </c>
      <c r="X17" s="7" t="s">
        <v>5733</v>
      </c>
      <c r="Y17" s="5" t="b">
        <v>0</v>
      </c>
      <c r="Z17" s="152" t="b">
        <v>0</v>
      </c>
      <c r="AA17" s="5">
        <v>19.5</v>
      </c>
      <c r="AB17" s="152" t="b">
        <v>1</v>
      </c>
      <c r="AC17" s="5">
        <v>12</v>
      </c>
      <c r="AD17" s="5" t="b">
        <v>0</v>
      </c>
      <c r="AE17" s="5" t="s">
        <v>5734</v>
      </c>
      <c r="AF17" s="5" t="s">
        <v>5735</v>
      </c>
      <c r="AG17" s="132" t="s">
        <v>5736</v>
      </c>
      <c r="AH17" s="132" t="s">
        <v>5737</v>
      </c>
      <c r="AI17" s="132" t="s">
        <v>5479</v>
      </c>
      <c r="AJ17" s="132" t="s">
        <v>5738</v>
      </c>
      <c r="AK17" s="132" t="s">
        <v>5739</v>
      </c>
      <c r="AL17" s="6"/>
      <c r="AM17" s="6" t="s">
        <v>5740</v>
      </c>
      <c r="AN17" s="6" t="s">
        <v>5741</v>
      </c>
      <c r="AO17" s="5">
        <v>5</v>
      </c>
      <c r="AP17" s="85" t="s">
        <v>5742</v>
      </c>
      <c r="AQ17" s="233" t="s">
        <v>5835</v>
      </c>
      <c r="AR17" s="233" t="s">
        <v>5860</v>
      </c>
      <c r="AS17" s="234" t="s">
        <v>5350</v>
      </c>
      <c r="AT17" s="6" t="s">
        <v>5741</v>
      </c>
      <c r="AU17" s="6" t="s">
        <v>5741</v>
      </c>
      <c r="AV17" s="6" t="s">
        <v>5738</v>
      </c>
      <c r="AW17" s="6" t="s">
        <v>5738</v>
      </c>
      <c r="AX17" s="6" t="s">
        <v>5738</v>
      </c>
      <c r="AY17" s="6" t="s">
        <v>5738</v>
      </c>
      <c r="AZ17" s="6" t="s">
        <v>5723</v>
      </c>
      <c r="BA17" s="6" t="s">
        <v>5723</v>
      </c>
      <c r="BB17" s="6" t="s">
        <v>5738</v>
      </c>
      <c r="BC17" s="6" t="s">
        <v>5738</v>
      </c>
      <c r="BD17" s="6" t="s">
        <v>5738</v>
      </c>
      <c r="BE17" s="6" t="s">
        <v>5738</v>
      </c>
      <c r="BF17" s="6" t="s">
        <v>5771</v>
      </c>
      <c r="BG17" s="6" t="s">
        <v>5582</v>
      </c>
      <c r="BH17" s="6" t="s">
        <v>5582</v>
      </c>
      <c r="BI17" s="6" t="s">
        <v>5738</v>
      </c>
      <c r="BJ17" s="6" t="s">
        <v>5738</v>
      </c>
      <c r="BK17" s="6" t="s">
        <v>5738</v>
      </c>
      <c r="BL17" s="6" t="s">
        <v>5738</v>
      </c>
      <c r="BM17" s="6" t="s">
        <v>5747</v>
      </c>
      <c r="BN17" s="6" t="s">
        <v>5748</v>
      </c>
      <c r="BO17" s="6" t="s">
        <v>5738</v>
      </c>
      <c r="BP17" s="6" t="s">
        <v>5738</v>
      </c>
      <c r="BQ17" s="6" t="s">
        <v>5738</v>
      </c>
      <c r="BR17" s="6" t="s">
        <v>5738</v>
      </c>
      <c r="BS17" s="6">
        <v>3</v>
      </c>
      <c r="BT17" s="6">
        <v>3</v>
      </c>
      <c r="BU17" s="6">
        <v>0</v>
      </c>
      <c r="BV17" s="6">
        <v>0</v>
      </c>
      <c r="BW17" s="6">
        <v>0</v>
      </c>
      <c r="BX17" s="6">
        <v>0</v>
      </c>
      <c r="BY17" s="6" t="s">
        <v>5467</v>
      </c>
      <c r="BZ17" s="6">
        <v>2</v>
      </c>
      <c r="CA17" s="6">
        <v>2</v>
      </c>
      <c r="CB17" s="6">
        <v>2</v>
      </c>
      <c r="CC17" s="6">
        <v>0</v>
      </c>
      <c r="CD17" s="6">
        <v>0</v>
      </c>
      <c r="CE17" s="6">
        <v>0</v>
      </c>
      <c r="CF17" s="6" t="s">
        <v>5749</v>
      </c>
      <c r="CG17" s="6">
        <v>1</v>
      </c>
      <c r="CH17" s="6">
        <v>1</v>
      </c>
      <c r="CI17" s="6">
        <v>1</v>
      </c>
      <c r="CJ17" s="6">
        <v>0</v>
      </c>
      <c r="CK17" s="6">
        <v>0</v>
      </c>
      <c r="CL17" s="6">
        <v>0</v>
      </c>
      <c r="CM17" s="6" t="s">
        <v>5738</v>
      </c>
      <c r="CN17" s="6">
        <v>0</v>
      </c>
      <c r="CO17" s="6">
        <v>0</v>
      </c>
      <c r="CP17" s="6">
        <v>0</v>
      </c>
      <c r="CQ17" s="6">
        <v>0</v>
      </c>
      <c r="CR17" s="6">
        <v>0</v>
      </c>
      <c r="CS17" s="6">
        <v>0</v>
      </c>
      <c r="CT17" s="6" t="s">
        <v>5738</v>
      </c>
      <c r="CU17" s="6">
        <v>0</v>
      </c>
      <c r="CV17" s="6">
        <v>0</v>
      </c>
      <c r="CW17" s="6">
        <v>0</v>
      </c>
      <c r="CX17" s="6">
        <v>0</v>
      </c>
      <c r="CY17" s="6">
        <v>0</v>
      </c>
      <c r="CZ17" s="6">
        <v>0</v>
      </c>
      <c r="DA17" s="6" t="s">
        <v>5738</v>
      </c>
      <c r="DB17" s="6">
        <v>0</v>
      </c>
      <c r="DC17" s="6">
        <v>0</v>
      </c>
      <c r="DD17" s="6">
        <v>0</v>
      </c>
      <c r="DE17" s="6">
        <v>0</v>
      </c>
      <c r="DF17" s="6">
        <v>0</v>
      </c>
      <c r="DG17" s="6">
        <v>0</v>
      </c>
      <c r="DH17" s="6" t="s">
        <v>5738</v>
      </c>
      <c r="DI17" s="6">
        <v>0</v>
      </c>
      <c r="DJ17" s="6">
        <v>0</v>
      </c>
      <c r="DK17" s="6">
        <v>0</v>
      </c>
      <c r="DL17" s="6">
        <v>0</v>
      </c>
      <c r="DM17" s="6">
        <v>0</v>
      </c>
      <c r="DN17" s="6">
        <v>0</v>
      </c>
      <c r="DO17" s="6" t="s">
        <v>5752</v>
      </c>
      <c r="DP17" s="6">
        <v>60</v>
      </c>
      <c r="DQ17" s="6">
        <v>60</v>
      </c>
      <c r="DR17" s="6">
        <v>60</v>
      </c>
      <c r="DS17" s="6">
        <v>0</v>
      </c>
      <c r="DT17" s="6">
        <v>0</v>
      </c>
      <c r="DU17" s="6">
        <v>0</v>
      </c>
      <c r="DV17" s="6" t="s">
        <v>5753</v>
      </c>
      <c r="DW17" s="6">
        <v>60</v>
      </c>
      <c r="DX17" s="6" t="s">
        <v>5752</v>
      </c>
      <c r="DY17" s="6">
        <v>60</v>
      </c>
      <c r="DZ17" s="6">
        <v>60</v>
      </c>
      <c r="EA17" s="6">
        <v>60</v>
      </c>
      <c r="EB17" s="6">
        <v>0</v>
      </c>
      <c r="EC17" s="6">
        <v>0</v>
      </c>
      <c r="ED17" s="6">
        <v>0</v>
      </c>
      <c r="EE17" s="6" t="s">
        <v>5753</v>
      </c>
      <c r="EF17" s="6">
        <v>60</v>
      </c>
      <c r="EG17" s="6" t="s">
        <v>5738</v>
      </c>
      <c r="EH17" s="6">
        <v>0</v>
      </c>
      <c r="EI17" s="6">
        <v>0</v>
      </c>
      <c r="EJ17" s="6">
        <v>0</v>
      </c>
      <c r="EK17" s="6">
        <v>0</v>
      </c>
      <c r="EL17" s="6">
        <v>0</v>
      </c>
      <c r="EM17" s="6">
        <v>0</v>
      </c>
      <c r="EN17" s="6" t="s">
        <v>5738</v>
      </c>
      <c r="EO17" s="6">
        <v>0</v>
      </c>
      <c r="EP17" s="6" t="s">
        <v>5738</v>
      </c>
      <c r="EQ17" s="6">
        <v>0</v>
      </c>
      <c r="ER17" s="6">
        <v>0</v>
      </c>
      <c r="ES17" s="6">
        <v>0</v>
      </c>
      <c r="ET17" s="6">
        <v>0</v>
      </c>
      <c r="EU17" s="6">
        <v>0</v>
      </c>
      <c r="EV17" s="6">
        <v>0</v>
      </c>
      <c r="EW17" s="6" t="s">
        <v>5738</v>
      </c>
      <c r="EX17" s="6">
        <v>0</v>
      </c>
      <c r="EY17" s="6" t="s">
        <v>5738</v>
      </c>
      <c r="EZ17" s="6">
        <v>0</v>
      </c>
      <c r="FA17" s="6">
        <v>0</v>
      </c>
      <c r="FB17" s="6">
        <v>0</v>
      </c>
      <c r="FC17" s="6">
        <v>0</v>
      </c>
      <c r="FD17" s="6">
        <v>0</v>
      </c>
      <c r="FE17" s="6">
        <v>0</v>
      </c>
      <c r="FF17" s="6" t="s">
        <v>5738</v>
      </c>
      <c r="FG17" s="6">
        <v>0</v>
      </c>
      <c r="FH17" s="6" t="s">
        <v>5738</v>
      </c>
      <c r="FI17" s="6">
        <v>0</v>
      </c>
      <c r="FJ17" s="6">
        <v>0</v>
      </c>
      <c r="FK17" s="6">
        <v>0</v>
      </c>
      <c r="FL17" s="6">
        <v>0</v>
      </c>
      <c r="FM17" s="6">
        <v>0</v>
      </c>
      <c r="FN17" s="6">
        <v>0</v>
      </c>
      <c r="FO17" s="6" t="s">
        <v>5738</v>
      </c>
      <c r="FP17" s="6">
        <v>0</v>
      </c>
      <c r="FQ17" s="6">
        <v>60</v>
      </c>
      <c r="FR17" s="6" t="s">
        <v>5754</v>
      </c>
      <c r="FS17" s="6" t="s">
        <v>5755</v>
      </c>
      <c r="FT17" s="6" t="s">
        <v>5738</v>
      </c>
      <c r="FU17" s="6" t="s">
        <v>5738</v>
      </c>
      <c r="FV17" s="6" t="s">
        <v>5738</v>
      </c>
      <c r="FW17" s="6" t="s">
        <v>5738</v>
      </c>
      <c r="FX17" s="6" t="s">
        <v>5861</v>
      </c>
      <c r="FY17" s="6">
        <v>19.5</v>
      </c>
      <c r="FZ17" s="6">
        <v>19.5</v>
      </c>
      <c r="GA17" s="6">
        <v>19.5</v>
      </c>
      <c r="GB17" s="6">
        <v>0</v>
      </c>
      <c r="GC17" s="6">
        <v>0</v>
      </c>
      <c r="GD17" s="6">
        <v>0</v>
      </c>
      <c r="GE17" s="6" t="s">
        <v>5862</v>
      </c>
      <c r="GF17" s="6" t="s">
        <v>5861</v>
      </c>
      <c r="GG17" s="6">
        <v>19.5</v>
      </c>
      <c r="GH17" s="6">
        <v>19.5</v>
      </c>
      <c r="GI17" s="6">
        <v>19.5</v>
      </c>
      <c r="GJ17" s="6">
        <v>0</v>
      </c>
      <c r="GK17" s="6">
        <v>0</v>
      </c>
      <c r="GL17" s="6">
        <v>0</v>
      </c>
      <c r="GM17" s="6" t="s">
        <v>5862</v>
      </c>
      <c r="GN17" s="6" t="s">
        <v>5738</v>
      </c>
      <c r="GO17" s="6">
        <v>0</v>
      </c>
      <c r="GP17" s="6">
        <v>0</v>
      </c>
      <c r="GQ17" s="6">
        <v>0</v>
      </c>
      <c r="GR17" s="6">
        <v>0</v>
      </c>
      <c r="GS17" s="6">
        <v>0</v>
      </c>
      <c r="GT17" s="6">
        <v>0</v>
      </c>
      <c r="GU17" s="6" t="s">
        <v>5738</v>
      </c>
      <c r="GV17" s="6" t="s">
        <v>5738</v>
      </c>
      <c r="GW17" s="6">
        <v>0</v>
      </c>
      <c r="GX17" s="6">
        <v>0</v>
      </c>
      <c r="GY17" s="6">
        <v>0</v>
      </c>
      <c r="GZ17" s="6">
        <v>0</v>
      </c>
      <c r="HA17" s="6">
        <v>0</v>
      </c>
      <c r="HB17" s="6">
        <v>0</v>
      </c>
      <c r="HC17" s="6" t="s">
        <v>5738</v>
      </c>
      <c r="HD17" s="6" t="s">
        <v>5738</v>
      </c>
      <c r="HE17" s="6">
        <v>0</v>
      </c>
      <c r="HF17" s="6">
        <v>0</v>
      </c>
      <c r="HG17" s="6">
        <v>0</v>
      </c>
      <c r="HH17" s="6">
        <v>0</v>
      </c>
      <c r="HI17" s="6">
        <v>0</v>
      </c>
      <c r="HJ17" s="6">
        <v>0</v>
      </c>
      <c r="HK17" s="6" t="s">
        <v>5738</v>
      </c>
      <c r="HL17" s="6" t="s">
        <v>5738</v>
      </c>
      <c r="HM17" s="6">
        <v>0</v>
      </c>
      <c r="HN17" s="6">
        <v>0</v>
      </c>
      <c r="HO17" s="6">
        <v>0</v>
      </c>
      <c r="HP17" s="6">
        <v>0</v>
      </c>
      <c r="HQ17" s="6">
        <v>0</v>
      </c>
      <c r="HR17" s="6">
        <v>0</v>
      </c>
      <c r="HS17" s="6" t="s">
        <v>5738</v>
      </c>
      <c r="HT17" s="6" t="s">
        <v>5758</v>
      </c>
      <c r="HU17" s="6">
        <v>19.5</v>
      </c>
      <c r="HV17" s="6">
        <v>19.5</v>
      </c>
      <c r="HW17" s="6">
        <v>0</v>
      </c>
      <c r="HX17" s="6">
        <v>0</v>
      </c>
      <c r="HY17" s="6">
        <v>0</v>
      </c>
      <c r="HZ17" s="6">
        <v>0</v>
      </c>
      <c r="IA17" s="5">
        <v>19.5</v>
      </c>
      <c r="IB17" s="5">
        <v>7.5</v>
      </c>
      <c r="IC17" s="132" t="s">
        <v>5460</v>
      </c>
      <c r="ID17" s="132" t="s">
        <v>5863</v>
      </c>
      <c r="IE17" s="132" t="s">
        <v>5760</v>
      </c>
      <c r="IF17" s="132" t="s">
        <v>5761</v>
      </c>
      <c r="IG17" s="171">
        <v>43756</v>
      </c>
      <c r="IH17" s="171">
        <v>45583</v>
      </c>
      <c r="II17" s="6">
        <v>37</v>
      </c>
    </row>
    <row r="18" spans="1:243" ht="165.75">
      <c r="A18" s="5">
        <v>17</v>
      </c>
      <c r="B18" s="132" t="s">
        <v>5723</v>
      </c>
      <c r="C18" s="132" t="s">
        <v>5723</v>
      </c>
      <c r="D18" s="5" t="s">
        <v>5586</v>
      </c>
      <c r="E18" s="107" t="s">
        <v>5587</v>
      </c>
      <c r="F18" s="5" t="s">
        <v>5351</v>
      </c>
      <c r="G18" s="5">
        <v>105.851466</v>
      </c>
      <c r="H18" s="5">
        <v>20.985776999999999</v>
      </c>
      <c r="I18" s="5">
        <v>1</v>
      </c>
      <c r="J18" s="5">
        <v>2</v>
      </c>
      <c r="K18" s="5" t="s">
        <v>5762</v>
      </c>
      <c r="L18" s="5" t="s">
        <v>5864</v>
      </c>
      <c r="M18" s="5" t="s">
        <v>5764</v>
      </c>
      <c r="N18" s="5" t="s">
        <v>5765</v>
      </c>
      <c r="O18" s="5" t="s">
        <v>5766</v>
      </c>
      <c r="P18" s="5" t="s">
        <v>5767</v>
      </c>
      <c r="Q18" s="5" t="s">
        <v>5768</v>
      </c>
      <c r="R18" s="5" t="s">
        <v>5865</v>
      </c>
      <c r="S18" s="152" t="b">
        <v>1</v>
      </c>
      <c r="T18" s="5" t="s">
        <v>5588</v>
      </c>
      <c r="U18" s="5">
        <v>0</v>
      </c>
      <c r="V18" s="5" t="s">
        <v>5732</v>
      </c>
      <c r="W18" s="5" t="s">
        <v>5589</v>
      </c>
      <c r="X18" s="7" t="s">
        <v>5733</v>
      </c>
      <c r="Y18" s="5" t="b">
        <v>0</v>
      </c>
      <c r="Z18" s="152" t="b">
        <v>0</v>
      </c>
      <c r="AA18" s="5">
        <v>27.5</v>
      </c>
      <c r="AB18" s="152" t="b">
        <v>1</v>
      </c>
      <c r="AC18" s="5">
        <v>24</v>
      </c>
      <c r="AD18" s="5" t="b">
        <v>0</v>
      </c>
      <c r="AE18" s="5" t="s">
        <v>5734</v>
      </c>
      <c r="AF18" s="5" t="s">
        <v>5735</v>
      </c>
      <c r="AG18" s="132" t="s">
        <v>5736</v>
      </c>
      <c r="AH18" s="132" t="s">
        <v>5737</v>
      </c>
      <c r="AI18" s="132" t="s">
        <v>5479</v>
      </c>
      <c r="AJ18" s="132" t="s">
        <v>5738</v>
      </c>
      <c r="AK18" s="132" t="s">
        <v>5739</v>
      </c>
      <c r="AL18" s="6"/>
      <c r="AM18" s="6" t="s">
        <v>5740</v>
      </c>
      <c r="AN18" s="6" t="s">
        <v>5741</v>
      </c>
      <c r="AO18" s="5">
        <v>5</v>
      </c>
      <c r="AP18" s="85" t="s">
        <v>5742</v>
      </c>
      <c r="AQ18" s="233" t="s">
        <v>5835</v>
      </c>
      <c r="AR18" s="233" t="s">
        <v>5866</v>
      </c>
      <c r="AS18" s="234" t="s">
        <v>5350</v>
      </c>
      <c r="AT18" s="6" t="s">
        <v>5741</v>
      </c>
      <c r="AU18" s="6" t="s">
        <v>5741</v>
      </c>
      <c r="AV18" s="6" t="s">
        <v>5738</v>
      </c>
      <c r="AW18" s="6" t="s">
        <v>5738</v>
      </c>
      <c r="AX18" s="6" t="s">
        <v>5738</v>
      </c>
      <c r="AY18" s="6" t="s">
        <v>5738</v>
      </c>
      <c r="AZ18" s="6" t="s">
        <v>5723</v>
      </c>
      <c r="BA18" s="6" t="s">
        <v>5723</v>
      </c>
      <c r="BB18" s="6" t="s">
        <v>5738</v>
      </c>
      <c r="BC18" s="6" t="s">
        <v>5738</v>
      </c>
      <c r="BD18" s="6" t="s">
        <v>5738</v>
      </c>
      <c r="BE18" s="6" t="s">
        <v>5738</v>
      </c>
      <c r="BF18" s="6" t="s">
        <v>5771</v>
      </c>
      <c r="BG18" s="6" t="s">
        <v>5586</v>
      </c>
      <c r="BH18" s="6" t="s">
        <v>5586</v>
      </c>
      <c r="BI18" s="6" t="s">
        <v>5738</v>
      </c>
      <c r="BJ18" s="6" t="s">
        <v>5738</v>
      </c>
      <c r="BK18" s="6" t="s">
        <v>5738</v>
      </c>
      <c r="BL18" s="6" t="s">
        <v>5738</v>
      </c>
      <c r="BM18" s="6" t="s">
        <v>5747</v>
      </c>
      <c r="BN18" s="6" t="s">
        <v>5748</v>
      </c>
      <c r="BO18" s="6" t="s">
        <v>5738</v>
      </c>
      <c r="BP18" s="6" t="s">
        <v>5738</v>
      </c>
      <c r="BQ18" s="6" t="s">
        <v>5738</v>
      </c>
      <c r="BR18" s="6" t="s">
        <v>5738</v>
      </c>
      <c r="BS18" s="6">
        <v>3</v>
      </c>
      <c r="BT18" s="6">
        <v>3</v>
      </c>
      <c r="BU18" s="6">
        <v>0</v>
      </c>
      <c r="BV18" s="6">
        <v>0</v>
      </c>
      <c r="BW18" s="6">
        <v>0</v>
      </c>
      <c r="BX18" s="6">
        <v>0</v>
      </c>
      <c r="BY18" s="6" t="s">
        <v>5467</v>
      </c>
      <c r="BZ18" s="6">
        <v>2</v>
      </c>
      <c r="CA18" s="6">
        <v>2</v>
      </c>
      <c r="CB18" s="6">
        <v>2</v>
      </c>
      <c r="CC18" s="6">
        <v>0</v>
      </c>
      <c r="CD18" s="6">
        <v>0</v>
      </c>
      <c r="CE18" s="6">
        <v>0</v>
      </c>
      <c r="CF18" s="6" t="s">
        <v>5749</v>
      </c>
      <c r="CG18" s="6">
        <v>1</v>
      </c>
      <c r="CH18" s="6">
        <v>1</v>
      </c>
      <c r="CI18" s="6">
        <v>1</v>
      </c>
      <c r="CJ18" s="6">
        <v>0</v>
      </c>
      <c r="CK18" s="6">
        <v>0</v>
      </c>
      <c r="CL18" s="6">
        <v>0</v>
      </c>
      <c r="CM18" s="6" t="s">
        <v>5738</v>
      </c>
      <c r="CN18" s="6">
        <v>0</v>
      </c>
      <c r="CO18" s="6">
        <v>0</v>
      </c>
      <c r="CP18" s="6">
        <v>0</v>
      </c>
      <c r="CQ18" s="6">
        <v>0</v>
      </c>
      <c r="CR18" s="6">
        <v>0</v>
      </c>
      <c r="CS18" s="6">
        <v>0</v>
      </c>
      <c r="CT18" s="6" t="s">
        <v>5738</v>
      </c>
      <c r="CU18" s="6">
        <v>0</v>
      </c>
      <c r="CV18" s="6">
        <v>0</v>
      </c>
      <c r="CW18" s="6">
        <v>0</v>
      </c>
      <c r="CX18" s="6">
        <v>0</v>
      </c>
      <c r="CY18" s="6">
        <v>0</v>
      </c>
      <c r="CZ18" s="6">
        <v>0</v>
      </c>
      <c r="DA18" s="6" t="s">
        <v>5738</v>
      </c>
      <c r="DB18" s="6">
        <v>0</v>
      </c>
      <c r="DC18" s="6">
        <v>0</v>
      </c>
      <c r="DD18" s="6">
        <v>0</v>
      </c>
      <c r="DE18" s="6">
        <v>0</v>
      </c>
      <c r="DF18" s="6">
        <v>0</v>
      </c>
      <c r="DG18" s="6">
        <v>0</v>
      </c>
      <c r="DH18" s="6" t="s">
        <v>5738</v>
      </c>
      <c r="DI18" s="6">
        <v>0</v>
      </c>
      <c r="DJ18" s="6">
        <v>0</v>
      </c>
      <c r="DK18" s="6">
        <v>0</v>
      </c>
      <c r="DL18" s="6">
        <v>0</v>
      </c>
      <c r="DM18" s="6">
        <v>0</v>
      </c>
      <c r="DN18" s="6">
        <v>0</v>
      </c>
      <c r="DO18" s="6" t="s">
        <v>5752</v>
      </c>
      <c r="DP18" s="6">
        <v>60</v>
      </c>
      <c r="DQ18" s="6">
        <v>60</v>
      </c>
      <c r="DR18" s="6">
        <v>60</v>
      </c>
      <c r="DS18" s="6">
        <v>0</v>
      </c>
      <c r="DT18" s="6">
        <v>0</v>
      </c>
      <c r="DU18" s="6">
        <v>0</v>
      </c>
      <c r="DV18" s="6" t="s">
        <v>5753</v>
      </c>
      <c r="DW18" s="6">
        <v>60</v>
      </c>
      <c r="DX18" s="6" t="s">
        <v>5752</v>
      </c>
      <c r="DY18" s="6">
        <v>60</v>
      </c>
      <c r="DZ18" s="6">
        <v>60</v>
      </c>
      <c r="EA18" s="6">
        <v>60</v>
      </c>
      <c r="EB18" s="6">
        <v>0</v>
      </c>
      <c r="EC18" s="6">
        <v>0</v>
      </c>
      <c r="ED18" s="6">
        <v>0</v>
      </c>
      <c r="EE18" s="6" t="s">
        <v>5753</v>
      </c>
      <c r="EF18" s="6">
        <v>60</v>
      </c>
      <c r="EG18" s="6" t="s">
        <v>5738</v>
      </c>
      <c r="EH18" s="6">
        <v>0</v>
      </c>
      <c r="EI18" s="6">
        <v>0</v>
      </c>
      <c r="EJ18" s="6">
        <v>0</v>
      </c>
      <c r="EK18" s="6">
        <v>0</v>
      </c>
      <c r="EL18" s="6">
        <v>0</v>
      </c>
      <c r="EM18" s="6">
        <v>0</v>
      </c>
      <c r="EN18" s="6" t="s">
        <v>5738</v>
      </c>
      <c r="EO18" s="6">
        <v>0</v>
      </c>
      <c r="EP18" s="6" t="s">
        <v>5738</v>
      </c>
      <c r="EQ18" s="6">
        <v>0</v>
      </c>
      <c r="ER18" s="6">
        <v>0</v>
      </c>
      <c r="ES18" s="6">
        <v>0</v>
      </c>
      <c r="ET18" s="6">
        <v>0</v>
      </c>
      <c r="EU18" s="6">
        <v>0</v>
      </c>
      <c r="EV18" s="6">
        <v>0</v>
      </c>
      <c r="EW18" s="6" t="s">
        <v>5738</v>
      </c>
      <c r="EX18" s="6">
        <v>0</v>
      </c>
      <c r="EY18" s="6" t="s">
        <v>5738</v>
      </c>
      <c r="EZ18" s="6">
        <v>0</v>
      </c>
      <c r="FA18" s="6">
        <v>0</v>
      </c>
      <c r="FB18" s="6">
        <v>0</v>
      </c>
      <c r="FC18" s="6">
        <v>0</v>
      </c>
      <c r="FD18" s="6">
        <v>0</v>
      </c>
      <c r="FE18" s="6">
        <v>0</v>
      </c>
      <c r="FF18" s="6" t="s">
        <v>5738</v>
      </c>
      <c r="FG18" s="6">
        <v>0</v>
      </c>
      <c r="FH18" s="6" t="s">
        <v>5738</v>
      </c>
      <c r="FI18" s="6">
        <v>0</v>
      </c>
      <c r="FJ18" s="6">
        <v>0</v>
      </c>
      <c r="FK18" s="6">
        <v>0</v>
      </c>
      <c r="FL18" s="6">
        <v>0</v>
      </c>
      <c r="FM18" s="6">
        <v>0</v>
      </c>
      <c r="FN18" s="6">
        <v>0</v>
      </c>
      <c r="FO18" s="6" t="s">
        <v>5738</v>
      </c>
      <c r="FP18" s="6">
        <v>0</v>
      </c>
      <c r="FQ18" s="6">
        <v>60</v>
      </c>
      <c r="FR18" s="6" t="s">
        <v>5754</v>
      </c>
      <c r="FS18" s="6" t="s">
        <v>5755</v>
      </c>
      <c r="FT18" s="6" t="s">
        <v>5738</v>
      </c>
      <c r="FU18" s="6" t="s">
        <v>5738</v>
      </c>
      <c r="FV18" s="6" t="s">
        <v>5738</v>
      </c>
      <c r="FW18" s="6" t="s">
        <v>5738</v>
      </c>
      <c r="FX18" s="6" t="s">
        <v>5867</v>
      </c>
      <c r="FY18" s="6">
        <v>27.5</v>
      </c>
      <c r="FZ18" s="6">
        <v>27.5</v>
      </c>
      <c r="GA18" s="6">
        <v>27.5</v>
      </c>
      <c r="GB18" s="6">
        <v>0</v>
      </c>
      <c r="GC18" s="6">
        <v>0</v>
      </c>
      <c r="GD18" s="6">
        <v>0</v>
      </c>
      <c r="GE18" s="6" t="s">
        <v>5868</v>
      </c>
      <c r="GF18" s="6" t="s">
        <v>5867</v>
      </c>
      <c r="GG18" s="6">
        <v>27.5</v>
      </c>
      <c r="GH18" s="6">
        <v>27.5</v>
      </c>
      <c r="GI18" s="6">
        <v>27.5</v>
      </c>
      <c r="GJ18" s="6">
        <v>0</v>
      </c>
      <c r="GK18" s="6">
        <v>0</v>
      </c>
      <c r="GL18" s="6">
        <v>0</v>
      </c>
      <c r="GM18" s="6" t="s">
        <v>5868</v>
      </c>
      <c r="GN18" s="6" t="s">
        <v>5738</v>
      </c>
      <c r="GO18" s="6">
        <v>0</v>
      </c>
      <c r="GP18" s="6">
        <v>0</v>
      </c>
      <c r="GQ18" s="6">
        <v>0</v>
      </c>
      <c r="GR18" s="6">
        <v>0</v>
      </c>
      <c r="GS18" s="6">
        <v>0</v>
      </c>
      <c r="GT18" s="6">
        <v>0</v>
      </c>
      <c r="GU18" s="6" t="s">
        <v>5738</v>
      </c>
      <c r="GV18" s="6" t="s">
        <v>5738</v>
      </c>
      <c r="GW18" s="6">
        <v>0</v>
      </c>
      <c r="GX18" s="6">
        <v>0</v>
      </c>
      <c r="GY18" s="6">
        <v>0</v>
      </c>
      <c r="GZ18" s="6">
        <v>0</v>
      </c>
      <c r="HA18" s="6">
        <v>0</v>
      </c>
      <c r="HB18" s="6">
        <v>0</v>
      </c>
      <c r="HC18" s="6" t="s">
        <v>5738</v>
      </c>
      <c r="HD18" s="6" t="s">
        <v>5738</v>
      </c>
      <c r="HE18" s="6">
        <v>0</v>
      </c>
      <c r="HF18" s="6">
        <v>0</v>
      </c>
      <c r="HG18" s="6">
        <v>0</v>
      </c>
      <c r="HH18" s="6">
        <v>0</v>
      </c>
      <c r="HI18" s="6">
        <v>0</v>
      </c>
      <c r="HJ18" s="6">
        <v>0</v>
      </c>
      <c r="HK18" s="6" t="s">
        <v>5738</v>
      </c>
      <c r="HL18" s="6" t="s">
        <v>5738</v>
      </c>
      <c r="HM18" s="6">
        <v>0</v>
      </c>
      <c r="HN18" s="6">
        <v>0</v>
      </c>
      <c r="HO18" s="6">
        <v>0</v>
      </c>
      <c r="HP18" s="6">
        <v>0</v>
      </c>
      <c r="HQ18" s="6">
        <v>0</v>
      </c>
      <c r="HR18" s="6">
        <v>0</v>
      </c>
      <c r="HS18" s="6" t="s">
        <v>5738</v>
      </c>
      <c r="HT18" s="6" t="s">
        <v>5758</v>
      </c>
      <c r="HU18" s="6">
        <v>27.5</v>
      </c>
      <c r="HV18" s="6">
        <v>27.5</v>
      </c>
      <c r="HW18" s="6">
        <v>0</v>
      </c>
      <c r="HX18" s="6">
        <v>0</v>
      </c>
      <c r="HY18" s="6">
        <v>0</v>
      </c>
      <c r="HZ18" s="6">
        <v>0</v>
      </c>
      <c r="IA18" s="5">
        <v>27.5</v>
      </c>
      <c r="IB18" s="5">
        <v>3.5</v>
      </c>
      <c r="IC18" s="132" t="s">
        <v>5460</v>
      </c>
      <c r="ID18" s="132" t="s">
        <v>5869</v>
      </c>
      <c r="IE18" s="132" t="s">
        <v>5760</v>
      </c>
      <c r="IF18" s="132" t="s">
        <v>5761</v>
      </c>
      <c r="IG18" s="171">
        <v>43756</v>
      </c>
      <c r="IH18" s="171">
        <v>45583</v>
      </c>
      <c r="II18" s="6">
        <v>37</v>
      </c>
    </row>
    <row r="19" spans="1:243" ht="165.75">
      <c r="A19" s="5">
        <v>18</v>
      </c>
      <c r="B19" s="132" t="s">
        <v>5723</v>
      </c>
      <c r="C19" s="132" t="s">
        <v>5723</v>
      </c>
      <c r="D19" s="5" t="s">
        <v>5590</v>
      </c>
      <c r="E19" s="107" t="s">
        <v>5591</v>
      </c>
      <c r="F19" s="5" t="s">
        <v>5351</v>
      </c>
      <c r="G19" s="5">
        <v>105.840384</v>
      </c>
      <c r="H19" s="5">
        <v>20.962544999999999</v>
      </c>
      <c r="I19" s="5">
        <v>1</v>
      </c>
      <c r="J19" s="5">
        <v>2</v>
      </c>
      <c r="K19" s="5" t="s">
        <v>5762</v>
      </c>
      <c r="L19" s="5" t="s">
        <v>5870</v>
      </c>
      <c r="M19" s="5" t="s">
        <v>5764</v>
      </c>
      <c r="N19" s="5" t="s">
        <v>5765</v>
      </c>
      <c r="O19" s="5" t="s">
        <v>5766</v>
      </c>
      <c r="P19" s="5" t="s">
        <v>5767</v>
      </c>
      <c r="Q19" s="5" t="s">
        <v>5768</v>
      </c>
      <c r="R19" s="5" t="s">
        <v>5871</v>
      </c>
      <c r="S19" s="152" t="b">
        <v>1</v>
      </c>
      <c r="T19" s="5" t="s">
        <v>5592</v>
      </c>
      <c r="U19" s="5">
        <v>0</v>
      </c>
      <c r="V19" s="5" t="s">
        <v>5732</v>
      </c>
      <c r="W19" s="5" t="s">
        <v>5593</v>
      </c>
      <c r="X19" s="7" t="s">
        <v>5733</v>
      </c>
      <c r="Y19" s="5" t="b">
        <v>0</v>
      </c>
      <c r="Z19" s="152" t="b">
        <v>0</v>
      </c>
      <c r="AA19" s="5">
        <v>22</v>
      </c>
      <c r="AB19" s="152" t="b">
        <v>1</v>
      </c>
      <c r="AC19" s="5">
        <v>12</v>
      </c>
      <c r="AD19" s="5" t="b">
        <v>0</v>
      </c>
      <c r="AE19" s="5" t="s">
        <v>5734</v>
      </c>
      <c r="AF19" s="5" t="s">
        <v>5735</v>
      </c>
      <c r="AG19" s="132" t="s">
        <v>5736</v>
      </c>
      <c r="AH19" s="132" t="s">
        <v>5737</v>
      </c>
      <c r="AI19" s="132" t="s">
        <v>5479</v>
      </c>
      <c r="AJ19" s="132" t="s">
        <v>5738</v>
      </c>
      <c r="AK19" s="132" t="s">
        <v>5739</v>
      </c>
      <c r="AL19" s="6"/>
      <c r="AM19" s="6" t="s">
        <v>5740</v>
      </c>
      <c r="AN19" s="6" t="s">
        <v>5741</v>
      </c>
      <c r="AO19" s="5">
        <v>5</v>
      </c>
      <c r="AP19" s="85" t="s">
        <v>5742</v>
      </c>
      <c r="AQ19" s="233" t="s">
        <v>5835</v>
      </c>
      <c r="AR19" s="233" t="s">
        <v>5836</v>
      </c>
      <c r="AS19" s="234" t="s">
        <v>5350</v>
      </c>
      <c r="AT19" s="6" t="s">
        <v>5741</v>
      </c>
      <c r="AU19" s="6" t="s">
        <v>5741</v>
      </c>
      <c r="AV19" s="6" t="s">
        <v>5738</v>
      </c>
      <c r="AW19" s="6" t="s">
        <v>5738</v>
      </c>
      <c r="AX19" s="6" t="s">
        <v>5738</v>
      </c>
      <c r="AY19" s="6" t="s">
        <v>5738</v>
      </c>
      <c r="AZ19" s="6" t="s">
        <v>5723</v>
      </c>
      <c r="BA19" s="6" t="s">
        <v>5723</v>
      </c>
      <c r="BB19" s="6" t="s">
        <v>5738</v>
      </c>
      <c r="BC19" s="6" t="s">
        <v>5738</v>
      </c>
      <c r="BD19" s="6" t="s">
        <v>5738</v>
      </c>
      <c r="BE19" s="6" t="s">
        <v>5738</v>
      </c>
      <c r="BF19" s="6" t="s">
        <v>5771</v>
      </c>
      <c r="BG19" s="6" t="s">
        <v>5590</v>
      </c>
      <c r="BH19" s="6" t="s">
        <v>5590</v>
      </c>
      <c r="BI19" s="6" t="s">
        <v>5738</v>
      </c>
      <c r="BJ19" s="6" t="s">
        <v>5738</v>
      </c>
      <c r="BK19" s="6" t="s">
        <v>5738</v>
      </c>
      <c r="BL19" s="6" t="s">
        <v>5738</v>
      </c>
      <c r="BM19" s="6" t="s">
        <v>5747</v>
      </c>
      <c r="BN19" s="6" t="s">
        <v>5748</v>
      </c>
      <c r="BO19" s="6" t="s">
        <v>5738</v>
      </c>
      <c r="BP19" s="6" t="s">
        <v>5738</v>
      </c>
      <c r="BQ19" s="6" t="s">
        <v>5738</v>
      </c>
      <c r="BR19" s="6" t="s">
        <v>5738</v>
      </c>
      <c r="BS19" s="6">
        <v>3</v>
      </c>
      <c r="BT19" s="6">
        <v>3</v>
      </c>
      <c r="BU19" s="6">
        <v>0</v>
      </c>
      <c r="BV19" s="6">
        <v>0</v>
      </c>
      <c r="BW19" s="6">
        <v>0</v>
      </c>
      <c r="BX19" s="6">
        <v>0</v>
      </c>
      <c r="BY19" s="6" t="s">
        <v>5467</v>
      </c>
      <c r="BZ19" s="6">
        <v>2</v>
      </c>
      <c r="CA19" s="6">
        <v>2</v>
      </c>
      <c r="CB19" s="6">
        <v>2</v>
      </c>
      <c r="CC19" s="6">
        <v>0</v>
      </c>
      <c r="CD19" s="6">
        <v>0</v>
      </c>
      <c r="CE19" s="6">
        <v>0</v>
      </c>
      <c r="CF19" s="6" t="s">
        <v>5749</v>
      </c>
      <c r="CG19" s="6">
        <v>1</v>
      </c>
      <c r="CH19" s="6">
        <v>1</v>
      </c>
      <c r="CI19" s="6">
        <v>1</v>
      </c>
      <c r="CJ19" s="6">
        <v>0</v>
      </c>
      <c r="CK19" s="6">
        <v>0</v>
      </c>
      <c r="CL19" s="6">
        <v>0</v>
      </c>
      <c r="CM19" s="6" t="s">
        <v>5738</v>
      </c>
      <c r="CN19" s="6">
        <v>0</v>
      </c>
      <c r="CO19" s="6">
        <v>0</v>
      </c>
      <c r="CP19" s="6">
        <v>0</v>
      </c>
      <c r="CQ19" s="6">
        <v>0</v>
      </c>
      <c r="CR19" s="6">
        <v>0</v>
      </c>
      <c r="CS19" s="6">
        <v>0</v>
      </c>
      <c r="CT19" s="6" t="s">
        <v>5738</v>
      </c>
      <c r="CU19" s="6">
        <v>0</v>
      </c>
      <c r="CV19" s="6">
        <v>0</v>
      </c>
      <c r="CW19" s="6">
        <v>0</v>
      </c>
      <c r="CX19" s="6">
        <v>0</v>
      </c>
      <c r="CY19" s="6">
        <v>0</v>
      </c>
      <c r="CZ19" s="6">
        <v>0</v>
      </c>
      <c r="DA19" s="6" t="s">
        <v>5738</v>
      </c>
      <c r="DB19" s="6">
        <v>0</v>
      </c>
      <c r="DC19" s="6">
        <v>0</v>
      </c>
      <c r="DD19" s="6">
        <v>0</v>
      </c>
      <c r="DE19" s="6">
        <v>0</v>
      </c>
      <c r="DF19" s="6">
        <v>0</v>
      </c>
      <c r="DG19" s="6">
        <v>0</v>
      </c>
      <c r="DH19" s="6" t="s">
        <v>5738</v>
      </c>
      <c r="DI19" s="6">
        <v>0</v>
      </c>
      <c r="DJ19" s="6">
        <v>0</v>
      </c>
      <c r="DK19" s="6">
        <v>0</v>
      </c>
      <c r="DL19" s="6">
        <v>0</v>
      </c>
      <c r="DM19" s="6">
        <v>0</v>
      </c>
      <c r="DN19" s="6">
        <v>0</v>
      </c>
      <c r="DO19" s="6" t="s">
        <v>5752</v>
      </c>
      <c r="DP19" s="6">
        <v>60</v>
      </c>
      <c r="DQ19" s="6">
        <v>60</v>
      </c>
      <c r="DR19" s="6">
        <v>60</v>
      </c>
      <c r="DS19" s="6">
        <v>0</v>
      </c>
      <c r="DT19" s="6">
        <v>0</v>
      </c>
      <c r="DU19" s="6">
        <v>0</v>
      </c>
      <c r="DV19" s="6" t="s">
        <v>5753</v>
      </c>
      <c r="DW19" s="6">
        <v>60</v>
      </c>
      <c r="DX19" s="6" t="s">
        <v>5752</v>
      </c>
      <c r="DY19" s="6">
        <v>60</v>
      </c>
      <c r="DZ19" s="6">
        <v>60</v>
      </c>
      <c r="EA19" s="6">
        <v>60</v>
      </c>
      <c r="EB19" s="6">
        <v>0</v>
      </c>
      <c r="EC19" s="6">
        <v>0</v>
      </c>
      <c r="ED19" s="6">
        <v>0</v>
      </c>
      <c r="EE19" s="6" t="s">
        <v>5753</v>
      </c>
      <c r="EF19" s="6">
        <v>60</v>
      </c>
      <c r="EG19" s="6" t="s">
        <v>5738</v>
      </c>
      <c r="EH19" s="6">
        <v>0</v>
      </c>
      <c r="EI19" s="6">
        <v>0</v>
      </c>
      <c r="EJ19" s="6">
        <v>0</v>
      </c>
      <c r="EK19" s="6">
        <v>0</v>
      </c>
      <c r="EL19" s="6">
        <v>0</v>
      </c>
      <c r="EM19" s="6">
        <v>0</v>
      </c>
      <c r="EN19" s="6" t="s">
        <v>5738</v>
      </c>
      <c r="EO19" s="6">
        <v>0</v>
      </c>
      <c r="EP19" s="6" t="s">
        <v>5738</v>
      </c>
      <c r="EQ19" s="6">
        <v>0</v>
      </c>
      <c r="ER19" s="6">
        <v>0</v>
      </c>
      <c r="ES19" s="6">
        <v>0</v>
      </c>
      <c r="ET19" s="6">
        <v>0</v>
      </c>
      <c r="EU19" s="6">
        <v>0</v>
      </c>
      <c r="EV19" s="6">
        <v>0</v>
      </c>
      <c r="EW19" s="6" t="s">
        <v>5738</v>
      </c>
      <c r="EX19" s="6">
        <v>0</v>
      </c>
      <c r="EY19" s="6" t="s">
        <v>5738</v>
      </c>
      <c r="EZ19" s="6">
        <v>0</v>
      </c>
      <c r="FA19" s="6">
        <v>0</v>
      </c>
      <c r="FB19" s="6">
        <v>0</v>
      </c>
      <c r="FC19" s="6">
        <v>0</v>
      </c>
      <c r="FD19" s="6">
        <v>0</v>
      </c>
      <c r="FE19" s="6">
        <v>0</v>
      </c>
      <c r="FF19" s="6" t="s">
        <v>5738</v>
      </c>
      <c r="FG19" s="6">
        <v>0</v>
      </c>
      <c r="FH19" s="6" t="s">
        <v>5738</v>
      </c>
      <c r="FI19" s="6">
        <v>0</v>
      </c>
      <c r="FJ19" s="6">
        <v>0</v>
      </c>
      <c r="FK19" s="6">
        <v>0</v>
      </c>
      <c r="FL19" s="6">
        <v>0</v>
      </c>
      <c r="FM19" s="6">
        <v>0</v>
      </c>
      <c r="FN19" s="6">
        <v>0</v>
      </c>
      <c r="FO19" s="6" t="s">
        <v>5738</v>
      </c>
      <c r="FP19" s="6">
        <v>0</v>
      </c>
      <c r="FQ19" s="6">
        <v>60</v>
      </c>
      <c r="FR19" s="6" t="s">
        <v>5754</v>
      </c>
      <c r="FS19" s="6" t="s">
        <v>5755</v>
      </c>
      <c r="FT19" s="6" t="s">
        <v>5738</v>
      </c>
      <c r="FU19" s="6" t="s">
        <v>5738</v>
      </c>
      <c r="FV19" s="6" t="s">
        <v>5738</v>
      </c>
      <c r="FW19" s="6" t="s">
        <v>5738</v>
      </c>
      <c r="FX19" s="6" t="s">
        <v>5872</v>
      </c>
      <c r="FY19" s="6">
        <v>22</v>
      </c>
      <c r="FZ19" s="6">
        <v>22</v>
      </c>
      <c r="GA19" s="6">
        <v>22</v>
      </c>
      <c r="GB19" s="6">
        <v>0</v>
      </c>
      <c r="GC19" s="6">
        <v>0</v>
      </c>
      <c r="GD19" s="6">
        <v>0</v>
      </c>
      <c r="GE19" s="6" t="s">
        <v>5873</v>
      </c>
      <c r="GF19" s="6" t="s">
        <v>5872</v>
      </c>
      <c r="GG19" s="6">
        <v>22</v>
      </c>
      <c r="GH19" s="6">
        <v>22</v>
      </c>
      <c r="GI19" s="6">
        <v>22</v>
      </c>
      <c r="GJ19" s="6">
        <v>0</v>
      </c>
      <c r="GK19" s="6">
        <v>0</v>
      </c>
      <c r="GL19" s="6">
        <v>0</v>
      </c>
      <c r="GM19" s="6" t="s">
        <v>5873</v>
      </c>
      <c r="GN19" s="6" t="s">
        <v>5738</v>
      </c>
      <c r="GO19" s="6">
        <v>0</v>
      </c>
      <c r="GP19" s="6">
        <v>0</v>
      </c>
      <c r="GQ19" s="6">
        <v>0</v>
      </c>
      <c r="GR19" s="6">
        <v>0</v>
      </c>
      <c r="GS19" s="6">
        <v>0</v>
      </c>
      <c r="GT19" s="6">
        <v>0</v>
      </c>
      <c r="GU19" s="6" t="s">
        <v>5738</v>
      </c>
      <c r="GV19" s="6" t="s">
        <v>5738</v>
      </c>
      <c r="GW19" s="6">
        <v>0</v>
      </c>
      <c r="GX19" s="6">
        <v>0</v>
      </c>
      <c r="GY19" s="6">
        <v>0</v>
      </c>
      <c r="GZ19" s="6">
        <v>0</v>
      </c>
      <c r="HA19" s="6">
        <v>0</v>
      </c>
      <c r="HB19" s="6">
        <v>0</v>
      </c>
      <c r="HC19" s="6" t="s">
        <v>5738</v>
      </c>
      <c r="HD19" s="6" t="s">
        <v>5738</v>
      </c>
      <c r="HE19" s="6">
        <v>0</v>
      </c>
      <c r="HF19" s="6">
        <v>0</v>
      </c>
      <c r="HG19" s="6">
        <v>0</v>
      </c>
      <c r="HH19" s="6">
        <v>0</v>
      </c>
      <c r="HI19" s="6">
        <v>0</v>
      </c>
      <c r="HJ19" s="6">
        <v>0</v>
      </c>
      <c r="HK19" s="6" t="s">
        <v>5738</v>
      </c>
      <c r="HL19" s="6" t="s">
        <v>5738</v>
      </c>
      <c r="HM19" s="6">
        <v>0</v>
      </c>
      <c r="HN19" s="6">
        <v>0</v>
      </c>
      <c r="HO19" s="6">
        <v>0</v>
      </c>
      <c r="HP19" s="6">
        <v>0</v>
      </c>
      <c r="HQ19" s="6">
        <v>0</v>
      </c>
      <c r="HR19" s="6">
        <v>0</v>
      </c>
      <c r="HS19" s="6" t="s">
        <v>5738</v>
      </c>
      <c r="HT19" s="6" t="s">
        <v>5758</v>
      </c>
      <c r="HU19" s="6">
        <v>22</v>
      </c>
      <c r="HV19" s="6">
        <v>22</v>
      </c>
      <c r="HW19" s="6">
        <v>0</v>
      </c>
      <c r="HX19" s="6">
        <v>0</v>
      </c>
      <c r="HY19" s="6">
        <v>0</v>
      </c>
      <c r="HZ19" s="6">
        <v>0</v>
      </c>
      <c r="IA19" s="5">
        <v>22</v>
      </c>
      <c r="IB19" s="5">
        <v>10</v>
      </c>
      <c r="IC19" s="132" t="s">
        <v>5460</v>
      </c>
      <c r="ID19" s="132" t="s">
        <v>5874</v>
      </c>
      <c r="IE19" s="132" t="s">
        <v>5760</v>
      </c>
      <c r="IF19" s="132" t="s">
        <v>5761</v>
      </c>
      <c r="IG19" s="171">
        <v>43756</v>
      </c>
      <c r="IH19" s="171">
        <v>45583</v>
      </c>
      <c r="II19" s="6">
        <v>37</v>
      </c>
    </row>
    <row r="20" spans="1:243" ht="165.75">
      <c r="A20" s="5">
        <v>19</v>
      </c>
      <c r="B20" s="132" t="s">
        <v>5723</v>
      </c>
      <c r="C20" s="132" t="s">
        <v>5723</v>
      </c>
      <c r="D20" s="5" t="s">
        <v>5594</v>
      </c>
      <c r="E20" s="107" t="s">
        <v>5595</v>
      </c>
      <c r="F20" s="5" t="s">
        <v>5351</v>
      </c>
      <c r="G20" s="5">
        <v>105.844472</v>
      </c>
      <c r="H20" s="5">
        <v>20.955057</v>
      </c>
      <c r="I20" s="5">
        <v>1</v>
      </c>
      <c r="J20" s="5">
        <v>2</v>
      </c>
      <c r="K20" s="5" t="s">
        <v>5762</v>
      </c>
      <c r="L20" s="5" t="s">
        <v>5875</v>
      </c>
      <c r="M20" s="5" t="s">
        <v>5764</v>
      </c>
      <c r="N20" s="5" t="s">
        <v>5765</v>
      </c>
      <c r="O20" s="5" t="s">
        <v>5766</v>
      </c>
      <c r="P20" s="5" t="s">
        <v>5767</v>
      </c>
      <c r="Q20" s="5" t="s">
        <v>5768</v>
      </c>
      <c r="R20" s="5" t="s">
        <v>5841</v>
      </c>
      <c r="S20" s="152" t="b">
        <v>1</v>
      </c>
      <c r="T20" s="5" t="s">
        <v>5596</v>
      </c>
      <c r="U20" s="5">
        <v>0</v>
      </c>
      <c r="V20" s="5" t="s">
        <v>5732</v>
      </c>
      <c r="W20" s="5" t="s">
        <v>5597</v>
      </c>
      <c r="X20" s="7" t="s">
        <v>5733</v>
      </c>
      <c r="Y20" s="5" t="b">
        <v>0</v>
      </c>
      <c r="Z20" s="152" t="b">
        <v>0</v>
      </c>
      <c r="AA20" s="5">
        <v>24</v>
      </c>
      <c r="AB20" s="152" t="b">
        <v>1</v>
      </c>
      <c r="AC20" s="5">
        <v>20</v>
      </c>
      <c r="AD20" s="5" t="b">
        <v>0</v>
      </c>
      <c r="AE20" s="5" t="s">
        <v>5734</v>
      </c>
      <c r="AF20" s="5" t="s">
        <v>5735</v>
      </c>
      <c r="AG20" s="132" t="s">
        <v>5736</v>
      </c>
      <c r="AH20" s="132" t="s">
        <v>5737</v>
      </c>
      <c r="AI20" s="132" t="s">
        <v>5479</v>
      </c>
      <c r="AJ20" s="132" t="s">
        <v>5738</v>
      </c>
      <c r="AK20" s="132" t="s">
        <v>5739</v>
      </c>
      <c r="AL20" s="6"/>
      <c r="AM20" s="6" t="s">
        <v>5740</v>
      </c>
      <c r="AN20" s="6" t="s">
        <v>5741</v>
      </c>
      <c r="AO20" s="5">
        <v>6</v>
      </c>
      <c r="AP20" s="85" t="s">
        <v>5742</v>
      </c>
      <c r="AQ20" s="233" t="s">
        <v>5835</v>
      </c>
      <c r="AR20" s="233" t="s">
        <v>5836</v>
      </c>
      <c r="AS20" s="234" t="s">
        <v>5350</v>
      </c>
      <c r="AT20" s="6" t="s">
        <v>5741</v>
      </c>
      <c r="AU20" s="6" t="s">
        <v>5741</v>
      </c>
      <c r="AV20" s="6" t="s">
        <v>5738</v>
      </c>
      <c r="AW20" s="6" t="s">
        <v>5738</v>
      </c>
      <c r="AX20" s="6" t="s">
        <v>5738</v>
      </c>
      <c r="AY20" s="6" t="s">
        <v>5738</v>
      </c>
      <c r="AZ20" s="6" t="s">
        <v>5723</v>
      </c>
      <c r="BA20" s="6" t="s">
        <v>5723</v>
      </c>
      <c r="BB20" s="6" t="s">
        <v>5738</v>
      </c>
      <c r="BC20" s="6" t="s">
        <v>5738</v>
      </c>
      <c r="BD20" s="6" t="s">
        <v>5738</v>
      </c>
      <c r="BE20" s="6" t="s">
        <v>5738</v>
      </c>
      <c r="BF20" s="6" t="s">
        <v>5771</v>
      </c>
      <c r="BG20" s="6" t="s">
        <v>5594</v>
      </c>
      <c r="BH20" s="6" t="s">
        <v>5594</v>
      </c>
      <c r="BI20" s="6" t="s">
        <v>5738</v>
      </c>
      <c r="BJ20" s="6" t="s">
        <v>5738</v>
      </c>
      <c r="BK20" s="6" t="s">
        <v>5738</v>
      </c>
      <c r="BL20" s="6" t="s">
        <v>5738</v>
      </c>
      <c r="BM20" s="6" t="s">
        <v>5747</v>
      </c>
      <c r="BN20" s="6" t="s">
        <v>5748</v>
      </c>
      <c r="BO20" s="6" t="s">
        <v>5738</v>
      </c>
      <c r="BP20" s="6" t="s">
        <v>5738</v>
      </c>
      <c r="BQ20" s="6" t="s">
        <v>5738</v>
      </c>
      <c r="BR20" s="6" t="s">
        <v>5738</v>
      </c>
      <c r="BS20" s="6">
        <v>3</v>
      </c>
      <c r="BT20" s="6">
        <v>3</v>
      </c>
      <c r="BU20" s="6">
        <v>0</v>
      </c>
      <c r="BV20" s="6">
        <v>0</v>
      </c>
      <c r="BW20" s="6">
        <v>0</v>
      </c>
      <c r="BX20" s="6">
        <v>0</v>
      </c>
      <c r="BY20" s="6" t="s">
        <v>5467</v>
      </c>
      <c r="BZ20" s="6">
        <v>2</v>
      </c>
      <c r="CA20" s="6">
        <v>2</v>
      </c>
      <c r="CB20" s="6">
        <v>2</v>
      </c>
      <c r="CC20" s="6">
        <v>0</v>
      </c>
      <c r="CD20" s="6">
        <v>0</v>
      </c>
      <c r="CE20" s="6">
        <v>0</v>
      </c>
      <c r="CF20" s="6" t="s">
        <v>5749</v>
      </c>
      <c r="CG20" s="6">
        <v>1</v>
      </c>
      <c r="CH20" s="6">
        <v>1</v>
      </c>
      <c r="CI20" s="6">
        <v>1</v>
      </c>
      <c r="CJ20" s="6">
        <v>0</v>
      </c>
      <c r="CK20" s="6">
        <v>0</v>
      </c>
      <c r="CL20" s="6">
        <v>0</v>
      </c>
      <c r="CM20" s="6" t="s">
        <v>5738</v>
      </c>
      <c r="CN20" s="6">
        <v>0</v>
      </c>
      <c r="CO20" s="6">
        <v>0</v>
      </c>
      <c r="CP20" s="6">
        <v>0</v>
      </c>
      <c r="CQ20" s="6">
        <v>0</v>
      </c>
      <c r="CR20" s="6">
        <v>0</v>
      </c>
      <c r="CS20" s="6">
        <v>0</v>
      </c>
      <c r="CT20" s="6" t="s">
        <v>5738</v>
      </c>
      <c r="CU20" s="6">
        <v>0</v>
      </c>
      <c r="CV20" s="6">
        <v>0</v>
      </c>
      <c r="CW20" s="6">
        <v>0</v>
      </c>
      <c r="CX20" s="6">
        <v>0</v>
      </c>
      <c r="CY20" s="6">
        <v>0</v>
      </c>
      <c r="CZ20" s="6">
        <v>0</v>
      </c>
      <c r="DA20" s="6" t="s">
        <v>5738</v>
      </c>
      <c r="DB20" s="6">
        <v>0</v>
      </c>
      <c r="DC20" s="6">
        <v>0</v>
      </c>
      <c r="DD20" s="6">
        <v>0</v>
      </c>
      <c r="DE20" s="6">
        <v>0</v>
      </c>
      <c r="DF20" s="6">
        <v>0</v>
      </c>
      <c r="DG20" s="6">
        <v>0</v>
      </c>
      <c r="DH20" s="6" t="s">
        <v>5738</v>
      </c>
      <c r="DI20" s="6">
        <v>0</v>
      </c>
      <c r="DJ20" s="6">
        <v>0</v>
      </c>
      <c r="DK20" s="6">
        <v>0</v>
      </c>
      <c r="DL20" s="6">
        <v>0</v>
      </c>
      <c r="DM20" s="6">
        <v>0</v>
      </c>
      <c r="DN20" s="6">
        <v>0</v>
      </c>
      <c r="DO20" s="6" t="s">
        <v>5752</v>
      </c>
      <c r="DP20" s="6">
        <v>60</v>
      </c>
      <c r="DQ20" s="6">
        <v>60</v>
      </c>
      <c r="DR20" s="6">
        <v>60</v>
      </c>
      <c r="DS20" s="6">
        <v>0</v>
      </c>
      <c r="DT20" s="6">
        <v>0</v>
      </c>
      <c r="DU20" s="6">
        <v>0</v>
      </c>
      <c r="DV20" s="6" t="s">
        <v>5753</v>
      </c>
      <c r="DW20" s="6">
        <v>60</v>
      </c>
      <c r="DX20" s="6" t="s">
        <v>5752</v>
      </c>
      <c r="DY20" s="6">
        <v>60</v>
      </c>
      <c r="DZ20" s="6">
        <v>60</v>
      </c>
      <c r="EA20" s="6">
        <v>60</v>
      </c>
      <c r="EB20" s="6">
        <v>0</v>
      </c>
      <c r="EC20" s="6">
        <v>0</v>
      </c>
      <c r="ED20" s="6">
        <v>0</v>
      </c>
      <c r="EE20" s="6" t="s">
        <v>5753</v>
      </c>
      <c r="EF20" s="6">
        <v>60</v>
      </c>
      <c r="EG20" s="6" t="s">
        <v>5738</v>
      </c>
      <c r="EH20" s="6">
        <v>0</v>
      </c>
      <c r="EI20" s="6">
        <v>0</v>
      </c>
      <c r="EJ20" s="6">
        <v>0</v>
      </c>
      <c r="EK20" s="6">
        <v>0</v>
      </c>
      <c r="EL20" s="6">
        <v>0</v>
      </c>
      <c r="EM20" s="6">
        <v>0</v>
      </c>
      <c r="EN20" s="6" t="s">
        <v>5738</v>
      </c>
      <c r="EO20" s="6">
        <v>0</v>
      </c>
      <c r="EP20" s="6" t="s">
        <v>5738</v>
      </c>
      <c r="EQ20" s="6">
        <v>0</v>
      </c>
      <c r="ER20" s="6">
        <v>0</v>
      </c>
      <c r="ES20" s="6">
        <v>0</v>
      </c>
      <c r="ET20" s="6">
        <v>0</v>
      </c>
      <c r="EU20" s="6">
        <v>0</v>
      </c>
      <c r="EV20" s="6">
        <v>0</v>
      </c>
      <c r="EW20" s="6" t="s">
        <v>5738</v>
      </c>
      <c r="EX20" s="6">
        <v>0</v>
      </c>
      <c r="EY20" s="6" t="s">
        <v>5738</v>
      </c>
      <c r="EZ20" s="6">
        <v>0</v>
      </c>
      <c r="FA20" s="6">
        <v>0</v>
      </c>
      <c r="FB20" s="6">
        <v>0</v>
      </c>
      <c r="FC20" s="6">
        <v>0</v>
      </c>
      <c r="FD20" s="6">
        <v>0</v>
      </c>
      <c r="FE20" s="6">
        <v>0</v>
      </c>
      <c r="FF20" s="6" t="s">
        <v>5738</v>
      </c>
      <c r="FG20" s="6">
        <v>0</v>
      </c>
      <c r="FH20" s="6" t="s">
        <v>5738</v>
      </c>
      <c r="FI20" s="6">
        <v>0</v>
      </c>
      <c r="FJ20" s="6">
        <v>0</v>
      </c>
      <c r="FK20" s="6">
        <v>0</v>
      </c>
      <c r="FL20" s="6">
        <v>0</v>
      </c>
      <c r="FM20" s="6">
        <v>0</v>
      </c>
      <c r="FN20" s="6">
        <v>0</v>
      </c>
      <c r="FO20" s="6" t="s">
        <v>5738</v>
      </c>
      <c r="FP20" s="6">
        <v>0</v>
      </c>
      <c r="FQ20" s="6">
        <v>60</v>
      </c>
      <c r="FR20" s="6" t="s">
        <v>5754</v>
      </c>
      <c r="FS20" s="6" t="s">
        <v>5755</v>
      </c>
      <c r="FT20" s="6" t="s">
        <v>5738</v>
      </c>
      <c r="FU20" s="6" t="s">
        <v>5738</v>
      </c>
      <c r="FV20" s="6" t="s">
        <v>5738</v>
      </c>
      <c r="FW20" s="6" t="s">
        <v>5738</v>
      </c>
      <c r="FX20" s="6" t="s">
        <v>5843</v>
      </c>
      <c r="FY20" s="6">
        <v>24</v>
      </c>
      <c r="FZ20" s="6">
        <v>24</v>
      </c>
      <c r="GA20" s="6">
        <v>24</v>
      </c>
      <c r="GB20" s="6">
        <v>0</v>
      </c>
      <c r="GC20" s="6">
        <v>0</v>
      </c>
      <c r="GD20" s="6">
        <v>0</v>
      </c>
      <c r="GE20" s="6" t="s">
        <v>5844</v>
      </c>
      <c r="GF20" s="6" t="s">
        <v>5843</v>
      </c>
      <c r="GG20" s="6">
        <v>24</v>
      </c>
      <c r="GH20" s="6">
        <v>24</v>
      </c>
      <c r="GI20" s="6">
        <v>24</v>
      </c>
      <c r="GJ20" s="6">
        <v>0</v>
      </c>
      <c r="GK20" s="6">
        <v>0</v>
      </c>
      <c r="GL20" s="6">
        <v>0</v>
      </c>
      <c r="GM20" s="6" t="s">
        <v>5844</v>
      </c>
      <c r="GN20" s="6" t="s">
        <v>5738</v>
      </c>
      <c r="GO20" s="6">
        <v>0</v>
      </c>
      <c r="GP20" s="6">
        <v>0</v>
      </c>
      <c r="GQ20" s="6">
        <v>0</v>
      </c>
      <c r="GR20" s="6">
        <v>0</v>
      </c>
      <c r="GS20" s="6">
        <v>0</v>
      </c>
      <c r="GT20" s="6">
        <v>0</v>
      </c>
      <c r="GU20" s="6" t="s">
        <v>5738</v>
      </c>
      <c r="GV20" s="6" t="s">
        <v>5738</v>
      </c>
      <c r="GW20" s="6">
        <v>0</v>
      </c>
      <c r="GX20" s="6">
        <v>0</v>
      </c>
      <c r="GY20" s="6">
        <v>0</v>
      </c>
      <c r="GZ20" s="6">
        <v>0</v>
      </c>
      <c r="HA20" s="6">
        <v>0</v>
      </c>
      <c r="HB20" s="6">
        <v>0</v>
      </c>
      <c r="HC20" s="6" t="s">
        <v>5738</v>
      </c>
      <c r="HD20" s="6" t="s">
        <v>5738</v>
      </c>
      <c r="HE20" s="6">
        <v>0</v>
      </c>
      <c r="HF20" s="6">
        <v>0</v>
      </c>
      <c r="HG20" s="6">
        <v>0</v>
      </c>
      <c r="HH20" s="6">
        <v>0</v>
      </c>
      <c r="HI20" s="6">
        <v>0</v>
      </c>
      <c r="HJ20" s="6">
        <v>0</v>
      </c>
      <c r="HK20" s="6" t="s">
        <v>5738</v>
      </c>
      <c r="HL20" s="6" t="s">
        <v>5738</v>
      </c>
      <c r="HM20" s="6">
        <v>0</v>
      </c>
      <c r="HN20" s="6">
        <v>0</v>
      </c>
      <c r="HO20" s="6">
        <v>0</v>
      </c>
      <c r="HP20" s="6">
        <v>0</v>
      </c>
      <c r="HQ20" s="6">
        <v>0</v>
      </c>
      <c r="HR20" s="6">
        <v>0</v>
      </c>
      <c r="HS20" s="6" t="s">
        <v>5738</v>
      </c>
      <c r="HT20" s="6" t="s">
        <v>5758</v>
      </c>
      <c r="HU20" s="6">
        <v>24</v>
      </c>
      <c r="HV20" s="6">
        <v>24</v>
      </c>
      <c r="HW20" s="6">
        <v>0</v>
      </c>
      <c r="HX20" s="6">
        <v>0</v>
      </c>
      <c r="HY20" s="6">
        <v>0</v>
      </c>
      <c r="HZ20" s="6">
        <v>0</v>
      </c>
      <c r="IA20" s="5">
        <v>24</v>
      </c>
      <c r="IB20" s="5">
        <v>4</v>
      </c>
      <c r="IC20" s="132" t="s">
        <v>5460</v>
      </c>
      <c r="ID20" s="132" t="s">
        <v>5876</v>
      </c>
      <c r="IE20" s="132" t="s">
        <v>5760</v>
      </c>
      <c r="IF20" s="132" t="s">
        <v>5761</v>
      </c>
      <c r="IG20" s="171">
        <v>43756</v>
      </c>
      <c r="IH20" s="171">
        <v>45583</v>
      </c>
      <c r="II20" s="6">
        <v>37</v>
      </c>
    </row>
    <row r="21" spans="1:243" ht="76.5">
      <c r="A21" s="5">
        <v>20</v>
      </c>
      <c r="B21" s="132" t="s">
        <v>5723</v>
      </c>
      <c r="C21" s="132" t="s">
        <v>5723</v>
      </c>
      <c r="D21" s="5" t="s">
        <v>5598</v>
      </c>
      <c r="E21" s="107" t="s">
        <v>5599</v>
      </c>
      <c r="F21" s="5" t="s">
        <v>5351</v>
      </c>
      <c r="G21" s="5">
        <v>105.84561100000001</v>
      </c>
      <c r="H21" s="5">
        <v>20.936084999999999</v>
      </c>
      <c r="I21" s="5">
        <v>1</v>
      </c>
      <c r="J21" s="5">
        <v>2</v>
      </c>
      <c r="K21" s="5" t="s">
        <v>5762</v>
      </c>
      <c r="L21" s="5" t="s">
        <v>5877</v>
      </c>
      <c r="M21" s="5" t="s">
        <v>5830</v>
      </c>
      <c r="N21" s="5" t="s">
        <v>5765</v>
      </c>
      <c r="O21" s="5" t="s">
        <v>5831</v>
      </c>
      <c r="P21" s="5" t="s">
        <v>5832</v>
      </c>
      <c r="Q21" s="5" t="s">
        <v>5878</v>
      </c>
      <c r="R21" s="5" t="s">
        <v>5879</v>
      </c>
      <c r="S21" s="152" t="b">
        <v>1</v>
      </c>
      <c r="T21" s="5" t="s">
        <v>5600</v>
      </c>
      <c r="U21" s="5">
        <v>0</v>
      </c>
      <c r="V21" s="5" t="s">
        <v>5732</v>
      </c>
      <c r="W21" s="5" t="s">
        <v>5601</v>
      </c>
      <c r="X21" s="7" t="s">
        <v>5733</v>
      </c>
      <c r="Y21" s="5" t="b">
        <v>0</v>
      </c>
      <c r="Z21" s="152" t="b">
        <v>0</v>
      </c>
      <c r="AA21" s="5">
        <v>27</v>
      </c>
      <c r="AB21" s="152" t="b">
        <v>1</v>
      </c>
      <c r="AC21" s="5">
        <v>12</v>
      </c>
      <c r="AD21" s="5" t="b">
        <v>0</v>
      </c>
      <c r="AE21" s="5" t="s">
        <v>5734</v>
      </c>
      <c r="AF21" s="5" t="s">
        <v>5735</v>
      </c>
      <c r="AG21" s="132" t="s">
        <v>5736</v>
      </c>
      <c r="AH21" s="132" t="s">
        <v>5737</v>
      </c>
      <c r="AI21" s="132" t="s">
        <v>5479</v>
      </c>
      <c r="AJ21" s="132" t="s">
        <v>5738</v>
      </c>
      <c r="AK21" s="132" t="s">
        <v>5739</v>
      </c>
      <c r="AL21" s="6"/>
      <c r="AM21" s="6" t="s">
        <v>5740</v>
      </c>
      <c r="AN21" s="6" t="s">
        <v>5741</v>
      </c>
      <c r="AO21" s="5">
        <v>5</v>
      </c>
      <c r="AP21" s="85" t="s">
        <v>5742</v>
      </c>
      <c r="AQ21" s="233" t="s">
        <v>5880</v>
      </c>
      <c r="AR21" s="233" t="s">
        <v>5881</v>
      </c>
      <c r="AS21" s="234" t="s">
        <v>5350</v>
      </c>
      <c r="AT21" s="6" t="s">
        <v>5741</v>
      </c>
      <c r="AU21" s="6" t="s">
        <v>5741</v>
      </c>
      <c r="AV21" s="6" t="s">
        <v>5738</v>
      </c>
      <c r="AW21" s="6" t="s">
        <v>5738</v>
      </c>
      <c r="AX21" s="6" t="s">
        <v>5738</v>
      </c>
      <c r="AY21" s="6" t="s">
        <v>5738</v>
      </c>
      <c r="AZ21" s="6" t="s">
        <v>5723</v>
      </c>
      <c r="BA21" s="6" t="s">
        <v>5723</v>
      </c>
      <c r="BB21" s="6" t="s">
        <v>5738</v>
      </c>
      <c r="BC21" s="6" t="s">
        <v>5738</v>
      </c>
      <c r="BD21" s="6" t="s">
        <v>5738</v>
      </c>
      <c r="BE21" s="6" t="s">
        <v>5738</v>
      </c>
      <c r="BF21" s="6" t="s">
        <v>5771</v>
      </c>
      <c r="BG21" s="6" t="s">
        <v>5598</v>
      </c>
      <c r="BH21" s="6" t="s">
        <v>5598</v>
      </c>
      <c r="BI21" s="6" t="s">
        <v>5738</v>
      </c>
      <c r="BJ21" s="6" t="s">
        <v>5738</v>
      </c>
      <c r="BK21" s="6" t="s">
        <v>5738</v>
      </c>
      <c r="BL21" s="6" t="s">
        <v>5738</v>
      </c>
      <c r="BM21" s="6" t="s">
        <v>5798</v>
      </c>
      <c r="BN21" s="6" t="s">
        <v>5799</v>
      </c>
      <c r="BO21" s="6" t="s">
        <v>5738</v>
      </c>
      <c r="BP21" s="6" t="s">
        <v>5738</v>
      </c>
      <c r="BQ21" s="6" t="s">
        <v>5738</v>
      </c>
      <c r="BR21" s="6" t="s">
        <v>5738</v>
      </c>
      <c r="BS21" s="6">
        <v>3</v>
      </c>
      <c r="BT21" s="6">
        <v>3</v>
      </c>
      <c r="BU21" s="6">
        <v>0</v>
      </c>
      <c r="BV21" s="6">
        <v>0</v>
      </c>
      <c r="BW21" s="6">
        <v>0</v>
      </c>
      <c r="BX21" s="6">
        <v>0</v>
      </c>
      <c r="BY21" s="6" t="s">
        <v>5467</v>
      </c>
      <c r="BZ21" s="6">
        <v>2</v>
      </c>
      <c r="CA21" s="6">
        <v>2</v>
      </c>
      <c r="CB21" s="6">
        <v>2</v>
      </c>
      <c r="CC21" s="6">
        <v>0</v>
      </c>
      <c r="CD21" s="6">
        <v>0</v>
      </c>
      <c r="CE21" s="6">
        <v>0</v>
      </c>
      <c r="CF21" s="6" t="s">
        <v>5467</v>
      </c>
      <c r="CG21" s="6">
        <v>2</v>
      </c>
      <c r="CH21" s="6">
        <v>2</v>
      </c>
      <c r="CI21" s="6">
        <v>2</v>
      </c>
      <c r="CJ21" s="6">
        <v>0</v>
      </c>
      <c r="CK21" s="6">
        <v>0</v>
      </c>
      <c r="CL21" s="6">
        <v>0</v>
      </c>
      <c r="CM21" s="6" t="s">
        <v>5738</v>
      </c>
      <c r="CN21" s="6">
        <v>0</v>
      </c>
      <c r="CO21" s="6">
        <v>0</v>
      </c>
      <c r="CP21" s="6">
        <v>0</v>
      </c>
      <c r="CQ21" s="6">
        <v>0</v>
      </c>
      <c r="CR21" s="6">
        <v>0</v>
      </c>
      <c r="CS21" s="6">
        <v>0</v>
      </c>
      <c r="CT21" s="6" t="s">
        <v>5738</v>
      </c>
      <c r="CU21" s="6">
        <v>0</v>
      </c>
      <c r="CV21" s="6">
        <v>0</v>
      </c>
      <c r="CW21" s="6">
        <v>0</v>
      </c>
      <c r="CX21" s="6">
        <v>0</v>
      </c>
      <c r="CY21" s="6">
        <v>0</v>
      </c>
      <c r="CZ21" s="6">
        <v>0</v>
      </c>
      <c r="DA21" s="6" t="s">
        <v>5738</v>
      </c>
      <c r="DB21" s="6">
        <v>0</v>
      </c>
      <c r="DC21" s="6">
        <v>0</v>
      </c>
      <c r="DD21" s="6">
        <v>0</v>
      </c>
      <c r="DE21" s="6">
        <v>0</v>
      </c>
      <c r="DF21" s="6">
        <v>0</v>
      </c>
      <c r="DG21" s="6">
        <v>0</v>
      </c>
      <c r="DH21" s="6" t="s">
        <v>5738</v>
      </c>
      <c r="DI21" s="6">
        <v>0</v>
      </c>
      <c r="DJ21" s="6">
        <v>0</v>
      </c>
      <c r="DK21" s="6">
        <v>0</v>
      </c>
      <c r="DL21" s="6">
        <v>0</v>
      </c>
      <c r="DM21" s="6">
        <v>0</v>
      </c>
      <c r="DN21" s="6">
        <v>0</v>
      </c>
      <c r="DO21" s="6" t="s">
        <v>5750</v>
      </c>
      <c r="DP21" s="6">
        <v>80</v>
      </c>
      <c r="DQ21" s="6">
        <v>80</v>
      </c>
      <c r="DR21" s="6">
        <v>80</v>
      </c>
      <c r="DS21" s="6">
        <v>0</v>
      </c>
      <c r="DT21" s="6">
        <v>0</v>
      </c>
      <c r="DU21" s="6">
        <v>0</v>
      </c>
      <c r="DV21" s="6" t="s">
        <v>5751</v>
      </c>
      <c r="DW21" s="6">
        <v>80</v>
      </c>
      <c r="DX21" s="6" t="s">
        <v>5752</v>
      </c>
      <c r="DY21" s="6">
        <v>60</v>
      </c>
      <c r="DZ21" s="6">
        <v>60</v>
      </c>
      <c r="EA21" s="6">
        <v>60</v>
      </c>
      <c r="EB21" s="6">
        <v>0</v>
      </c>
      <c r="EC21" s="6">
        <v>0</v>
      </c>
      <c r="ED21" s="6">
        <v>0</v>
      </c>
      <c r="EE21" s="6" t="s">
        <v>5753</v>
      </c>
      <c r="EF21" s="6">
        <v>60</v>
      </c>
      <c r="EG21" s="6" t="s">
        <v>5738</v>
      </c>
      <c r="EH21" s="6">
        <v>0</v>
      </c>
      <c r="EI21" s="6">
        <v>0</v>
      </c>
      <c r="EJ21" s="6">
        <v>0</v>
      </c>
      <c r="EK21" s="6">
        <v>0</v>
      </c>
      <c r="EL21" s="6">
        <v>0</v>
      </c>
      <c r="EM21" s="6">
        <v>0</v>
      </c>
      <c r="EN21" s="6" t="s">
        <v>5738</v>
      </c>
      <c r="EO21" s="6">
        <v>0</v>
      </c>
      <c r="EP21" s="6" t="s">
        <v>5738</v>
      </c>
      <c r="EQ21" s="6">
        <v>0</v>
      </c>
      <c r="ER21" s="6">
        <v>0</v>
      </c>
      <c r="ES21" s="6">
        <v>0</v>
      </c>
      <c r="ET21" s="6">
        <v>0</v>
      </c>
      <c r="EU21" s="6">
        <v>0</v>
      </c>
      <c r="EV21" s="6">
        <v>0</v>
      </c>
      <c r="EW21" s="6" t="s">
        <v>5738</v>
      </c>
      <c r="EX21" s="6">
        <v>0</v>
      </c>
      <c r="EY21" s="6" t="s">
        <v>5738</v>
      </c>
      <c r="EZ21" s="6">
        <v>0</v>
      </c>
      <c r="FA21" s="6">
        <v>0</v>
      </c>
      <c r="FB21" s="6">
        <v>0</v>
      </c>
      <c r="FC21" s="6">
        <v>0</v>
      </c>
      <c r="FD21" s="6">
        <v>0</v>
      </c>
      <c r="FE21" s="6">
        <v>0</v>
      </c>
      <c r="FF21" s="6" t="s">
        <v>5738</v>
      </c>
      <c r="FG21" s="6">
        <v>0</v>
      </c>
      <c r="FH21" s="6" t="s">
        <v>5738</v>
      </c>
      <c r="FI21" s="6">
        <v>0</v>
      </c>
      <c r="FJ21" s="6">
        <v>0</v>
      </c>
      <c r="FK21" s="6">
        <v>0</v>
      </c>
      <c r="FL21" s="6">
        <v>0</v>
      </c>
      <c r="FM21" s="6">
        <v>0</v>
      </c>
      <c r="FN21" s="6">
        <v>0</v>
      </c>
      <c r="FO21" s="6" t="s">
        <v>5738</v>
      </c>
      <c r="FP21" s="6">
        <v>0</v>
      </c>
      <c r="FQ21" s="6">
        <v>80</v>
      </c>
      <c r="FR21" s="6" t="s">
        <v>3353</v>
      </c>
      <c r="FS21" s="6" t="s">
        <v>5754</v>
      </c>
      <c r="FT21" s="6" t="s">
        <v>5738</v>
      </c>
      <c r="FU21" s="6" t="s">
        <v>5738</v>
      </c>
      <c r="FV21" s="6" t="s">
        <v>5738</v>
      </c>
      <c r="FW21" s="6" t="s">
        <v>5738</v>
      </c>
      <c r="FX21" s="6" t="s">
        <v>5882</v>
      </c>
      <c r="FY21" s="6">
        <v>27</v>
      </c>
      <c r="FZ21" s="6">
        <v>27</v>
      </c>
      <c r="GA21" s="6">
        <v>27</v>
      </c>
      <c r="GB21" s="6">
        <v>0</v>
      </c>
      <c r="GC21" s="6">
        <v>0</v>
      </c>
      <c r="GD21" s="6">
        <v>0</v>
      </c>
      <c r="GE21" s="6" t="s">
        <v>5883</v>
      </c>
      <c r="GF21" s="6" t="s">
        <v>5882</v>
      </c>
      <c r="GG21" s="6">
        <v>27</v>
      </c>
      <c r="GH21" s="6">
        <v>27</v>
      </c>
      <c r="GI21" s="6">
        <v>27</v>
      </c>
      <c r="GJ21" s="6">
        <v>0</v>
      </c>
      <c r="GK21" s="6">
        <v>0</v>
      </c>
      <c r="GL21" s="6">
        <v>0</v>
      </c>
      <c r="GM21" s="6" t="s">
        <v>5883</v>
      </c>
      <c r="GN21" s="6" t="s">
        <v>5738</v>
      </c>
      <c r="GO21" s="6">
        <v>0</v>
      </c>
      <c r="GP21" s="6">
        <v>0</v>
      </c>
      <c r="GQ21" s="6">
        <v>0</v>
      </c>
      <c r="GR21" s="6">
        <v>0</v>
      </c>
      <c r="GS21" s="6">
        <v>0</v>
      </c>
      <c r="GT21" s="6">
        <v>0</v>
      </c>
      <c r="GU21" s="6" t="s">
        <v>5738</v>
      </c>
      <c r="GV21" s="6" t="s">
        <v>5738</v>
      </c>
      <c r="GW21" s="6">
        <v>0</v>
      </c>
      <c r="GX21" s="6">
        <v>0</v>
      </c>
      <c r="GY21" s="6">
        <v>0</v>
      </c>
      <c r="GZ21" s="6">
        <v>0</v>
      </c>
      <c r="HA21" s="6">
        <v>0</v>
      </c>
      <c r="HB21" s="6">
        <v>0</v>
      </c>
      <c r="HC21" s="6" t="s">
        <v>5738</v>
      </c>
      <c r="HD21" s="6" t="s">
        <v>5738</v>
      </c>
      <c r="HE21" s="6">
        <v>0</v>
      </c>
      <c r="HF21" s="6">
        <v>0</v>
      </c>
      <c r="HG21" s="6">
        <v>0</v>
      </c>
      <c r="HH21" s="6">
        <v>0</v>
      </c>
      <c r="HI21" s="6">
        <v>0</v>
      </c>
      <c r="HJ21" s="6">
        <v>0</v>
      </c>
      <c r="HK21" s="6" t="s">
        <v>5738</v>
      </c>
      <c r="HL21" s="6" t="s">
        <v>5738</v>
      </c>
      <c r="HM21" s="6">
        <v>0</v>
      </c>
      <c r="HN21" s="6">
        <v>0</v>
      </c>
      <c r="HO21" s="6">
        <v>0</v>
      </c>
      <c r="HP21" s="6">
        <v>0</v>
      </c>
      <c r="HQ21" s="6">
        <v>0</v>
      </c>
      <c r="HR21" s="6">
        <v>0</v>
      </c>
      <c r="HS21" s="6" t="s">
        <v>5738</v>
      </c>
      <c r="HT21" s="6" t="s">
        <v>5758</v>
      </c>
      <c r="HU21" s="6">
        <v>27</v>
      </c>
      <c r="HV21" s="6">
        <v>27</v>
      </c>
      <c r="HW21" s="6">
        <v>0</v>
      </c>
      <c r="HX21" s="6">
        <v>0</v>
      </c>
      <c r="HY21" s="6">
        <v>0</v>
      </c>
      <c r="HZ21" s="6">
        <v>0</v>
      </c>
      <c r="IA21" s="5">
        <v>27</v>
      </c>
      <c r="IB21" s="5">
        <v>15</v>
      </c>
      <c r="IC21" s="132" t="s">
        <v>5460</v>
      </c>
      <c r="ID21" s="132" t="s">
        <v>5884</v>
      </c>
      <c r="IE21" s="132" t="s">
        <v>5760</v>
      </c>
      <c r="IF21" s="132" t="s">
        <v>5761</v>
      </c>
      <c r="IG21" s="171">
        <v>43756</v>
      </c>
      <c r="IH21" s="171">
        <v>45583</v>
      </c>
      <c r="II21" s="6">
        <v>37</v>
      </c>
    </row>
    <row r="22" spans="1:243" ht="127.5">
      <c r="A22" s="5">
        <v>21</v>
      </c>
      <c r="B22" s="132" t="s">
        <v>5723</v>
      </c>
      <c r="C22" s="132" t="s">
        <v>5723</v>
      </c>
      <c r="D22" s="5" t="s">
        <v>5602</v>
      </c>
      <c r="E22" s="107" t="s">
        <v>5603</v>
      </c>
      <c r="F22" s="5" t="s">
        <v>5351</v>
      </c>
      <c r="G22" s="5">
        <v>105.84544</v>
      </c>
      <c r="H22" s="5">
        <v>20.940650000000002</v>
      </c>
      <c r="I22" s="5">
        <v>1</v>
      </c>
      <c r="J22" s="5">
        <v>3</v>
      </c>
      <c r="K22" s="5" t="s">
        <v>5724</v>
      </c>
      <c r="L22" s="5" t="s">
        <v>5885</v>
      </c>
      <c r="M22" s="5" t="s">
        <v>5795</v>
      </c>
      <c r="N22" s="5" t="s">
        <v>5727</v>
      </c>
      <c r="O22" s="5" t="s">
        <v>5728</v>
      </c>
      <c r="P22" s="5" t="s">
        <v>5729</v>
      </c>
      <c r="Q22" s="5" t="s">
        <v>5730</v>
      </c>
      <c r="R22" s="5" t="s">
        <v>5886</v>
      </c>
      <c r="S22" s="152" t="b">
        <v>1</v>
      </c>
      <c r="T22" s="5" t="s">
        <v>5604</v>
      </c>
      <c r="U22" s="5">
        <v>0</v>
      </c>
      <c r="V22" s="5" t="s">
        <v>5732</v>
      </c>
      <c r="W22" s="5" t="s">
        <v>5605</v>
      </c>
      <c r="X22" s="7" t="s">
        <v>5733</v>
      </c>
      <c r="Y22" s="5" t="b">
        <v>0</v>
      </c>
      <c r="Z22" s="152" t="b">
        <v>0</v>
      </c>
      <c r="AA22" s="5">
        <v>19</v>
      </c>
      <c r="AB22" s="152" t="b">
        <v>1</v>
      </c>
      <c r="AC22" s="5">
        <v>12</v>
      </c>
      <c r="AD22" s="5" t="b">
        <v>0</v>
      </c>
      <c r="AE22" s="5" t="s">
        <v>5734</v>
      </c>
      <c r="AF22" s="5" t="s">
        <v>5735</v>
      </c>
      <c r="AG22" s="132" t="s">
        <v>5736</v>
      </c>
      <c r="AH22" s="132" t="s">
        <v>5737</v>
      </c>
      <c r="AI22" s="132" t="s">
        <v>5479</v>
      </c>
      <c r="AJ22" s="132" t="s">
        <v>5738</v>
      </c>
      <c r="AK22" s="132" t="s">
        <v>5739</v>
      </c>
      <c r="AL22" s="6"/>
      <c r="AM22" s="6" t="s">
        <v>5740</v>
      </c>
      <c r="AN22" s="6" t="s">
        <v>5741</v>
      </c>
      <c r="AO22" s="5">
        <v>3</v>
      </c>
      <c r="AP22" s="85" t="s">
        <v>5742</v>
      </c>
      <c r="AQ22" s="233" t="s">
        <v>5880</v>
      </c>
      <c r="AR22" s="233" t="s">
        <v>5881</v>
      </c>
      <c r="AS22" s="234" t="s">
        <v>5350</v>
      </c>
      <c r="AT22" s="6" t="s">
        <v>5741</v>
      </c>
      <c r="AU22" s="6" t="s">
        <v>5741</v>
      </c>
      <c r="AV22" s="6" t="s">
        <v>5741</v>
      </c>
      <c r="AW22" s="6" t="s">
        <v>5738</v>
      </c>
      <c r="AX22" s="6" t="s">
        <v>5738</v>
      </c>
      <c r="AY22" s="6" t="s">
        <v>5738</v>
      </c>
      <c r="AZ22" s="6" t="s">
        <v>5723</v>
      </c>
      <c r="BA22" s="6" t="s">
        <v>5723</v>
      </c>
      <c r="BB22" s="6" t="s">
        <v>5723</v>
      </c>
      <c r="BC22" s="6" t="s">
        <v>5738</v>
      </c>
      <c r="BD22" s="6" t="s">
        <v>5738</v>
      </c>
      <c r="BE22" s="6" t="s">
        <v>5738</v>
      </c>
      <c r="BF22" s="6" t="s">
        <v>5745</v>
      </c>
      <c r="BG22" s="6" t="s">
        <v>5602</v>
      </c>
      <c r="BH22" s="6" t="s">
        <v>5602</v>
      </c>
      <c r="BI22" s="6" t="s">
        <v>5602</v>
      </c>
      <c r="BJ22" s="6" t="s">
        <v>5738</v>
      </c>
      <c r="BK22" s="6" t="s">
        <v>5738</v>
      </c>
      <c r="BL22" s="6" t="s">
        <v>5738</v>
      </c>
      <c r="BM22" s="6" t="s">
        <v>5798</v>
      </c>
      <c r="BN22" s="6" t="s">
        <v>5799</v>
      </c>
      <c r="BO22" s="6" t="s">
        <v>5748</v>
      </c>
      <c r="BP22" s="6" t="s">
        <v>5738</v>
      </c>
      <c r="BQ22" s="6" t="s">
        <v>5738</v>
      </c>
      <c r="BR22" s="6" t="s">
        <v>5738</v>
      </c>
      <c r="BS22" s="6">
        <v>3</v>
      </c>
      <c r="BT22" s="6">
        <v>3</v>
      </c>
      <c r="BU22" s="6">
        <v>3</v>
      </c>
      <c r="BV22" s="6">
        <v>0</v>
      </c>
      <c r="BW22" s="6">
        <v>0</v>
      </c>
      <c r="BX22" s="6">
        <v>0</v>
      </c>
      <c r="BY22" s="6" t="s">
        <v>5467</v>
      </c>
      <c r="BZ22" s="6">
        <v>2</v>
      </c>
      <c r="CA22" s="6">
        <v>2</v>
      </c>
      <c r="CB22" s="6">
        <v>2</v>
      </c>
      <c r="CC22" s="6">
        <v>0</v>
      </c>
      <c r="CD22" s="6">
        <v>0</v>
      </c>
      <c r="CE22" s="6">
        <v>0</v>
      </c>
      <c r="CF22" s="6" t="s">
        <v>5467</v>
      </c>
      <c r="CG22" s="6">
        <v>2</v>
      </c>
      <c r="CH22" s="6">
        <v>2</v>
      </c>
      <c r="CI22" s="6">
        <v>2</v>
      </c>
      <c r="CJ22" s="6">
        <v>0</v>
      </c>
      <c r="CK22" s="6">
        <v>0</v>
      </c>
      <c r="CL22" s="6">
        <v>0</v>
      </c>
      <c r="CM22" s="6" t="s">
        <v>5749</v>
      </c>
      <c r="CN22" s="6">
        <v>1</v>
      </c>
      <c r="CO22" s="6">
        <v>1</v>
      </c>
      <c r="CP22" s="6">
        <v>1</v>
      </c>
      <c r="CQ22" s="6">
        <v>0</v>
      </c>
      <c r="CR22" s="6">
        <v>0</v>
      </c>
      <c r="CS22" s="6">
        <v>0</v>
      </c>
      <c r="CT22" s="6" t="s">
        <v>5738</v>
      </c>
      <c r="CU22" s="6">
        <v>0</v>
      </c>
      <c r="CV22" s="6">
        <v>0</v>
      </c>
      <c r="CW22" s="6">
        <v>0</v>
      </c>
      <c r="CX22" s="6">
        <v>0</v>
      </c>
      <c r="CY22" s="6">
        <v>0</v>
      </c>
      <c r="CZ22" s="6">
        <v>0</v>
      </c>
      <c r="DA22" s="6" t="s">
        <v>5738</v>
      </c>
      <c r="DB22" s="6">
        <v>0</v>
      </c>
      <c r="DC22" s="6">
        <v>0</v>
      </c>
      <c r="DD22" s="6">
        <v>0</v>
      </c>
      <c r="DE22" s="6">
        <v>0</v>
      </c>
      <c r="DF22" s="6">
        <v>0</v>
      </c>
      <c r="DG22" s="6">
        <v>0</v>
      </c>
      <c r="DH22" s="6" t="s">
        <v>5738</v>
      </c>
      <c r="DI22" s="6">
        <v>0</v>
      </c>
      <c r="DJ22" s="6">
        <v>0</v>
      </c>
      <c r="DK22" s="6">
        <v>0</v>
      </c>
      <c r="DL22" s="6">
        <v>0</v>
      </c>
      <c r="DM22" s="6">
        <v>0</v>
      </c>
      <c r="DN22" s="6">
        <v>0</v>
      </c>
      <c r="DO22" s="6" t="s">
        <v>5750</v>
      </c>
      <c r="DP22" s="6">
        <v>80</v>
      </c>
      <c r="DQ22" s="6">
        <v>80</v>
      </c>
      <c r="DR22" s="6">
        <v>80</v>
      </c>
      <c r="DS22" s="6">
        <v>0</v>
      </c>
      <c r="DT22" s="6">
        <v>0</v>
      </c>
      <c r="DU22" s="6">
        <v>0</v>
      </c>
      <c r="DV22" s="6" t="s">
        <v>5751</v>
      </c>
      <c r="DW22" s="6">
        <v>80</v>
      </c>
      <c r="DX22" s="6" t="s">
        <v>5752</v>
      </c>
      <c r="DY22" s="6">
        <v>60</v>
      </c>
      <c r="DZ22" s="6">
        <v>60</v>
      </c>
      <c r="EA22" s="6">
        <v>60</v>
      </c>
      <c r="EB22" s="6">
        <v>0</v>
      </c>
      <c r="EC22" s="6">
        <v>0</v>
      </c>
      <c r="ED22" s="6">
        <v>0</v>
      </c>
      <c r="EE22" s="6" t="s">
        <v>5753</v>
      </c>
      <c r="EF22" s="6">
        <v>60</v>
      </c>
      <c r="EG22" s="6" t="s">
        <v>5752</v>
      </c>
      <c r="EH22" s="6">
        <v>60</v>
      </c>
      <c r="EI22" s="6">
        <v>60</v>
      </c>
      <c r="EJ22" s="6">
        <v>60</v>
      </c>
      <c r="EK22" s="6">
        <v>0</v>
      </c>
      <c r="EL22" s="6">
        <v>0</v>
      </c>
      <c r="EM22" s="6">
        <v>0</v>
      </c>
      <c r="EN22" s="6" t="s">
        <v>5753</v>
      </c>
      <c r="EO22" s="6">
        <v>60</v>
      </c>
      <c r="EP22" s="6" t="s">
        <v>5738</v>
      </c>
      <c r="EQ22" s="6">
        <v>0</v>
      </c>
      <c r="ER22" s="6">
        <v>0</v>
      </c>
      <c r="ES22" s="6">
        <v>0</v>
      </c>
      <c r="ET22" s="6">
        <v>0</v>
      </c>
      <c r="EU22" s="6">
        <v>0</v>
      </c>
      <c r="EV22" s="6">
        <v>0</v>
      </c>
      <c r="EW22" s="6" t="s">
        <v>5738</v>
      </c>
      <c r="EX22" s="6">
        <v>0</v>
      </c>
      <c r="EY22" s="6" t="s">
        <v>5738</v>
      </c>
      <c r="EZ22" s="6">
        <v>0</v>
      </c>
      <c r="FA22" s="6">
        <v>0</v>
      </c>
      <c r="FB22" s="6">
        <v>0</v>
      </c>
      <c r="FC22" s="6">
        <v>0</v>
      </c>
      <c r="FD22" s="6">
        <v>0</v>
      </c>
      <c r="FE22" s="6">
        <v>0</v>
      </c>
      <c r="FF22" s="6" t="s">
        <v>5738</v>
      </c>
      <c r="FG22" s="6">
        <v>0</v>
      </c>
      <c r="FH22" s="6" t="s">
        <v>5738</v>
      </c>
      <c r="FI22" s="6">
        <v>0</v>
      </c>
      <c r="FJ22" s="6">
        <v>0</v>
      </c>
      <c r="FK22" s="6">
        <v>0</v>
      </c>
      <c r="FL22" s="6">
        <v>0</v>
      </c>
      <c r="FM22" s="6">
        <v>0</v>
      </c>
      <c r="FN22" s="6">
        <v>0</v>
      </c>
      <c r="FO22" s="6" t="s">
        <v>5738</v>
      </c>
      <c r="FP22" s="6">
        <v>0</v>
      </c>
      <c r="FQ22" s="6">
        <v>80</v>
      </c>
      <c r="FR22" s="6" t="s">
        <v>3353</v>
      </c>
      <c r="FS22" s="6" t="s">
        <v>5754</v>
      </c>
      <c r="FT22" s="6" t="s">
        <v>5755</v>
      </c>
      <c r="FU22" s="6" t="s">
        <v>5738</v>
      </c>
      <c r="FV22" s="6" t="s">
        <v>5738</v>
      </c>
      <c r="FW22" s="6" t="s">
        <v>5738</v>
      </c>
      <c r="FX22" s="6" t="s">
        <v>5887</v>
      </c>
      <c r="FY22" s="6">
        <v>21</v>
      </c>
      <c r="FZ22" s="6">
        <v>21</v>
      </c>
      <c r="GA22" s="6">
        <v>21</v>
      </c>
      <c r="GB22" s="6">
        <v>0</v>
      </c>
      <c r="GC22" s="6">
        <v>0</v>
      </c>
      <c r="GD22" s="6">
        <v>0</v>
      </c>
      <c r="GE22" s="6" t="s">
        <v>5888</v>
      </c>
      <c r="GF22" s="6" t="s">
        <v>5889</v>
      </c>
      <c r="GG22" s="6">
        <v>19</v>
      </c>
      <c r="GH22" s="6">
        <v>19</v>
      </c>
      <c r="GI22" s="6">
        <v>19</v>
      </c>
      <c r="GJ22" s="6">
        <v>0</v>
      </c>
      <c r="GK22" s="6">
        <v>0</v>
      </c>
      <c r="GL22" s="6">
        <v>0</v>
      </c>
      <c r="GM22" s="6" t="s">
        <v>5890</v>
      </c>
      <c r="GN22" s="6" t="s">
        <v>5887</v>
      </c>
      <c r="GO22" s="6">
        <v>21</v>
      </c>
      <c r="GP22" s="6">
        <v>21</v>
      </c>
      <c r="GQ22" s="6">
        <v>21</v>
      </c>
      <c r="GR22" s="6">
        <v>0</v>
      </c>
      <c r="GS22" s="6">
        <v>0</v>
      </c>
      <c r="GT22" s="6">
        <v>0</v>
      </c>
      <c r="GU22" s="6" t="s">
        <v>5888</v>
      </c>
      <c r="GV22" s="6" t="s">
        <v>5738</v>
      </c>
      <c r="GW22" s="6">
        <v>0</v>
      </c>
      <c r="GX22" s="6">
        <v>0</v>
      </c>
      <c r="GY22" s="6">
        <v>0</v>
      </c>
      <c r="GZ22" s="6">
        <v>0</v>
      </c>
      <c r="HA22" s="6">
        <v>0</v>
      </c>
      <c r="HB22" s="6">
        <v>0</v>
      </c>
      <c r="HC22" s="6" t="s">
        <v>5738</v>
      </c>
      <c r="HD22" s="6" t="s">
        <v>5738</v>
      </c>
      <c r="HE22" s="6">
        <v>0</v>
      </c>
      <c r="HF22" s="6">
        <v>0</v>
      </c>
      <c r="HG22" s="6">
        <v>0</v>
      </c>
      <c r="HH22" s="6">
        <v>0</v>
      </c>
      <c r="HI22" s="6">
        <v>0</v>
      </c>
      <c r="HJ22" s="6">
        <v>0</v>
      </c>
      <c r="HK22" s="6" t="s">
        <v>5738</v>
      </c>
      <c r="HL22" s="6" t="s">
        <v>5738</v>
      </c>
      <c r="HM22" s="6">
        <v>0</v>
      </c>
      <c r="HN22" s="6">
        <v>0</v>
      </c>
      <c r="HO22" s="6">
        <v>0</v>
      </c>
      <c r="HP22" s="6">
        <v>0</v>
      </c>
      <c r="HQ22" s="6">
        <v>0</v>
      </c>
      <c r="HR22" s="6">
        <v>0</v>
      </c>
      <c r="HS22" s="6" t="s">
        <v>5738</v>
      </c>
      <c r="HT22" s="6" t="s">
        <v>5758</v>
      </c>
      <c r="HU22" s="6">
        <v>21</v>
      </c>
      <c r="HV22" s="6">
        <v>19</v>
      </c>
      <c r="HW22" s="6">
        <v>21</v>
      </c>
      <c r="HX22" s="6">
        <v>0</v>
      </c>
      <c r="HY22" s="6">
        <v>0</v>
      </c>
      <c r="HZ22" s="6">
        <v>0</v>
      </c>
      <c r="IA22" s="5">
        <v>19</v>
      </c>
      <c r="IB22" s="5">
        <v>7</v>
      </c>
      <c r="IC22" s="132" t="s">
        <v>5460</v>
      </c>
      <c r="ID22" s="132" t="s">
        <v>5891</v>
      </c>
      <c r="IE22" s="132" t="s">
        <v>5760</v>
      </c>
      <c r="IF22" s="132" t="s">
        <v>5761</v>
      </c>
      <c r="IG22" s="171">
        <v>43756</v>
      </c>
      <c r="IH22" s="171">
        <v>45583</v>
      </c>
      <c r="II22" s="6">
        <v>37</v>
      </c>
    </row>
    <row r="23" spans="1:243" ht="153">
      <c r="A23" s="5">
        <v>22</v>
      </c>
      <c r="B23" s="132" t="s">
        <v>5723</v>
      </c>
      <c r="C23" s="132" t="s">
        <v>5723</v>
      </c>
      <c r="D23" s="5" t="s">
        <v>5606</v>
      </c>
      <c r="E23" s="107" t="s">
        <v>5607</v>
      </c>
      <c r="F23" s="5" t="s">
        <v>5351</v>
      </c>
      <c r="G23" s="5">
        <v>105.830701</v>
      </c>
      <c r="H23" s="5">
        <v>20.936440000000001</v>
      </c>
      <c r="I23" s="5">
        <v>1</v>
      </c>
      <c r="J23" s="5">
        <v>4</v>
      </c>
      <c r="K23" s="5" t="s">
        <v>5892</v>
      </c>
      <c r="L23" s="5" t="s">
        <v>5893</v>
      </c>
      <c r="M23" s="5" t="s">
        <v>5894</v>
      </c>
      <c r="N23" s="5" t="s">
        <v>5895</v>
      </c>
      <c r="O23" s="5" t="s">
        <v>5896</v>
      </c>
      <c r="P23" s="5" t="s">
        <v>5897</v>
      </c>
      <c r="Q23" s="5" t="s">
        <v>5898</v>
      </c>
      <c r="R23" s="5" t="s">
        <v>5899</v>
      </c>
      <c r="S23" s="152" t="b">
        <v>1</v>
      </c>
      <c r="T23" s="5" t="s">
        <v>5608</v>
      </c>
      <c r="U23" s="5">
        <v>0</v>
      </c>
      <c r="V23" s="5" t="s">
        <v>5732</v>
      </c>
      <c r="W23" s="5" t="s">
        <v>5609</v>
      </c>
      <c r="X23" s="7" t="s">
        <v>5733</v>
      </c>
      <c r="Y23" s="5" t="b">
        <v>0</v>
      </c>
      <c r="Z23" s="152" t="b">
        <v>0</v>
      </c>
      <c r="AA23" s="5">
        <v>26</v>
      </c>
      <c r="AB23" s="152" t="b">
        <v>1</v>
      </c>
      <c r="AC23" s="5">
        <v>8</v>
      </c>
      <c r="AD23" s="5" t="b">
        <v>0</v>
      </c>
      <c r="AE23" s="5" t="s">
        <v>5734</v>
      </c>
      <c r="AF23" s="5" t="s">
        <v>5735</v>
      </c>
      <c r="AG23" s="132" t="s">
        <v>5736</v>
      </c>
      <c r="AH23" s="132" t="s">
        <v>5737</v>
      </c>
      <c r="AI23" s="132" t="s">
        <v>5479</v>
      </c>
      <c r="AJ23" s="132" t="s">
        <v>5738</v>
      </c>
      <c r="AK23" s="132" t="s">
        <v>5739</v>
      </c>
      <c r="AL23" s="6"/>
      <c r="AM23" s="6" t="s">
        <v>5740</v>
      </c>
      <c r="AN23" s="6" t="s">
        <v>5741</v>
      </c>
      <c r="AO23" s="5">
        <v>3</v>
      </c>
      <c r="AP23" s="85" t="s">
        <v>5742</v>
      </c>
      <c r="AQ23" s="233" t="s">
        <v>5880</v>
      </c>
      <c r="AR23" s="233" t="s">
        <v>5900</v>
      </c>
      <c r="AS23" s="234" t="s">
        <v>5350</v>
      </c>
      <c r="AT23" s="6" t="s">
        <v>5741</v>
      </c>
      <c r="AU23" s="6" t="s">
        <v>5741</v>
      </c>
      <c r="AV23" s="6" t="s">
        <v>5741</v>
      </c>
      <c r="AW23" s="6" t="s">
        <v>5741</v>
      </c>
      <c r="AX23" s="6" t="s">
        <v>5738</v>
      </c>
      <c r="AY23" s="6" t="s">
        <v>5738</v>
      </c>
      <c r="AZ23" s="6" t="s">
        <v>5723</v>
      </c>
      <c r="BA23" s="6" t="s">
        <v>5723</v>
      </c>
      <c r="BB23" s="6" t="s">
        <v>5723</v>
      </c>
      <c r="BC23" s="6" t="s">
        <v>5723</v>
      </c>
      <c r="BD23" s="6" t="s">
        <v>5738</v>
      </c>
      <c r="BE23" s="6" t="s">
        <v>5738</v>
      </c>
      <c r="BF23" s="6" t="s">
        <v>5901</v>
      </c>
      <c r="BG23" s="6" t="s">
        <v>5606</v>
      </c>
      <c r="BH23" s="6" t="s">
        <v>5606</v>
      </c>
      <c r="BI23" s="6" t="s">
        <v>5606</v>
      </c>
      <c r="BJ23" s="6" t="s">
        <v>5606</v>
      </c>
      <c r="BK23" s="6" t="s">
        <v>5738</v>
      </c>
      <c r="BL23" s="6" t="s">
        <v>5738</v>
      </c>
      <c r="BM23" s="6" t="s">
        <v>5798</v>
      </c>
      <c r="BN23" s="6" t="s">
        <v>5798</v>
      </c>
      <c r="BO23" s="6" t="s">
        <v>5799</v>
      </c>
      <c r="BP23" s="6" t="s">
        <v>5748</v>
      </c>
      <c r="BQ23" s="6" t="s">
        <v>5738</v>
      </c>
      <c r="BR23" s="6" t="s">
        <v>5738</v>
      </c>
      <c r="BS23" s="6">
        <v>3</v>
      </c>
      <c r="BT23" s="6">
        <v>3</v>
      </c>
      <c r="BU23" s="6">
        <v>3</v>
      </c>
      <c r="BV23" s="6">
        <v>3</v>
      </c>
      <c r="BW23" s="6">
        <v>0</v>
      </c>
      <c r="BX23" s="6">
        <v>0</v>
      </c>
      <c r="BY23" s="6" t="s">
        <v>5467</v>
      </c>
      <c r="BZ23" s="6">
        <v>2</v>
      </c>
      <c r="CA23" s="6">
        <v>2</v>
      </c>
      <c r="CB23" s="6">
        <v>2</v>
      </c>
      <c r="CC23" s="6">
        <v>0</v>
      </c>
      <c r="CD23" s="6">
        <v>0</v>
      </c>
      <c r="CE23" s="6">
        <v>0</v>
      </c>
      <c r="CF23" s="6" t="s">
        <v>5467</v>
      </c>
      <c r="CG23" s="6">
        <v>2</v>
      </c>
      <c r="CH23" s="6">
        <v>2</v>
      </c>
      <c r="CI23" s="6">
        <v>2</v>
      </c>
      <c r="CJ23" s="6">
        <v>0</v>
      </c>
      <c r="CK23" s="6">
        <v>0</v>
      </c>
      <c r="CL23" s="6">
        <v>0</v>
      </c>
      <c r="CM23" s="6" t="s">
        <v>5467</v>
      </c>
      <c r="CN23" s="6">
        <v>2</v>
      </c>
      <c r="CO23" s="6">
        <v>2</v>
      </c>
      <c r="CP23" s="6">
        <v>2</v>
      </c>
      <c r="CQ23" s="6">
        <v>0</v>
      </c>
      <c r="CR23" s="6">
        <v>0</v>
      </c>
      <c r="CS23" s="6">
        <v>0</v>
      </c>
      <c r="CT23" s="6" t="s">
        <v>5749</v>
      </c>
      <c r="CU23" s="6">
        <v>1</v>
      </c>
      <c r="CV23" s="6">
        <v>1</v>
      </c>
      <c r="CW23" s="6">
        <v>1</v>
      </c>
      <c r="CX23" s="6">
        <v>0</v>
      </c>
      <c r="CY23" s="6">
        <v>0</v>
      </c>
      <c r="CZ23" s="6">
        <v>0</v>
      </c>
      <c r="DA23" s="6" t="s">
        <v>5738</v>
      </c>
      <c r="DB23" s="6">
        <v>0</v>
      </c>
      <c r="DC23" s="6">
        <v>0</v>
      </c>
      <c r="DD23" s="6">
        <v>0</v>
      </c>
      <c r="DE23" s="6">
        <v>0</v>
      </c>
      <c r="DF23" s="6">
        <v>0</v>
      </c>
      <c r="DG23" s="6">
        <v>0</v>
      </c>
      <c r="DH23" s="6" t="s">
        <v>5738</v>
      </c>
      <c r="DI23" s="6">
        <v>0</v>
      </c>
      <c r="DJ23" s="6">
        <v>0</v>
      </c>
      <c r="DK23" s="6">
        <v>0</v>
      </c>
      <c r="DL23" s="6">
        <v>0</v>
      </c>
      <c r="DM23" s="6">
        <v>0</v>
      </c>
      <c r="DN23" s="6">
        <v>0</v>
      </c>
      <c r="DO23" s="6" t="s">
        <v>5750</v>
      </c>
      <c r="DP23" s="6">
        <v>80</v>
      </c>
      <c r="DQ23" s="6">
        <v>80</v>
      </c>
      <c r="DR23" s="6">
        <v>80</v>
      </c>
      <c r="DS23" s="6">
        <v>0</v>
      </c>
      <c r="DT23" s="6">
        <v>0</v>
      </c>
      <c r="DU23" s="6">
        <v>0</v>
      </c>
      <c r="DV23" s="6" t="s">
        <v>5751</v>
      </c>
      <c r="DW23" s="6">
        <v>80</v>
      </c>
      <c r="DX23" s="6" t="s">
        <v>5750</v>
      </c>
      <c r="DY23" s="6">
        <v>80</v>
      </c>
      <c r="DZ23" s="6">
        <v>80</v>
      </c>
      <c r="EA23" s="6">
        <v>80</v>
      </c>
      <c r="EB23" s="6">
        <v>0</v>
      </c>
      <c r="EC23" s="6">
        <v>0</v>
      </c>
      <c r="ED23" s="6">
        <v>0</v>
      </c>
      <c r="EE23" s="6" t="s">
        <v>5751</v>
      </c>
      <c r="EF23" s="6">
        <v>80</v>
      </c>
      <c r="EG23" s="6" t="s">
        <v>5752</v>
      </c>
      <c r="EH23" s="6">
        <v>60</v>
      </c>
      <c r="EI23" s="6">
        <v>60</v>
      </c>
      <c r="EJ23" s="6">
        <v>60</v>
      </c>
      <c r="EK23" s="6">
        <v>0</v>
      </c>
      <c r="EL23" s="6">
        <v>0</v>
      </c>
      <c r="EM23" s="6">
        <v>0</v>
      </c>
      <c r="EN23" s="6" t="s">
        <v>5753</v>
      </c>
      <c r="EO23" s="6">
        <v>60</v>
      </c>
      <c r="EP23" s="6" t="s">
        <v>5752</v>
      </c>
      <c r="EQ23" s="6">
        <v>60</v>
      </c>
      <c r="ER23" s="6">
        <v>60</v>
      </c>
      <c r="ES23" s="6">
        <v>60</v>
      </c>
      <c r="ET23" s="6">
        <v>0</v>
      </c>
      <c r="EU23" s="6">
        <v>0</v>
      </c>
      <c r="EV23" s="6">
        <v>0</v>
      </c>
      <c r="EW23" s="6" t="s">
        <v>5753</v>
      </c>
      <c r="EX23" s="6">
        <v>60</v>
      </c>
      <c r="EY23" s="6" t="s">
        <v>5738</v>
      </c>
      <c r="EZ23" s="6">
        <v>0</v>
      </c>
      <c r="FA23" s="6">
        <v>0</v>
      </c>
      <c r="FB23" s="6">
        <v>0</v>
      </c>
      <c r="FC23" s="6">
        <v>0</v>
      </c>
      <c r="FD23" s="6">
        <v>0</v>
      </c>
      <c r="FE23" s="6">
        <v>0</v>
      </c>
      <c r="FF23" s="6" t="s">
        <v>5738</v>
      </c>
      <c r="FG23" s="6">
        <v>0</v>
      </c>
      <c r="FH23" s="6" t="s">
        <v>5738</v>
      </c>
      <c r="FI23" s="6">
        <v>0</v>
      </c>
      <c r="FJ23" s="6">
        <v>0</v>
      </c>
      <c r="FK23" s="6">
        <v>0</v>
      </c>
      <c r="FL23" s="6">
        <v>0</v>
      </c>
      <c r="FM23" s="6">
        <v>0</v>
      </c>
      <c r="FN23" s="6">
        <v>0</v>
      </c>
      <c r="FO23" s="6" t="s">
        <v>5738</v>
      </c>
      <c r="FP23" s="6">
        <v>0</v>
      </c>
      <c r="FQ23" s="6">
        <v>80</v>
      </c>
      <c r="FR23" s="6" t="s">
        <v>3353</v>
      </c>
      <c r="FS23" s="6" t="s">
        <v>5755</v>
      </c>
      <c r="FT23" s="6" t="s">
        <v>5754</v>
      </c>
      <c r="FU23" s="6" t="s">
        <v>5755</v>
      </c>
      <c r="FV23" s="6" t="s">
        <v>5738</v>
      </c>
      <c r="FW23" s="6" t="s">
        <v>5738</v>
      </c>
      <c r="FX23" s="6" t="s">
        <v>5800</v>
      </c>
      <c r="FY23" s="6">
        <v>26</v>
      </c>
      <c r="FZ23" s="6">
        <v>26</v>
      </c>
      <c r="GA23" s="6">
        <v>26</v>
      </c>
      <c r="GB23" s="6">
        <v>0</v>
      </c>
      <c r="GC23" s="6">
        <v>0</v>
      </c>
      <c r="GD23" s="6">
        <v>0</v>
      </c>
      <c r="GE23" s="6" t="s">
        <v>5801</v>
      </c>
      <c r="GF23" s="6" t="s">
        <v>5800</v>
      </c>
      <c r="GG23" s="6">
        <v>26</v>
      </c>
      <c r="GH23" s="6">
        <v>26</v>
      </c>
      <c r="GI23" s="6">
        <v>26</v>
      </c>
      <c r="GJ23" s="6">
        <v>0</v>
      </c>
      <c r="GK23" s="6">
        <v>0</v>
      </c>
      <c r="GL23" s="6">
        <v>0</v>
      </c>
      <c r="GM23" s="6" t="s">
        <v>5801</v>
      </c>
      <c r="GN23" s="6" t="s">
        <v>5800</v>
      </c>
      <c r="GO23" s="6">
        <v>26</v>
      </c>
      <c r="GP23" s="6">
        <v>26</v>
      </c>
      <c r="GQ23" s="6">
        <v>26</v>
      </c>
      <c r="GR23" s="6">
        <v>0</v>
      </c>
      <c r="GS23" s="6">
        <v>0</v>
      </c>
      <c r="GT23" s="6">
        <v>0</v>
      </c>
      <c r="GU23" s="6" t="s">
        <v>5801</v>
      </c>
      <c r="GV23" s="6" t="s">
        <v>5800</v>
      </c>
      <c r="GW23" s="6">
        <v>26</v>
      </c>
      <c r="GX23" s="6">
        <v>26</v>
      </c>
      <c r="GY23" s="6">
        <v>26</v>
      </c>
      <c r="GZ23" s="6">
        <v>0</v>
      </c>
      <c r="HA23" s="6">
        <v>0</v>
      </c>
      <c r="HB23" s="6">
        <v>0</v>
      </c>
      <c r="HC23" s="6" t="s">
        <v>5801</v>
      </c>
      <c r="HD23" s="6" t="s">
        <v>5738</v>
      </c>
      <c r="HE23" s="6">
        <v>0</v>
      </c>
      <c r="HF23" s="6">
        <v>0</v>
      </c>
      <c r="HG23" s="6">
        <v>0</v>
      </c>
      <c r="HH23" s="6">
        <v>0</v>
      </c>
      <c r="HI23" s="6">
        <v>0</v>
      </c>
      <c r="HJ23" s="6">
        <v>0</v>
      </c>
      <c r="HK23" s="6" t="s">
        <v>5738</v>
      </c>
      <c r="HL23" s="6" t="s">
        <v>5738</v>
      </c>
      <c r="HM23" s="6">
        <v>0</v>
      </c>
      <c r="HN23" s="6">
        <v>0</v>
      </c>
      <c r="HO23" s="6">
        <v>0</v>
      </c>
      <c r="HP23" s="6">
        <v>0</v>
      </c>
      <c r="HQ23" s="6">
        <v>0</v>
      </c>
      <c r="HR23" s="6">
        <v>0</v>
      </c>
      <c r="HS23" s="6" t="s">
        <v>5738</v>
      </c>
      <c r="HT23" s="6" t="s">
        <v>5758</v>
      </c>
      <c r="HU23" s="6">
        <v>26</v>
      </c>
      <c r="HV23" s="6">
        <v>26</v>
      </c>
      <c r="HW23" s="6">
        <v>26</v>
      </c>
      <c r="HX23" s="6">
        <v>26</v>
      </c>
      <c r="HY23" s="6">
        <v>0</v>
      </c>
      <c r="HZ23" s="6">
        <v>0</v>
      </c>
      <c r="IA23" s="5">
        <v>26</v>
      </c>
      <c r="IB23" s="5">
        <v>18</v>
      </c>
      <c r="IC23" s="132" t="s">
        <v>5460</v>
      </c>
      <c r="ID23" s="132" t="s">
        <v>5902</v>
      </c>
      <c r="IE23" s="132" t="s">
        <v>5760</v>
      </c>
      <c r="IF23" s="132" t="s">
        <v>5761</v>
      </c>
      <c r="IG23" s="171">
        <v>43756</v>
      </c>
      <c r="IH23" s="171">
        <v>45583</v>
      </c>
      <c r="II23" s="6">
        <v>37</v>
      </c>
    </row>
    <row r="24" spans="1:243" ht="165.75">
      <c r="A24" s="5">
        <v>23</v>
      </c>
      <c r="B24" s="132" t="s">
        <v>5723</v>
      </c>
      <c r="C24" s="132" t="s">
        <v>5723</v>
      </c>
      <c r="D24" s="5" t="s">
        <v>5610</v>
      </c>
      <c r="E24" s="107" t="s">
        <v>5611</v>
      </c>
      <c r="F24" s="5" t="s">
        <v>5351</v>
      </c>
      <c r="G24" s="5">
        <v>105.735023</v>
      </c>
      <c r="H24" s="5">
        <v>20.964811000000001</v>
      </c>
      <c r="I24" s="5">
        <v>1</v>
      </c>
      <c r="J24" s="5">
        <v>2</v>
      </c>
      <c r="K24" s="5" t="s">
        <v>5762</v>
      </c>
      <c r="L24" s="5" t="s">
        <v>5903</v>
      </c>
      <c r="M24" s="5" t="s">
        <v>5764</v>
      </c>
      <c r="N24" s="5" t="s">
        <v>5765</v>
      </c>
      <c r="O24" s="5" t="s">
        <v>5766</v>
      </c>
      <c r="P24" s="5" t="s">
        <v>5767</v>
      </c>
      <c r="Q24" s="5" t="s">
        <v>5768</v>
      </c>
      <c r="R24" s="5" t="s">
        <v>5904</v>
      </c>
      <c r="S24" s="152" t="b">
        <v>1</v>
      </c>
      <c r="T24" s="5" t="s">
        <v>5612</v>
      </c>
      <c r="U24" s="5">
        <v>0</v>
      </c>
      <c r="V24" s="5" t="s">
        <v>5732</v>
      </c>
      <c r="W24" s="5" t="s">
        <v>5613</v>
      </c>
      <c r="X24" s="7" t="s">
        <v>5733</v>
      </c>
      <c r="Y24" s="5" t="b">
        <v>1</v>
      </c>
      <c r="Z24" s="152" t="b">
        <v>1</v>
      </c>
      <c r="AA24" s="5">
        <v>43</v>
      </c>
      <c r="AB24" s="152" t="b">
        <v>1</v>
      </c>
      <c r="AC24" s="5">
        <v>5</v>
      </c>
      <c r="AD24" s="5" t="b">
        <v>0</v>
      </c>
      <c r="AE24" s="5" t="s">
        <v>5734</v>
      </c>
      <c r="AF24" s="5" t="s">
        <v>5735</v>
      </c>
      <c r="AG24" s="132" t="s">
        <v>5736</v>
      </c>
      <c r="AH24" s="132" t="s">
        <v>5737</v>
      </c>
      <c r="AI24" s="132" t="s">
        <v>5479</v>
      </c>
      <c r="AJ24" s="132" t="s">
        <v>5738</v>
      </c>
      <c r="AK24" s="132" t="s">
        <v>5739</v>
      </c>
      <c r="AL24" s="6"/>
      <c r="AM24" s="6" t="s">
        <v>5740</v>
      </c>
      <c r="AN24" s="6" t="s">
        <v>5741</v>
      </c>
      <c r="AO24" s="5">
        <v>3</v>
      </c>
      <c r="AP24" s="85" t="s">
        <v>5742</v>
      </c>
      <c r="AQ24" s="233" t="s">
        <v>5905</v>
      </c>
      <c r="AR24" s="233" t="s">
        <v>5906</v>
      </c>
      <c r="AS24" s="234" t="s">
        <v>5350</v>
      </c>
      <c r="AT24" s="6" t="s">
        <v>5741</v>
      </c>
      <c r="AU24" s="6" t="s">
        <v>5741</v>
      </c>
      <c r="AV24" s="6" t="s">
        <v>5738</v>
      </c>
      <c r="AW24" s="6" t="s">
        <v>5738</v>
      </c>
      <c r="AX24" s="6" t="s">
        <v>5738</v>
      </c>
      <c r="AY24" s="6" t="s">
        <v>5738</v>
      </c>
      <c r="AZ24" s="6" t="s">
        <v>5723</v>
      </c>
      <c r="BA24" s="6" t="s">
        <v>5723</v>
      </c>
      <c r="BB24" s="6" t="s">
        <v>5738</v>
      </c>
      <c r="BC24" s="6" t="s">
        <v>5738</v>
      </c>
      <c r="BD24" s="6" t="s">
        <v>5738</v>
      </c>
      <c r="BE24" s="6" t="s">
        <v>5738</v>
      </c>
      <c r="BF24" s="6" t="s">
        <v>5771</v>
      </c>
      <c r="BG24" s="6" t="s">
        <v>5610</v>
      </c>
      <c r="BH24" s="6" t="s">
        <v>5610</v>
      </c>
      <c r="BI24" s="6" t="s">
        <v>5738</v>
      </c>
      <c r="BJ24" s="6" t="s">
        <v>5738</v>
      </c>
      <c r="BK24" s="6" t="s">
        <v>5738</v>
      </c>
      <c r="BL24" s="6" t="s">
        <v>5738</v>
      </c>
      <c r="BM24" s="6" t="s">
        <v>5747</v>
      </c>
      <c r="BN24" s="6" t="s">
        <v>5748</v>
      </c>
      <c r="BO24" s="6" t="s">
        <v>5738</v>
      </c>
      <c r="BP24" s="6" t="s">
        <v>5738</v>
      </c>
      <c r="BQ24" s="6" t="s">
        <v>5738</v>
      </c>
      <c r="BR24" s="6" t="s">
        <v>5738</v>
      </c>
      <c r="BS24" s="6">
        <v>3</v>
      </c>
      <c r="BT24" s="6">
        <v>3</v>
      </c>
      <c r="BU24" s="6">
        <v>0</v>
      </c>
      <c r="BV24" s="6">
        <v>0</v>
      </c>
      <c r="BW24" s="6">
        <v>0</v>
      </c>
      <c r="BX24" s="6">
        <v>0</v>
      </c>
      <c r="BY24" s="6" t="s">
        <v>5467</v>
      </c>
      <c r="BZ24" s="6">
        <v>2</v>
      </c>
      <c r="CA24" s="6">
        <v>2</v>
      </c>
      <c r="CB24" s="6">
        <v>2</v>
      </c>
      <c r="CC24" s="6">
        <v>0</v>
      </c>
      <c r="CD24" s="6">
        <v>0</v>
      </c>
      <c r="CE24" s="6">
        <v>0</v>
      </c>
      <c r="CF24" s="6" t="s">
        <v>5749</v>
      </c>
      <c r="CG24" s="6">
        <v>1</v>
      </c>
      <c r="CH24" s="6">
        <v>1</v>
      </c>
      <c r="CI24" s="6">
        <v>1</v>
      </c>
      <c r="CJ24" s="6">
        <v>0</v>
      </c>
      <c r="CK24" s="6">
        <v>0</v>
      </c>
      <c r="CL24" s="6">
        <v>0</v>
      </c>
      <c r="CM24" s="6" t="s">
        <v>5738</v>
      </c>
      <c r="CN24" s="6">
        <v>0</v>
      </c>
      <c r="CO24" s="6">
        <v>0</v>
      </c>
      <c r="CP24" s="6">
        <v>0</v>
      </c>
      <c r="CQ24" s="6">
        <v>0</v>
      </c>
      <c r="CR24" s="6">
        <v>0</v>
      </c>
      <c r="CS24" s="6">
        <v>0</v>
      </c>
      <c r="CT24" s="6" t="s">
        <v>5738</v>
      </c>
      <c r="CU24" s="6">
        <v>0</v>
      </c>
      <c r="CV24" s="6">
        <v>0</v>
      </c>
      <c r="CW24" s="6">
        <v>0</v>
      </c>
      <c r="CX24" s="6">
        <v>0</v>
      </c>
      <c r="CY24" s="6">
        <v>0</v>
      </c>
      <c r="CZ24" s="6">
        <v>0</v>
      </c>
      <c r="DA24" s="6" t="s">
        <v>5738</v>
      </c>
      <c r="DB24" s="6">
        <v>0</v>
      </c>
      <c r="DC24" s="6">
        <v>0</v>
      </c>
      <c r="DD24" s="6">
        <v>0</v>
      </c>
      <c r="DE24" s="6">
        <v>0</v>
      </c>
      <c r="DF24" s="6">
        <v>0</v>
      </c>
      <c r="DG24" s="6">
        <v>0</v>
      </c>
      <c r="DH24" s="6" t="s">
        <v>5738</v>
      </c>
      <c r="DI24" s="6">
        <v>0</v>
      </c>
      <c r="DJ24" s="6">
        <v>0</v>
      </c>
      <c r="DK24" s="6">
        <v>0</v>
      </c>
      <c r="DL24" s="6">
        <v>0</v>
      </c>
      <c r="DM24" s="6">
        <v>0</v>
      </c>
      <c r="DN24" s="6">
        <v>0</v>
      </c>
      <c r="DO24" s="6" t="s">
        <v>5752</v>
      </c>
      <c r="DP24" s="6">
        <v>60</v>
      </c>
      <c r="DQ24" s="6">
        <v>60</v>
      </c>
      <c r="DR24" s="6">
        <v>60</v>
      </c>
      <c r="DS24" s="6">
        <v>0</v>
      </c>
      <c r="DT24" s="6">
        <v>0</v>
      </c>
      <c r="DU24" s="6">
        <v>0</v>
      </c>
      <c r="DV24" s="6" t="s">
        <v>5753</v>
      </c>
      <c r="DW24" s="6">
        <v>60</v>
      </c>
      <c r="DX24" s="6" t="s">
        <v>5752</v>
      </c>
      <c r="DY24" s="6">
        <v>60</v>
      </c>
      <c r="DZ24" s="6">
        <v>60</v>
      </c>
      <c r="EA24" s="6">
        <v>60</v>
      </c>
      <c r="EB24" s="6">
        <v>0</v>
      </c>
      <c r="EC24" s="6">
        <v>0</v>
      </c>
      <c r="ED24" s="6">
        <v>0</v>
      </c>
      <c r="EE24" s="6" t="s">
        <v>5753</v>
      </c>
      <c r="EF24" s="6">
        <v>60</v>
      </c>
      <c r="EG24" s="6" t="s">
        <v>5738</v>
      </c>
      <c r="EH24" s="6">
        <v>0</v>
      </c>
      <c r="EI24" s="6">
        <v>0</v>
      </c>
      <c r="EJ24" s="6">
        <v>0</v>
      </c>
      <c r="EK24" s="6">
        <v>0</v>
      </c>
      <c r="EL24" s="6">
        <v>0</v>
      </c>
      <c r="EM24" s="6">
        <v>0</v>
      </c>
      <c r="EN24" s="6" t="s">
        <v>5738</v>
      </c>
      <c r="EO24" s="6">
        <v>0</v>
      </c>
      <c r="EP24" s="6" t="s">
        <v>5738</v>
      </c>
      <c r="EQ24" s="6">
        <v>0</v>
      </c>
      <c r="ER24" s="6">
        <v>0</v>
      </c>
      <c r="ES24" s="6">
        <v>0</v>
      </c>
      <c r="ET24" s="6">
        <v>0</v>
      </c>
      <c r="EU24" s="6">
        <v>0</v>
      </c>
      <c r="EV24" s="6">
        <v>0</v>
      </c>
      <c r="EW24" s="6" t="s">
        <v>5738</v>
      </c>
      <c r="EX24" s="6">
        <v>0</v>
      </c>
      <c r="EY24" s="6" t="s">
        <v>5738</v>
      </c>
      <c r="EZ24" s="6">
        <v>0</v>
      </c>
      <c r="FA24" s="6">
        <v>0</v>
      </c>
      <c r="FB24" s="6">
        <v>0</v>
      </c>
      <c r="FC24" s="6">
        <v>0</v>
      </c>
      <c r="FD24" s="6">
        <v>0</v>
      </c>
      <c r="FE24" s="6">
        <v>0</v>
      </c>
      <c r="FF24" s="6" t="s">
        <v>5738</v>
      </c>
      <c r="FG24" s="6">
        <v>0</v>
      </c>
      <c r="FH24" s="6" t="s">
        <v>5738</v>
      </c>
      <c r="FI24" s="6">
        <v>0</v>
      </c>
      <c r="FJ24" s="6">
        <v>0</v>
      </c>
      <c r="FK24" s="6">
        <v>0</v>
      </c>
      <c r="FL24" s="6">
        <v>0</v>
      </c>
      <c r="FM24" s="6">
        <v>0</v>
      </c>
      <c r="FN24" s="6">
        <v>0</v>
      </c>
      <c r="FO24" s="6" t="s">
        <v>5738</v>
      </c>
      <c r="FP24" s="6">
        <v>0</v>
      </c>
      <c r="FQ24" s="6">
        <v>60</v>
      </c>
      <c r="FR24" s="6" t="s">
        <v>5754</v>
      </c>
      <c r="FS24" s="6" t="s">
        <v>5755</v>
      </c>
      <c r="FT24" s="6" t="s">
        <v>5738</v>
      </c>
      <c r="FU24" s="6" t="s">
        <v>5738</v>
      </c>
      <c r="FV24" s="6" t="s">
        <v>5738</v>
      </c>
      <c r="FW24" s="6" t="s">
        <v>5738</v>
      </c>
      <c r="FX24" s="6" t="s">
        <v>5907</v>
      </c>
      <c r="FY24" s="6">
        <v>43</v>
      </c>
      <c r="FZ24" s="6">
        <v>43</v>
      </c>
      <c r="GA24" s="6">
        <v>43</v>
      </c>
      <c r="GB24" s="6">
        <v>0</v>
      </c>
      <c r="GC24" s="6">
        <v>0</v>
      </c>
      <c r="GD24" s="6">
        <v>0</v>
      </c>
      <c r="GE24" s="6" t="s">
        <v>5908</v>
      </c>
      <c r="GF24" s="6" t="s">
        <v>5907</v>
      </c>
      <c r="GG24" s="6">
        <v>43</v>
      </c>
      <c r="GH24" s="6">
        <v>43</v>
      </c>
      <c r="GI24" s="6">
        <v>43</v>
      </c>
      <c r="GJ24" s="6">
        <v>0</v>
      </c>
      <c r="GK24" s="6">
        <v>0</v>
      </c>
      <c r="GL24" s="6">
        <v>0</v>
      </c>
      <c r="GM24" s="6" t="s">
        <v>5908</v>
      </c>
      <c r="GN24" s="6" t="s">
        <v>5738</v>
      </c>
      <c r="GO24" s="6">
        <v>0</v>
      </c>
      <c r="GP24" s="6">
        <v>0</v>
      </c>
      <c r="GQ24" s="6">
        <v>0</v>
      </c>
      <c r="GR24" s="6">
        <v>0</v>
      </c>
      <c r="GS24" s="6">
        <v>0</v>
      </c>
      <c r="GT24" s="6">
        <v>0</v>
      </c>
      <c r="GU24" s="6" t="s">
        <v>5738</v>
      </c>
      <c r="GV24" s="6" t="s">
        <v>5738</v>
      </c>
      <c r="GW24" s="6">
        <v>0</v>
      </c>
      <c r="GX24" s="6">
        <v>0</v>
      </c>
      <c r="GY24" s="6">
        <v>0</v>
      </c>
      <c r="GZ24" s="6">
        <v>0</v>
      </c>
      <c r="HA24" s="6">
        <v>0</v>
      </c>
      <c r="HB24" s="6">
        <v>0</v>
      </c>
      <c r="HC24" s="6" t="s">
        <v>5738</v>
      </c>
      <c r="HD24" s="6" t="s">
        <v>5738</v>
      </c>
      <c r="HE24" s="6">
        <v>0</v>
      </c>
      <c r="HF24" s="6">
        <v>0</v>
      </c>
      <c r="HG24" s="6">
        <v>0</v>
      </c>
      <c r="HH24" s="6">
        <v>0</v>
      </c>
      <c r="HI24" s="6">
        <v>0</v>
      </c>
      <c r="HJ24" s="6">
        <v>0</v>
      </c>
      <c r="HK24" s="6" t="s">
        <v>5738</v>
      </c>
      <c r="HL24" s="6" t="s">
        <v>5738</v>
      </c>
      <c r="HM24" s="6">
        <v>0</v>
      </c>
      <c r="HN24" s="6">
        <v>0</v>
      </c>
      <c r="HO24" s="6">
        <v>0</v>
      </c>
      <c r="HP24" s="6">
        <v>0</v>
      </c>
      <c r="HQ24" s="6">
        <v>0</v>
      </c>
      <c r="HR24" s="6">
        <v>0</v>
      </c>
      <c r="HS24" s="6" t="s">
        <v>5738</v>
      </c>
      <c r="HT24" s="6" t="s">
        <v>5758</v>
      </c>
      <c r="HU24" s="6">
        <v>43</v>
      </c>
      <c r="HV24" s="6">
        <v>43</v>
      </c>
      <c r="HW24" s="6">
        <v>0</v>
      </c>
      <c r="HX24" s="6">
        <v>0</v>
      </c>
      <c r="HY24" s="6">
        <v>0</v>
      </c>
      <c r="HZ24" s="6">
        <v>0</v>
      </c>
      <c r="IA24" s="5">
        <v>43</v>
      </c>
      <c r="IB24" s="5">
        <v>38</v>
      </c>
      <c r="IC24" s="132" t="s">
        <v>5460</v>
      </c>
      <c r="ID24" s="132" t="s">
        <v>5909</v>
      </c>
      <c r="IE24" s="132" t="s">
        <v>5760</v>
      </c>
      <c r="IF24" s="132" t="s">
        <v>5761</v>
      </c>
      <c r="IG24" s="171">
        <v>43756</v>
      </c>
      <c r="IH24" s="171">
        <v>45583</v>
      </c>
      <c r="II24" s="6">
        <v>37</v>
      </c>
    </row>
    <row r="25" spans="1:243" ht="165.75">
      <c r="A25" s="5">
        <v>24</v>
      </c>
      <c r="B25" s="132" t="s">
        <v>5723</v>
      </c>
      <c r="C25" s="132" t="s">
        <v>5723</v>
      </c>
      <c r="D25" s="5" t="s">
        <v>5614</v>
      </c>
      <c r="E25" s="107" t="s">
        <v>5615</v>
      </c>
      <c r="F25" s="5" t="s">
        <v>5351</v>
      </c>
      <c r="G25" s="5">
        <v>105.713595</v>
      </c>
      <c r="H25" s="5">
        <v>20.997391</v>
      </c>
      <c r="I25" s="5">
        <v>1</v>
      </c>
      <c r="J25" s="5">
        <v>2</v>
      </c>
      <c r="K25" s="5" t="s">
        <v>5762</v>
      </c>
      <c r="L25" s="5" t="s">
        <v>5910</v>
      </c>
      <c r="M25" s="5" t="s">
        <v>5764</v>
      </c>
      <c r="N25" s="5" t="s">
        <v>5765</v>
      </c>
      <c r="O25" s="5" t="s">
        <v>5766</v>
      </c>
      <c r="P25" s="5" t="s">
        <v>5767</v>
      </c>
      <c r="Q25" s="5" t="s">
        <v>5768</v>
      </c>
      <c r="R25" s="5" t="s">
        <v>5911</v>
      </c>
      <c r="S25" s="152" t="b">
        <v>1</v>
      </c>
      <c r="T25" s="5" t="s">
        <v>5616</v>
      </c>
      <c r="U25" s="5">
        <v>0</v>
      </c>
      <c r="V25" s="5" t="s">
        <v>5732</v>
      </c>
      <c r="W25" s="5" t="s">
        <v>5617</v>
      </c>
      <c r="X25" s="7" t="s">
        <v>5733</v>
      </c>
      <c r="Y25" s="5" t="b">
        <v>1</v>
      </c>
      <c r="Z25" s="152" t="b">
        <v>0</v>
      </c>
      <c r="AA25" s="5">
        <v>28</v>
      </c>
      <c r="AB25" s="152" t="b">
        <v>0</v>
      </c>
      <c r="AC25" s="5">
        <v>0</v>
      </c>
      <c r="AD25" s="5" t="b">
        <v>0</v>
      </c>
      <c r="AE25" s="5" t="s">
        <v>5734</v>
      </c>
      <c r="AF25" s="5" t="s">
        <v>5735</v>
      </c>
      <c r="AG25" s="132" t="s">
        <v>5736</v>
      </c>
      <c r="AH25" s="132" t="s">
        <v>5737</v>
      </c>
      <c r="AI25" s="132" t="s">
        <v>5479</v>
      </c>
      <c r="AJ25" s="132" t="s">
        <v>5738</v>
      </c>
      <c r="AK25" s="132" t="s">
        <v>5739</v>
      </c>
      <c r="AL25" s="6"/>
      <c r="AM25" s="6" t="s">
        <v>5740</v>
      </c>
      <c r="AN25" s="6" t="s">
        <v>5741</v>
      </c>
      <c r="AO25" s="5">
        <v>4</v>
      </c>
      <c r="AP25" s="85" t="s">
        <v>5742</v>
      </c>
      <c r="AQ25" s="233" t="s">
        <v>5905</v>
      </c>
      <c r="AR25" s="233" t="s">
        <v>5912</v>
      </c>
      <c r="AS25" s="234" t="s">
        <v>5350</v>
      </c>
      <c r="AT25" s="6" t="s">
        <v>5741</v>
      </c>
      <c r="AU25" s="6" t="s">
        <v>5741</v>
      </c>
      <c r="AV25" s="6" t="s">
        <v>5738</v>
      </c>
      <c r="AW25" s="6" t="s">
        <v>5738</v>
      </c>
      <c r="AX25" s="6" t="s">
        <v>5738</v>
      </c>
      <c r="AY25" s="6" t="s">
        <v>5738</v>
      </c>
      <c r="AZ25" s="6" t="s">
        <v>5723</v>
      </c>
      <c r="BA25" s="6" t="s">
        <v>5723</v>
      </c>
      <c r="BB25" s="6" t="s">
        <v>5738</v>
      </c>
      <c r="BC25" s="6" t="s">
        <v>5738</v>
      </c>
      <c r="BD25" s="6" t="s">
        <v>5738</v>
      </c>
      <c r="BE25" s="6" t="s">
        <v>5738</v>
      </c>
      <c r="BF25" s="6" t="s">
        <v>5771</v>
      </c>
      <c r="BG25" s="6" t="s">
        <v>5614</v>
      </c>
      <c r="BH25" s="6" t="s">
        <v>5614</v>
      </c>
      <c r="BI25" s="6" t="s">
        <v>5738</v>
      </c>
      <c r="BJ25" s="6" t="s">
        <v>5738</v>
      </c>
      <c r="BK25" s="6" t="s">
        <v>5738</v>
      </c>
      <c r="BL25" s="6" t="s">
        <v>5738</v>
      </c>
      <c r="BM25" s="6" t="s">
        <v>5747</v>
      </c>
      <c r="BN25" s="6" t="s">
        <v>5748</v>
      </c>
      <c r="BO25" s="6" t="s">
        <v>5738</v>
      </c>
      <c r="BP25" s="6" t="s">
        <v>5738</v>
      </c>
      <c r="BQ25" s="6" t="s">
        <v>5738</v>
      </c>
      <c r="BR25" s="6" t="s">
        <v>5738</v>
      </c>
      <c r="BS25" s="6">
        <v>3</v>
      </c>
      <c r="BT25" s="6">
        <v>3</v>
      </c>
      <c r="BU25" s="6">
        <v>0</v>
      </c>
      <c r="BV25" s="6">
        <v>0</v>
      </c>
      <c r="BW25" s="6">
        <v>0</v>
      </c>
      <c r="BX25" s="6">
        <v>0</v>
      </c>
      <c r="BY25" s="6" t="s">
        <v>5467</v>
      </c>
      <c r="BZ25" s="6">
        <v>2</v>
      </c>
      <c r="CA25" s="6">
        <v>2</v>
      </c>
      <c r="CB25" s="6">
        <v>2</v>
      </c>
      <c r="CC25" s="6">
        <v>0</v>
      </c>
      <c r="CD25" s="6">
        <v>0</v>
      </c>
      <c r="CE25" s="6">
        <v>0</v>
      </c>
      <c r="CF25" s="6" t="s">
        <v>5749</v>
      </c>
      <c r="CG25" s="6">
        <v>1</v>
      </c>
      <c r="CH25" s="6">
        <v>1</v>
      </c>
      <c r="CI25" s="6">
        <v>1</v>
      </c>
      <c r="CJ25" s="6">
        <v>0</v>
      </c>
      <c r="CK25" s="6">
        <v>0</v>
      </c>
      <c r="CL25" s="6">
        <v>0</v>
      </c>
      <c r="CM25" s="6" t="s">
        <v>5738</v>
      </c>
      <c r="CN25" s="6">
        <v>0</v>
      </c>
      <c r="CO25" s="6">
        <v>0</v>
      </c>
      <c r="CP25" s="6">
        <v>0</v>
      </c>
      <c r="CQ25" s="6">
        <v>0</v>
      </c>
      <c r="CR25" s="6">
        <v>0</v>
      </c>
      <c r="CS25" s="6">
        <v>0</v>
      </c>
      <c r="CT25" s="6" t="s">
        <v>5738</v>
      </c>
      <c r="CU25" s="6">
        <v>0</v>
      </c>
      <c r="CV25" s="6">
        <v>0</v>
      </c>
      <c r="CW25" s="6">
        <v>0</v>
      </c>
      <c r="CX25" s="6">
        <v>0</v>
      </c>
      <c r="CY25" s="6">
        <v>0</v>
      </c>
      <c r="CZ25" s="6">
        <v>0</v>
      </c>
      <c r="DA25" s="6" t="s">
        <v>5738</v>
      </c>
      <c r="DB25" s="6">
        <v>0</v>
      </c>
      <c r="DC25" s="6">
        <v>0</v>
      </c>
      <c r="DD25" s="6">
        <v>0</v>
      </c>
      <c r="DE25" s="6">
        <v>0</v>
      </c>
      <c r="DF25" s="6">
        <v>0</v>
      </c>
      <c r="DG25" s="6">
        <v>0</v>
      </c>
      <c r="DH25" s="6" t="s">
        <v>5738</v>
      </c>
      <c r="DI25" s="6">
        <v>0</v>
      </c>
      <c r="DJ25" s="6">
        <v>0</v>
      </c>
      <c r="DK25" s="6">
        <v>0</v>
      </c>
      <c r="DL25" s="6">
        <v>0</v>
      </c>
      <c r="DM25" s="6">
        <v>0</v>
      </c>
      <c r="DN25" s="6">
        <v>0</v>
      </c>
      <c r="DO25" s="6" t="s">
        <v>5752</v>
      </c>
      <c r="DP25" s="6">
        <v>60</v>
      </c>
      <c r="DQ25" s="6">
        <v>60</v>
      </c>
      <c r="DR25" s="6">
        <v>60</v>
      </c>
      <c r="DS25" s="6">
        <v>0</v>
      </c>
      <c r="DT25" s="6">
        <v>0</v>
      </c>
      <c r="DU25" s="6">
        <v>0</v>
      </c>
      <c r="DV25" s="6" t="s">
        <v>5753</v>
      </c>
      <c r="DW25" s="6">
        <v>60</v>
      </c>
      <c r="DX25" s="6" t="s">
        <v>5752</v>
      </c>
      <c r="DY25" s="6">
        <v>60</v>
      </c>
      <c r="DZ25" s="6">
        <v>60</v>
      </c>
      <c r="EA25" s="6">
        <v>60</v>
      </c>
      <c r="EB25" s="6">
        <v>0</v>
      </c>
      <c r="EC25" s="6">
        <v>0</v>
      </c>
      <c r="ED25" s="6">
        <v>0</v>
      </c>
      <c r="EE25" s="6" t="s">
        <v>5753</v>
      </c>
      <c r="EF25" s="6">
        <v>60</v>
      </c>
      <c r="EG25" s="6" t="s">
        <v>5738</v>
      </c>
      <c r="EH25" s="6">
        <v>0</v>
      </c>
      <c r="EI25" s="6">
        <v>0</v>
      </c>
      <c r="EJ25" s="6">
        <v>0</v>
      </c>
      <c r="EK25" s="6">
        <v>0</v>
      </c>
      <c r="EL25" s="6">
        <v>0</v>
      </c>
      <c r="EM25" s="6">
        <v>0</v>
      </c>
      <c r="EN25" s="6" t="s">
        <v>5738</v>
      </c>
      <c r="EO25" s="6">
        <v>0</v>
      </c>
      <c r="EP25" s="6" t="s">
        <v>5738</v>
      </c>
      <c r="EQ25" s="6">
        <v>0</v>
      </c>
      <c r="ER25" s="6">
        <v>0</v>
      </c>
      <c r="ES25" s="6">
        <v>0</v>
      </c>
      <c r="ET25" s="6">
        <v>0</v>
      </c>
      <c r="EU25" s="6">
        <v>0</v>
      </c>
      <c r="EV25" s="6">
        <v>0</v>
      </c>
      <c r="EW25" s="6" t="s">
        <v>5738</v>
      </c>
      <c r="EX25" s="6">
        <v>0</v>
      </c>
      <c r="EY25" s="6" t="s">
        <v>5738</v>
      </c>
      <c r="EZ25" s="6">
        <v>0</v>
      </c>
      <c r="FA25" s="6">
        <v>0</v>
      </c>
      <c r="FB25" s="6">
        <v>0</v>
      </c>
      <c r="FC25" s="6">
        <v>0</v>
      </c>
      <c r="FD25" s="6">
        <v>0</v>
      </c>
      <c r="FE25" s="6">
        <v>0</v>
      </c>
      <c r="FF25" s="6" t="s">
        <v>5738</v>
      </c>
      <c r="FG25" s="6">
        <v>0</v>
      </c>
      <c r="FH25" s="6" t="s">
        <v>5738</v>
      </c>
      <c r="FI25" s="6">
        <v>0</v>
      </c>
      <c r="FJ25" s="6">
        <v>0</v>
      </c>
      <c r="FK25" s="6">
        <v>0</v>
      </c>
      <c r="FL25" s="6">
        <v>0</v>
      </c>
      <c r="FM25" s="6">
        <v>0</v>
      </c>
      <c r="FN25" s="6">
        <v>0</v>
      </c>
      <c r="FO25" s="6" t="s">
        <v>5738</v>
      </c>
      <c r="FP25" s="6">
        <v>0</v>
      </c>
      <c r="FQ25" s="6">
        <v>60</v>
      </c>
      <c r="FR25" s="6" t="s">
        <v>5754</v>
      </c>
      <c r="FS25" s="6" t="s">
        <v>5755</v>
      </c>
      <c r="FT25" s="6" t="s">
        <v>5738</v>
      </c>
      <c r="FU25" s="6" t="s">
        <v>5738</v>
      </c>
      <c r="FV25" s="6" t="s">
        <v>5738</v>
      </c>
      <c r="FW25" s="6" t="s">
        <v>5738</v>
      </c>
      <c r="FX25" s="6" t="s">
        <v>5913</v>
      </c>
      <c r="FY25" s="6">
        <v>28</v>
      </c>
      <c r="FZ25" s="6">
        <v>28</v>
      </c>
      <c r="GA25" s="6">
        <v>28</v>
      </c>
      <c r="GB25" s="6">
        <v>0</v>
      </c>
      <c r="GC25" s="6">
        <v>0</v>
      </c>
      <c r="GD25" s="6">
        <v>0</v>
      </c>
      <c r="GE25" s="6" t="s">
        <v>5914</v>
      </c>
      <c r="GF25" s="6" t="s">
        <v>5913</v>
      </c>
      <c r="GG25" s="6">
        <v>28</v>
      </c>
      <c r="GH25" s="6">
        <v>28</v>
      </c>
      <c r="GI25" s="6">
        <v>28</v>
      </c>
      <c r="GJ25" s="6">
        <v>0</v>
      </c>
      <c r="GK25" s="6">
        <v>0</v>
      </c>
      <c r="GL25" s="6">
        <v>0</v>
      </c>
      <c r="GM25" s="6" t="s">
        <v>5914</v>
      </c>
      <c r="GN25" s="6" t="s">
        <v>5738</v>
      </c>
      <c r="GO25" s="6">
        <v>0</v>
      </c>
      <c r="GP25" s="6">
        <v>0</v>
      </c>
      <c r="GQ25" s="6">
        <v>0</v>
      </c>
      <c r="GR25" s="6">
        <v>0</v>
      </c>
      <c r="GS25" s="6">
        <v>0</v>
      </c>
      <c r="GT25" s="6">
        <v>0</v>
      </c>
      <c r="GU25" s="6" t="s">
        <v>5738</v>
      </c>
      <c r="GV25" s="6" t="s">
        <v>5738</v>
      </c>
      <c r="GW25" s="6">
        <v>0</v>
      </c>
      <c r="GX25" s="6">
        <v>0</v>
      </c>
      <c r="GY25" s="6">
        <v>0</v>
      </c>
      <c r="GZ25" s="6">
        <v>0</v>
      </c>
      <c r="HA25" s="6">
        <v>0</v>
      </c>
      <c r="HB25" s="6">
        <v>0</v>
      </c>
      <c r="HC25" s="6" t="s">
        <v>5738</v>
      </c>
      <c r="HD25" s="6" t="s">
        <v>5738</v>
      </c>
      <c r="HE25" s="6">
        <v>0</v>
      </c>
      <c r="HF25" s="6">
        <v>0</v>
      </c>
      <c r="HG25" s="6">
        <v>0</v>
      </c>
      <c r="HH25" s="6">
        <v>0</v>
      </c>
      <c r="HI25" s="6">
        <v>0</v>
      </c>
      <c r="HJ25" s="6">
        <v>0</v>
      </c>
      <c r="HK25" s="6" t="s">
        <v>5738</v>
      </c>
      <c r="HL25" s="6" t="s">
        <v>5738</v>
      </c>
      <c r="HM25" s="6">
        <v>0</v>
      </c>
      <c r="HN25" s="6">
        <v>0</v>
      </c>
      <c r="HO25" s="6">
        <v>0</v>
      </c>
      <c r="HP25" s="6">
        <v>0</v>
      </c>
      <c r="HQ25" s="6">
        <v>0</v>
      </c>
      <c r="HR25" s="6">
        <v>0</v>
      </c>
      <c r="HS25" s="6" t="s">
        <v>5738</v>
      </c>
      <c r="HT25" s="6" t="s">
        <v>5758</v>
      </c>
      <c r="HU25" s="6">
        <v>28</v>
      </c>
      <c r="HV25" s="6">
        <v>28</v>
      </c>
      <c r="HW25" s="6">
        <v>0</v>
      </c>
      <c r="HX25" s="6">
        <v>0</v>
      </c>
      <c r="HY25" s="6">
        <v>0</v>
      </c>
      <c r="HZ25" s="6">
        <v>0</v>
      </c>
      <c r="IA25" s="5">
        <v>28</v>
      </c>
      <c r="IB25" s="5">
        <v>28</v>
      </c>
      <c r="IC25" s="132" t="s">
        <v>5460</v>
      </c>
      <c r="ID25" s="132" t="s">
        <v>5915</v>
      </c>
      <c r="IE25" s="132" t="s">
        <v>5760</v>
      </c>
      <c r="IF25" s="132" t="s">
        <v>5761</v>
      </c>
      <c r="IG25" s="171">
        <v>43756</v>
      </c>
      <c r="IH25" s="171">
        <v>45583</v>
      </c>
      <c r="II25" s="6">
        <v>37</v>
      </c>
    </row>
    <row r="26" spans="1:243" ht="242.25">
      <c r="A26" s="5">
        <v>25</v>
      </c>
      <c r="B26" s="132" t="s">
        <v>5723</v>
      </c>
      <c r="C26" s="132" t="s">
        <v>5723</v>
      </c>
      <c r="D26" s="5" t="s">
        <v>5618</v>
      </c>
      <c r="E26" s="107" t="s">
        <v>5619</v>
      </c>
      <c r="F26" s="5" t="s">
        <v>5351</v>
      </c>
      <c r="G26" s="5">
        <v>105.79898799999999</v>
      </c>
      <c r="H26" s="5">
        <v>20.999661</v>
      </c>
      <c r="I26" s="5">
        <v>1</v>
      </c>
      <c r="J26" s="5">
        <v>3</v>
      </c>
      <c r="K26" s="5" t="s">
        <v>5724</v>
      </c>
      <c r="L26" s="5" t="s">
        <v>5916</v>
      </c>
      <c r="M26" s="5" t="s">
        <v>5726</v>
      </c>
      <c r="N26" s="5" t="s">
        <v>5727</v>
      </c>
      <c r="O26" s="5" t="s">
        <v>5728</v>
      </c>
      <c r="P26" s="5" t="s">
        <v>5729</v>
      </c>
      <c r="Q26" s="5" t="s">
        <v>5730</v>
      </c>
      <c r="R26" s="5" t="s">
        <v>5917</v>
      </c>
      <c r="S26" s="152" t="b">
        <v>1</v>
      </c>
      <c r="T26" s="5" t="s">
        <v>5620</v>
      </c>
      <c r="U26" s="5">
        <v>0</v>
      </c>
      <c r="V26" s="5" t="s">
        <v>5732</v>
      </c>
      <c r="W26" s="5" t="s">
        <v>5621</v>
      </c>
      <c r="X26" s="7" t="s">
        <v>5733</v>
      </c>
      <c r="Y26" s="5" t="b">
        <v>0</v>
      </c>
      <c r="Z26" s="152" t="b">
        <v>0</v>
      </c>
      <c r="AA26" s="5">
        <v>51</v>
      </c>
      <c r="AB26" s="152" t="b">
        <v>1</v>
      </c>
      <c r="AC26" s="5">
        <v>50</v>
      </c>
      <c r="AD26" s="5" t="b">
        <v>0</v>
      </c>
      <c r="AE26" s="5" t="s">
        <v>5734</v>
      </c>
      <c r="AF26" s="5" t="s">
        <v>5735</v>
      </c>
      <c r="AG26" s="132" t="s">
        <v>5736</v>
      </c>
      <c r="AH26" s="132" t="s">
        <v>5737</v>
      </c>
      <c r="AI26" s="132" t="s">
        <v>5479</v>
      </c>
      <c r="AJ26" s="132" t="s">
        <v>5738</v>
      </c>
      <c r="AK26" s="132" t="s">
        <v>5739</v>
      </c>
      <c r="AL26" s="6"/>
      <c r="AM26" s="6" t="s">
        <v>5740</v>
      </c>
      <c r="AN26" s="6" t="s">
        <v>5741</v>
      </c>
      <c r="AO26" s="5">
        <v>4</v>
      </c>
      <c r="AP26" s="85" t="s">
        <v>5742</v>
      </c>
      <c r="AQ26" s="233" t="s">
        <v>5918</v>
      </c>
      <c r="AR26" s="233" t="s">
        <v>5919</v>
      </c>
      <c r="AS26" s="234" t="s">
        <v>5350</v>
      </c>
      <c r="AT26" s="6" t="s">
        <v>5741</v>
      </c>
      <c r="AU26" s="6" t="s">
        <v>5741</v>
      </c>
      <c r="AV26" s="6" t="s">
        <v>5741</v>
      </c>
      <c r="AW26" s="6" t="s">
        <v>5738</v>
      </c>
      <c r="AX26" s="6" t="s">
        <v>5738</v>
      </c>
      <c r="AY26" s="6" t="s">
        <v>5738</v>
      </c>
      <c r="AZ26" s="6" t="s">
        <v>5723</v>
      </c>
      <c r="BA26" s="6" t="s">
        <v>5723</v>
      </c>
      <c r="BB26" s="6" t="s">
        <v>5723</v>
      </c>
      <c r="BC26" s="6" t="s">
        <v>5738</v>
      </c>
      <c r="BD26" s="6" t="s">
        <v>5738</v>
      </c>
      <c r="BE26" s="6" t="s">
        <v>5738</v>
      </c>
      <c r="BF26" s="6" t="s">
        <v>5745</v>
      </c>
      <c r="BG26" s="6" t="s">
        <v>5618</v>
      </c>
      <c r="BH26" s="6" t="s">
        <v>5618</v>
      </c>
      <c r="BI26" s="6" t="s">
        <v>5618</v>
      </c>
      <c r="BJ26" s="6" t="s">
        <v>5738</v>
      </c>
      <c r="BK26" s="6" t="s">
        <v>5738</v>
      </c>
      <c r="BL26" s="6" t="s">
        <v>5738</v>
      </c>
      <c r="BM26" s="6" t="s">
        <v>5746</v>
      </c>
      <c r="BN26" s="6" t="s">
        <v>5747</v>
      </c>
      <c r="BO26" s="6" t="s">
        <v>5748</v>
      </c>
      <c r="BP26" s="6" t="s">
        <v>5738</v>
      </c>
      <c r="BQ26" s="6" t="s">
        <v>5738</v>
      </c>
      <c r="BR26" s="6" t="s">
        <v>5738</v>
      </c>
      <c r="BS26" s="6">
        <v>3</v>
      </c>
      <c r="BT26" s="6">
        <v>3</v>
      </c>
      <c r="BU26" s="6">
        <v>3</v>
      </c>
      <c r="BV26" s="6">
        <v>0</v>
      </c>
      <c r="BW26" s="6">
        <v>0</v>
      </c>
      <c r="BX26" s="6">
        <v>0</v>
      </c>
      <c r="BY26" s="6" t="s">
        <v>5467</v>
      </c>
      <c r="BZ26" s="6">
        <v>2</v>
      </c>
      <c r="CA26" s="6">
        <v>2</v>
      </c>
      <c r="CB26" s="6">
        <v>2</v>
      </c>
      <c r="CC26" s="6">
        <v>0</v>
      </c>
      <c r="CD26" s="6">
        <v>0</v>
      </c>
      <c r="CE26" s="6">
        <v>0</v>
      </c>
      <c r="CF26" s="6" t="s">
        <v>5467</v>
      </c>
      <c r="CG26" s="6">
        <v>2</v>
      </c>
      <c r="CH26" s="6">
        <v>2</v>
      </c>
      <c r="CI26" s="6">
        <v>2</v>
      </c>
      <c r="CJ26" s="6">
        <v>0</v>
      </c>
      <c r="CK26" s="6">
        <v>0</v>
      </c>
      <c r="CL26" s="6">
        <v>0</v>
      </c>
      <c r="CM26" s="6" t="s">
        <v>5749</v>
      </c>
      <c r="CN26" s="6">
        <v>1</v>
      </c>
      <c r="CO26" s="6">
        <v>1</v>
      </c>
      <c r="CP26" s="6">
        <v>1</v>
      </c>
      <c r="CQ26" s="6">
        <v>0</v>
      </c>
      <c r="CR26" s="6">
        <v>0</v>
      </c>
      <c r="CS26" s="6">
        <v>0</v>
      </c>
      <c r="CT26" s="6" t="s">
        <v>5738</v>
      </c>
      <c r="CU26" s="6">
        <v>0</v>
      </c>
      <c r="CV26" s="6">
        <v>0</v>
      </c>
      <c r="CW26" s="6">
        <v>0</v>
      </c>
      <c r="CX26" s="6">
        <v>0</v>
      </c>
      <c r="CY26" s="6">
        <v>0</v>
      </c>
      <c r="CZ26" s="6">
        <v>0</v>
      </c>
      <c r="DA26" s="6" t="s">
        <v>5738</v>
      </c>
      <c r="DB26" s="6">
        <v>0</v>
      </c>
      <c r="DC26" s="6">
        <v>0</v>
      </c>
      <c r="DD26" s="6">
        <v>0</v>
      </c>
      <c r="DE26" s="6">
        <v>0</v>
      </c>
      <c r="DF26" s="6">
        <v>0</v>
      </c>
      <c r="DG26" s="6">
        <v>0</v>
      </c>
      <c r="DH26" s="6" t="s">
        <v>5738</v>
      </c>
      <c r="DI26" s="6">
        <v>0</v>
      </c>
      <c r="DJ26" s="6">
        <v>0</v>
      </c>
      <c r="DK26" s="6">
        <v>0</v>
      </c>
      <c r="DL26" s="6">
        <v>0</v>
      </c>
      <c r="DM26" s="6">
        <v>0</v>
      </c>
      <c r="DN26" s="6">
        <v>0</v>
      </c>
      <c r="DO26" s="6" t="s">
        <v>5750</v>
      </c>
      <c r="DP26" s="6">
        <v>80</v>
      </c>
      <c r="DQ26" s="6">
        <v>80</v>
      </c>
      <c r="DR26" s="6">
        <v>80</v>
      </c>
      <c r="DS26" s="6">
        <v>0</v>
      </c>
      <c r="DT26" s="6">
        <v>0</v>
      </c>
      <c r="DU26" s="6">
        <v>0</v>
      </c>
      <c r="DV26" s="6" t="s">
        <v>5751</v>
      </c>
      <c r="DW26" s="6">
        <v>80</v>
      </c>
      <c r="DX26" s="6" t="s">
        <v>5752</v>
      </c>
      <c r="DY26" s="6">
        <v>60</v>
      </c>
      <c r="DZ26" s="6">
        <v>60</v>
      </c>
      <c r="EA26" s="6">
        <v>60</v>
      </c>
      <c r="EB26" s="6">
        <v>0</v>
      </c>
      <c r="EC26" s="6">
        <v>0</v>
      </c>
      <c r="ED26" s="6">
        <v>0</v>
      </c>
      <c r="EE26" s="6" t="s">
        <v>5753</v>
      </c>
      <c r="EF26" s="6">
        <v>60</v>
      </c>
      <c r="EG26" s="6" t="s">
        <v>5752</v>
      </c>
      <c r="EH26" s="6">
        <v>60</v>
      </c>
      <c r="EI26" s="6">
        <v>60</v>
      </c>
      <c r="EJ26" s="6">
        <v>60</v>
      </c>
      <c r="EK26" s="6">
        <v>0</v>
      </c>
      <c r="EL26" s="6">
        <v>0</v>
      </c>
      <c r="EM26" s="6">
        <v>0</v>
      </c>
      <c r="EN26" s="6" t="s">
        <v>5753</v>
      </c>
      <c r="EO26" s="6">
        <v>60</v>
      </c>
      <c r="EP26" s="6" t="s">
        <v>5738</v>
      </c>
      <c r="EQ26" s="6">
        <v>0</v>
      </c>
      <c r="ER26" s="6">
        <v>0</v>
      </c>
      <c r="ES26" s="6">
        <v>0</v>
      </c>
      <c r="ET26" s="6">
        <v>0</v>
      </c>
      <c r="EU26" s="6">
        <v>0</v>
      </c>
      <c r="EV26" s="6">
        <v>0</v>
      </c>
      <c r="EW26" s="6" t="s">
        <v>5738</v>
      </c>
      <c r="EX26" s="6">
        <v>0</v>
      </c>
      <c r="EY26" s="6" t="s">
        <v>5738</v>
      </c>
      <c r="EZ26" s="6">
        <v>0</v>
      </c>
      <c r="FA26" s="6">
        <v>0</v>
      </c>
      <c r="FB26" s="6">
        <v>0</v>
      </c>
      <c r="FC26" s="6">
        <v>0</v>
      </c>
      <c r="FD26" s="6">
        <v>0</v>
      </c>
      <c r="FE26" s="6">
        <v>0</v>
      </c>
      <c r="FF26" s="6" t="s">
        <v>5738</v>
      </c>
      <c r="FG26" s="6">
        <v>0</v>
      </c>
      <c r="FH26" s="6" t="s">
        <v>5738</v>
      </c>
      <c r="FI26" s="6">
        <v>0</v>
      </c>
      <c r="FJ26" s="6">
        <v>0</v>
      </c>
      <c r="FK26" s="6">
        <v>0</v>
      </c>
      <c r="FL26" s="6">
        <v>0</v>
      </c>
      <c r="FM26" s="6">
        <v>0</v>
      </c>
      <c r="FN26" s="6">
        <v>0</v>
      </c>
      <c r="FO26" s="6" t="s">
        <v>5738</v>
      </c>
      <c r="FP26" s="6">
        <v>0</v>
      </c>
      <c r="FQ26" s="6">
        <v>80</v>
      </c>
      <c r="FR26" s="6" t="s">
        <v>3353</v>
      </c>
      <c r="FS26" s="6" t="s">
        <v>5754</v>
      </c>
      <c r="FT26" s="6" t="s">
        <v>5755</v>
      </c>
      <c r="FU26" s="6" t="s">
        <v>5738</v>
      </c>
      <c r="FV26" s="6" t="s">
        <v>5738</v>
      </c>
      <c r="FW26" s="6" t="s">
        <v>5738</v>
      </c>
      <c r="FX26" s="6" t="s">
        <v>5920</v>
      </c>
      <c r="FY26" s="6">
        <v>51</v>
      </c>
      <c r="FZ26" s="6">
        <v>51</v>
      </c>
      <c r="GA26" s="6">
        <v>51</v>
      </c>
      <c r="GB26" s="6">
        <v>0</v>
      </c>
      <c r="GC26" s="6">
        <v>0</v>
      </c>
      <c r="GD26" s="6">
        <v>0</v>
      </c>
      <c r="GE26" s="6" t="s">
        <v>5921</v>
      </c>
      <c r="GF26" s="6" t="s">
        <v>5920</v>
      </c>
      <c r="GG26" s="6">
        <v>51</v>
      </c>
      <c r="GH26" s="6">
        <v>51</v>
      </c>
      <c r="GI26" s="6">
        <v>51</v>
      </c>
      <c r="GJ26" s="6">
        <v>0</v>
      </c>
      <c r="GK26" s="6">
        <v>0</v>
      </c>
      <c r="GL26" s="6">
        <v>0</v>
      </c>
      <c r="GM26" s="6" t="s">
        <v>5921</v>
      </c>
      <c r="GN26" s="6" t="s">
        <v>5920</v>
      </c>
      <c r="GO26" s="6">
        <v>51</v>
      </c>
      <c r="GP26" s="6">
        <v>51</v>
      </c>
      <c r="GQ26" s="6">
        <v>51</v>
      </c>
      <c r="GR26" s="6">
        <v>0</v>
      </c>
      <c r="GS26" s="6">
        <v>0</v>
      </c>
      <c r="GT26" s="6">
        <v>0</v>
      </c>
      <c r="GU26" s="6" t="s">
        <v>5921</v>
      </c>
      <c r="GV26" s="6" t="s">
        <v>5738</v>
      </c>
      <c r="GW26" s="6">
        <v>0</v>
      </c>
      <c r="GX26" s="6">
        <v>0</v>
      </c>
      <c r="GY26" s="6">
        <v>0</v>
      </c>
      <c r="GZ26" s="6">
        <v>0</v>
      </c>
      <c r="HA26" s="6">
        <v>0</v>
      </c>
      <c r="HB26" s="6">
        <v>0</v>
      </c>
      <c r="HC26" s="6" t="s">
        <v>5738</v>
      </c>
      <c r="HD26" s="6" t="s">
        <v>5738</v>
      </c>
      <c r="HE26" s="6">
        <v>0</v>
      </c>
      <c r="HF26" s="6">
        <v>0</v>
      </c>
      <c r="HG26" s="6">
        <v>0</v>
      </c>
      <c r="HH26" s="6">
        <v>0</v>
      </c>
      <c r="HI26" s="6">
        <v>0</v>
      </c>
      <c r="HJ26" s="6">
        <v>0</v>
      </c>
      <c r="HK26" s="6" t="s">
        <v>5738</v>
      </c>
      <c r="HL26" s="6" t="s">
        <v>5738</v>
      </c>
      <c r="HM26" s="6">
        <v>0</v>
      </c>
      <c r="HN26" s="6">
        <v>0</v>
      </c>
      <c r="HO26" s="6">
        <v>0</v>
      </c>
      <c r="HP26" s="6">
        <v>0</v>
      </c>
      <c r="HQ26" s="6">
        <v>0</v>
      </c>
      <c r="HR26" s="6">
        <v>0</v>
      </c>
      <c r="HS26" s="6" t="s">
        <v>5738</v>
      </c>
      <c r="HT26" s="6" t="s">
        <v>5758</v>
      </c>
      <c r="HU26" s="6">
        <v>51</v>
      </c>
      <c r="HV26" s="6">
        <v>51</v>
      </c>
      <c r="HW26" s="6">
        <v>51</v>
      </c>
      <c r="HX26" s="6">
        <v>0</v>
      </c>
      <c r="HY26" s="6">
        <v>0</v>
      </c>
      <c r="HZ26" s="6">
        <v>0</v>
      </c>
      <c r="IA26" s="5">
        <v>51</v>
      </c>
      <c r="IB26" s="5">
        <v>1</v>
      </c>
      <c r="IC26" s="132" t="s">
        <v>5460</v>
      </c>
      <c r="ID26" s="132" t="s">
        <v>5922</v>
      </c>
      <c r="IE26" s="132" t="s">
        <v>5760</v>
      </c>
      <c r="IF26" s="132" t="s">
        <v>5761</v>
      </c>
      <c r="IG26" s="171">
        <v>43756</v>
      </c>
      <c r="IH26" s="171">
        <v>45583</v>
      </c>
      <c r="II26" s="6">
        <v>37</v>
      </c>
    </row>
    <row r="27" spans="1:243" ht="165.75">
      <c r="A27" s="5">
        <v>26</v>
      </c>
      <c r="B27" s="132" t="s">
        <v>5723</v>
      </c>
      <c r="C27" s="132" t="s">
        <v>5723</v>
      </c>
      <c r="D27" s="5" t="s">
        <v>5622</v>
      </c>
      <c r="E27" s="107" t="s">
        <v>5623</v>
      </c>
      <c r="F27" s="5" t="s">
        <v>5351</v>
      </c>
      <c r="G27" s="5">
        <v>105.81394299999999</v>
      </c>
      <c r="H27" s="5">
        <v>20.996428999999999</v>
      </c>
      <c r="I27" s="5">
        <v>1</v>
      </c>
      <c r="J27" s="5">
        <v>2</v>
      </c>
      <c r="K27" s="5" t="s">
        <v>5762</v>
      </c>
      <c r="L27" s="5" t="s">
        <v>5923</v>
      </c>
      <c r="M27" s="5" t="s">
        <v>5764</v>
      </c>
      <c r="N27" s="5" t="s">
        <v>5765</v>
      </c>
      <c r="O27" s="5" t="s">
        <v>5766</v>
      </c>
      <c r="P27" s="5" t="s">
        <v>5767</v>
      </c>
      <c r="Q27" s="5" t="s">
        <v>5768</v>
      </c>
      <c r="R27" s="5" t="s">
        <v>5871</v>
      </c>
      <c r="S27" s="152" t="b">
        <v>1</v>
      </c>
      <c r="T27" s="5" t="s">
        <v>5624</v>
      </c>
      <c r="U27" s="5">
        <v>0</v>
      </c>
      <c r="V27" s="5" t="s">
        <v>5732</v>
      </c>
      <c r="W27" s="5" t="s">
        <v>5625</v>
      </c>
      <c r="X27" s="7" t="s">
        <v>5733</v>
      </c>
      <c r="Y27" s="5" t="b">
        <v>0</v>
      </c>
      <c r="Z27" s="152" t="b">
        <v>0</v>
      </c>
      <c r="AA27" s="5">
        <v>22</v>
      </c>
      <c r="AB27" s="152" t="b">
        <v>1</v>
      </c>
      <c r="AC27" s="5">
        <v>20</v>
      </c>
      <c r="AD27" s="5" t="b">
        <v>0</v>
      </c>
      <c r="AE27" s="5" t="s">
        <v>5734</v>
      </c>
      <c r="AF27" s="5" t="s">
        <v>5735</v>
      </c>
      <c r="AG27" s="132" t="s">
        <v>5736</v>
      </c>
      <c r="AH27" s="132" t="s">
        <v>5737</v>
      </c>
      <c r="AI27" s="132" t="s">
        <v>5479</v>
      </c>
      <c r="AJ27" s="132" t="s">
        <v>5738</v>
      </c>
      <c r="AK27" s="132" t="s">
        <v>5739</v>
      </c>
      <c r="AL27" s="6"/>
      <c r="AM27" s="6" t="s">
        <v>5740</v>
      </c>
      <c r="AN27" s="6" t="s">
        <v>5741</v>
      </c>
      <c r="AO27" s="5">
        <v>5</v>
      </c>
      <c r="AP27" s="85" t="s">
        <v>5742</v>
      </c>
      <c r="AQ27" s="233" t="s">
        <v>5918</v>
      </c>
      <c r="AR27" s="233" t="s">
        <v>5924</v>
      </c>
      <c r="AS27" s="234" t="s">
        <v>5350</v>
      </c>
      <c r="AT27" s="6" t="s">
        <v>5741</v>
      </c>
      <c r="AU27" s="6" t="s">
        <v>5741</v>
      </c>
      <c r="AV27" s="6" t="s">
        <v>5738</v>
      </c>
      <c r="AW27" s="6" t="s">
        <v>5738</v>
      </c>
      <c r="AX27" s="6" t="s">
        <v>5738</v>
      </c>
      <c r="AY27" s="6" t="s">
        <v>5738</v>
      </c>
      <c r="AZ27" s="6" t="s">
        <v>5723</v>
      </c>
      <c r="BA27" s="6" t="s">
        <v>5723</v>
      </c>
      <c r="BB27" s="6" t="s">
        <v>5738</v>
      </c>
      <c r="BC27" s="6" t="s">
        <v>5738</v>
      </c>
      <c r="BD27" s="6" t="s">
        <v>5738</v>
      </c>
      <c r="BE27" s="6" t="s">
        <v>5738</v>
      </c>
      <c r="BF27" s="6" t="s">
        <v>5771</v>
      </c>
      <c r="BG27" s="6" t="s">
        <v>5622</v>
      </c>
      <c r="BH27" s="6" t="s">
        <v>5622</v>
      </c>
      <c r="BI27" s="6" t="s">
        <v>5738</v>
      </c>
      <c r="BJ27" s="6" t="s">
        <v>5738</v>
      </c>
      <c r="BK27" s="6" t="s">
        <v>5738</v>
      </c>
      <c r="BL27" s="6" t="s">
        <v>5738</v>
      </c>
      <c r="BM27" s="6" t="s">
        <v>5747</v>
      </c>
      <c r="BN27" s="6" t="s">
        <v>5748</v>
      </c>
      <c r="BO27" s="6" t="s">
        <v>5738</v>
      </c>
      <c r="BP27" s="6" t="s">
        <v>5738</v>
      </c>
      <c r="BQ27" s="6" t="s">
        <v>5738</v>
      </c>
      <c r="BR27" s="6" t="s">
        <v>5738</v>
      </c>
      <c r="BS27" s="6">
        <v>3</v>
      </c>
      <c r="BT27" s="6">
        <v>3</v>
      </c>
      <c r="BU27" s="6">
        <v>0</v>
      </c>
      <c r="BV27" s="6">
        <v>0</v>
      </c>
      <c r="BW27" s="6">
        <v>0</v>
      </c>
      <c r="BX27" s="6">
        <v>0</v>
      </c>
      <c r="BY27" s="6" t="s">
        <v>5467</v>
      </c>
      <c r="BZ27" s="6">
        <v>2</v>
      </c>
      <c r="CA27" s="6">
        <v>2</v>
      </c>
      <c r="CB27" s="6">
        <v>2</v>
      </c>
      <c r="CC27" s="6">
        <v>0</v>
      </c>
      <c r="CD27" s="6">
        <v>0</v>
      </c>
      <c r="CE27" s="6">
        <v>0</v>
      </c>
      <c r="CF27" s="6" t="s">
        <v>5749</v>
      </c>
      <c r="CG27" s="6">
        <v>1</v>
      </c>
      <c r="CH27" s="6">
        <v>1</v>
      </c>
      <c r="CI27" s="6">
        <v>1</v>
      </c>
      <c r="CJ27" s="6">
        <v>0</v>
      </c>
      <c r="CK27" s="6">
        <v>0</v>
      </c>
      <c r="CL27" s="6">
        <v>0</v>
      </c>
      <c r="CM27" s="6" t="s">
        <v>5738</v>
      </c>
      <c r="CN27" s="6">
        <v>0</v>
      </c>
      <c r="CO27" s="6">
        <v>0</v>
      </c>
      <c r="CP27" s="6">
        <v>0</v>
      </c>
      <c r="CQ27" s="6">
        <v>0</v>
      </c>
      <c r="CR27" s="6">
        <v>0</v>
      </c>
      <c r="CS27" s="6">
        <v>0</v>
      </c>
      <c r="CT27" s="6" t="s">
        <v>5738</v>
      </c>
      <c r="CU27" s="6">
        <v>0</v>
      </c>
      <c r="CV27" s="6">
        <v>0</v>
      </c>
      <c r="CW27" s="6">
        <v>0</v>
      </c>
      <c r="CX27" s="6">
        <v>0</v>
      </c>
      <c r="CY27" s="6">
        <v>0</v>
      </c>
      <c r="CZ27" s="6">
        <v>0</v>
      </c>
      <c r="DA27" s="6" t="s">
        <v>5738</v>
      </c>
      <c r="DB27" s="6">
        <v>0</v>
      </c>
      <c r="DC27" s="6">
        <v>0</v>
      </c>
      <c r="DD27" s="6">
        <v>0</v>
      </c>
      <c r="DE27" s="6">
        <v>0</v>
      </c>
      <c r="DF27" s="6">
        <v>0</v>
      </c>
      <c r="DG27" s="6">
        <v>0</v>
      </c>
      <c r="DH27" s="6" t="s">
        <v>5738</v>
      </c>
      <c r="DI27" s="6">
        <v>0</v>
      </c>
      <c r="DJ27" s="6">
        <v>0</v>
      </c>
      <c r="DK27" s="6">
        <v>0</v>
      </c>
      <c r="DL27" s="6">
        <v>0</v>
      </c>
      <c r="DM27" s="6">
        <v>0</v>
      </c>
      <c r="DN27" s="6">
        <v>0</v>
      </c>
      <c r="DO27" s="6" t="s">
        <v>5752</v>
      </c>
      <c r="DP27" s="6">
        <v>60</v>
      </c>
      <c r="DQ27" s="6">
        <v>60</v>
      </c>
      <c r="DR27" s="6">
        <v>60</v>
      </c>
      <c r="DS27" s="6">
        <v>0</v>
      </c>
      <c r="DT27" s="6">
        <v>0</v>
      </c>
      <c r="DU27" s="6">
        <v>0</v>
      </c>
      <c r="DV27" s="6" t="s">
        <v>5753</v>
      </c>
      <c r="DW27" s="6">
        <v>60</v>
      </c>
      <c r="DX27" s="6" t="s">
        <v>5752</v>
      </c>
      <c r="DY27" s="6">
        <v>60</v>
      </c>
      <c r="DZ27" s="6">
        <v>60</v>
      </c>
      <c r="EA27" s="6">
        <v>60</v>
      </c>
      <c r="EB27" s="6">
        <v>0</v>
      </c>
      <c r="EC27" s="6">
        <v>0</v>
      </c>
      <c r="ED27" s="6">
        <v>0</v>
      </c>
      <c r="EE27" s="6" t="s">
        <v>5753</v>
      </c>
      <c r="EF27" s="6">
        <v>60</v>
      </c>
      <c r="EG27" s="6" t="s">
        <v>5738</v>
      </c>
      <c r="EH27" s="6">
        <v>0</v>
      </c>
      <c r="EI27" s="6">
        <v>0</v>
      </c>
      <c r="EJ27" s="6">
        <v>0</v>
      </c>
      <c r="EK27" s="6">
        <v>0</v>
      </c>
      <c r="EL27" s="6">
        <v>0</v>
      </c>
      <c r="EM27" s="6">
        <v>0</v>
      </c>
      <c r="EN27" s="6" t="s">
        <v>5738</v>
      </c>
      <c r="EO27" s="6">
        <v>0</v>
      </c>
      <c r="EP27" s="6" t="s">
        <v>5738</v>
      </c>
      <c r="EQ27" s="6">
        <v>0</v>
      </c>
      <c r="ER27" s="6">
        <v>0</v>
      </c>
      <c r="ES27" s="6">
        <v>0</v>
      </c>
      <c r="ET27" s="6">
        <v>0</v>
      </c>
      <c r="EU27" s="6">
        <v>0</v>
      </c>
      <c r="EV27" s="6">
        <v>0</v>
      </c>
      <c r="EW27" s="6" t="s">
        <v>5738</v>
      </c>
      <c r="EX27" s="6">
        <v>0</v>
      </c>
      <c r="EY27" s="6" t="s">
        <v>5738</v>
      </c>
      <c r="EZ27" s="6">
        <v>0</v>
      </c>
      <c r="FA27" s="6">
        <v>0</v>
      </c>
      <c r="FB27" s="6">
        <v>0</v>
      </c>
      <c r="FC27" s="6">
        <v>0</v>
      </c>
      <c r="FD27" s="6">
        <v>0</v>
      </c>
      <c r="FE27" s="6">
        <v>0</v>
      </c>
      <c r="FF27" s="6" t="s">
        <v>5738</v>
      </c>
      <c r="FG27" s="6">
        <v>0</v>
      </c>
      <c r="FH27" s="6" t="s">
        <v>5738</v>
      </c>
      <c r="FI27" s="6">
        <v>0</v>
      </c>
      <c r="FJ27" s="6">
        <v>0</v>
      </c>
      <c r="FK27" s="6">
        <v>0</v>
      </c>
      <c r="FL27" s="6">
        <v>0</v>
      </c>
      <c r="FM27" s="6">
        <v>0</v>
      </c>
      <c r="FN27" s="6">
        <v>0</v>
      </c>
      <c r="FO27" s="6" t="s">
        <v>5738</v>
      </c>
      <c r="FP27" s="6">
        <v>0</v>
      </c>
      <c r="FQ27" s="6">
        <v>60</v>
      </c>
      <c r="FR27" s="6" t="s">
        <v>5754</v>
      </c>
      <c r="FS27" s="6" t="s">
        <v>5755</v>
      </c>
      <c r="FT27" s="6" t="s">
        <v>5738</v>
      </c>
      <c r="FU27" s="6" t="s">
        <v>5738</v>
      </c>
      <c r="FV27" s="6" t="s">
        <v>5738</v>
      </c>
      <c r="FW27" s="6" t="s">
        <v>5738</v>
      </c>
      <c r="FX27" s="6" t="s">
        <v>5872</v>
      </c>
      <c r="FY27" s="6">
        <v>22</v>
      </c>
      <c r="FZ27" s="6">
        <v>22</v>
      </c>
      <c r="GA27" s="6">
        <v>22</v>
      </c>
      <c r="GB27" s="6">
        <v>0</v>
      </c>
      <c r="GC27" s="6">
        <v>0</v>
      </c>
      <c r="GD27" s="6">
        <v>0</v>
      </c>
      <c r="GE27" s="6" t="s">
        <v>5873</v>
      </c>
      <c r="GF27" s="6" t="s">
        <v>5872</v>
      </c>
      <c r="GG27" s="6">
        <v>22</v>
      </c>
      <c r="GH27" s="6">
        <v>22</v>
      </c>
      <c r="GI27" s="6">
        <v>22</v>
      </c>
      <c r="GJ27" s="6">
        <v>0</v>
      </c>
      <c r="GK27" s="6">
        <v>0</v>
      </c>
      <c r="GL27" s="6">
        <v>0</v>
      </c>
      <c r="GM27" s="6" t="s">
        <v>5873</v>
      </c>
      <c r="GN27" s="6" t="s">
        <v>5738</v>
      </c>
      <c r="GO27" s="6">
        <v>0</v>
      </c>
      <c r="GP27" s="6">
        <v>0</v>
      </c>
      <c r="GQ27" s="6">
        <v>0</v>
      </c>
      <c r="GR27" s="6">
        <v>0</v>
      </c>
      <c r="GS27" s="6">
        <v>0</v>
      </c>
      <c r="GT27" s="6">
        <v>0</v>
      </c>
      <c r="GU27" s="6" t="s">
        <v>5738</v>
      </c>
      <c r="GV27" s="6" t="s">
        <v>5738</v>
      </c>
      <c r="GW27" s="6">
        <v>0</v>
      </c>
      <c r="GX27" s="6">
        <v>0</v>
      </c>
      <c r="GY27" s="6">
        <v>0</v>
      </c>
      <c r="GZ27" s="6">
        <v>0</v>
      </c>
      <c r="HA27" s="6">
        <v>0</v>
      </c>
      <c r="HB27" s="6">
        <v>0</v>
      </c>
      <c r="HC27" s="6" t="s">
        <v>5738</v>
      </c>
      <c r="HD27" s="6" t="s">
        <v>5738</v>
      </c>
      <c r="HE27" s="6">
        <v>0</v>
      </c>
      <c r="HF27" s="6">
        <v>0</v>
      </c>
      <c r="HG27" s="6">
        <v>0</v>
      </c>
      <c r="HH27" s="6">
        <v>0</v>
      </c>
      <c r="HI27" s="6">
        <v>0</v>
      </c>
      <c r="HJ27" s="6">
        <v>0</v>
      </c>
      <c r="HK27" s="6" t="s">
        <v>5738</v>
      </c>
      <c r="HL27" s="6" t="s">
        <v>5738</v>
      </c>
      <c r="HM27" s="6">
        <v>0</v>
      </c>
      <c r="HN27" s="6">
        <v>0</v>
      </c>
      <c r="HO27" s="6">
        <v>0</v>
      </c>
      <c r="HP27" s="6">
        <v>0</v>
      </c>
      <c r="HQ27" s="6">
        <v>0</v>
      </c>
      <c r="HR27" s="6">
        <v>0</v>
      </c>
      <c r="HS27" s="6" t="s">
        <v>5738</v>
      </c>
      <c r="HT27" s="6" t="s">
        <v>5758</v>
      </c>
      <c r="HU27" s="6">
        <v>22</v>
      </c>
      <c r="HV27" s="6">
        <v>22</v>
      </c>
      <c r="HW27" s="6">
        <v>0</v>
      </c>
      <c r="HX27" s="6">
        <v>0</v>
      </c>
      <c r="HY27" s="6">
        <v>0</v>
      </c>
      <c r="HZ27" s="6">
        <v>0</v>
      </c>
      <c r="IA27" s="5">
        <v>22</v>
      </c>
      <c r="IB27" s="5">
        <v>2</v>
      </c>
      <c r="IC27" s="132" t="s">
        <v>5460</v>
      </c>
      <c r="ID27" s="132" t="s">
        <v>5925</v>
      </c>
      <c r="IE27" s="132" t="s">
        <v>5760</v>
      </c>
      <c r="IF27" s="132" t="s">
        <v>5761</v>
      </c>
      <c r="IG27" s="171">
        <v>43756</v>
      </c>
      <c r="IH27" s="171">
        <v>45583</v>
      </c>
      <c r="II27" s="6">
        <v>37</v>
      </c>
    </row>
    <row r="28" spans="1:243" ht="165.75">
      <c r="A28" s="5">
        <v>27</v>
      </c>
      <c r="B28" s="132" t="s">
        <v>5723</v>
      </c>
      <c r="C28" s="132" t="s">
        <v>5723</v>
      </c>
      <c r="D28" s="5" t="s">
        <v>5626</v>
      </c>
      <c r="E28" s="107" t="s">
        <v>5627</v>
      </c>
      <c r="F28" s="5" t="s">
        <v>5351</v>
      </c>
      <c r="G28" s="5">
        <v>105.830771</v>
      </c>
      <c r="H28" s="5">
        <v>20.993583000000001</v>
      </c>
      <c r="I28" s="5">
        <v>1</v>
      </c>
      <c r="J28" s="5">
        <v>2</v>
      </c>
      <c r="K28" s="5" t="s">
        <v>5762</v>
      </c>
      <c r="L28" s="5" t="s">
        <v>5926</v>
      </c>
      <c r="M28" s="5" t="s">
        <v>5764</v>
      </c>
      <c r="N28" s="5" t="s">
        <v>5765</v>
      </c>
      <c r="O28" s="5" t="s">
        <v>5766</v>
      </c>
      <c r="P28" s="5" t="s">
        <v>5767</v>
      </c>
      <c r="Q28" s="5" t="s">
        <v>5768</v>
      </c>
      <c r="R28" s="5" t="s">
        <v>5927</v>
      </c>
      <c r="S28" s="152" t="b">
        <v>1</v>
      </c>
      <c r="T28" s="5" t="s">
        <v>5628</v>
      </c>
      <c r="U28" s="5">
        <v>0</v>
      </c>
      <c r="V28" s="5" t="s">
        <v>5732</v>
      </c>
      <c r="W28" s="5" t="s">
        <v>5629</v>
      </c>
      <c r="X28" s="7" t="s">
        <v>5733</v>
      </c>
      <c r="Y28" s="5" t="b">
        <v>0</v>
      </c>
      <c r="Z28" s="152" t="b">
        <v>0</v>
      </c>
      <c r="AA28" s="5">
        <v>19</v>
      </c>
      <c r="AB28" s="152" t="b">
        <v>1</v>
      </c>
      <c r="AC28" s="5">
        <v>16</v>
      </c>
      <c r="AD28" s="5" t="b">
        <v>0</v>
      </c>
      <c r="AE28" s="5" t="s">
        <v>5734</v>
      </c>
      <c r="AF28" s="5" t="s">
        <v>5735</v>
      </c>
      <c r="AG28" s="132" t="s">
        <v>5736</v>
      </c>
      <c r="AH28" s="132" t="s">
        <v>5737</v>
      </c>
      <c r="AI28" s="132" t="s">
        <v>5479</v>
      </c>
      <c r="AJ28" s="132" t="s">
        <v>5738</v>
      </c>
      <c r="AK28" s="132" t="s">
        <v>5739</v>
      </c>
      <c r="AL28" s="6"/>
      <c r="AM28" s="6" t="s">
        <v>5740</v>
      </c>
      <c r="AN28" s="6" t="s">
        <v>5741</v>
      </c>
      <c r="AO28" s="5">
        <v>5</v>
      </c>
      <c r="AP28" s="85" t="s">
        <v>5742</v>
      </c>
      <c r="AQ28" s="233" t="s">
        <v>5918</v>
      </c>
      <c r="AR28" s="233" t="s">
        <v>5928</v>
      </c>
      <c r="AS28" s="234" t="s">
        <v>5350</v>
      </c>
      <c r="AT28" s="6" t="s">
        <v>5741</v>
      </c>
      <c r="AU28" s="6" t="s">
        <v>5741</v>
      </c>
      <c r="AV28" s="6" t="s">
        <v>5738</v>
      </c>
      <c r="AW28" s="6" t="s">
        <v>5738</v>
      </c>
      <c r="AX28" s="6" t="s">
        <v>5738</v>
      </c>
      <c r="AY28" s="6" t="s">
        <v>5738</v>
      </c>
      <c r="AZ28" s="6" t="s">
        <v>5723</v>
      </c>
      <c r="BA28" s="6" t="s">
        <v>5723</v>
      </c>
      <c r="BB28" s="6" t="s">
        <v>5738</v>
      </c>
      <c r="BC28" s="6" t="s">
        <v>5738</v>
      </c>
      <c r="BD28" s="6" t="s">
        <v>5738</v>
      </c>
      <c r="BE28" s="6" t="s">
        <v>5738</v>
      </c>
      <c r="BF28" s="6" t="s">
        <v>5771</v>
      </c>
      <c r="BG28" s="6" t="s">
        <v>5626</v>
      </c>
      <c r="BH28" s="6" t="s">
        <v>5626</v>
      </c>
      <c r="BI28" s="6" t="s">
        <v>5738</v>
      </c>
      <c r="BJ28" s="6" t="s">
        <v>5738</v>
      </c>
      <c r="BK28" s="6" t="s">
        <v>5738</v>
      </c>
      <c r="BL28" s="6" t="s">
        <v>5738</v>
      </c>
      <c r="BM28" s="6" t="s">
        <v>5747</v>
      </c>
      <c r="BN28" s="6" t="s">
        <v>5748</v>
      </c>
      <c r="BO28" s="6" t="s">
        <v>5738</v>
      </c>
      <c r="BP28" s="6" t="s">
        <v>5738</v>
      </c>
      <c r="BQ28" s="6" t="s">
        <v>5738</v>
      </c>
      <c r="BR28" s="6" t="s">
        <v>5738</v>
      </c>
      <c r="BS28" s="6">
        <v>3</v>
      </c>
      <c r="BT28" s="6">
        <v>3</v>
      </c>
      <c r="BU28" s="6">
        <v>0</v>
      </c>
      <c r="BV28" s="6">
        <v>0</v>
      </c>
      <c r="BW28" s="6">
        <v>0</v>
      </c>
      <c r="BX28" s="6">
        <v>0</v>
      </c>
      <c r="BY28" s="6" t="s">
        <v>5467</v>
      </c>
      <c r="BZ28" s="6">
        <v>2</v>
      </c>
      <c r="CA28" s="6">
        <v>2</v>
      </c>
      <c r="CB28" s="6">
        <v>2</v>
      </c>
      <c r="CC28" s="6">
        <v>0</v>
      </c>
      <c r="CD28" s="6">
        <v>0</v>
      </c>
      <c r="CE28" s="6">
        <v>0</v>
      </c>
      <c r="CF28" s="6" t="s">
        <v>5749</v>
      </c>
      <c r="CG28" s="6">
        <v>1</v>
      </c>
      <c r="CH28" s="6">
        <v>1</v>
      </c>
      <c r="CI28" s="6">
        <v>1</v>
      </c>
      <c r="CJ28" s="6">
        <v>0</v>
      </c>
      <c r="CK28" s="6">
        <v>0</v>
      </c>
      <c r="CL28" s="6">
        <v>0</v>
      </c>
      <c r="CM28" s="6" t="s">
        <v>5738</v>
      </c>
      <c r="CN28" s="6">
        <v>0</v>
      </c>
      <c r="CO28" s="6">
        <v>0</v>
      </c>
      <c r="CP28" s="6">
        <v>0</v>
      </c>
      <c r="CQ28" s="6">
        <v>0</v>
      </c>
      <c r="CR28" s="6">
        <v>0</v>
      </c>
      <c r="CS28" s="6">
        <v>0</v>
      </c>
      <c r="CT28" s="6" t="s">
        <v>5738</v>
      </c>
      <c r="CU28" s="6">
        <v>0</v>
      </c>
      <c r="CV28" s="6">
        <v>0</v>
      </c>
      <c r="CW28" s="6">
        <v>0</v>
      </c>
      <c r="CX28" s="6">
        <v>0</v>
      </c>
      <c r="CY28" s="6">
        <v>0</v>
      </c>
      <c r="CZ28" s="6">
        <v>0</v>
      </c>
      <c r="DA28" s="6" t="s">
        <v>5738</v>
      </c>
      <c r="DB28" s="6">
        <v>0</v>
      </c>
      <c r="DC28" s="6">
        <v>0</v>
      </c>
      <c r="DD28" s="6">
        <v>0</v>
      </c>
      <c r="DE28" s="6">
        <v>0</v>
      </c>
      <c r="DF28" s="6">
        <v>0</v>
      </c>
      <c r="DG28" s="6">
        <v>0</v>
      </c>
      <c r="DH28" s="6" t="s">
        <v>5738</v>
      </c>
      <c r="DI28" s="6">
        <v>0</v>
      </c>
      <c r="DJ28" s="6">
        <v>0</v>
      </c>
      <c r="DK28" s="6">
        <v>0</v>
      </c>
      <c r="DL28" s="6">
        <v>0</v>
      </c>
      <c r="DM28" s="6">
        <v>0</v>
      </c>
      <c r="DN28" s="6">
        <v>0</v>
      </c>
      <c r="DO28" s="6" t="s">
        <v>5752</v>
      </c>
      <c r="DP28" s="6">
        <v>60</v>
      </c>
      <c r="DQ28" s="6">
        <v>60</v>
      </c>
      <c r="DR28" s="6">
        <v>60</v>
      </c>
      <c r="DS28" s="6">
        <v>0</v>
      </c>
      <c r="DT28" s="6">
        <v>0</v>
      </c>
      <c r="DU28" s="6">
        <v>0</v>
      </c>
      <c r="DV28" s="6" t="s">
        <v>5753</v>
      </c>
      <c r="DW28" s="6">
        <v>60</v>
      </c>
      <c r="DX28" s="6" t="s">
        <v>5752</v>
      </c>
      <c r="DY28" s="6">
        <v>60</v>
      </c>
      <c r="DZ28" s="6">
        <v>60</v>
      </c>
      <c r="EA28" s="6">
        <v>60</v>
      </c>
      <c r="EB28" s="6">
        <v>0</v>
      </c>
      <c r="EC28" s="6">
        <v>0</v>
      </c>
      <c r="ED28" s="6">
        <v>0</v>
      </c>
      <c r="EE28" s="6" t="s">
        <v>5753</v>
      </c>
      <c r="EF28" s="6">
        <v>60</v>
      </c>
      <c r="EG28" s="6" t="s">
        <v>5738</v>
      </c>
      <c r="EH28" s="6">
        <v>0</v>
      </c>
      <c r="EI28" s="6">
        <v>0</v>
      </c>
      <c r="EJ28" s="6">
        <v>0</v>
      </c>
      <c r="EK28" s="6">
        <v>0</v>
      </c>
      <c r="EL28" s="6">
        <v>0</v>
      </c>
      <c r="EM28" s="6">
        <v>0</v>
      </c>
      <c r="EN28" s="6" t="s">
        <v>5738</v>
      </c>
      <c r="EO28" s="6">
        <v>0</v>
      </c>
      <c r="EP28" s="6" t="s">
        <v>5738</v>
      </c>
      <c r="EQ28" s="6">
        <v>0</v>
      </c>
      <c r="ER28" s="6">
        <v>0</v>
      </c>
      <c r="ES28" s="6">
        <v>0</v>
      </c>
      <c r="ET28" s="6">
        <v>0</v>
      </c>
      <c r="EU28" s="6">
        <v>0</v>
      </c>
      <c r="EV28" s="6">
        <v>0</v>
      </c>
      <c r="EW28" s="6" t="s">
        <v>5738</v>
      </c>
      <c r="EX28" s="6">
        <v>0</v>
      </c>
      <c r="EY28" s="6" t="s">
        <v>5738</v>
      </c>
      <c r="EZ28" s="6">
        <v>0</v>
      </c>
      <c r="FA28" s="6">
        <v>0</v>
      </c>
      <c r="FB28" s="6">
        <v>0</v>
      </c>
      <c r="FC28" s="6">
        <v>0</v>
      </c>
      <c r="FD28" s="6">
        <v>0</v>
      </c>
      <c r="FE28" s="6">
        <v>0</v>
      </c>
      <c r="FF28" s="6" t="s">
        <v>5738</v>
      </c>
      <c r="FG28" s="6">
        <v>0</v>
      </c>
      <c r="FH28" s="6" t="s">
        <v>5738</v>
      </c>
      <c r="FI28" s="6">
        <v>0</v>
      </c>
      <c r="FJ28" s="6">
        <v>0</v>
      </c>
      <c r="FK28" s="6">
        <v>0</v>
      </c>
      <c r="FL28" s="6">
        <v>0</v>
      </c>
      <c r="FM28" s="6">
        <v>0</v>
      </c>
      <c r="FN28" s="6">
        <v>0</v>
      </c>
      <c r="FO28" s="6" t="s">
        <v>5738</v>
      </c>
      <c r="FP28" s="6">
        <v>0</v>
      </c>
      <c r="FQ28" s="6">
        <v>60</v>
      </c>
      <c r="FR28" s="6" t="s">
        <v>5754</v>
      </c>
      <c r="FS28" s="6" t="s">
        <v>5755</v>
      </c>
      <c r="FT28" s="6" t="s">
        <v>5738</v>
      </c>
      <c r="FU28" s="6" t="s">
        <v>5738</v>
      </c>
      <c r="FV28" s="6" t="s">
        <v>5738</v>
      </c>
      <c r="FW28" s="6" t="s">
        <v>5738</v>
      </c>
      <c r="FX28" s="6" t="s">
        <v>5889</v>
      </c>
      <c r="FY28" s="6">
        <v>19</v>
      </c>
      <c r="FZ28" s="6">
        <v>19</v>
      </c>
      <c r="GA28" s="6">
        <v>19</v>
      </c>
      <c r="GB28" s="6">
        <v>0</v>
      </c>
      <c r="GC28" s="6">
        <v>0</v>
      </c>
      <c r="GD28" s="6">
        <v>0</v>
      </c>
      <c r="GE28" s="6" t="s">
        <v>5890</v>
      </c>
      <c r="GF28" s="6" t="s">
        <v>5889</v>
      </c>
      <c r="GG28" s="6">
        <v>19</v>
      </c>
      <c r="GH28" s="6">
        <v>19</v>
      </c>
      <c r="GI28" s="6">
        <v>19</v>
      </c>
      <c r="GJ28" s="6">
        <v>0</v>
      </c>
      <c r="GK28" s="6">
        <v>0</v>
      </c>
      <c r="GL28" s="6">
        <v>0</v>
      </c>
      <c r="GM28" s="6" t="s">
        <v>5890</v>
      </c>
      <c r="GN28" s="6" t="s">
        <v>5738</v>
      </c>
      <c r="GO28" s="6">
        <v>0</v>
      </c>
      <c r="GP28" s="6">
        <v>0</v>
      </c>
      <c r="GQ28" s="6">
        <v>0</v>
      </c>
      <c r="GR28" s="6">
        <v>0</v>
      </c>
      <c r="GS28" s="6">
        <v>0</v>
      </c>
      <c r="GT28" s="6">
        <v>0</v>
      </c>
      <c r="GU28" s="6" t="s">
        <v>5738</v>
      </c>
      <c r="GV28" s="6" t="s">
        <v>5738</v>
      </c>
      <c r="GW28" s="6">
        <v>0</v>
      </c>
      <c r="GX28" s="6">
        <v>0</v>
      </c>
      <c r="GY28" s="6">
        <v>0</v>
      </c>
      <c r="GZ28" s="6">
        <v>0</v>
      </c>
      <c r="HA28" s="6">
        <v>0</v>
      </c>
      <c r="HB28" s="6">
        <v>0</v>
      </c>
      <c r="HC28" s="6" t="s">
        <v>5738</v>
      </c>
      <c r="HD28" s="6" t="s">
        <v>5738</v>
      </c>
      <c r="HE28" s="6">
        <v>0</v>
      </c>
      <c r="HF28" s="6">
        <v>0</v>
      </c>
      <c r="HG28" s="6">
        <v>0</v>
      </c>
      <c r="HH28" s="6">
        <v>0</v>
      </c>
      <c r="HI28" s="6">
        <v>0</v>
      </c>
      <c r="HJ28" s="6">
        <v>0</v>
      </c>
      <c r="HK28" s="6" t="s">
        <v>5738</v>
      </c>
      <c r="HL28" s="6" t="s">
        <v>5738</v>
      </c>
      <c r="HM28" s="6">
        <v>0</v>
      </c>
      <c r="HN28" s="6">
        <v>0</v>
      </c>
      <c r="HO28" s="6">
        <v>0</v>
      </c>
      <c r="HP28" s="6">
        <v>0</v>
      </c>
      <c r="HQ28" s="6">
        <v>0</v>
      </c>
      <c r="HR28" s="6">
        <v>0</v>
      </c>
      <c r="HS28" s="6" t="s">
        <v>5738</v>
      </c>
      <c r="HT28" s="6" t="s">
        <v>5758</v>
      </c>
      <c r="HU28" s="6">
        <v>19</v>
      </c>
      <c r="HV28" s="6">
        <v>19</v>
      </c>
      <c r="HW28" s="6">
        <v>0</v>
      </c>
      <c r="HX28" s="6">
        <v>0</v>
      </c>
      <c r="HY28" s="6">
        <v>0</v>
      </c>
      <c r="HZ28" s="6">
        <v>0</v>
      </c>
      <c r="IA28" s="5">
        <v>19</v>
      </c>
      <c r="IB28" s="5">
        <v>3</v>
      </c>
      <c r="IC28" s="132" t="s">
        <v>5460</v>
      </c>
      <c r="ID28" s="132" t="s">
        <v>5929</v>
      </c>
      <c r="IE28" s="132" t="s">
        <v>5760</v>
      </c>
      <c r="IF28" s="132" t="s">
        <v>5761</v>
      </c>
      <c r="IG28" s="171">
        <v>43756</v>
      </c>
      <c r="IH28" s="171">
        <v>45583</v>
      </c>
      <c r="II28" s="6">
        <v>37</v>
      </c>
    </row>
    <row r="29" spans="1:243" ht="165.75">
      <c r="A29" s="5">
        <v>28</v>
      </c>
      <c r="B29" s="132" t="s">
        <v>5723</v>
      </c>
      <c r="C29" s="132" t="s">
        <v>5723</v>
      </c>
      <c r="D29" s="5" t="s">
        <v>5630</v>
      </c>
      <c r="E29" s="107" t="s">
        <v>5631</v>
      </c>
      <c r="F29" s="5" t="s">
        <v>5351</v>
      </c>
      <c r="G29" s="5">
        <v>105.81142199999999</v>
      </c>
      <c r="H29" s="5">
        <v>21.047256000000001</v>
      </c>
      <c r="I29" s="5">
        <v>1</v>
      </c>
      <c r="J29" s="5">
        <v>2</v>
      </c>
      <c r="K29" s="5" t="s">
        <v>5762</v>
      </c>
      <c r="L29" s="5" t="s">
        <v>5930</v>
      </c>
      <c r="M29" s="5" t="s">
        <v>5764</v>
      </c>
      <c r="N29" s="5" t="s">
        <v>5765</v>
      </c>
      <c r="O29" s="5" t="s">
        <v>5766</v>
      </c>
      <c r="P29" s="5" t="s">
        <v>5767</v>
      </c>
      <c r="Q29" s="5" t="s">
        <v>5768</v>
      </c>
      <c r="R29" s="5" t="s">
        <v>5879</v>
      </c>
      <c r="S29" s="152" t="b">
        <v>1</v>
      </c>
      <c r="T29" s="5" t="s">
        <v>5632</v>
      </c>
      <c r="U29" s="5">
        <v>0</v>
      </c>
      <c r="V29" s="5" t="s">
        <v>5732</v>
      </c>
      <c r="W29" s="5" t="s">
        <v>5633</v>
      </c>
      <c r="X29" s="7" t="s">
        <v>5733</v>
      </c>
      <c r="Y29" s="5" t="b">
        <v>0</v>
      </c>
      <c r="Z29" s="152" t="b">
        <v>0</v>
      </c>
      <c r="AA29" s="5">
        <v>27</v>
      </c>
      <c r="AB29" s="152" t="b">
        <v>1</v>
      </c>
      <c r="AC29" s="5">
        <v>25</v>
      </c>
      <c r="AD29" s="5" t="b">
        <v>0</v>
      </c>
      <c r="AE29" s="5" t="s">
        <v>5734</v>
      </c>
      <c r="AF29" s="5" t="s">
        <v>5735</v>
      </c>
      <c r="AG29" s="132" t="s">
        <v>5736</v>
      </c>
      <c r="AH29" s="132" t="s">
        <v>5737</v>
      </c>
      <c r="AI29" s="132" t="s">
        <v>5479</v>
      </c>
      <c r="AJ29" s="132" t="s">
        <v>5738</v>
      </c>
      <c r="AK29" s="132" t="s">
        <v>5739</v>
      </c>
      <c r="AL29" s="6"/>
      <c r="AM29" s="6" t="s">
        <v>5740</v>
      </c>
      <c r="AN29" s="6" t="s">
        <v>5741</v>
      </c>
      <c r="AO29" s="5">
        <v>5</v>
      </c>
      <c r="AP29" s="85" t="s">
        <v>5742</v>
      </c>
      <c r="AQ29" s="233" t="s">
        <v>5931</v>
      </c>
      <c r="AR29" s="233" t="s">
        <v>5932</v>
      </c>
      <c r="AS29" s="234" t="s">
        <v>5350</v>
      </c>
      <c r="AT29" s="6" t="s">
        <v>5741</v>
      </c>
      <c r="AU29" s="6" t="s">
        <v>5741</v>
      </c>
      <c r="AV29" s="6" t="s">
        <v>5738</v>
      </c>
      <c r="AW29" s="6" t="s">
        <v>5738</v>
      </c>
      <c r="AX29" s="6" t="s">
        <v>5738</v>
      </c>
      <c r="AY29" s="6" t="s">
        <v>5738</v>
      </c>
      <c r="AZ29" s="6" t="s">
        <v>5723</v>
      </c>
      <c r="BA29" s="6" t="s">
        <v>5723</v>
      </c>
      <c r="BB29" s="6" t="s">
        <v>5738</v>
      </c>
      <c r="BC29" s="6" t="s">
        <v>5738</v>
      </c>
      <c r="BD29" s="6" t="s">
        <v>5738</v>
      </c>
      <c r="BE29" s="6" t="s">
        <v>5738</v>
      </c>
      <c r="BF29" s="6" t="s">
        <v>5771</v>
      </c>
      <c r="BG29" s="6" t="s">
        <v>5630</v>
      </c>
      <c r="BH29" s="6" t="s">
        <v>5630</v>
      </c>
      <c r="BI29" s="6" t="s">
        <v>5738</v>
      </c>
      <c r="BJ29" s="6" t="s">
        <v>5738</v>
      </c>
      <c r="BK29" s="6" t="s">
        <v>5738</v>
      </c>
      <c r="BL29" s="6" t="s">
        <v>5738</v>
      </c>
      <c r="BM29" s="6" t="s">
        <v>5747</v>
      </c>
      <c r="BN29" s="6" t="s">
        <v>5748</v>
      </c>
      <c r="BO29" s="6" t="s">
        <v>5738</v>
      </c>
      <c r="BP29" s="6" t="s">
        <v>5738</v>
      </c>
      <c r="BQ29" s="6" t="s">
        <v>5738</v>
      </c>
      <c r="BR29" s="6" t="s">
        <v>5738</v>
      </c>
      <c r="BS29" s="6">
        <v>3</v>
      </c>
      <c r="BT29" s="6">
        <v>3</v>
      </c>
      <c r="BU29" s="6">
        <v>0</v>
      </c>
      <c r="BV29" s="6">
        <v>0</v>
      </c>
      <c r="BW29" s="6">
        <v>0</v>
      </c>
      <c r="BX29" s="6">
        <v>0</v>
      </c>
      <c r="BY29" s="6" t="s">
        <v>5467</v>
      </c>
      <c r="BZ29" s="6">
        <v>2</v>
      </c>
      <c r="CA29" s="6">
        <v>2</v>
      </c>
      <c r="CB29" s="6">
        <v>2</v>
      </c>
      <c r="CC29" s="6">
        <v>0</v>
      </c>
      <c r="CD29" s="6">
        <v>0</v>
      </c>
      <c r="CE29" s="6">
        <v>0</v>
      </c>
      <c r="CF29" s="6" t="s">
        <v>5749</v>
      </c>
      <c r="CG29" s="6">
        <v>1</v>
      </c>
      <c r="CH29" s="6">
        <v>1</v>
      </c>
      <c r="CI29" s="6">
        <v>1</v>
      </c>
      <c r="CJ29" s="6">
        <v>0</v>
      </c>
      <c r="CK29" s="6">
        <v>0</v>
      </c>
      <c r="CL29" s="6">
        <v>0</v>
      </c>
      <c r="CM29" s="6" t="s">
        <v>5738</v>
      </c>
      <c r="CN29" s="6">
        <v>0</v>
      </c>
      <c r="CO29" s="6">
        <v>0</v>
      </c>
      <c r="CP29" s="6">
        <v>0</v>
      </c>
      <c r="CQ29" s="6">
        <v>0</v>
      </c>
      <c r="CR29" s="6">
        <v>0</v>
      </c>
      <c r="CS29" s="6">
        <v>0</v>
      </c>
      <c r="CT29" s="6" t="s">
        <v>5738</v>
      </c>
      <c r="CU29" s="6">
        <v>0</v>
      </c>
      <c r="CV29" s="6">
        <v>0</v>
      </c>
      <c r="CW29" s="6">
        <v>0</v>
      </c>
      <c r="CX29" s="6">
        <v>0</v>
      </c>
      <c r="CY29" s="6">
        <v>0</v>
      </c>
      <c r="CZ29" s="6">
        <v>0</v>
      </c>
      <c r="DA29" s="6" t="s">
        <v>5738</v>
      </c>
      <c r="DB29" s="6">
        <v>0</v>
      </c>
      <c r="DC29" s="6">
        <v>0</v>
      </c>
      <c r="DD29" s="6">
        <v>0</v>
      </c>
      <c r="DE29" s="6">
        <v>0</v>
      </c>
      <c r="DF29" s="6">
        <v>0</v>
      </c>
      <c r="DG29" s="6">
        <v>0</v>
      </c>
      <c r="DH29" s="6" t="s">
        <v>5738</v>
      </c>
      <c r="DI29" s="6">
        <v>0</v>
      </c>
      <c r="DJ29" s="6">
        <v>0</v>
      </c>
      <c r="DK29" s="6">
        <v>0</v>
      </c>
      <c r="DL29" s="6">
        <v>0</v>
      </c>
      <c r="DM29" s="6">
        <v>0</v>
      </c>
      <c r="DN29" s="6">
        <v>0</v>
      </c>
      <c r="DO29" s="6" t="s">
        <v>5752</v>
      </c>
      <c r="DP29" s="6">
        <v>60</v>
      </c>
      <c r="DQ29" s="6">
        <v>60</v>
      </c>
      <c r="DR29" s="6">
        <v>60</v>
      </c>
      <c r="DS29" s="6">
        <v>0</v>
      </c>
      <c r="DT29" s="6">
        <v>0</v>
      </c>
      <c r="DU29" s="6">
        <v>0</v>
      </c>
      <c r="DV29" s="6" t="s">
        <v>5753</v>
      </c>
      <c r="DW29" s="6">
        <v>60</v>
      </c>
      <c r="DX29" s="6" t="s">
        <v>5752</v>
      </c>
      <c r="DY29" s="6">
        <v>60</v>
      </c>
      <c r="DZ29" s="6">
        <v>60</v>
      </c>
      <c r="EA29" s="6">
        <v>60</v>
      </c>
      <c r="EB29" s="6">
        <v>0</v>
      </c>
      <c r="EC29" s="6">
        <v>0</v>
      </c>
      <c r="ED29" s="6">
        <v>0</v>
      </c>
      <c r="EE29" s="6" t="s">
        <v>5753</v>
      </c>
      <c r="EF29" s="6">
        <v>60</v>
      </c>
      <c r="EG29" s="6" t="s">
        <v>5738</v>
      </c>
      <c r="EH29" s="6">
        <v>0</v>
      </c>
      <c r="EI29" s="6">
        <v>0</v>
      </c>
      <c r="EJ29" s="6">
        <v>0</v>
      </c>
      <c r="EK29" s="6">
        <v>0</v>
      </c>
      <c r="EL29" s="6">
        <v>0</v>
      </c>
      <c r="EM29" s="6">
        <v>0</v>
      </c>
      <c r="EN29" s="6" t="s">
        <v>5738</v>
      </c>
      <c r="EO29" s="6">
        <v>0</v>
      </c>
      <c r="EP29" s="6" t="s">
        <v>5738</v>
      </c>
      <c r="EQ29" s="6">
        <v>0</v>
      </c>
      <c r="ER29" s="6">
        <v>0</v>
      </c>
      <c r="ES29" s="6">
        <v>0</v>
      </c>
      <c r="ET29" s="6">
        <v>0</v>
      </c>
      <c r="EU29" s="6">
        <v>0</v>
      </c>
      <c r="EV29" s="6">
        <v>0</v>
      </c>
      <c r="EW29" s="6" t="s">
        <v>5738</v>
      </c>
      <c r="EX29" s="6">
        <v>0</v>
      </c>
      <c r="EY29" s="6" t="s">
        <v>5738</v>
      </c>
      <c r="EZ29" s="6">
        <v>0</v>
      </c>
      <c r="FA29" s="6">
        <v>0</v>
      </c>
      <c r="FB29" s="6">
        <v>0</v>
      </c>
      <c r="FC29" s="6">
        <v>0</v>
      </c>
      <c r="FD29" s="6">
        <v>0</v>
      </c>
      <c r="FE29" s="6">
        <v>0</v>
      </c>
      <c r="FF29" s="6" t="s">
        <v>5738</v>
      </c>
      <c r="FG29" s="6">
        <v>0</v>
      </c>
      <c r="FH29" s="6" t="s">
        <v>5738</v>
      </c>
      <c r="FI29" s="6">
        <v>0</v>
      </c>
      <c r="FJ29" s="6">
        <v>0</v>
      </c>
      <c r="FK29" s="6">
        <v>0</v>
      </c>
      <c r="FL29" s="6">
        <v>0</v>
      </c>
      <c r="FM29" s="6">
        <v>0</v>
      </c>
      <c r="FN29" s="6">
        <v>0</v>
      </c>
      <c r="FO29" s="6" t="s">
        <v>5738</v>
      </c>
      <c r="FP29" s="6">
        <v>0</v>
      </c>
      <c r="FQ29" s="6">
        <v>60</v>
      </c>
      <c r="FR29" s="6" t="s">
        <v>5754</v>
      </c>
      <c r="FS29" s="6" t="s">
        <v>5755</v>
      </c>
      <c r="FT29" s="6" t="s">
        <v>5738</v>
      </c>
      <c r="FU29" s="6" t="s">
        <v>5738</v>
      </c>
      <c r="FV29" s="6" t="s">
        <v>5738</v>
      </c>
      <c r="FW29" s="6" t="s">
        <v>5738</v>
      </c>
      <c r="FX29" s="6" t="s">
        <v>5882</v>
      </c>
      <c r="FY29" s="6">
        <v>27</v>
      </c>
      <c r="FZ29" s="6">
        <v>27</v>
      </c>
      <c r="GA29" s="6">
        <v>27</v>
      </c>
      <c r="GB29" s="6">
        <v>0</v>
      </c>
      <c r="GC29" s="6">
        <v>0</v>
      </c>
      <c r="GD29" s="6">
        <v>0</v>
      </c>
      <c r="GE29" s="6" t="s">
        <v>5883</v>
      </c>
      <c r="GF29" s="6" t="s">
        <v>5882</v>
      </c>
      <c r="GG29" s="6">
        <v>27</v>
      </c>
      <c r="GH29" s="6">
        <v>27</v>
      </c>
      <c r="GI29" s="6">
        <v>27</v>
      </c>
      <c r="GJ29" s="6">
        <v>0</v>
      </c>
      <c r="GK29" s="6">
        <v>0</v>
      </c>
      <c r="GL29" s="6">
        <v>0</v>
      </c>
      <c r="GM29" s="6" t="s">
        <v>5883</v>
      </c>
      <c r="GN29" s="6" t="s">
        <v>5738</v>
      </c>
      <c r="GO29" s="6">
        <v>0</v>
      </c>
      <c r="GP29" s="6">
        <v>0</v>
      </c>
      <c r="GQ29" s="6">
        <v>0</v>
      </c>
      <c r="GR29" s="6">
        <v>0</v>
      </c>
      <c r="GS29" s="6">
        <v>0</v>
      </c>
      <c r="GT29" s="6">
        <v>0</v>
      </c>
      <c r="GU29" s="6" t="s">
        <v>5738</v>
      </c>
      <c r="GV29" s="6" t="s">
        <v>5738</v>
      </c>
      <c r="GW29" s="6">
        <v>0</v>
      </c>
      <c r="GX29" s="6">
        <v>0</v>
      </c>
      <c r="GY29" s="6">
        <v>0</v>
      </c>
      <c r="GZ29" s="6">
        <v>0</v>
      </c>
      <c r="HA29" s="6">
        <v>0</v>
      </c>
      <c r="HB29" s="6">
        <v>0</v>
      </c>
      <c r="HC29" s="6" t="s">
        <v>5738</v>
      </c>
      <c r="HD29" s="6" t="s">
        <v>5738</v>
      </c>
      <c r="HE29" s="6">
        <v>0</v>
      </c>
      <c r="HF29" s="6">
        <v>0</v>
      </c>
      <c r="HG29" s="6">
        <v>0</v>
      </c>
      <c r="HH29" s="6">
        <v>0</v>
      </c>
      <c r="HI29" s="6">
        <v>0</v>
      </c>
      <c r="HJ29" s="6">
        <v>0</v>
      </c>
      <c r="HK29" s="6" t="s">
        <v>5738</v>
      </c>
      <c r="HL29" s="6" t="s">
        <v>5738</v>
      </c>
      <c r="HM29" s="6">
        <v>0</v>
      </c>
      <c r="HN29" s="6">
        <v>0</v>
      </c>
      <c r="HO29" s="6">
        <v>0</v>
      </c>
      <c r="HP29" s="6">
        <v>0</v>
      </c>
      <c r="HQ29" s="6">
        <v>0</v>
      </c>
      <c r="HR29" s="6">
        <v>0</v>
      </c>
      <c r="HS29" s="6" t="s">
        <v>5738</v>
      </c>
      <c r="HT29" s="6" t="s">
        <v>5758</v>
      </c>
      <c r="HU29" s="6">
        <v>27</v>
      </c>
      <c r="HV29" s="6">
        <v>27</v>
      </c>
      <c r="HW29" s="6">
        <v>0</v>
      </c>
      <c r="HX29" s="6">
        <v>0</v>
      </c>
      <c r="HY29" s="6">
        <v>0</v>
      </c>
      <c r="HZ29" s="6">
        <v>0</v>
      </c>
      <c r="IA29" s="5">
        <v>27</v>
      </c>
      <c r="IB29" s="5">
        <v>2</v>
      </c>
      <c r="IC29" s="132" t="s">
        <v>5460</v>
      </c>
      <c r="ID29" s="132" t="s">
        <v>5933</v>
      </c>
      <c r="IE29" s="132" t="s">
        <v>5760</v>
      </c>
      <c r="IF29" s="132" t="s">
        <v>5761</v>
      </c>
      <c r="IG29" s="171">
        <v>43756</v>
      </c>
      <c r="IH29" s="171">
        <v>45583</v>
      </c>
      <c r="II29" s="6">
        <v>37</v>
      </c>
    </row>
    <row r="30" spans="1:243" ht="165.75">
      <c r="A30" s="5">
        <v>29</v>
      </c>
      <c r="B30" s="132" t="s">
        <v>5723</v>
      </c>
      <c r="C30" s="132" t="s">
        <v>5723</v>
      </c>
      <c r="D30" s="5" t="s">
        <v>5634</v>
      </c>
      <c r="E30" s="107" t="s">
        <v>5635</v>
      </c>
      <c r="F30" s="5" t="s">
        <v>5351</v>
      </c>
      <c r="G30" s="5">
        <v>105.787131</v>
      </c>
      <c r="H30" s="5">
        <v>21.001691000000001</v>
      </c>
      <c r="I30" s="5">
        <v>1</v>
      </c>
      <c r="J30" s="5">
        <v>2</v>
      </c>
      <c r="K30" s="5" t="s">
        <v>5762</v>
      </c>
      <c r="L30" s="5" t="s">
        <v>5934</v>
      </c>
      <c r="M30" s="5" t="s">
        <v>5764</v>
      </c>
      <c r="N30" s="5" t="s">
        <v>5765</v>
      </c>
      <c r="O30" s="5" t="s">
        <v>5766</v>
      </c>
      <c r="P30" s="5" t="s">
        <v>5767</v>
      </c>
      <c r="Q30" s="5" t="s">
        <v>5768</v>
      </c>
      <c r="R30" s="5" t="s">
        <v>5911</v>
      </c>
      <c r="S30" s="152" t="b">
        <v>1</v>
      </c>
      <c r="T30" s="5" t="s">
        <v>5636</v>
      </c>
      <c r="U30" s="5">
        <v>0</v>
      </c>
      <c r="V30" s="5" t="s">
        <v>5732</v>
      </c>
      <c r="W30" s="5" t="s">
        <v>5637</v>
      </c>
      <c r="X30" s="7" t="s">
        <v>5733</v>
      </c>
      <c r="Y30" s="5" t="b">
        <v>1</v>
      </c>
      <c r="Z30" s="152" t="b">
        <v>0</v>
      </c>
      <c r="AA30" s="5">
        <v>28</v>
      </c>
      <c r="AB30" s="152" t="b">
        <v>0</v>
      </c>
      <c r="AC30" s="5">
        <v>0</v>
      </c>
      <c r="AD30" s="5" t="b">
        <v>0</v>
      </c>
      <c r="AE30" s="5" t="s">
        <v>5734</v>
      </c>
      <c r="AF30" s="5" t="s">
        <v>5735</v>
      </c>
      <c r="AG30" s="132" t="s">
        <v>5736</v>
      </c>
      <c r="AH30" s="132" t="s">
        <v>5737</v>
      </c>
      <c r="AI30" s="132" t="s">
        <v>5479</v>
      </c>
      <c r="AJ30" s="132" t="s">
        <v>5738</v>
      </c>
      <c r="AK30" s="132" t="s">
        <v>5739</v>
      </c>
      <c r="AL30" s="6"/>
      <c r="AM30" s="6" t="s">
        <v>5740</v>
      </c>
      <c r="AN30" s="6" t="s">
        <v>5741</v>
      </c>
      <c r="AO30" s="5">
        <v>3</v>
      </c>
      <c r="AP30" s="85" t="s">
        <v>5742</v>
      </c>
      <c r="AQ30" s="233" t="s">
        <v>5743</v>
      </c>
      <c r="AR30" s="233" t="s">
        <v>5790</v>
      </c>
      <c r="AS30" s="234" t="s">
        <v>5350</v>
      </c>
      <c r="AT30" s="6" t="s">
        <v>5741</v>
      </c>
      <c r="AU30" s="6" t="s">
        <v>5741</v>
      </c>
      <c r="AV30" s="6" t="s">
        <v>5738</v>
      </c>
      <c r="AW30" s="6" t="s">
        <v>5738</v>
      </c>
      <c r="AX30" s="6" t="s">
        <v>5738</v>
      </c>
      <c r="AY30" s="6" t="s">
        <v>5738</v>
      </c>
      <c r="AZ30" s="6" t="s">
        <v>5723</v>
      </c>
      <c r="BA30" s="6" t="s">
        <v>5723</v>
      </c>
      <c r="BB30" s="6" t="s">
        <v>5738</v>
      </c>
      <c r="BC30" s="6" t="s">
        <v>5738</v>
      </c>
      <c r="BD30" s="6" t="s">
        <v>5738</v>
      </c>
      <c r="BE30" s="6" t="s">
        <v>5738</v>
      </c>
      <c r="BF30" s="6" t="s">
        <v>5771</v>
      </c>
      <c r="BG30" s="6" t="s">
        <v>5634</v>
      </c>
      <c r="BH30" s="6" t="s">
        <v>5634</v>
      </c>
      <c r="BI30" s="6" t="s">
        <v>5738</v>
      </c>
      <c r="BJ30" s="6" t="s">
        <v>5738</v>
      </c>
      <c r="BK30" s="6" t="s">
        <v>5738</v>
      </c>
      <c r="BL30" s="6" t="s">
        <v>5738</v>
      </c>
      <c r="BM30" s="6" t="s">
        <v>5747</v>
      </c>
      <c r="BN30" s="6" t="s">
        <v>5748</v>
      </c>
      <c r="BO30" s="6" t="s">
        <v>5738</v>
      </c>
      <c r="BP30" s="6" t="s">
        <v>5738</v>
      </c>
      <c r="BQ30" s="6" t="s">
        <v>5738</v>
      </c>
      <c r="BR30" s="6" t="s">
        <v>5738</v>
      </c>
      <c r="BS30" s="6">
        <v>3</v>
      </c>
      <c r="BT30" s="6">
        <v>3</v>
      </c>
      <c r="BU30" s="6">
        <v>0</v>
      </c>
      <c r="BV30" s="6">
        <v>0</v>
      </c>
      <c r="BW30" s="6">
        <v>0</v>
      </c>
      <c r="BX30" s="6">
        <v>0</v>
      </c>
      <c r="BY30" s="6" t="s">
        <v>5467</v>
      </c>
      <c r="BZ30" s="6">
        <v>2</v>
      </c>
      <c r="CA30" s="6">
        <v>2</v>
      </c>
      <c r="CB30" s="6">
        <v>2</v>
      </c>
      <c r="CC30" s="6">
        <v>0</v>
      </c>
      <c r="CD30" s="6">
        <v>0</v>
      </c>
      <c r="CE30" s="6">
        <v>0</v>
      </c>
      <c r="CF30" s="6" t="s">
        <v>5749</v>
      </c>
      <c r="CG30" s="6">
        <v>1</v>
      </c>
      <c r="CH30" s="6">
        <v>1</v>
      </c>
      <c r="CI30" s="6">
        <v>1</v>
      </c>
      <c r="CJ30" s="6">
        <v>0</v>
      </c>
      <c r="CK30" s="6">
        <v>0</v>
      </c>
      <c r="CL30" s="6">
        <v>0</v>
      </c>
      <c r="CM30" s="6" t="s">
        <v>5738</v>
      </c>
      <c r="CN30" s="6">
        <v>0</v>
      </c>
      <c r="CO30" s="6">
        <v>0</v>
      </c>
      <c r="CP30" s="6">
        <v>0</v>
      </c>
      <c r="CQ30" s="6">
        <v>0</v>
      </c>
      <c r="CR30" s="6">
        <v>0</v>
      </c>
      <c r="CS30" s="6">
        <v>0</v>
      </c>
      <c r="CT30" s="6" t="s">
        <v>5738</v>
      </c>
      <c r="CU30" s="6">
        <v>0</v>
      </c>
      <c r="CV30" s="6">
        <v>0</v>
      </c>
      <c r="CW30" s="6">
        <v>0</v>
      </c>
      <c r="CX30" s="6">
        <v>0</v>
      </c>
      <c r="CY30" s="6">
        <v>0</v>
      </c>
      <c r="CZ30" s="6">
        <v>0</v>
      </c>
      <c r="DA30" s="6" t="s">
        <v>5738</v>
      </c>
      <c r="DB30" s="6">
        <v>0</v>
      </c>
      <c r="DC30" s="6">
        <v>0</v>
      </c>
      <c r="DD30" s="6">
        <v>0</v>
      </c>
      <c r="DE30" s="6">
        <v>0</v>
      </c>
      <c r="DF30" s="6">
        <v>0</v>
      </c>
      <c r="DG30" s="6">
        <v>0</v>
      </c>
      <c r="DH30" s="6" t="s">
        <v>5738</v>
      </c>
      <c r="DI30" s="6">
        <v>0</v>
      </c>
      <c r="DJ30" s="6">
        <v>0</v>
      </c>
      <c r="DK30" s="6">
        <v>0</v>
      </c>
      <c r="DL30" s="6">
        <v>0</v>
      </c>
      <c r="DM30" s="6">
        <v>0</v>
      </c>
      <c r="DN30" s="6">
        <v>0</v>
      </c>
      <c r="DO30" s="6" t="s">
        <v>5752</v>
      </c>
      <c r="DP30" s="6">
        <v>60</v>
      </c>
      <c r="DQ30" s="6">
        <v>60</v>
      </c>
      <c r="DR30" s="6">
        <v>60</v>
      </c>
      <c r="DS30" s="6">
        <v>0</v>
      </c>
      <c r="DT30" s="6">
        <v>0</v>
      </c>
      <c r="DU30" s="6">
        <v>0</v>
      </c>
      <c r="DV30" s="6" t="s">
        <v>5753</v>
      </c>
      <c r="DW30" s="6">
        <v>60</v>
      </c>
      <c r="DX30" s="6" t="s">
        <v>5752</v>
      </c>
      <c r="DY30" s="6">
        <v>60</v>
      </c>
      <c r="DZ30" s="6">
        <v>60</v>
      </c>
      <c r="EA30" s="6">
        <v>60</v>
      </c>
      <c r="EB30" s="6">
        <v>0</v>
      </c>
      <c r="EC30" s="6">
        <v>0</v>
      </c>
      <c r="ED30" s="6">
        <v>0</v>
      </c>
      <c r="EE30" s="6" t="s">
        <v>5753</v>
      </c>
      <c r="EF30" s="6">
        <v>60</v>
      </c>
      <c r="EG30" s="6" t="s">
        <v>5738</v>
      </c>
      <c r="EH30" s="6">
        <v>0</v>
      </c>
      <c r="EI30" s="6">
        <v>0</v>
      </c>
      <c r="EJ30" s="6">
        <v>0</v>
      </c>
      <c r="EK30" s="6">
        <v>0</v>
      </c>
      <c r="EL30" s="6">
        <v>0</v>
      </c>
      <c r="EM30" s="6">
        <v>0</v>
      </c>
      <c r="EN30" s="6" t="s">
        <v>5738</v>
      </c>
      <c r="EO30" s="6">
        <v>0</v>
      </c>
      <c r="EP30" s="6" t="s">
        <v>5738</v>
      </c>
      <c r="EQ30" s="6">
        <v>0</v>
      </c>
      <c r="ER30" s="6">
        <v>0</v>
      </c>
      <c r="ES30" s="6">
        <v>0</v>
      </c>
      <c r="ET30" s="6">
        <v>0</v>
      </c>
      <c r="EU30" s="6">
        <v>0</v>
      </c>
      <c r="EV30" s="6">
        <v>0</v>
      </c>
      <c r="EW30" s="6" t="s">
        <v>5738</v>
      </c>
      <c r="EX30" s="6">
        <v>0</v>
      </c>
      <c r="EY30" s="6" t="s">
        <v>5738</v>
      </c>
      <c r="EZ30" s="6">
        <v>0</v>
      </c>
      <c r="FA30" s="6">
        <v>0</v>
      </c>
      <c r="FB30" s="6">
        <v>0</v>
      </c>
      <c r="FC30" s="6">
        <v>0</v>
      </c>
      <c r="FD30" s="6">
        <v>0</v>
      </c>
      <c r="FE30" s="6">
        <v>0</v>
      </c>
      <c r="FF30" s="6" t="s">
        <v>5738</v>
      </c>
      <c r="FG30" s="6">
        <v>0</v>
      </c>
      <c r="FH30" s="6" t="s">
        <v>5738</v>
      </c>
      <c r="FI30" s="6">
        <v>0</v>
      </c>
      <c r="FJ30" s="6">
        <v>0</v>
      </c>
      <c r="FK30" s="6">
        <v>0</v>
      </c>
      <c r="FL30" s="6">
        <v>0</v>
      </c>
      <c r="FM30" s="6">
        <v>0</v>
      </c>
      <c r="FN30" s="6">
        <v>0</v>
      </c>
      <c r="FO30" s="6" t="s">
        <v>5738</v>
      </c>
      <c r="FP30" s="6">
        <v>0</v>
      </c>
      <c r="FQ30" s="6">
        <v>60</v>
      </c>
      <c r="FR30" s="6" t="s">
        <v>5754</v>
      </c>
      <c r="FS30" s="6" t="s">
        <v>5755</v>
      </c>
      <c r="FT30" s="6" t="s">
        <v>5738</v>
      </c>
      <c r="FU30" s="6" t="s">
        <v>5738</v>
      </c>
      <c r="FV30" s="6" t="s">
        <v>5738</v>
      </c>
      <c r="FW30" s="6" t="s">
        <v>5738</v>
      </c>
      <c r="FX30" s="6" t="s">
        <v>5913</v>
      </c>
      <c r="FY30" s="6">
        <v>28</v>
      </c>
      <c r="FZ30" s="6">
        <v>28</v>
      </c>
      <c r="GA30" s="6">
        <v>28</v>
      </c>
      <c r="GB30" s="6">
        <v>0</v>
      </c>
      <c r="GC30" s="6">
        <v>0</v>
      </c>
      <c r="GD30" s="6">
        <v>0</v>
      </c>
      <c r="GE30" s="6" t="s">
        <v>5914</v>
      </c>
      <c r="GF30" s="6" t="s">
        <v>5913</v>
      </c>
      <c r="GG30" s="6">
        <v>28</v>
      </c>
      <c r="GH30" s="6">
        <v>28</v>
      </c>
      <c r="GI30" s="6">
        <v>28</v>
      </c>
      <c r="GJ30" s="6">
        <v>0</v>
      </c>
      <c r="GK30" s="6">
        <v>0</v>
      </c>
      <c r="GL30" s="6">
        <v>0</v>
      </c>
      <c r="GM30" s="6" t="s">
        <v>5914</v>
      </c>
      <c r="GN30" s="6" t="s">
        <v>5738</v>
      </c>
      <c r="GO30" s="6">
        <v>0</v>
      </c>
      <c r="GP30" s="6">
        <v>0</v>
      </c>
      <c r="GQ30" s="6">
        <v>0</v>
      </c>
      <c r="GR30" s="6">
        <v>0</v>
      </c>
      <c r="GS30" s="6">
        <v>0</v>
      </c>
      <c r="GT30" s="6">
        <v>0</v>
      </c>
      <c r="GU30" s="6" t="s">
        <v>5738</v>
      </c>
      <c r="GV30" s="6" t="s">
        <v>5738</v>
      </c>
      <c r="GW30" s="6">
        <v>0</v>
      </c>
      <c r="GX30" s="6">
        <v>0</v>
      </c>
      <c r="GY30" s="6">
        <v>0</v>
      </c>
      <c r="GZ30" s="6">
        <v>0</v>
      </c>
      <c r="HA30" s="6">
        <v>0</v>
      </c>
      <c r="HB30" s="6">
        <v>0</v>
      </c>
      <c r="HC30" s="6" t="s">
        <v>5738</v>
      </c>
      <c r="HD30" s="6" t="s">
        <v>5738</v>
      </c>
      <c r="HE30" s="6">
        <v>0</v>
      </c>
      <c r="HF30" s="6">
        <v>0</v>
      </c>
      <c r="HG30" s="6">
        <v>0</v>
      </c>
      <c r="HH30" s="6">
        <v>0</v>
      </c>
      <c r="HI30" s="6">
        <v>0</v>
      </c>
      <c r="HJ30" s="6">
        <v>0</v>
      </c>
      <c r="HK30" s="6" t="s">
        <v>5738</v>
      </c>
      <c r="HL30" s="6" t="s">
        <v>5738</v>
      </c>
      <c r="HM30" s="6">
        <v>0</v>
      </c>
      <c r="HN30" s="6">
        <v>0</v>
      </c>
      <c r="HO30" s="6">
        <v>0</v>
      </c>
      <c r="HP30" s="6">
        <v>0</v>
      </c>
      <c r="HQ30" s="6">
        <v>0</v>
      </c>
      <c r="HR30" s="6">
        <v>0</v>
      </c>
      <c r="HS30" s="6" t="s">
        <v>5738</v>
      </c>
      <c r="HT30" s="6" t="s">
        <v>5758</v>
      </c>
      <c r="HU30" s="6">
        <v>28</v>
      </c>
      <c r="HV30" s="6">
        <v>28</v>
      </c>
      <c r="HW30" s="6">
        <v>0</v>
      </c>
      <c r="HX30" s="6">
        <v>0</v>
      </c>
      <c r="HY30" s="6">
        <v>0</v>
      </c>
      <c r="HZ30" s="6">
        <v>0</v>
      </c>
      <c r="IA30" s="5">
        <v>28</v>
      </c>
      <c r="IB30" s="5">
        <v>28</v>
      </c>
      <c r="IC30" s="132" t="s">
        <v>5460</v>
      </c>
      <c r="ID30" s="132" t="s">
        <v>5935</v>
      </c>
      <c r="IE30" s="132" t="s">
        <v>5760</v>
      </c>
      <c r="IF30" s="132" t="s">
        <v>5761</v>
      </c>
      <c r="IG30" s="171">
        <v>43756</v>
      </c>
      <c r="IH30" s="171">
        <v>45583</v>
      </c>
      <c r="II30" s="6">
        <v>37</v>
      </c>
    </row>
    <row r="31" spans="1:243" ht="165.75">
      <c r="A31" s="5">
        <v>30</v>
      </c>
      <c r="B31" s="132" t="s">
        <v>5723</v>
      </c>
      <c r="C31" s="132" t="s">
        <v>5723</v>
      </c>
      <c r="D31" s="5" t="s">
        <v>5638</v>
      </c>
      <c r="E31" s="107" t="s">
        <v>5639</v>
      </c>
      <c r="F31" s="5" t="s">
        <v>5351</v>
      </c>
      <c r="G31" s="5">
        <v>105.85398499999999</v>
      </c>
      <c r="H31" s="5">
        <v>21.026803000000001</v>
      </c>
      <c r="I31" s="5">
        <v>1</v>
      </c>
      <c r="J31" s="5">
        <v>2</v>
      </c>
      <c r="K31" s="5" t="s">
        <v>5762</v>
      </c>
      <c r="L31" s="5" t="s">
        <v>5936</v>
      </c>
      <c r="M31" s="5" t="s">
        <v>5764</v>
      </c>
      <c r="N31" s="5" t="s">
        <v>5765</v>
      </c>
      <c r="O31" s="5" t="s">
        <v>5766</v>
      </c>
      <c r="P31" s="5" t="s">
        <v>5767</v>
      </c>
      <c r="Q31" s="5" t="s">
        <v>5768</v>
      </c>
      <c r="R31" s="5" t="s">
        <v>5879</v>
      </c>
      <c r="S31" s="152" t="b">
        <v>1</v>
      </c>
      <c r="T31" s="5" t="s">
        <v>5640</v>
      </c>
      <c r="U31" s="5">
        <v>0</v>
      </c>
      <c r="V31" s="5" t="s">
        <v>5732</v>
      </c>
      <c r="W31" s="5" t="s">
        <v>5641</v>
      </c>
      <c r="X31" s="7" t="s">
        <v>5733</v>
      </c>
      <c r="Y31" s="5" t="b">
        <v>0</v>
      </c>
      <c r="Z31" s="152" t="b">
        <v>0</v>
      </c>
      <c r="AA31" s="5">
        <v>27</v>
      </c>
      <c r="AB31" s="152" t="b">
        <v>1</v>
      </c>
      <c r="AC31" s="5">
        <v>24</v>
      </c>
      <c r="AD31" s="5" t="b">
        <v>0</v>
      </c>
      <c r="AE31" s="5" t="s">
        <v>5734</v>
      </c>
      <c r="AF31" s="5" t="s">
        <v>5735</v>
      </c>
      <c r="AG31" s="132" t="s">
        <v>5736</v>
      </c>
      <c r="AH31" s="132" t="s">
        <v>5737</v>
      </c>
      <c r="AI31" s="132" t="s">
        <v>5479</v>
      </c>
      <c r="AJ31" s="132" t="s">
        <v>5738</v>
      </c>
      <c r="AK31" s="132" t="s">
        <v>5739</v>
      </c>
      <c r="AL31" s="6"/>
      <c r="AM31" s="6" t="s">
        <v>5740</v>
      </c>
      <c r="AN31" s="6" t="s">
        <v>5741</v>
      </c>
      <c r="AO31" s="5">
        <v>4</v>
      </c>
      <c r="AP31" s="85" t="s">
        <v>5742</v>
      </c>
      <c r="AQ31" s="233" t="s">
        <v>5937</v>
      </c>
      <c r="AR31" s="233" t="s">
        <v>5938</v>
      </c>
      <c r="AS31" s="234" t="s">
        <v>5350</v>
      </c>
      <c r="AT31" s="6" t="s">
        <v>5741</v>
      </c>
      <c r="AU31" s="6" t="s">
        <v>5741</v>
      </c>
      <c r="AV31" s="6" t="s">
        <v>5738</v>
      </c>
      <c r="AW31" s="6" t="s">
        <v>5738</v>
      </c>
      <c r="AX31" s="6" t="s">
        <v>5738</v>
      </c>
      <c r="AY31" s="6" t="s">
        <v>5738</v>
      </c>
      <c r="AZ31" s="6" t="s">
        <v>5723</v>
      </c>
      <c r="BA31" s="6" t="s">
        <v>5723</v>
      </c>
      <c r="BB31" s="6" t="s">
        <v>5738</v>
      </c>
      <c r="BC31" s="6" t="s">
        <v>5738</v>
      </c>
      <c r="BD31" s="6" t="s">
        <v>5738</v>
      </c>
      <c r="BE31" s="6" t="s">
        <v>5738</v>
      </c>
      <c r="BF31" s="6" t="s">
        <v>5771</v>
      </c>
      <c r="BG31" s="6" t="s">
        <v>5638</v>
      </c>
      <c r="BH31" s="6" t="s">
        <v>5638</v>
      </c>
      <c r="BI31" s="6" t="s">
        <v>5738</v>
      </c>
      <c r="BJ31" s="6" t="s">
        <v>5738</v>
      </c>
      <c r="BK31" s="6" t="s">
        <v>5738</v>
      </c>
      <c r="BL31" s="6" t="s">
        <v>5738</v>
      </c>
      <c r="BM31" s="6" t="s">
        <v>5747</v>
      </c>
      <c r="BN31" s="6" t="s">
        <v>5748</v>
      </c>
      <c r="BO31" s="6" t="s">
        <v>5738</v>
      </c>
      <c r="BP31" s="6" t="s">
        <v>5738</v>
      </c>
      <c r="BQ31" s="6" t="s">
        <v>5738</v>
      </c>
      <c r="BR31" s="6" t="s">
        <v>5738</v>
      </c>
      <c r="BS31" s="6">
        <v>3</v>
      </c>
      <c r="BT31" s="6">
        <v>3</v>
      </c>
      <c r="BU31" s="6">
        <v>0</v>
      </c>
      <c r="BV31" s="6">
        <v>0</v>
      </c>
      <c r="BW31" s="6">
        <v>0</v>
      </c>
      <c r="BX31" s="6">
        <v>0</v>
      </c>
      <c r="BY31" s="6" t="s">
        <v>5467</v>
      </c>
      <c r="BZ31" s="6">
        <v>2</v>
      </c>
      <c r="CA31" s="6">
        <v>2</v>
      </c>
      <c r="CB31" s="6">
        <v>2</v>
      </c>
      <c r="CC31" s="6">
        <v>0</v>
      </c>
      <c r="CD31" s="6">
        <v>0</v>
      </c>
      <c r="CE31" s="6">
        <v>0</v>
      </c>
      <c r="CF31" s="6" t="s">
        <v>5749</v>
      </c>
      <c r="CG31" s="6">
        <v>1</v>
      </c>
      <c r="CH31" s="6">
        <v>1</v>
      </c>
      <c r="CI31" s="6">
        <v>1</v>
      </c>
      <c r="CJ31" s="6">
        <v>0</v>
      </c>
      <c r="CK31" s="6">
        <v>0</v>
      </c>
      <c r="CL31" s="6">
        <v>0</v>
      </c>
      <c r="CM31" s="6" t="s">
        <v>5738</v>
      </c>
      <c r="CN31" s="6">
        <v>0</v>
      </c>
      <c r="CO31" s="6">
        <v>0</v>
      </c>
      <c r="CP31" s="6">
        <v>0</v>
      </c>
      <c r="CQ31" s="6">
        <v>0</v>
      </c>
      <c r="CR31" s="6">
        <v>0</v>
      </c>
      <c r="CS31" s="6">
        <v>0</v>
      </c>
      <c r="CT31" s="6" t="s">
        <v>5738</v>
      </c>
      <c r="CU31" s="6">
        <v>0</v>
      </c>
      <c r="CV31" s="6">
        <v>0</v>
      </c>
      <c r="CW31" s="6">
        <v>0</v>
      </c>
      <c r="CX31" s="6">
        <v>0</v>
      </c>
      <c r="CY31" s="6">
        <v>0</v>
      </c>
      <c r="CZ31" s="6">
        <v>0</v>
      </c>
      <c r="DA31" s="6" t="s">
        <v>5738</v>
      </c>
      <c r="DB31" s="6">
        <v>0</v>
      </c>
      <c r="DC31" s="6">
        <v>0</v>
      </c>
      <c r="DD31" s="6">
        <v>0</v>
      </c>
      <c r="DE31" s="6">
        <v>0</v>
      </c>
      <c r="DF31" s="6">
        <v>0</v>
      </c>
      <c r="DG31" s="6">
        <v>0</v>
      </c>
      <c r="DH31" s="6" t="s">
        <v>5738</v>
      </c>
      <c r="DI31" s="6">
        <v>0</v>
      </c>
      <c r="DJ31" s="6">
        <v>0</v>
      </c>
      <c r="DK31" s="6">
        <v>0</v>
      </c>
      <c r="DL31" s="6">
        <v>0</v>
      </c>
      <c r="DM31" s="6">
        <v>0</v>
      </c>
      <c r="DN31" s="6">
        <v>0</v>
      </c>
      <c r="DO31" s="6" t="s">
        <v>5752</v>
      </c>
      <c r="DP31" s="6">
        <v>60</v>
      </c>
      <c r="DQ31" s="6">
        <v>60</v>
      </c>
      <c r="DR31" s="6">
        <v>60</v>
      </c>
      <c r="DS31" s="6">
        <v>0</v>
      </c>
      <c r="DT31" s="6">
        <v>0</v>
      </c>
      <c r="DU31" s="6">
        <v>0</v>
      </c>
      <c r="DV31" s="6" t="s">
        <v>5753</v>
      </c>
      <c r="DW31" s="6">
        <v>60</v>
      </c>
      <c r="DX31" s="6" t="s">
        <v>5752</v>
      </c>
      <c r="DY31" s="6">
        <v>60</v>
      </c>
      <c r="DZ31" s="6">
        <v>60</v>
      </c>
      <c r="EA31" s="6">
        <v>60</v>
      </c>
      <c r="EB31" s="6">
        <v>0</v>
      </c>
      <c r="EC31" s="6">
        <v>0</v>
      </c>
      <c r="ED31" s="6">
        <v>0</v>
      </c>
      <c r="EE31" s="6" t="s">
        <v>5753</v>
      </c>
      <c r="EF31" s="6">
        <v>60</v>
      </c>
      <c r="EG31" s="6" t="s">
        <v>5738</v>
      </c>
      <c r="EH31" s="6">
        <v>0</v>
      </c>
      <c r="EI31" s="6">
        <v>0</v>
      </c>
      <c r="EJ31" s="6">
        <v>0</v>
      </c>
      <c r="EK31" s="6">
        <v>0</v>
      </c>
      <c r="EL31" s="6">
        <v>0</v>
      </c>
      <c r="EM31" s="6">
        <v>0</v>
      </c>
      <c r="EN31" s="6" t="s">
        <v>5738</v>
      </c>
      <c r="EO31" s="6">
        <v>0</v>
      </c>
      <c r="EP31" s="6" t="s">
        <v>5738</v>
      </c>
      <c r="EQ31" s="6">
        <v>0</v>
      </c>
      <c r="ER31" s="6">
        <v>0</v>
      </c>
      <c r="ES31" s="6">
        <v>0</v>
      </c>
      <c r="ET31" s="6">
        <v>0</v>
      </c>
      <c r="EU31" s="6">
        <v>0</v>
      </c>
      <c r="EV31" s="6">
        <v>0</v>
      </c>
      <c r="EW31" s="6" t="s">
        <v>5738</v>
      </c>
      <c r="EX31" s="6">
        <v>0</v>
      </c>
      <c r="EY31" s="6" t="s">
        <v>5738</v>
      </c>
      <c r="EZ31" s="6">
        <v>0</v>
      </c>
      <c r="FA31" s="6">
        <v>0</v>
      </c>
      <c r="FB31" s="6">
        <v>0</v>
      </c>
      <c r="FC31" s="6">
        <v>0</v>
      </c>
      <c r="FD31" s="6">
        <v>0</v>
      </c>
      <c r="FE31" s="6">
        <v>0</v>
      </c>
      <c r="FF31" s="6" t="s">
        <v>5738</v>
      </c>
      <c r="FG31" s="6">
        <v>0</v>
      </c>
      <c r="FH31" s="6" t="s">
        <v>5738</v>
      </c>
      <c r="FI31" s="6">
        <v>0</v>
      </c>
      <c r="FJ31" s="6">
        <v>0</v>
      </c>
      <c r="FK31" s="6">
        <v>0</v>
      </c>
      <c r="FL31" s="6">
        <v>0</v>
      </c>
      <c r="FM31" s="6">
        <v>0</v>
      </c>
      <c r="FN31" s="6">
        <v>0</v>
      </c>
      <c r="FO31" s="6" t="s">
        <v>5738</v>
      </c>
      <c r="FP31" s="6">
        <v>0</v>
      </c>
      <c r="FQ31" s="6">
        <v>60</v>
      </c>
      <c r="FR31" s="6" t="s">
        <v>5754</v>
      </c>
      <c r="FS31" s="6" t="s">
        <v>5755</v>
      </c>
      <c r="FT31" s="6" t="s">
        <v>5738</v>
      </c>
      <c r="FU31" s="6" t="s">
        <v>5738</v>
      </c>
      <c r="FV31" s="6" t="s">
        <v>5738</v>
      </c>
      <c r="FW31" s="6" t="s">
        <v>5738</v>
      </c>
      <c r="FX31" s="6" t="s">
        <v>5882</v>
      </c>
      <c r="FY31" s="6">
        <v>27</v>
      </c>
      <c r="FZ31" s="6">
        <v>27</v>
      </c>
      <c r="GA31" s="6">
        <v>27</v>
      </c>
      <c r="GB31" s="6">
        <v>0</v>
      </c>
      <c r="GC31" s="6">
        <v>0</v>
      </c>
      <c r="GD31" s="6">
        <v>0</v>
      </c>
      <c r="GE31" s="6" t="s">
        <v>5883</v>
      </c>
      <c r="GF31" s="6" t="s">
        <v>5882</v>
      </c>
      <c r="GG31" s="6">
        <v>27</v>
      </c>
      <c r="GH31" s="6">
        <v>27</v>
      </c>
      <c r="GI31" s="6">
        <v>27</v>
      </c>
      <c r="GJ31" s="6">
        <v>0</v>
      </c>
      <c r="GK31" s="6">
        <v>0</v>
      </c>
      <c r="GL31" s="6">
        <v>0</v>
      </c>
      <c r="GM31" s="6" t="s">
        <v>5883</v>
      </c>
      <c r="GN31" s="6" t="s">
        <v>5738</v>
      </c>
      <c r="GO31" s="6">
        <v>0</v>
      </c>
      <c r="GP31" s="6">
        <v>0</v>
      </c>
      <c r="GQ31" s="6">
        <v>0</v>
      </c>
      <c r="GR31" s="6">
        <v>0</v>
      </c>
      <c r="GS31" s="6">
        <v>0</v>
      </c>
      <c r="GT31" s="6">
        <v>0</v>
      </c>
      <c r="GU31" s="6" t="s">
        <v>5738</v>
      </c>
      <c r="GV31" s="6" t="s">
        <v>5738</v>
      </c>
      <c r="GW31" s="6">
        <v>0</v>
      </c>
      <c r="GX31" s="6">
        <v>0</v>
      </c>
      <c r="GY31" s="6">
        <v>0</v>
      </c>
      <c r="GZ31" s="6">
        <v>0</v>
      </c>
      <c r="HA31" s="6">
        <v>0</v>
      </c>
      <c r="HB31" s="6">
        <v>0</v>
      </c>
      <c r="HC31" s="6" t="s">
        <v>5738</v>
      </c>
      <c r="HD31" s="6" t="s">
        <v>5738</v>
      </c>
      <c r="HE31" s="6">
        <v>0</v>
      </c>
      <c r="HF31" s="6">
        <v>0</v>
      </c>
      <c r="HG31" s="6">
        <v>0</v>
      </c>
      <c r="HH31" s="6">
        <v>0</v>
      </c>
      <c r="HI31" s="6">
        <v>0</v>
      </c>
      <c r="HJ31" s="6">
        <v>0</v>
      </c>
      <c r="HK31" s="6" t="s">
        <v>5738</v>
      </c>
      <c r="HL31" s="6" t="s">
        <v>5738</v>
      </c>
      <c r="HM31" s="6">
        <v>0</v>
      </c>
      <c r="HN31" s="6">
        <v>0</v>
      </c>
      <c r="HO31" s="6">
        <v>0</v>
      </c>
      <c r="HP31" s="6">
        <v>0</v>
      </c>
      <c r="HQ31" s="6">
        <v>0</v>
      </c>
      <c r="HR31" s="6">
        <v>0</v>
      </c>
      <c r="HS31" s="6" t="s">
        <v>5738</v>
      </c>
      <c r="HT31" s="6" t="s">
        <v>5758</v>
      </c>
      <c r="HU31" s="6">
        <v>27</v>
      </c>
      <c r="HV31" s="6">
        <v>27</v>
      </c>
      <c r="HW31" s="6">
        <v>0</v>
      </c>
      <c r="HX31" s="6">
        <v>0</v>
      </c>
      <c r="HY31" s="6">
        <v>0</v>
      </c>
      <c r="HZ31" s="6">
        <v>0</v>
      </c>
      <c r="IA31" s="5">
        <v>27</v>
      </c>
      <c r="IB31" s="5">
        <v>3</v>
      </c>
      <c r="IC31" s="132" t="s">
        <v>5460</v>
      </c>
      <c r="ID31" s="132" t="s">
        <v>5939</v>
      </c>
      <c r="IE31" s="132" t="s">
        <v>5760</v>
      </c>
      <c r="IF31" s="132" t="s">
        <v>5761</v>
      </c>
      <c r="IG31" s="171">
        <v>43756</v>
      </c>
      <c r="IH31" s="171">
        <v>45583</v>
      </c>
      <c r="II31" s="6">
        <v>37</v>
      </c>
    </row>
    <row r="32" spans="1:243" ht="165.75">
      <c r="A32" s="5">
        <v>31</v>
      </c>
      <c r="B32" s="132" t="s">
        <v>5723</v>
      </c>
      <c r="C32" s="132" t="s">
        <v>5723</v>
      </c>
      <c r="D32" s="5" t="s">
        <v>5642</v>
      </c>
      <c r="E32" s="107" t="s">
        <v>5643</v>
      </c>
      <c r="F32" s="5" t="s">
        <v>5351</v>
      </c>
      <c r="G32" s="5">
        <v>105.876561</v>
      </c>
      <c r="H32" s="5">
        <v>21.049645000000002</v>
      </c>
      <c r="I32" s="5">
        <v>1</v>
      </c>
      <c r="J32" s="5">
        <v>2</v>
      </c>
      <c r="K32" s="5" t="s">
        <v>5762</v>
      </c>
      <c r="L32" s="5" t="s">
        <v>5940</v>
      </c>
      <c r="M32" s="5" t="s">
        <v>5764</v>
      </c>
      <c r="N32" s="5" t="s">
        <v>5765</v>
      </c>
      <c r="O32" s="5" t="s">
        <v>5766</v>
      </c>
      <c r="P32" s="5" t="s">
        <v>5767</v>
      </c>
      <c r="Q32" s="5" t="s">
        <v>5768</v>
      </c>
      <c r="R32" s="5" t="s">
        <v>5879</v>
      </c>
      <c r="S32" s="152" t="b">
        <v>1</v>
      </c>
      <c r="T32" s="5" t="s">
        <v>5644</v>
      </c>
      <c r="U32" s="5">
        <v>0</v>
      </c>
      <c r="V32" s="5" t="s">
        <v>5732</v>
      </c>
      <c r="W32" s="5" t="s">
        <v>5645</v>
      </c>
      <c r="X32" s="7" t="s">
        <v>5733</v>
      </c>
      <c r="Y32" s="5" t="b">
        <v>0</v>
      </c>
      <c r="Z32" s="152" t="b">
        <v>0</v>
      </c>
      <c r="AA32" s="5">
        <v>27</v>
      </c>
      <c r="AB32" s="152" t="b">
        <v>1</v>
      </c>
      <c r="AC32" s="5">
        <v>20</v>
      </c>
      <c r="AD32" s="5" t="b">
        <v>0</v>
      </c>
      <c r="AE32" s="5" t="s">
        <v>5734</v>
      </c>
      <c r="AF32" s="5" t="s">
        <v>5735</v>
      </c>
      <c r="AG32" s="132" t="s">
        <v>5736</v>
      </c>
      <c r="AH32" s="132" t="s">
        <v>5737</v>
      </c>
      <c r="AI32" s="132" t="s">
        <v>5479</v>
      </c>
      <c r="AJ32" s="132" t="s">
        <v>5738</v>
      </c>
      <c r="AK32" s="132" t="s">
        <v>5739</v>
      </c>
      <c r="AL32" s="6"/>
      <c r="AM32" s="6" t="s">
        <v>5740</v>
      </c>
      <c r="AN32" s="6" t="s">
        <v>5741</v>
      </c>
      <c r="AO32" s="5">
        <v>4</v>
      </c>
      <c r="AP32" s="85" t="s">
        <v>5742</v>
      </c>
      <c r="AQ32" s="233" t="s">
        <v>5937</v>
      </c>
      <c r="AR32" s="233" t="s">
        <v>5941</v>
      </c>
      <c r="AS32" s="234" t="s">
        <v>5350</v>
      </c>
      <c r="AT32" s="6" t="s">
        <v>5741</v>
      </c>
      <c r="AU32" s="6" t="s">
        <v>5741</v>
      </c>
      <c r="AV32" s="6" t="s">
        <v>5738</v>
      </c>
      <c r="AW32" s="6" t="s">
        <v>5738</v>
      </c>
      <c r="AX32" s="6" t="s">
        <v>5738</v>
      </c>
      <c r="AY32" s="6" t="s">
        <v>5738</v>
      </c>
      <c r="AZ32" s="6" t="s">
        <v>5723</v>
      </c>
      <c r="BA32" s="6" t="s">
        <v>5723</v>
      </c>
      <c r="BB32" s="6" t="s">
        <v>5738</v>
      </c>
      <c r="BC32" s="6" t="s">
        <v>5738</v>
      </c>
      <c r="BD32" s="6" t="s">
        <v>5738</v>
      </c>
      <c r="BE32" s="6" t="s">
        <v>5738</v>
      </c>
      <c r="BF32" s="6" t="s">
        <v>5771</v>
      </c>
      <c r="BG32" s="6" t="s">
        <v>5642</v>
      </c>
      <c r="BH32" s="6" t="s">
        <v>5642</v>
      </c>
      <c r="BI32" s="6" t="s">
        <v>5738</v>
      </c>
      <c r="BJ32" s="6" t="s">
        <v>5738</v>
      </c>
      <c r="BK32" s="6" t="s">
        <v>5738</v>
      </c>
      <c r="BL32" s="6" t="s">
        <v>5738</v>
      </c>
      <c r="BM32" s="6" t="s">
        <v>5747</v>
      </c>
      <c r="BN32" s="6" t="s">
        <v>5748</v>
      </c>
      <c r="BO32" s="6" t="s">
        <v>5738</v>
      </c>
      <c r="BP32" s="6" t="s">
        <v>5738</v>
      </c>
      <c r="BQ32" s="6" t="s">
        <v>5738</v>
      </c>
      <c r="BR32" s="6" t="s">
        <v>5738</v>
      </c>
      <c r="BS32" s="6">
        <v>3</v>
      </c>
      <c r="BT32" s="6">
        <v>3</v>
      </c>
      <c r="BU32" s="6">
        <v>0</v>
      </c>
      <c r="BV32" s="6">
        <v>0</v>
      </c>
      <c r="BW32" s="6">
        <v>0</v>
      </c>
      <c r="BX32" s="6">
        <v>0</v>
      </c>
      <c r="BY32" s="6" t="s">
        <v>5467</v>
      </c>
      <c r="BZ32" s="6">
        <v>2</v>
      </c>
      <c r="CA32" s="6">
        <v>2</v>
      </c>
      <c r="CB32" s="6">
        <v>2</v>
      </c>
      <c r="CC32" s="6">
        <v>0</v>
      </c>
      <c r="CD32" s="6">
        <v>0</v>
      </c>
      <c r="CE32" s="6">
        <v>0</v>
      </c>
      <c r="CF32" s="6" t="s">
        <v>5749</v>
      </c>
      <c r="CG32" s="6">
        <v>1</v>
      </c>
      <c r="CH32" s="6">
        <v>1</v>
      </c>
      <c r="CI32" s="6">
        <v>1</v>
      </c>
      <c r="CJ32" s="6">
        <v>0</v>
      </c>
      <c r="CK32" s="6">
        <v>0</v>
      </c>
      <c r="CL32" s="6">
        <v>0</v>
      </c>
      <c r="CM32" s="6" t="s">
        <v>5738</v>
      </c>
      <c r="CN32" s="6">
        <v>0</v>
      </c>
      <c r="CO32" s="6">
        <v>0</v>
      </c>
      <c r="CP32" s="6">
        <v>0</v>
      </c>
      <c r="CQ32" s="6">
        <v>0</v>
      </c>
      <c r="CR32" s="6">
        <v>0</v>
      </c>
      <c r="CS32" s="6">
        <v>0</v>
      </c>
      <c r="CT32" s="6" t="s">
        <v>5738</v>
      </c>
      <c r="CU32" s="6">
        <v>0</v>
      </c>
      <c r="CV32" s="6">
        <v>0</v>
      </c>
      <c r="CW32" s="6">
        <v>0</v>
      </c>
      <c r="CX32" s="6">
        <v>0</v>
      </c>
      <c r="CY32" s="6">
        <v>0</v>
      </c>
      <c r="CZ32" s="6">
        <v>0</v>
      </c>
      <c r="DA32" s="6" t="s">
        <v>5738</v>
      </c>
      <c r="DB32" s="6">
        <v>0</v>
      </c>
      <c r="DC32" s="6">
        <v>0</v>
      </c>
      <c r="DD32" s="6">
        <v>0</v>
      </c>
      <c r="DE32" s="6">
        <v>0</v>
      </c>
      <c r="DF32" s="6">
        <v>0</v>
      </c>
      <c r="DG32" s="6">
        <v>0</v>
      </c>
      <c r="DH32" s="6" t="s">
        <v>5738</v>
      </c>
      <c r="DI32" s="6">
        <v>0</v>
      </c>
      <c r="DJ32" s="6">
        <v>0</v>
      </c>
      <c r="DK32" s="6">
        <v>0</v>
      </c>
      <c r="DL32" s="6">
        <v>0</v>
      </c>
      <c r="DM32" s="6">
        <v>0</v>
      </c>
      <c r="DN32" s="6">
        <v>0</v>
      </c>
      <c r="DO32" s="6" t="s">
        <v>5752</v>
      </c>
      <c r="DP32" s="6">
        <v>60</v>
      </c>
      <c r="DQ32" s="6">
        <v>60</v>
      </c>
      <c r="DR32" s="6">
        <v>60</v>
      </c>
      <c r="DS32" s="6">
        <v>0</v>
      </c>
      <c r="DT32" s="6">
        <v>0</v>
      </c>
      <c r="DU32" s="6">
        <v>0</v>
      </c>
      <c r="DV32" s="6" t="s">
        <v>5753</v>
      </c>
      <c r="DW32" s="6">
        <v>60</v>
      </c>
      <c r="DX32" s="6" t="s">
        <v>5752</v>
      </c>
      <c r="DY32" s="6">
        <v>60</v>
      </c>
      <c r="DZ32" s="6">
        <v>60</v>
      </c>
      <c r="EA32" s="6">
        <v>60</v>
      </c>
      <c r="EB32" s="6">
        <v>0</v>
      </c>
      <c r="EC32" s="6">
        <v>0</v>
      </c>
      <c r="ED32" s="6">
        <v>0</v>
      </c>
      <c r="EE32" s="6" t="s">
        <v>5753</v>
      </c>
      <c r="EF32" s="6">
        <v>60</v>
      </c>
      <c r="EG32" s="6" t="s">
        <v>5738</v>
      </c>
      <c r="EH32" s="6">
        <v>0</v>
      </c>
      <c r="EI32" s="6">
        <v>0</v>
      </c>
      <c r="EJ32" s="6">
        <v>0</v>
      </c>
      <c r="EK32" s="6">
        <v>0</v>
      </c>
      <c r="EL32" s="6">
        <v>0</v>
      </c>
      <c r="EM32" s="6">
        <v>0</v>
      </c>
      <c r="EN32" s="6" t="s">
        <v>5738</v>
      </c>
      <c r="EO32" s="6">
        <v>0</v>
      </c>
      <c r="EP32" s="6" t="s">
        <v>5738</v>
      </c>
      <c r="EQ32" s="6">
        <v>0</v>
      </c>
      <c r="ER32" s="6">
        <v>0</v>
      </c>
      <c r="ES32" s="6">
        <v>0</v>
      </c>
      <c r="ET32" s="6">
        <v>0</v>
      </c>
      <c r="EU32" s="6">
        <v>0</v>
      </c>
      <c r="EV32" s="6">
        <v>0</v>
      </c>
      <c r="EW32" s="6" t="s">
        <v>5738</v>
      </c>
      <c r="EX32" s="6">
        <v>0</v>
      </c>
      <c r="EY32" s="6" t="s">
        <v>5738</v>
      </c>
      <c r="EZ32" s="6">
        <v>0</v>
      </c>
      <c r="FA32" s="6">
        <v>0</v>
      </c>
      <c r="FB32" s="6">
        <v>0</v>
      </c>
      <c r="FC32" s="6">
        <v>0</v>
      </c>
      <c r="FD32" s="6">
        <v>0</v>
      </c>
      <c r="FE32" s="6">
        <v>0</v>
      </c>
      <c r="FF32" s="6" t="s">
        <v>5738</v>
      </c>
      <c r="FG32" s="6">
        <v>0</v>
      </c>
      <c r="FH32" s="6" t="s">
        <v>5738</v>
      </c>
      <c r="FI32" s="6">
        <v>0</v>
      </c>
      <c r="FJ32" s="6">
        <v>0</v>
      </c>
      <c r="FK32" s="6">
        <v>0</v>
      </c>
      <c r="FL32" s="6">
        <v>0</v>
      </c>
      <c r="FM32" s="6">
        <v>0</v>
      </c>
      <c r="FN32" s="6">
        <v>0</v>
      </c>
      <c r="FO32" s="6" t="s">
        <v>5738</v>
      </c>
      <c r="FP32" s="6">
        <v>0</v>
      </c>
      <c r="FQ32" s="6">
        <v>60</v>
      </c>
      <c r="FR32" s="6" t="s">
        <v>5754</v>
      </c>
      <c r="FS32" s="6" t="s">
        <v>5755</v>
      </c>
      <c r="FT32" s="6" t="s">
        <v>5738</v>
      </c>
      <c r="FU32" s="6" t="s">
        <v>5738</v>
      </c>
      <c r="FV32" s="6" t="s">
        <v>5738</v>
      </c>
      <c r="FW32" s="6" t="s">
        <v>5738</v>
      </c>
      <c r="FX32" s="6" t="s">
        <v>5882</v>
      </c>
      <c r="FY32" s="6">
        <v>27</v>
      </c>
      <c r="FZ32" s="6">
        <v>27</v>
      </c>
      <c r="GA32" s="6">
        <v>27</v>
      </c>
      <c r="GB32" s="6">
        <v>0</v>
      </c>
      <c r="GC32" s="6">
        <v>0</v>
      </c>
      <c r="GD32" s="6">
        <v>0</v>
      </c>
      <c r="GE32" s="6" t="s">
        <v>5883</v>
      </c>
      <c r="GF32" s="6" t="s">
        <v>5882</v>
      </c>
      <c r="GG32" s="6">
        <v>27</v>
      </c>
      <c r="GH32" s="6">
        <v>27</v>
      </c>
      <c r="GI32" s="6">
        <v>27</v>
      </c>
      <c r="GJ32" s="6">
        <v>0</v>
      </c>
      <c r="GK32" s="6">
        <v>0</v>
      </c>
      <c r="GL32" s="6">
        <v>0</v>
      </c>
      <c r="GM32" s="6" t="s">
        <v>5883</v>
      </c>
      <c r="GN32" s="6" t="s">
        <v>5738</v>
      </c>
      <c r="GO32" s="6">
        <v>0</v>
      </c>
      <c r="GP32" s="6">
        <v>0</v>
      </c>
      <c r="GQ32" s="6">
        <v>0</v>
      </c>
      <c r="GR32" s="6">
        <v>0</v>
      </c>
      <c r="GS32" s="6">
        <v>0</v>
      </c>
      <c r="GT32" s="6">
        <v>0</v>
      </c>
      <c r="GU32" s="6" t="s">
        <v>5738</v>
      </c>
      <c r="GV32" s="6" t="s">
        <v>5738</v>
      </c>
      <c r="GW32" s="6">
        <v>0</v>
      </c>
      <c r="GX32" s="6">
        <v>0</v>
      </c>
      <c r="GY32" s="6">
        <v>0</v>
      </c>
      <c r="GZ32" s="6">
        <v>0</v>
      </c>
      <c r="HA32" s="6">
        <v>0</v>
      </c>
      <c r="HB32" s="6">
        <v>0</v>
      </c>
      <c r="HC32" s="6" t="s">
        <v>5738</v>
      </c>
      <c r="HD32" s="6" t="s">
        <v>5738</v>
      </c>
      <c r="HE32" s="6">
        <v>0</v>
      </c>
      <c r="HF32" s="6">
        <v>0</v>
      </c>
      <c r="HG32" s="6">
        <v>0</v>
      </c>
      <c r="HH32" s="6">
        <v>0</v>
      </c>
      <c r="HI32" s="6">
        <v>0</v>
      </c>
      <c r="HJ32" s="6">
        <v>0</v>
      </c>
      <c r="HK32" s="6" t="s">
        <v>5738</v>
      </c>
      <c r="HL32" s="6" t="s">
        <v>5738</v>
      </c>
      <c r="HM32" s="6">
        <v>0</v>
      </c>
      <c r="HN32" s="6">
        <v>0</v>
      </c>
      <c r="HO32" s="6">
        <v>0</v>
      </c>
      <c r="HP32" s="6">
        <v>0</v>
      </c>
      <c r="HQ32" s="6">
        <v>0</v>
      </c>
      <c r="HR32" s="6">
        <v>0</v>
      </c>
      <c r="HS32" s="6" t="s">
        <v>5738</v>
      </c>
      <c r="HT32" s="6" t="s">
        <v>5758</v>
      </c>
      <c r="HU32" s="6">
        <v>27</v>
      </c>
      <c r="HV32" s="6">
        <v>27</v>
      </c>
      <c r="HW32" s="6">
        <v>0</v>
      </c>
      <c r="HX32" s="6">
        <v>0</v>
      </c>
      <c r="HY32" s="6">
        <v>0</v>
      </c>
      <c r="HZ32" s="6">
        <v>0</v>
      </c>
      <c r="IA32" s="5">
        <v>27</v>
      </c>
      <c r="IB32" s="5">
        <v>7</v>
      </c>
      <c r="IC32" s="132" t="s">
        <v>5460</v>
      </c>
      <c r="ID32" s="132" t="s">
        <v>5942</v>
      </c>
      <c r="IE32" s="132" t="s">
        <v>5760</v>
      </c>
      <c r="IF32" s="132" t="s">
        <v>5761</v>
      </c>
      <c r="IG32" s="171">
        <v>43756</v>
      </c>
      <c r="IH32" s="171">
        <v>45583</v>
      </c>
      <c r="II32" s="6">
        <v>37</v>
      </c>
    </row>
    <row r="33" spans="1:243" ht="165.75">
      <c r="A33" s="5">
        <v>32</v>
      </c>
      <c r="B33" s="132" t="s">
        <v>5723</v>
      </c>
      <c r="C33" s="132" t="s">
        <v>5723</v>
      </c>
      <c r="D33" s="5" t="s">
        <v>5646</v>
      </c>
      <c r="E33" s="107" t="s">
        <v>5647</v>
      </c>
      <c r="F33" s="5" t="s">
        <v>5351</v>
      </c>
      <c r="G33" s="5">
        <v>105.937558</v>
      </c>
      <c r="H33" s="5">
        <v>21.021868000000001</v>
      </c>
      <c r="I33" s="5">
        <v>1</v>
      </c>
      <c r="J33" s="5">
        <v>2</v>
      </c>
      <c r="K33" s="5" t="s">
        <v>5762</v>
      </c>
      <c r="L33" s="5" t="s">
        <v>5943</v>
      </c>
      <c r="M33" s="5" t="s">
        <v>5764</v>
      </c>
      <c r="N33" s="5" t="s">
        <v>5765</v>
      </c>
      <c r="O33" s="5" t="s">
        <v>5766</v>
      </c>
      <c r="P33" s="5" t="s">
        <v>5767</v>
      </c>
      <c r="Q33" s="5" t="s">
        <v>5768</v>
      </c>
      <c r="R33" s="5" t="s">
        <v>5944</v>
      </c>
      <c r="S33" s="152" t="b">
        <v>1</v>
      </c>
      <c r="T33" s="5" t="s">
        <v>5648</v>
      </c>
      <c r="U33" s="5">
        <v>0</v>
      </c>
      <c r="V33" s="5" t="s">
        <v>5732</v>
      </c>
      <c r="W33" s="5" t="s">
        <v>5649</v>
      </c>
      <c r="X33" s="7" t="s">
        <v>5733</v>
      </c>
      <c r="Y33" s="5" t="b">
        <v>0</v>
      </c>
      <c r="Z33" s="152" t="b">
        <v>0</v>
      </c>
      <c r="AA33" s="5">
        <v>25</v>
      </c>
      <c r="AB33" s="152" t="b">
        <v>1</v>
      </c>
      <c r="AC33" s="5">
        <v>12</v>
      </c>
      <c r="AD33" s="5" t="b">
        <v>0</v>
      </c>
      <c r="AE33" s="5" t="s">
        <v>5734</v>
      </c>
      <c r="AF33" s="5" t="s">
        <v>5735</v>
      </c>
      <c r="AG33" s="132" t="s">
        <v>5736</v>
      </c>
      <c r="AH33" s="132" t="s">
        <v>5737</v>
      </c>
      <c r="AI33" s="132" t="s">
        <v>5479</v>
      </c>
      <c r="AJ33" s="132" t="s">
        <v>5738</v>
      </c>
      <c r="AK33" s="132" t="s">
        <v>5739</v>
      </c>
      <c r="AL33" s="6"/>
      <c r="AM33" s="6" t="s">
        <v>5740</v>
      </c>
      <c r="AN33" s="6" t="s">
        <v>5741</v>
      </c>
      <c r="AO33" s="5">
        <v>4</v>
      </c>
      <c r="AP33" s="85" t="s">
        <v>5742</v>
      </c>
      <c r="AQ33" s="233" t="s">
        <v>5945</v>
      </c>
      <c r="AR33" s="233" t="s">
        <v>5946</v>
      </c>
      <c r="AS33" s="234" t="s">
        <v>5350</v>
      </c>
      <c r="AT33" s="6" t="s">
        <v>5741</v>
      </c>
      <c r="AU33" s="6" t="s">
        <v>5741</v>
      </c>
      <c r="AV33" s="6" t="s">
        <v>5738</v>
      </c>
      <c r="AW33" s="6" t="s">
        <v>5738</v>
      </c>
      <c r="AX33" s="6" t="s">
        <v>5738</v>
      </c>
      <c r="AY33" s="6" t="s">
        <v>5738</v>
      </c>
      <c r="AZ33" s="6" t="s">
        <v>5723</v>
      </c>
      <c r="BA33" s="6" t="s">
        <v>5723</v>
      </c>
      <c r="BB33" s="6" t="s">
        <v>5738</v>
      </c>
      <c r="BC33" s="6" t="s">
        <v>5738</v>
      </c>
      <c r="BD33" s="6" t="s">
        <v>5738</v>
      </c>
      <c r="BE33" s="6" t="s">
        <v>5738</v>
      </c>
      <c r="BF33" s="6" t="s">
        <v>5771</v>
      </c>
      <c r="BG33" s="6" t="s">
        <v>5646</v>
      </c>
      <c r="BH33" s="6" t="s">
        <v>5646</v>
      </c>
      <c r="BI33" s="6" t="s">
        <v>5738</v>
      </c>
      <c r="BJ33" s="6" t="s">
        <v>5738</v>
      </c>
      <c r="BK33" s="6" t="s">
        <v>5738</v>
      </c>
      <c r="BL33" s="6" t="s">
        <v>5738</v>
      </c>
      <c r="BM33" s="6" t="s">
        <v>5747</v>
      </c>
      <c r="BN33" s="6" t="s">
        <v>5748</v>
      </c>
      <c r="BO33" s="6" t="s">
        <v>5738</v>
      </c>
      <c r="BP33" s="6" t="s">
        <v>5738</v>
      </c>
      <c r="BQ33" s="6" t="s">
        <v>5738</v>
      </c>
      <c r="BR33" s="6" t="s">
        <v>5738</v>
      </c>
      <c r="BS33" s="6">
        <v>3</v>
      </c>
      <c r="BT33" s="6">
        <v>3</v>
      </c>
      <c r="BU33" s="6">
        <v>0</v>
      </c>
      <c r="BV33" s="6">
        <v>0</v>
      </c>
      <c r="BW33" s="6">
        <v>0</v>
      </c>
      <c r="BX33" s="6">
        <v>0</v>
      </c>
      <c r="BY33" s="6" t="s">
        <v>5467</v>
      </c>
      <c r="BZ33" s="6">
        <v>2</v>
      </c>
      <c r="CA33" s="6">
        <v>2</v>
      </c>
      <c r="CB33" s="6">
        <v>2</v>
      </c>
      <c r="CC33" s="6">
        <v>0</v>
      </c>
      <c r="CD33" s="6">
        <v>0</v>
      </c>
      <c r="CE33" s="6">
        <v>0</v>
      </c>
      <c r="CF33" s="6" t="s">
        <v>5749</v>
      </c>
      <c r="CG33" s="6">
        <v>1</v>
      </c>
      <c r="CH33" s="6">
        <v>1</v>
      </c>
      <c r="CI33" s="6">
        <v>1</v>
      </c>
      <c r="CJ33" s="6">
        <v>0</v>
      </c>
      <c r="CK33" s="6">
        <v>0</v>
      </c>
      <c r="CL33" s="6">
        <v>0</v>
      </c>
      <c r="CM33" s="6" t="s">
        <v>5738</v>
      </c>
      <c r="CN33" s="6">
        <v>0</v>
      </c>
      <c r="CO33" s="6">
        <v>0</v>
      </c>
      <c r="CP33" s="6">
        <v>0</v>
      </c>
      <c r="CQ33" s="6">
        <v>0</v>
      </c>
      <c r="CR33" s="6">
        <v>0</v>
      </c>
      <c r="CS33" s="6">
        <v>0</v>
      </c>
      <c r="CT33" s="6" t="s">
        <v>5738</v>
      </c>
      <c r="CU33" s="6">
        <v>0</v>
      </c>
      <c r="CV33" s="6">
        <v>0</v>
      </c>
      <c r="CW33" s="6">
        <v>0</v>
      </c>
      <c r="CX33" s="6">
        <v>0</v>
      </c>
      <c r="CY33" s="6">
        <v>0</v>
      </c>
      <c r="CZ33" s="6">
        <v>0</v>
      </c>
      <c r="DA33" s="6" t="s">
        <v>5738</v>
      </c>
      <c r="DB33" s="6">
        <v>0</v>
      </c>
      <c r="DC33" s="6">
        <v>0</v>
      </c>
      <c r="DD33" s="6">
        <v>0</v>
      </c>
      <c r="DE33" s="6">
        <v>0</v>
      </c>
      <c r="DF33" s="6">
        <v>0</v>
      </c>
      <c r="DG33" s="6">
        <v>0</v>
      </c>
      <c r="DH33" s="6" t="s">
        <v>5738</v>
      </c>
      <c r="DI33" s="6">
        <v>0</v>
      </c>
      <c r="DJ33" s="6">
        <v>0</v>
      </c>
      <c r="DK33" s="6">
        <v>0</v>
      </c>
      <c r="DL33" s="6">
        <v>0</v>
      </c>
      <c r="DM33" s="6">
        <v>0</v>
      </c>
      <c r="DN33" s="6">
        <v>0</v>
      </c>
      <c r="DO33" s="6" t="s">
        <v>5752</v>
      </c>
      <c r="DP33" s="6">
        <v>60</v>
      </c>
      <c r="DQ33" s="6">
        <v>60</v>
      </c>
      <c r="DR33" s="6">
        <v>60</v>
      </c>
      <c r="DS33" s="6">
        <v>0</v>
      </c>
      <c r="DT33" s="6">
        <v>0</v>
      </c>
      <c r="DU33" s="6">
        <v>0</v>
      </c>
      <c r="DV33" s="6" t="s">
        <v>5753</v>
      </c>
      <c r="DW33" s="6">
        <v>60</v>
      </c>
      <c r="DX33" s="6" t="s">
        <v>5752</v>
      </c>
      <c r="DY33" s="6">
        <v>60</v>
      </c>
      <c r="DZ33" s="6">
        <v>60</v>
      </c>
      <c r="EA33" s="6">
        <v>60</v>
      </c>
      <c r="EB33" s="6">
        <v>0</v>
      </c>
      <c r="EC33" s="6">
        <v>0</v>
      </c>
      <c r="ED33" s="6">
        <v>0</v>
      </c>
      <c r="EE33" s="6" t="s">
        <v>5753</v>
      </c>
      <c r="EF33" s="6">
        <v>60</v>
      </c>
      <c r="EG33" s="6" t="s">
        <v>5738</v>
      </c>
      <c r="EH33" s="6">
        <v>0</v>
      </c>
      <c r="EI33" s="6">
        <v>0</v>
      </c>
      <c r="EJ33" s="6">
        <v>0</v>
      </c>
      <c r="EK33" s="6">
        <v>0</v>
      </c>
      <c r="EL33" s="6">
        <v>0</v>
      </c>
      <c r="EM33" s="6">
        <v>0</v>
      </c>
      <c r="EN33" s="6" t="s">
        <v>5738</v>
      </c>
      <c r="EO33" s="6">
        <v>0</v>
      </c>
      <c r="EP33" s="6" t="s">
        <v>5738</v>
      </c>
      <c r="EQ33" s="6">
        <v>0</v>
      </c>
      <c r="ER33" s="6">
        <v>0</v>
      </c>
      <c r="ES33" s="6">
        <v>0</v>
      </c>
      <c r="ET33" s="6">
        <v>0</v>
      </c>
      <c r="EU33" s="6">
        <v>0</v>
      </c>
      <c r="EV33" s="6">
        <v>0</v>
      </c>
      <c r="EW33" s="6" t="s">
        <v>5738</v>
      </c>
      <c r="EX33" s="6">
        <v>0</v>
      </c>
      <c r="EY33" s="6" t="s">
        <v>5738</v>
      </c>
      <c r="EZ33" s="6">
        <v>0</v>
      </c>
      <c r="FA33" s="6">
        <v>0</v>
      </c>
      <c r="FB33" s="6">
        <v>0</v>
      </c>
      <c r="FC33" s="6">
        <v>0</v>
      </c>
      <c r="FD33" s="6">
        <v>0</v>
      </c>
      <c r="FE33" s="6">
        <v>0</v>
      </c>
      <c r="FF33" s="6" t="s">
        <v>5738</v>
      </c>
      <c r="FG33" s="6">
        <v>0</v>
      </c>
      <c r="FH33" s="6" t="s">
        <v>5738</v>
      </c>
      <c r="FI33" s="6">
        <v>0</v>
      </c>
      <c r="FJ33" s="6">
        <v>0</v>
      </c>
      <c r="FK33" s="6">
        <v>0</v>
      </c>
      <c r="FL33" s="6">
        <v>0</v>
      </c>
      <c r="FM33" s="6">
        <v>0</v>
      </c>
      <c r="FN33" s="6">
        <v>0</v>
      </c>
      <c r="FO33" s="6" t="s">
        <v>5738</v>
      </c>
      <c r="FP33" s="6">
        <v>0</v>
      </c>
      <c r="FQ33" s="6">
        <v>60</v>
      </c>
      <c r="FR33" s="6" t="s">
        <v>5754</v>
      </c>
      <c r="FS33" s="6" t="s">
        <v>5755</v>
      </c>
      <c r="FT33" s="6" t="s">
        <v>5738</v>
      </c>
      <c r="FU33" s="6" t="s">
        <v>5738</v>
      </c>
      <c r="FV33" s="6" t="s">
        <v>5738</v>
      </c>
      <c r="FW33" s="6" t="s">
        <v>5738</v>
      </c>
      <c r="FX33" s="6" t="s">
        <v>5947</v>
      </c>
      <c r="FY33" s="6">
        <v>25</v>
      </c>
      <c r="FZ33" s="6">
        <v>25</v>
      </c>
      <c r="GA33" s="6">
        <v>25</v>
      </c>
      <c r="GB33" s="6">
        <v>0</v>
      </c>
      <c r="GC33" s="6">
        <v>0</v>
      </c>
      <c r="GD33" s="6">
        <v>0</v>
      </c>
      <c r="GE33" s="6" t="s">
        <v>5948</v>
      </c>
      <c r="GF33" s="6" t="s">
        <v>5947</v>
      </c>
      <c r="GG33" s="6">
        <v>25</v>
      </c>
      <c r="GH33" s="6">
        <v>25</v>
      </c>
      <c r="GI33" s="6">
        <v>25</v>
      </c>
      <c r="GJ33" s="6">
        <v>0</v>
      </c>
      <c r="GK33" s="6">
        <v>0</v>
      </c>
      <c r="GL33" s="6">
        <v>0</v>
      </c>
      <c r="GM33" s="6" t="s">
        <v>5948</v>
      </c>
      <c r="GN33" s="6" t="s">
        <v>5738</v>
      </c>
      <c r="GO33" s="6">
        <v>0</v>
      </c>
      <c r="GP33" s="6">
        <v>0</v>
      </c>
      <c r="GQ33" s="6">
        <v>0</v>
      </c>
      <c r="GR33" s="6">
        <v>0</v>
      </c>
      <c r="GS33" s="6">
        <v>0</v>
      </c>
      <c r="GT33" s="6">
        <v>0</v>
      </c>
      <c r="GU33" s="6" t="s">
        <v>5738</v>
      </c>
      <c r="GV33" s="6" t="s">
        <v>5738</v>
      </c>
      <c r="GW33" s="6">
        <v>0</v>
      </c>
      <c r="GX33" s="6">
        <v>0</v>
      </c>
      <c r="GY33" s="6">
        <v>0</v>
      </c>
      <c r="GZ33" s="6">
        <v>0</v>
      </c>
      <c r="HA33" s="6">
        <v>0</v>
      </c>
      <c r="HB33" s="6">
        <v>0</v>
      </c>
      <c r="HC33" s="6" t="s">
        <v>5738</v>
      </c>
      <c r="HD33" s="6" t="s">
        <v>5738</v>
      </c>
      <c r="HE33" s="6">
        <v>0</v>
      </c>
      <c r="HF33" s="6">
        <v>0</v>
      </c>
      <c r="HG33" s="6">
        <v>0</v>
      </c>
      <c r="HH33" s="6">
        <v>0</v>
      </c>
      <c r="HI33" s="6">
        <v>0</v>
      </c>
      <c r="HJ33" s="6">
        <v>0</v>
      </c>
      <c r="HK33" s="6" t="s">
        <v>5738</v>
      </c>
      <c r="HL33" s="6" t="s">
        <v>5738</v>
      </c>
      <c r="HM33" s="6">
        <v>0</v>
      </c>
      <c r="HN33" s="6">
        <v>0</v>
      </c>
      <c r="HO33" s="6">
        <v>0</v>
      </c>
      <c r="HP33" s="6">
        <v>0</v>
      </c>
      <c r="HQ33" s="6">
        <v>0</v>
      </c>
      <c r="HR33" s="6">
        <v>0</v>
      </c>
      <c r="HS33" s="6" t="s">
        <v>5738</v>
      </c>
      <c r="HT33" s="6" t="s">
        <v>5758</v>
      </c>
      <c r="HU33" s="6">
        <v>25</v>
      </c>
      <c r="HV33" s="6">
        <v>25</v>
      </c>
      <c r="HW33" s="6">
        <v>0</v>
      </c>
      <c r="HX33" s="6">
        <v>0</v>
      </c>
      <c r="HY33" s="6">
        <v>0</v>
      </c>
      <c r="HZ33" s="6">
        <v>0</v>
      </c>
      <c r="IA33" s="5">
        <v>25</v>
      </c>
      <c r="IB33" s="5">
        <v>13</v>
      </c>
      <c r="IC33" s="132" t="s">
        <v>5460</v>
      </c>
      <c r="ID33" s="132" t="s">
        <v>5949</v>
      </c>
      <c r="IE33" s="132" t="s">
        <v>5760</v>
      </c>
      <c r="IF33" s="132" t="s">
        <v>5761</v>
      </c>
      <c r="IG33" s="171">
        <v>43756</v>
      </c>
      <c r="IH33" s="171">
        <v>45583</v>
      </c>
      <c r="II33" s="6">
        <v>37</v>
      </c>
    </row>
    <row r="34" spans="1:243" ht="165.75">
      <c r="A34" s="5">
        <v>33</v>
      </c>
      <c r="B34" s="132" t="s">
        <v>5723</v>
      </c>
      <c r="C34" s="132" t="s">
        <v>5723</v>
      </c>
      <c r="D34" s="5" t="s">
        <v>5650</v>
      </c>
      <c r="E34" s="107" t="s">
        <v>5651</v>
      </c>
      <c r="F34" s="5" t="s">
        <v>5351</v>
      </c>
      <c r="G34" s="5">
        <v>105.916195</v>
      </c>
      <c r="H34" s="5">
        <v>21.057921</v>
      </c>
      <c r="I34" s="5">
        <v>1</v>
      </c>
      <c r="J34" s="5">
        <v>2</v>
      </c>
      <c r="K34" s="5" t="s">
        <v>5762</v>
      </c>
      <c r="L34" s="5" t="s">
        <v>5950</v>
      </c>
      <c r="M34" s="5" t="s">
        <v>5764</v>
      </c>
      <c r="N34" s="5" t="s">
        <v>5765</v>
      </c>
      <c r="O34" s="5" t="s">
        <v>5766</v>
      </c>
      <c r="P34" s="5" t="s">
        <v>5767</v>
      </c>
      <c r="Q34" s="5" t="s">
        <v>5768</v>
      </c>
      <c r="R34" s="5" t="s">
        <v>5776</v>
      </c>
      <c r="S34" s="152" t="b">
        <v>1</v>
      </c>
      <c r="T34" s="5" t="s">
        <v>5652</v>
      </c>
      <c r="U34" s="5">
        <v>0</v>
      </c>
      <c r="V34" s="5" t="s">
        <v>5732</v>
      </c>
      <c r="W34" s="5" t="s">
        <v>5653</v>
      </c>
      <c r="X34" s="7" t="s">
        <v>5733</v>
      </c>
      <c r="Y34" s="5" t="b">
        <v>0</v>
      </c>
      <c r="Z34" s="152" t="b">
        <v>0</v>
      </c>
      <c r="AA34" s="5">
        <v>16.5</v>
      </c>
      <c r="AB34" s="152" t="b">
        <v>1</v>
      </c>
      <c r="AC34" s="5">
        <v>12</v>
      </c>
      <c r="AD34" s="5" t="b">
        <v>0</v>
      </c>
      <c r="AE34" s="5" t="s">
        <v>5734</v>
      </c>
      <c r="AF34" s="5" t="s">
        <v>5735</v>
      </c>
      <c r="AG34" s="132" t="s">
        <v>5736</v>
      </c>
      <c r="AH34" s="132" t="s">
        <v>5737</v>
      </c>
      <c r="AI34" s="132" t="s">
        <v>5479</v>
      </c>
      <c r="AJ34" s="132" t="s">
        <v>5738</v>
      </c>
      <c r="AK34" s="132" t="s">
        <v>5739</v>
      </c>
      <c r="AL34" s="6"/>
      <c r="AM34" s="6" t="s">
        <v>5740</v>
      </c>
      <c r="AN34" s="6" t="s">
        <v>5741</v>
      </c>
      <c r="AO34" s="5">
        <v>4</v>
      </c>
      <c r="AP34" s="85" t="s">
        <v>5742</v>
      </c>
      <c r="AQ34" s="233" t="s">
        <v>5937</v>
      </c>
      <c r="AR34" s="233" t="s">
        <v>5951</v>
      </c>
      <c r="AS34" s="234" t="s">
        <v>5350</v>
      </c>
      <c r="AT34" s="6" t="s">
        <v>5741</v>
      </c>
      <c r="AU34" s="6" t="s">
        <v>5741</v>
      </c>
      <c r="AV34" s="6" t="s">
        <v>5738</v>
      </c>
      <c r="AW34" s="6" t="s">
        <v>5738</v>
      </c>
      <c r="AX34" s="6" t="s">
        <v>5738</v>
      </c>
      <c r="AY34" s="6" t="s">
        <v>5738</v>
      </c>
      <c r="AZ34" s="6" t="s">
        <v>5723</v>
      </c>
      <c r="BA34" s="6" t="s">
        <v>5723</v>
      </c>
      <c r="BB34" s="6" t="s">
        <v>5738</v>
      </c>
      <c r="BC34" s="6" t="s">
        <v>5738</v>
      </c>
      <c r="BD34" s="6" t="s">
        <v>5738</v>
      </c>
      <c r="BE34" s="6" t="s">
        <v>5738</v>
      </c>
      <c r="BF34" s="6" t="s">
        <v>5771</v>
      </c>
      <c r="BG34" s="6" t="s">
        <v>5650</v>
      </c>
      <c r="BH34" s="6" t="s">
        <v>5650</v>
      </c>
      <c r="BI34" s="6" t="s">
        <v>5738</v>
      </c>
      <c r="BJ34" s="6" t="s">
        <v>5738</v>
      </c>
      <c r="BK34" s="6" t="s">
        <v>5738</v>
      </c>
      <c r="BL34" s="6" t="s">
        <v>5738</v>
      </c>
      <c r="BM34" s="6" t="s">
        <v>5747</v>
      </c>
      <c r="BN34" s="6" t="s">
        <v>5748</v>
      </c>
      <c r="BO34" s="6" t="s">
        <v>5738</v>
      </c>
      <c r="BP34" s="6" t="s">
        <v>5738</v>
      </c>
      <c r="BQ34" s="6" t="s">
        <v>5738</v>
      </c>
      <c r="BR34" s="6" t="s">
        <v>5738</v>
      </c>
      <c r="BS34" s="6">
        <v>3</v>
      </c>
      <c r="BT34" s="6">
        <v>3</v>
      </c>
      <c r="BU34" s="6">
        <v>0</v>
      </c>
      <c r="BV34" s="6">
        <v>0</v>
      </c>
      <c r="BW34" s="6">
        <v>0</v>
      </c>
      <c r="BX34" s="6">
        <v>0</v>
      </c>
      <c r="BY34" s="6" t="s">
        <v>5467</v>
      </c>
      <c r="BZ34" s="6">
        <v>2</v>
      </c>
      <c r="CA34" s="6">
        <v>2</v>
      </c>
      <c r="CB34" s="6">
        <v>2</v>
      </c>
      <c r="CC34" s="6">
        <v>0</v>
      </c>
      <c r="CD34" s="6">
        <v>0</v>
      </c>
      <c r="CE34" s="6">
        <v>0</v>
      </c>
      <c r="CF34" s="6" t="s">
        <v>5749</v>
      </c>
      <c r="CG34" s="6">
        <v>1</v>
      </c>
      <c r="CH34" s="6">
        <v>1</v>
      </c>
      <c r="CI34" s="6">
        <v>1</v>
      </c>
      <c r="CJ34" s="6">
        <v>0</v>
      </c>
      <c r="CK34" s="6">
        <v>0</v>
      </c>
      <c r="CL34" s="6">
        <v>0</v>
      </c>
      <c r="CM34" s="6" t="s">
        <v>5738</v>
      </c>
      <c r="CN34" s="6">
        <v>0</v>
      </c>
      <c r="CO34" s="6">
        <v>0</v>
      </c>
      <c r="CP34" s="6">
        <v>0</v>
      </c>
      <c r="CQ34" s="6">
        <v>0</v>
      </c>
      <c r="CR34" s="6">
        <v>0</v>
      </c>
      <c r="CS34" s="6">
        <v>0</v>
      </c>
      <c r="CT34" s="6" t="s">
        <v>5738</v>
      </c>
      <c r="CU34" s="6">
        <v>0</v>
      </c>
      <c r="CV34" s="6">
        <v>0</v>
      </c>
      <c r="CW34" s="6">
        <v>0</v>
      </c>
      <c r="CX34" s="6">
        <v>0</v>
      </c>
      <c r="CY34" s="6">
        <v>0</v>
      </c>
      <c r="CZ34" s="6">
        <v>0</v>
      </c>
      <c r="DA34" s="6" t="s">
        <v>5738</v>
      </c>
      <c r="DB34" s="6">
        <v>0</v>
      </c>
      <c r="DC34" s="6">
        <v>0</v>
      </c>
      <c r="DD34" s="6">
        <v>0</v>
      </c>
      <c r="DE34" s="6">
        <v>0</v>
      </c>
      <c r="DF34" s="6">
        <v>0</v>
      </c>
      <c r="DG34" s="6">
        <v>0</v>
      </c>
      <c r="DH34" s="6" t="s">
        <v>5738</v>
      </c>
      <c r="DI34" s="6">
        <v>0</v>
      </c>
      <c r="DJ34" s="6">
        <v>0</v>
      </c>
      <c r="DK34" s="6">
        <v>0</v>
      </c>
      <c r="DL34" s="6">
        <v>0</v>
      </c>
      <c r="DM34" s="6">
        <v>0</v>
      </c>
      <c r="DN34" s="6">
        <v>0</v>
      </c>
      <c r="DO34" s="6" t="s">
        <v>5752</v>
      </c>
      <c r="DP34" s="6">
        <v>60</v>
      </c>
      <c r="DQ34" s="6">
        <v>60</v>
      </c>
      <c r="DR34" s="6">
        <v>60</v>
      </c>
      <c r="DS34" s="6">
        <v>0</v>
      </c>
      <c r="DT34" s="6">
        <v>0</v>
      </c>
      <c r="DU34" s="6">
        <v>0</v>
      </c>
      <c r="DV34" s="6" t="s">
        <v>5753</v>
      </c>
      <c r="DW34" s="6">
        <v>60</v>
      </c>
      <c r="DX34" s="6" t="s">
        <v>5752</v>
      </c>
      <c r="DY34" s="6">
        <v>60</v>
      </c>
      <c r="DZ34" s="6">
        <v>60</v>
      </c>
      <c r="EA34" s="6">
        <v>60</v>
      </c>
      <c r="EB34" s="6">
        <v>0</v>
      </c>
      <c r="EC34" s="6">
        <v>0</v>
      </c>
      <c r="ED34" s="6">
        <v>0</v>
      </c>
      <c r="EE34" s="6" t="s">
        <v>5753</v>
      </c>
      <c r="EF34" s="6">
        <v>60</v>
      </c>
      <c r="EG34" s="6" t="s">
        <v>5738</v>
      </c>
      <c r="EH34" s="6">
        <v>0</v>
      </c>
      <c r="EI34" s="6">
        <v>0</v>
      </c>
      <c r="EJ34" s="6">
        <v>0</v>
      </c>
      <c r="EK34" s="6">
        <v>0</v>
      </c>
      <c r="EL34" s="6">
        <v>0</v>
      </c>
      <c r="EM34" s="6">
        <v>0</v>
      </c>
      <c r="EN34" s="6" t="s">
        <v>5738</v>
      </c>
      <c r="EO34" s="6">
        <v>0</v>
      </c>
      <c r="EP34" s="6" t="s">
        <v>5738</v>
      </c>
      <c r="EQ34" s="6">
        <v>0</v>
      </c>
      <c r="ER34" s="6">
        <v>0</v>
      </c>
      <c r="ES34" s="6">
        <v>0</v>
      </c>
      <c r="ET34" s="6">
        <v>0</v>
      </c>
      <c r="EU34" s="6">
        <v>0</v>
      </c>
      <c r="EV34" s="6">
        <v>0</v>
      </c>
      <c r="EW34" s="6" t="s">
        <v>5738</v>
      </c>
      <c r="EX34" s="6">
        <v>0</v>
      </c>
      <c r="EY34" s="6" t="s">
        <v>5738</v>
      </c>
      <c r="EZ34" s="6">
        <v>0</v>
      </c>
      <c r="FA34" s="6">
        <v>0</v>
      </c>
      <c r="FB34" s="6">
        <v>0</v>
      </c>
      <c r="FC34" s="6">
        <v>0</v>
      </c>
      <c r="FD34" s="6">
        <v>0</v>
      </c>
      <c r="FE34" s="6">
        <v>0</v>
      </c>
      <c r="FF34" s="6" t="s">
        <v>5738</v>
      </c>
      <c r="FG34" s="6">
        <v>0</v>
      </c>
      <c r="FH34" s="6" t="s">
        <v>5738</v>
      </c>
      <c r="FI34" s="6">
        <v>0</v>
      </c>
      <c r="FJ34" s="6">
        <v>0</v>
      </c>
      <c r="FK34" s="6">
        <v>0</v>
      </c>
      <c r="FL34" s="6">
        <v>0</v>
      </c>
      <c r="FM34" s="6">
        <v>0</v>
      </c>
      <c r="FN34" s="6">
        <v>0</v>
      </c>
      <c r="FO34" s="6" t="s">
        <v>5738</v>
      </c>
      <c r="FP34" s="6">
        <v>0</v>
      </c>
      <c r="FQ34" s="6">
        <v>60</v>
      </c>
      <c r="FR34" s="6" t="s">
        <v>5754</v>
      </c>
      <c r="FS34" s="6" t="s">
        <v>5755</v>
      </c>
      <c r="FT34" s="6" t="s">
        <v>5738</v>
      </c>
      <c r="FU34" s="6" t="s">
        <v>5738</v>
      </c>
      <c r="FV34" s="6" t="s">
        <v>5738</v>
      </c>
      <c r="FW34" s="6" t="s">
        <v>5738</v>
      </c>
      <c r="FX34" s="6" t="s">
        <v>5777</v>
      </c>
      <c r="FY34" s="6">
        <v>16.5</v>
      </c>
      <c r="FZ34" s="6">
        <v>16.5</v>
      </c>
      <c r="GA34" s="6">
        <v>16.5</v>
      </c>
      <c r="GB34" s="6">
        <v>0</v>
      </c>
      <c r="GC34" s="6">
        <v>0</v>
      </c>
      <c r="GD34" s="6">
        <v>0</v>
      </c>
      <c r="GE34" s="6" t="s">
        <v>5778</v>
      </c>
      <c r="GF34" s="6" t="s">
        <v>5777</v>
      </c>
      <c r="GG34" s="6">
        <v>16.5</v>
      </c>
      <c r="GH34" s="6">
        <v>16.5</v>
      </c>
      <c r="GI34" s="6">
        <v>16.5</v>
      </c>
      <c r="GJ34" s="6">
        <v>0</v>
      </c>
      <c r="GK34" s="6">
        <v>0</v>
      </c>
      <c r="GL34" s="6">
        <v>0</v>
      </c>
      <c r="GM34" s="6" t="s">
        <v>5778</v>
      </c>
      <c r="GN34" s="6" t="s">
        <v>5738</v>
      </c>
      <c r="GO34" s="6">
        <v>0</v>
      </c>
      <c r="GP34" s="6">
        <v>0</v>
      </c>
      <c r="GQ34" s="6">
        <v>0</v>
      </c>
      <c r="GR34" s="6">
        <v>0</v>
      </c>
      <c r="GS34" s="6">
        <v>0</v>
      </c>
      <c r="GT34" s="6">
        <v>0</v>
      </c>
      <c r="GU34" s="6" t="s">
        <v>5738</v>
      </c>
      <c r="GV34" s="6" t="s">
        <v>5738</v>
      </c>
      <c r="GW34" s="6">
        <v>0</v>
      </c>
      <c r="GX34" s="6">
        <v>0</v>
      </c>
      <c r="GY34" s="6">
        <v>0</v>
      </c>
      <c r="GZ34" s="6">
        <v>0</v>
      </c>
      <c r="HA34" s="6">
        <v>0</v>
      </c>
      <c r="HB34" s="6">
        <v>0</v>
      </c>
      <c r="HC34" s="6" t="s">
        <v>5738</v>
      </c>
      <c r="HD34" s="6" t="s">
        <v>5738</v>
      </c>
      <c r="HE34" s="6">
        <v>0</v>
      </c>
      <c r="HF34" s="6">
        <v>0</v>
      </c>
      <c r="HG34" s="6">
        <v>0</v>
      </c>
      <c r="HH34" s="6">
        <v>0</v>
      </c>
      <c r="HI34" s="6">
        <v>0</v>
      </c>
      <c r="HJ34" s="6">
        <v>0</v>
      </c>
      <c r="HK34" s="6" t="s">
        <v>5738</v>
      </c>
      <c r="HL34" s="6" t="s">
        <v>5738</v>
      </c>
      <c r="HM34" s="6">
        <v>0</v>
      </c>
      <c r="HN34" s="6">
        <v>0</v>
      </c>
      <c r="HO34" s="6">
        <v>0</v>
      </c>
      <c r="HP34" s="6">
        <v>0</v>
      </c>
      <c r="HQ34" s="6">
        <v>0</v>
      </c>
      <c r="HR34" s="6">
        <v>0</v>
      </c>
      <c r="HS34" s="6" t="s">
        <v>5738</v>
      </c>
      <c r="HT34" s="6" t="s">
        <v>5758</v>
      </c>
      <c r="HU34" s="6">
        <v>16.5</v>
      </c>
      <c r="HV34" s="6">
        <v>16.5</v>
      </c>
      <c r="HW34" s="6">
        <v>0</v>
      </c>
      <c r="HX34" s="6">
        <v>0</v>
      </c>
      <c r="HY34" s="6">
        <v>0</v>
      </c>
      <c r="HZ34" s="6">
        <v>0</v>
      </c>
      <c r="IA34" s="5">
        <v>16.5</v>
      </c>
      <c r="IB34" s="5">
        <v>4.5</v>
      </c>
      <c r="IC34" s="132" t="s">
        <v>5460</v>
      </c>
      <c r="ID34" s="132" t="s">
        <v>5952</v>
      </c>
      <c r="IE34" s="132" t="s">
        <v>5760</v>
      </c>
      <c r="IF34" s="132" t="s">
        <v>5761</v>
      </c>
      <c r="IG34" s="171">
        <v>43756</v>
      </c>
      <c r="IH34" s="171">
        <v>45583</v>
      </c>
      <c r="II34" s="6">
        <v>37</v>
      </c>
    </row>
    <row r="35" spans="1:243" ht="165.75">
      <c r="A35" s="5">
        <v>34</v>
      </c>
      <c r="B35" s="132" t="s">
        <v>5723</v>
      </c>
      <c r="C35" s="132" t="s">
        <v>5723</v>
      </c>
      <c r="D35" s="5" t="s">
        <v>5654</v>
      </c>
      <c r="E35" s="107" t="s">
        <v>5655</v>
      </c>
      <c r="F35" s="5" t="s">
        <v>5351</v>
      </c>
      <c r="G35" s="5">
        <v>105.776841</v>
      </c>
      <c r="H35" s="5">
        <v>21.110002000000001</v>
      </c>
      <c r="I35" s="5">
        <v>1</v>
      </c>
      <c r="J35" s="5">
        <v>2</v>
      </c>
      <c r="K35" s="5" t="s">
        <v>5762</v>
      </c>
      <c r="L35" s="5" t="s">
        <v>5953</v>
      </c>
      <c r="M35" s="5" t="s">
        <v>5764</v>
      </c>
      <c r="N35" s="5" t="s">
        <v>5765</v>
      </c>
      <c r="O35" s="5" t="s">
        <v>5766</v>
      </c>
      <c r="P35" s="5" t="s">
        <v>5767</v>
      </c>
      <c r="Q35" s="5" t="s">
        <v>5768</v>
      </c>
      <c r="R35" s="5" t="s">
        <v>5944</v>
      </c>
      <c r="S35" s="152" t="b">
        <v>1</v>
      </c>
      <c r="T35" s="5" t="s">
        <v>5656</v>
      </c>
      <c r="U35" s="5">
        <v>0</v>
      </c>
      <c r="V35" s="5" t="s">
        <v>5732</v>
      </c>
      <c r="W35" s="5" t="s">
        <v>5657</v>
      </c>
      <c r="X35" s="7" t="s">
        <v>5733</v>
      </c>
      <c r="Y35" s="5" t="b">
        <v>0</v>
      </c>
      <c r="Z35" s="152" t="b">
        <v>0</v>
      </c>
      <c r="AA35" s="5">
        <v>25</v>
      </c>
      <c r="AB35" s="152" t="b">
        <v>1</v>
      </c>
      <c r="AC35" s="5">
        <v>12</v>
      </c>
      <c r="AD35" s="5" t="b">
        <v>0</v>
      </c>
      <c r="AE35" s="5" t="s">
        <v>5734</v>
      </c>
      <c r="AF35" s="5" t="s">
        <v>5735</v>
      </c>
      <c r="AG35" s="132" t="s">
        <v>5736</v>
      </c>
      <c r="AH35" s="132" t="s">
        <v>5737</v>
      </c>
      <c r="AI35" s="132" t="s">
        <v>5479</v>
      </c>
      <c r="AJ35" s="132" t="s">
        <v>5738</v>
      </c>
      <c r="AK35" s="132" t="s">
        <v>5739</v>
      </c>
      <c r="AL35" s="6"/>
      <c r="AM35" s="6" t="s">
        <v>5740</v>
      </c>
      <c r="AN35" s="6" t="s">
        <v>5741</v>
      </c>
      <c r="AO35" s="5">
        <v>3</v>
      </c>
      <c r="AP35" s="85" t="s">
        <v>5742</v>
      </c>
      <c r="AQ35" s="233" t="s">
        <v>5954</v>
      </c>
      <c r="AR35" s="233" t="s">
        <v>5955</v>
      </c>
      <c r="AS35" s="234" t="s">
        <v>5350</v>
      </c>
      <c r="AT35" s="6" t="s">
        <v>5741</v>
      </c>
      <c r="AU35" s="6" t="s">
        <v>5741</v>
      </c>
      <c r="AV35" s="6" t="s">
        <v>5738</v>
      </c>
      <c r="AW35" s="6" t="s">
        <v>5738</v>
      </c>
      <c r="AX35" s="6" t="s">
        <v>5738</v>
      </c>
      <c r="AY35" s="6" t="s">
        <v>5738</v>
      </c>
      <c r="AZ35" s="6" t="s">
        <v>5723</v>
      </c>
      <c r="BA35" s="6" t="s">
        <v>5723</v>
      </c>
      <c r="BB35" s="6" t="s">
        <v>5738</v>
      </c>
      <c r="BC35" s="6" t="s">
        <v>5738</v>
      </c>
      <c r="BD35" s="6" t="s">
        <v>5738</v>
      </c>
      <c r="BE35" s="6" t="s">
        <v>5738</v>
      </c>
      <c r="BF35" s="6" t="s">
        <v>5771</v>
      </c>
      <c r="BG35" s="6" t="s">
        <v>5654</v>
      </c>
      <c r="BH35" s="6" t="s">
        <v>5654</v>
      </c>
      <c r="BI35" s="6" t="s">
        <v>5738</v>
      </c>
      <c r="BJ35" s="6" t="s">
        <v>5738</v>
      </c>
      <c r="BK35" s="6" t="s">
        <v>5738</v>
      </c>
      <c r="BL35" s="6" t="s">
        <v>5738</v>
      </c>
      <c r="BM35" s="6" t="s">
        <v>5747</v>
      </c>
      <c r="BN35" s="6" t="s">
        <v>5748</v>
      </c>
      <c r="BO35" s="6" t="s">
        <v>5738</v>
      </c>
      <c r="BP35" s="6" t="s">
        <v>5738</v>
      </c>
      <c r="BQ35" s="6" t="s">
        <v>5738</v>
      </c>
      <c r="BR35" s="6" t="s">
        <v>5738</v>
      </c>
      <c r="BS35" s="6">
        <v>3</v>
      </c>
      <c r="BT35" s="6">
        <v>3</v>
      </c>
      <c r="BU35" s="6">
        <v>0</v>
      </c>
      <c r="BV35" s="6">
        <v>0</v>
      </c>
      <c r="BW35" s="6">
        <v>0</v>
      </c>
      <c r="BX35" s="6">
        <v>0</v>
      </c>
      <c r="BY35" s="6" t="s">
        <v>5467</v>
      </c>
      <c r="BZ35" s="6">
        <v>2</v>
      </c>
      <c r="CA35" s="6">
        <v>2</v>
      </c>
      <c r="CB35" s="6">
        <v>2</v>
      </c>
      <c r="CC35" s="6">
        <v>0</v>
      </c>
      <c r="CD35" s="6">
        <v>0</v>
      </c>
      <c r="CE35" s="6">
        <v>0</v>
      </c>
      <c r="CF35" s="6" t="s">
        <v>5749</v>
      </c>
      <c r="CG35" s="6">
        <v>1</v>
      </c>
      <c r="CH35" s="6">
        <v>1</v>
      </c>
      <c r="CI35" s="6">
        <v>1</v>
      </c>
      <c r="CJ35" s="6">
        <v>0</v>
      </c>
      <c r="CK35" s="6">
        <v>0</v>
      </c>
      <c r="CL35" s="6">
        <v>0</v>
      </c>
      <c r="CM35" s="6" t="s">
        <v>5738</v>
      </c>
      <c r="CN35" s="6">
        <v>0</v>
      </c>
      <c r="CO35" s="6">
        <v>0</v>
      </c>
      <c r="CP35" s="6">
        <v>0</v>
      </c>
      <c r="CQ35" s="6">
        <v>0</v>
      </c>
      <c r="CR35" s="6">
        <v>0</v>
      </c>
      <c r="CS35" s="6">
        <v>0</v>
      </c>
      <c r="CT35" s="6" t="s">
        <v>5738</v>
      </c>
      <c r="CU35" s="6">
        <v>0</v>
      </c>
      <c r="CV35" s="6">
        <v>0</v>
      </c>
      <c r="CW35" s="6">
        <v>0</v>
      </c>
      <c r="CX35" s="6">
        <v>0</v>
      </c>
      <c r="CY35" s="6">
        <v>0</v>
      </c>
      <c r="CZ35" s="6">
        <v>0</v>
      </c>
      <c r="DA35" s="6" t="s">
        <v>5738</v>
      </c>
      <c r="DB35" s="6">
        <v>0</v>
      </c>
      <c r="DC35" s="6">
        <v>0</v>
      </c>
      <c r="DD35" s="6">
        <v>0</v>
      </c>
      <c r="DE35" s="6">
        <v>0</v>
      </c>
      <c r="DF35" s="6">
        <v>0</v>
      </c>
      <c r="DG35" s="6">
        <v>0</v>
      </c>
      <c r="DH35" s="6" t="s">
        <v>5738</v>
      </c>
      <c r="DI35" s="6">
        <v>0</v>
      </c>
      <c r="DJ35" s="6">
        <v>0</v>
      </c>
      <c r="DK35" s="6">
        <v>0</v>
      </c>
      <c r="DL35" s="6">
        <v>0</v>
      </c>
      <c r="DM35" s="6">
        <v>0</v>
      </c>
      <c r="DN35" s="6">
        <v>0</v>
      </c>
      <c r="DO35" s="6" t="s">
        <v>5752</v>
      </c>
      <c r="DP35" s="6">
        <v>60</v>
      </c>
      <c r="DQ35" s="6">
        <v>60</v>
      </c>
      <c r="DR35" s="6">
        <v>60</v>
      </c>
      <c r="DS35" s="6">
        <v>0</v>
      </c>
      <c r="DT35" s="6">
        <v>0</v>
      </c>
      <c r="DU35" s="6">
        <v>0</v>
      </c>
      <c r="DV35" s="6" t="s">
        <v>5753</v>
      </c>
      <c r="DW35" s="6">
        <v>60</v>
      </c>
      <c r="DX35" s="6" t="s">
        <v>5752</v>
      </c>
      <c r="DY35" s="6">
        <v>60</v>
      </c>
      <c r="DZ35" s="6">
        <v>60</v>
      </c>
      <c r="EA35" s="6">
        <v>60</v>
      </c>
      <c r="EB35" s="6">
        <v>0</v>
      </c>
      <c r="EC35" s="6">
        <v>0</v>
      </c>
      <c r="ED35" s="6">
        <v>0</v>
      </c>
      <c r="EE35" s="6" t="s">
        <v>5753</v>
      </c>
      <c r="EF35" s="6">
        <v>60</v>
      </c>
      <c r="EG35" s="6" t="s">
        <v>5738</v>
      </c>
      <c r="EH35" s="6">
        <v>0</v>
      </c>
      <c r="EI35" s="6">
        <v>0</v>
      </c>
      <c r="EJ35" s="6">
        <v>0</v>
      </c>
      <c r="EK35" s="6">
        <v>0</v>
      </c>
      <c r="EL35" s="6">
        <v>0</v>
      </c>
      <c r="EM35" s="6">
        <v>0</v>
      </c>
      <c r="EN35" s="6" t="s">
        <v>5738</v>
      </c>
      <c r="EO35" s="6">
        <v>0</v>
      </c>
      <c r="EP35" s="6" t="s">
        <v>5738</v>
      </c>
      <c r="EQ35" s="6">
        <v>0</v>
      </c>
      <c r="ER35" s="6">
        <v>0</v>
      </c>
      <c r="ES35" s="6">
        <v>0</v>
      </c>
      <c r="ET35" s="6">
        <v>0</v>
      </c>
      <c r="EU35" s="6">
        <v>0</v>
      </c>
      <c r="EV35" s="6">
        <v>0</v>
      </c>
      <c r="EW35" s="6" t="s">
        <v>5738</v>
      </c>
      <c r="EX35" s="6">
        <v>0</v>
      </c>
      <c r="EY35" s="6" t="s">
        <v>5738</v>
      </c>
      <c r="EZ35" s="6">
        <v>0</v>
      </c>
      <c r="FA35" s="6">
        <v>0</v>
      </c>
      <c r="FB35" s="6">
        <v>0</v>
      </c>
      <c r="FC35" s="6">
        <v>0</v>
      </c>
      <c r="FD35" s="6">
        <v>0</v>
      </c>
      <c r="FE35" s="6">
        <v>0</v>
      </c>
      <c r="FF35" s="6" t="s">
        <v>5738</v>
      </c>
      <c r="FG35" s="6">
        <v>0</v>
      </c>
      <c r="FH35" s="6" t="s">
        <v>5738</v>
      </c>
      <c r="FI35" s="6">
        <v>0</v>
      </c>
      <c r="FJ35" s="6">
        <v>0</v>
      </c>
      <c r="FK35" s="6">
        <v>0</v>
      </c>
      <c r="FL35" s="6">
        <v>0</v>
      </c>
      <c r="FM35" s="6">
        <v>0</v>
      </c>
      <c r="FN35" s="6">
        <v>0</v>
      </c>
      <c r="FO35" s="6" t="s">
        <v>5738</v>
      </c>
      <c r="FP35" s="6">
        <v>0</v>
      </c>
      <c r="FQ35" s="6">
        <v>60</v>
      </c>
      <c r="FR35" s="6" t="s">
        <v>5754</v>
      </c>
      <c r="FS35" s="6" t="s">
        <v>5755</v>
      </c>
      <c r="FT35" s="6" t="s">
        <v>5738</v>
      </c>
      <c r="FU35" s="6" t="s">
        <v>5738</v>
      </c>
      <c r="FV35" s="6" t="s">
        <v>5738</v>
      </c>
      <c r="FW35" s="6" t="s">
        <v>5738</v>
      </c>
      <c r="FX35" s="6" t="s">
        <v>5947</v>
      </c>
      <c r="FY35" s="6">
        <v>25</v>
      </c>
      <c r="FZ35" s="6">
        <v>25</v>
      </c>
      <c r="GA35" s="6">
        <v>25</v>
      </c>
      <c r="GB35" s="6">
        <v>0</v>
      </c>
      <c r="GC35" s="6">
        <v>0</v>
      </c>
      <c r="GD35" s="6">
        <v>0</v>
      </c>
      <c r="GE35" s="6" t="s">
        <v>5948</v>
      </c>
      <c r="GF35" s="6" t="s">
        <v>5947</v>
      </c>
      <c r="GG35" s="6">
        <v>25</v>
      </c>
      <c r="GH35" s="6">
        <v>25</v>
      </c>
      <c r="GI35" s="6">
        <v>25</v>
      </c>
      <c r="GJ35" s="6">
        <v>0</v>
      </c>
      <c r="GK35" s="6">
        <v>0</v>
      </c>
      <c r="GL35" s="6">
        <v>0</v>
      </c>
      <c r="GM35" s="6" t="s">
        <v>5948</v>
      </c>
      <c r="GN35" s="6" t="s">
        <v>5738</v>
      </c>
      <c r="GO35" s="6">
        <v>0</v>
      </c>
      <c r="GP35" s="6">
        <v>0</v>
      </c>
      <c r="GQ35" s="6">
        <v>0</v>
      </c>
      <c r="GR35" s="6">
        <v>0</v>
      </c>
      <c r="GS35" s="6">
        <v>0</v>
      </c>
      <c r="GT35" s="6">
        <v>0</v>
      </c>
      <c r="GU35" s="6" t="s">
        <v>5738</v>
      </c>
      <c r="GV35" s="6" t="s">
        <v>5738</v>
      </c>
      <c r="GW35" s="6">
        <v>0</v>
      </c>
      <c r="GX35" s="6">
        <v>0</v>
      </c>
      <c r="GY35" s="6">
        <v>0</v>
      </c>
      <c r="GZ35" s="6">
        <v>0</v>
      </c>
      <c r="HA35" s="6">
        <v>0</v>
      </c>
      <c r="HB35" s="6">
        <v>0</v>
      </c>
      <c r="HC35" s="6" t="s">
        <v>5738</v>
      </c>
      <c r="HD35" s="6" t="s">
        <v>5738</v>
      </c>
      <c r="HE35" s="6">
        <v>0</v>
      </c>
      <c r="HF35" s="6">
        <v>0</v>
      </c>
      <c r="HG35" s="6">
        <v>0</v>
      </c>
      <c r="HH35" s="6">
        <v>0</v>
      </c>
      <c r="HI35" s="6">
        <v>0</v>
      </c>
      <c r="HJ35" s="6">
        <v>0</v>
      </c>
      <c r="HK35" s="6" t="s">
        <v>5738</v>
      </c>
      <c r="HL35" s="6" t="s">
        <v>5738</v>
      </c>
      <c r="HM35" s="6">
        <v>0</v>
      </c>
      <c r="HN35" s="6">
        <v>0</v>
      </c>
      <c r="HO35" s="6">
        <v>0</v>
      </c>
      <c r="HP35" s="6">
        <v>0</v>
      </c>
      <c r="HQ35" s="6">
        <v>0</v>
      </c>
      <c r="HR35" s="6">
        <v>0</v>
      </c>
      <c r="HS35" s="6" t="s">
        <v>5738</v>
      </c>
      <c r="HT35" s="6" t="s">
        <v>5758</v>
      </c>
      <c r="HU35" s="6">
        <v>25</v>
      </c>
      <c r="HV35" s="6">
        <v>25</v>
      </c>
      <c r="HW35" s="6">
        <v>0</v>
      </c>
      <c r="HX35" s="6">
        <v>0</v>
      </c>
      <c r="HY35" s="6">
        <v>0</v>
      </c>
      <c r="HZ35" s="6">
        <v>0</v>
      </c>
      <c r="IA35" s="5">
        <v>25</v>
      </c>
      <c r="IB35" s="5">
        <v>13</v>
      </c>
      <c r="IC35" s="132" t="s">
        <v>5460</v>
      </c>
      <c r="ID35" s="132" t="s">
        <v>5956</v>
      </c>
      <c r="IE35" s="132" t="s">
        <v>5760</v>
      </c>
      <c r="IF35" s="132" t="s">
        <v>5761</v>
      </c>
      <c r="IG35" s="171">
        <v>43756</v>
      </c>
      <c r="IH35" s="171">
        <v>45583</v>
      </c>
      <c r="II35" s="6">
        <v>37</v>
      </c>
    </row>
    <row r="36" spans="1:243" ht="165.75">
      <c r="A36" s="5">
        <v>35</v>
      </c>
      <c r="B36" s="132" t="s">
        <v>5723</v>
      </c>
      <c r="C36" s="132" t="s">
        <v>5723</v>
      </c>
      <c r="D36" s="5" t="s">
        <v>5658</v>
      </c>
      <c r="E36" s="107" t="s">
        <v>5659</v>
      </c>
      <c r="F36" s="5" t="s">
        <v>5351</v>
      </c>
      <c r="G36" s="5">
        <v>105.755618</v>
      </c>
      <c r="H36" s="5">
        <v>21.110651000000001</v>
      </c>
      <c r="I36" s="5">
        <v>1</v>
      </c>
      <c r="J36" s="5">
        <v>2</v>
      </c>
      <c r="K36" s="5" t="s">
        <v>5762</v>
      </c>
      <c r="L36" s="5" t="s">
        <v>5957</v>
      </c>
      <c r="M36" s="5" t="s">
        <v>5764</v>
      </c>
      <c r="N36" s="5" t="s">
        <v>5765</v>
      </c>
      <c r="O36" s="5" t="s">
        <v>5766</v>
      </c>
      <c r="P36" s="5" t="s">
        <v>5767</v>
      </c>
      <c r="Q36" s="5" t="s">
        <v>5768</v>
      </c>
      <c r="R36" s="5" t="s">
        <v>5958</v>
      </c>
      <c r="S36" s="152" t="b">
        <v>1</v>
      </c>
      <c r="T36" s="5" t="s">
        <v>5660</v>
      </c>
      <c r="U36" s="5">
        <v>0</v>
      </c>
      <c r="V36" s="5" t="s">
        <v>5732</v>
      </c>
      <c r="W36" s="5" t="s">
        <v>5661</v>
      </c>
      <c r="X36" s="7" t="s">
        <v>5733</v>
      </c>
      <c r="Y36" s="5" t="b">
        <v>1</v>
      </c>
      <c r="Z36" s="152" t="b">
        <v>1</v>
      </c>
      <c r="AA36" s="5">
        <v>37</v>
      </c>
      <c r="AB36" s="152" t="b">
        <v>0</v>
      </c>
      <c r="AC36" s="5">
        <v>0</v>
      </c>
      <c r="AD36" s="5" t="b">
        <v>0</v>
      </c>
      <c r="AE36" s="5" t="s">
        <v>5734</v>
      </c>
      <c r="AF36" s="5" t="s">
        <v>5735</v>
      </c>
      <c r="AG36" s="132" t="s">
        <v>5736</v>
      </c>
      <c r="AH36" s="132" t="s">
        <v>5737</v>
      </c>
      <c r="AI36" s="132" t="s">
        <v>5479</v>
      </c>
      <c r="AJ36" s="132" t="s">
        <v>5738</v>
      </c>
      <c r="AK36" s="132" t="s">
        <v>5739</v>
      </c>
      <c r="AL36" s="6"/>
      <c r="AM36" s="6" t="s">
        <v>5740</v>
      </c>
      <c r="AN36" s="6" t="s">
        <v>5741</v>
      </c>
      <c r="AO36" s="5">
        <v>3</v>
      </c>
      <c r="AP36" s="85" t="s">
        <v>5742</v>
      </c>
      <c r="AQ36" s="233" t="s">
        <v>5954</v>
      </c>
      <c r="AR36" s="233" t="s">
        <v>5955</v>
      </c>
      <c r="AS36" s="234" t="s">
        <v>5350</v>
      </c>
      <c r="AT36" s="6" t="s">
        <v>5741</v>
      </c>
      <c r="AU36" s="6" t="s">
        <v>5741</v>
      </c>
      <c r="AV36" s="6" t="s">
        <v>5738</v>
      </c>
      <c r="AW36" s="6" t="s">
        <v>5738</v>
      </c>
      <c r="AX36" s="6" t="s">
        <v>5738</v>
      </c>
      <c r="AY36" s="6" t="s">
        <v>5738</v>
      </c>
      <c r="AZ36" s="6" t="s">
        <v>5723</v>
      </c>
      <c r="BA36" s="6" t="s">
        <v>5723</v>
      </c>
      <c r="BB36" s="6" t="s">
        <v>5738</v>
      </c>
      <c r="BC36" s="6" t="s">
        <v>5738</v>
      </c>
      <c r="BD36" s="6" t="s">
        <v>5738</v>
      </c>
      <c r="BE36" s="6" t="s">
        <v>5738</v>
      </c>
      <c r="BF36" s="6" t="s">
        <v>5771</v>
      </c>
      <c r="BG36" s="6" t="s">
        <v>5658</v>
      </c>
      <c r="BH36" s="6" t="s">
        <v>5658</v>
      </c>
      <c r="BI36" s="6" t="s">
        <v>5738</v>
      </c>
      <c r="BJ36" s="6" t="s">
        <v>5738</v>
      </c>
      <c r="BK36" s="6" t="s">
        <v>5738</v>
      </c>
      <c r="BL36" s="6" t="s">
        <v>5738</v>
      </c>
      <c r="BM36" s="6" t="s">
        <v>5747</v>
      </c>
      <c r="BN36" s="6" t="s">
        <v>5748</v>
      </c>
      <c r="BO36" s="6" t="s">
        <v>5738</v>
      </c>
      <c r="BP36" s="6" t="s">
        <v>5738</v>
      </c>
      <c r="BQ36" s="6" t="s">
        <v>5738</v>
      </c>
      <c r="BR36" s="6" t="s">
        <v>5738</v>
      </c>
      <c r="BS36" s="6">
        <v>3</v>
      </c>
      <c r="BT36" s="6">
        <v>3</v>
      </c>
      <c r="BU36" s="6">
        <v>0</v>
      </c>
      <c r="BV36" s="6">
        <v>0</v>
      </c>
      <c r="BW36" s="6">
        <v>0</v>
      </c>
      <c r="BX36" s="6">
        <v>0</v>
      </c>
      <c r="BY36" s="6" t="s">
        <v>5467</v>
      </c>
      <c r="BZ36" s="6">
        <v>2</v>
      </c>
      <c r="CA36" s="6">
        <v>2</v>
      </c>
      <c r="CB36" s="6">
        <v>2</v>
      </c>
      <c r="CC36" s="6">
        <v>0</v>
      </c>
      <c r="CD36" s="6">
        <v>0</v>
      </c>
      <c r="CE36" s="6">
        <v>0</v>
      </c>
      <c r="CF36" s="6" t="s">
        <v>5749</v>
      </c>
      <c r="CG36" s="6">
        <v>1</v>
      </c>
      <c r="CH36" s="6">
        <v>1</v>
      </c>
      <c r="CI36" s="6">
        <v>1</v>
      </c>
      <c r="CJ36" s="6">
        <v>0</v>
      </c>
      <c r="CK36" s="6">
        <v>0</v>
      </c>
      <c r="CL36" s="6">
        <v>0</v>
      </c>
      <c r="CM36" s="6" t="s">
        <v>5738</v>
      </c>
      <c r="CN36" s="6">
        <v>0</v>
      </c>
      <c r="CO36" s="6">
        <v>0</v>
      </c>
      <c r="CP36" s="6">
        <v>0</v>
      </c>
      <c r="CQ36" s="6">
        <v>0</v>
      </c>
      <c r="CR36" s="6">
        <v>0</v>
      </c>
      <c r="CS36" s="6">
        <v>0</v>
      </c>
      <c r="CT36" s="6" t="s">
        <v>5738</v>
      </c>
      <c r="CU36" s="6">
        <v>0</v>
      </c>
      <c r="CV36" s="6">
        <v>0</v>
      </c>
      <c r="CW36" s="6">
        <v>0</v>
      </c>
      <c r="CX36" s="6">
        <v>0</v>
      </c>
      <c r="CY36" s="6">
        <v>0</v>
      </c>
      <c r="CZ36" s="6">
        <v>0</v>
      </c>
      <c r="DA36" s="6" t="s">
        <v>5738</v>
      </c>
      <c r="DB36" s="6">
        <v>0</v>
      </c>
      <c r="DC36" s="6">
        <v>0</v>
      </c>
      <c r="DD36" s="6">
        <v>0</v>
      </c>
      <c r="DE36" s="6">
        <v>0</v>
      </c>
      <c r="DF36" s="6">
        <v>0</v>
      </c>
      <c r="DG36" s="6">
        <v>0</v>
      </c>
      <c r="DH36" s="6" t="s">
        <v>5738</v>
      </c>
      <c r="DI36" s="6">
        <v>0</v>
      </c>
      <c r="DJ36" s="6">
        <v>0</v>
      </c>
      <c r="DK36" s="6">
        <v>0</v>
      </c>
      <c r="DL36" s="6">
        <v>0</v>
      </c>
      <c r="DM36" s="6">
        <v>0</v>
      </c>
      <c r="DN36" s="6">
        <v>0</v>
      </c>
      <c r="DO36" s="6" t="s">
        <v>5752</v>
      </c>
      <c r="DP36" s="6">
        <v>60</v>
      </c>
      <c r="DQ36" s="6">
        <v>60</v>
      </c>
      <c r="DR36" s="6">
        <v>60</v>
      </c>
      <c r="DS36" s="6">
        <v>0</v>
      </c>
      <c r="DT36" s="6">
        <v>0</v>
      </c>
      <c r="DU36" s="6">
        <v>0</v>
      </c>
      <c r="DV36" s="6" t="s">
        <v>5753</v>
      </c>
      <c r="DW36" s="6">
        <v>60</v>
      </c>
      <c r="DX36" s="6" t="s">
        <v>5752</v>
      </c>
      <c r="DY36" s="6">
        <v>60</v>
      </c>
      <c r="DZ36" s="6">
        <v>60</v>
      </c>
      <c r="EA36" s="6">
        <v>60</v>
      </c>
      <c r="EB36" s="6">
        <v>0</v>
      </c>
      <c r="EC36" s="6">
        <v>0</v>
      </c>
      <c r="ED36" s="6">
        <v>0</v>
      </c>
      <c r="EE36" s="6" t="s">
        <v>5753</v>
      </c>
      <c r="EF36" s="6">
        <v>60</v>
      </c>
      <c r="EG36" s="6" t="s">
        <v>5738</v>
      </c>
      <c r="EH36" s="6">
        <v>0</v>
      </c>
      <c r="EI36" s="6">
        <v>0</v>
      </c>
      <c r="EJ36" s="6">
        <v>0</v>
      </c>
      <c r="EK36" s="6">
        <v>0</v>
      </c>
      <c r="EL36" s="6">
        <v>0</v>
      </c>
      <c r="EM36" s="6">
        <v>0</v>
      </c>
      <c r="EN36" s="6" t="s">
        <v>5738</v>
      </c>
      <c r="EO36" s="6">
        <v>0</v>
      </c>
      <c r="EP36" s="6" t="s">
        <v>5738</v>
      </c>
      <c r="EQ36" s="6">
        <v>0</v>
      </c>
      <c r="ER36" s="6">
        <v>0</v>
      </c>
      <c r="ES36" s="6">
        <v>0</v>
      </c>
      <c r="ET36" s="6">
        <v>0</v>
      </c>
      <c r="EU36" s="6">
        <v>0</v>
      </c>
      <c r="EV36" s="6">
        <v>0</v>
      </c>
      <c r="EW36" s="6" t="s">
        <v>5738</v>
      </c>
      <c r="EX36" s="6">
        <v>0</v>
      </c>
      <c r="EY36" s="6" t="s">
        <v>5738</v>
      </c>
      <c r="EZ36" s="6">
        <v>0</v>
      </c>
      <c r="FA36" s="6">
        <v>0</v>
      </c>
      <c r="FB36" s="6">
        <v>0</v>
      </c>
      <c r="FC36" s="6">
        <v>0</v>
      </c>
      <c r="FD36" s="6">
        <v>0</v>
      </c>
      <c r="FE36" s="6">
        <v>0</v>
      </c>
      <c r="FF36" s="6" t="s">
        <v>5738</v>
      </c>
      <c r="FG36" s="6">
        <v>0</v>
      </c>
      <c r="FH36" s="6" t="s">
        <v>5738</v>
      </c>
      <c r="FI36" s="6">
        <v>0</v>
      </c>
      <c r="FJ36" s="6">
        <v>0</v>
      </c>
      <c r="FK36" s="6">
        <v>0</v>
      </c>
      <c r="FL36" s="6">
        <v>0</v>
      </c>
      <c r="FM36" s="6">
        <v>0</v>
      </c>
      <c r="FN36" s="6">
        <v>0</v>
      </c>
      <c r="FO36" s="6" t="s">
        <v>5738</v>
      </c>
      <c r="FP36" s="6">
        <v>0</v>
      </c>
      <c r="FQ36" s="6">
        <v>60</v>
      </c>
      <c r="FR36" s="6" t="s">
        <v>5754</v>
      </c>
      <c r="FS36" s="6" t="s">
        <v>5755</v>
      </c>
      <c r="FT36" s="6" t="s">
        <v>5738</v>
      </c>
      <c r="FU36" s="6" t="s">
        <v>5738</v>
      </c>
      <c r="FV36" s="6" t="s">
        <v>5738</v>
      </c>
      <c r="FW36" s="6" t="s">
        <v>5738</v>
      </c>
      <c r="FX36" s="6" t="s">
        <v>5959</v>
      </c>
      <c r="FY36" s="6">
        <v>37</v>
      </c>
      <c r="FZ36" s="6">
        <v>37</v>
      </c>
      <c r="GA36" s="6">
        <v>37</v>
      </c>
      <c r="GB36" s="6">
        <v>0</v>
      </c>
      <c r="GC36" s="6">
        <v>0</v>
      </c>
      <c r="GD36" s="6">
        <v>0</v>
      </c>
      <c r="GE36" s="6" t="s">
        <v>5960</v>
      </c>
      <c r="GF36" s="6" t="s">
        <v>5959</v>
      </c>
      <c r="GG36" s="6">
        <v>37</v>
      </c>
      <c r="GH36" s="6">
        <v>37</v>
      </c>
      <c r="GI36" s="6">
        <v>37</v>
      </c>
      <c r="GJ36" s="6">
        <v>0</v>
      </c>
      <c r="GK36" s="6">
        <v>0</v>
      </c>
      <c r="GL36" s="6">
        <v>0</v>
      </c>
      <c r="GM36" s="6" t="s">
        <v>5960</v>
      </c>
      <c r="GN36" s="6" t="s">
        <v>5738</v>
      </c>
      <c r="GO36" s="6">
        <v>0</v>
      </c>
      <c r="GP36" s="6">
        <v>0</v>
      </c>
      <c r="GQ36" s="6">
        <v>0</v>
      </c>
      <c r="GR36" s="6">
        <v>0</v>
      </c>
      <c r="GS36" s="6">
        <v>0</v>
      </c>
      <c r="GT36" s="6">
        <v>0</v>
      </c>
      <c r="GU36" s="6" t="s">
        <v>5738</v>
      </c>
      <c r="GV36" s="6" t="s">
        <v>5738</v>
      </c>
      <c r="GW36" s="6">
        <v>0</v>
      </c>
      <c r="GX36" s="6">
        <v>0</v>
      </c>
      <c r="GY36" s="6">
        <v>0</v>
      </c>
      <c r="GZ36" s="6">
        <v>0</v>
      </c>
      <c r="HA36" s="6">
        <v>0</v>
      </c>
      <c r="HB36" s="6">
        <v>0</v>
      </c>
      <c r="HC36" s="6" t="s">
        <v>5738</v>
      </c>
      <c r="HD36" s="6" t="s">
        <v>5738</v>
      </c>
      <c r="HE36" s="6">
        <v>0</v>
      </c>
      <c r="HF36" s="6">
        <v>0</v>
      </c>
      <c r="HG36" s="6">
        <v>0</v>
      </c>
      <c r="HH36" s="6">
        <v>0</v>
      </c>
      <c r="HI36" s="6">
        <v>0</v>
      </c>
      <c r="HJ36" s="6">
        <v>0</v>
      </c>
      <c r="HK36" s="6" t="s">
        <v>5738</v>
      </c>
      <c r="HL36" s="6" t="s">
        <v>5738</v>
      </c>
      <c r="HM36" s="6">
        <v>0</v>
      </c>
      <c r="HN36" s="6">
        <v>0</v>
      </c>
      <c r="HO36" s="6">
        <v>0</v>
      </c>
      <c r="HP36" s="6">
        <v>0</v>
      </c>
      <c r="HQ36" s="6">
        <v>0</v>
      </c>
      <c r="HR36" s="6">
        <v>0</v>
      </c>
      <c r="HS36" s="6" t="s">
        <v>5738</v>
      </c>
      <c r="HT36" s="6" t="s">
        <v>5758</v>
      </c>
      <c r="HU36" s="6">
        <v>37</v>
      </c>
      <c r="HV36" s="6">
        <v>37</v>
      </c>
      <c r="HW36" s="6">
        <v>0</v>
      </c>
      <c r="HX36" s="6">
        <v>0</v>
      </c>
      <c r="HY36" s="6">
        <v>0</v>
      </c>
      <c r="HZ36" s="6">
        <v>0</v>
      </c>
      <c r="IA36" s="5">
        <v>37</v>
      </c>
      <c r="IB36" s="5">
        <v>37</v>
      </c>
      <c r="IC36" s="132" t="s">
        <v>5460</v>
      </c>
      <c r="ID36" s="132" t="s">
        <v>5961</v>
      </c>
      <c r="IE36" s="132" t="s">
        <v>5760</v>
      </c>
      <c r="IF36" s="132" t="s">
        <v>5761</v>
      </c>
      <c r="IG36" s="171">
        <v>43756</v>
      </c>
      <c r="IH36" s="171">
        <v>45583</v>
      </c>
      <c r="II36" s="6">
        <v>37</v>
      </c>
    </row>
    <row r="37" spans="1:243" ht="165.75">
      <c r="A37" s="5">
        <v>36</v>
      </c>
      <c r="B37" s="132" t="s">
        <v>5723</v>
      </c>
      <c r="C37" s="132" t="s">
        <v>5723</v>
      </c>
      <c r="D37" s="5" t="s">
        <v>5662</v>
      </c>
      <c r="E37" s="107" t="s">
        <v>5663</v>
      </c>
      <c r="F37" s="5" t="s">
        <v>5351</v>
      </c>
      <c r="G37" s="5">
        <v>105.768676</v>
      </c>
      <c r="H37" s="5">
        <v>21.195115999999999</v>
      </c>
      <c r="I37" s="5">
        <v>1</v>
      </c>
      <c r="J37" s="5">
        <v>2</v>
      </c>
      <c r="K37" s="5" t="s">
        <v>5762</v>
      </c>
      <c r="L37" s="5" t="s">
        <v>5962</v>
      </c>
      <c r="M37" s="5" t="s">
        <v>5764</v>
      </c>
      <c r="N37" s="5" t="s">
        <v>5765</v>
      </c>
      <c r="O37" s="5" t="s">
        <v>5766</v>
      </c>
      <c r="P37" s="5" t="s">
        <v>5767</v>
      </c>
      <c r="Q37" s="5" t="s">
        <v>5768</v>
      </c>
      <c r="R37" s="5" t="s">
        <v>5963</v>
      </c>
      <c r="S37" s="152" t="b">
        <v>1</v>
      </c>
      <c r="T37" s="5" t="s">
        <v>5664</v>
      </c>
      <c r="U37" s="5">
        <v>0</v>
      </c>
      <c r="V37" s="5" t="s">
        <v>5732</v>
      </c>
      <c r="W37" s="5" t="s">
        <v>5665</v>
      </c>
      <c r="X37" s="7" t="s">
        <v>5733</v>
      </c>
      <c r="Y37" s="5" t="b">
        <v>0</v>
      </c>
      <c r="Z37" s="152" t="b">
        <v>0</v>
      </c>
      <c r="AA37" s="5">
        <v>26</v>
      </c>
      <c r="AB37" s="152" t="b">
        <v>1</v>
      </c>
      <c r="AC37" s="5">
        <v>16</v>
      </c>
      <c r="AD37" s="5" t="b">
        <v>0</v>
      </c>
      <c r="AE37" s="5" t="s">
        <v>5734</v>
      </c>
      <c r="AF37" s="5" t="s">
        <v>5735</v>
      </c>
      <c r="AG37" s="132" t="s">
        <v>5736</v>
      </c>
      <c r="AH37" s="132" t="s">
        <v>5737</v>
      </c>
      <c r="AI37" s="132" t="s">
        <v>5479</v>
      </c>
      <c r="AJ37" s="132" t="s">
        <v>5738</v>
      </c>
      <c r="AK37" s="132" t="s">
        <v>5739</v>
      </c>
      <c r="AL37" s="6"/>
      <c r="AM37" s="6" t="s">
        <v>5740</v>
      </c>
      <c r="AN37" s="6" t="s">
        <v>5741</v>
      </c>
      <c r="AO37" s="5">
        <v>3</v>
      </c>
      <c r="AP37" s="85" t="s">
        <v>5742</v>
      </c>
      <c r="AQ37" s="233" t="s">
        <v>5964</v>
      </c>
      <c r="AR37" s="233" t="s">
        <v>5965</v>
      </c>
      <c r="AS37" s="234" t="s">
        <v>5350</v>
      </c>
      <c r="AT37" s="6" t="s">
        <v>5741</v>
      </c>
      <c r="AU37" s="6" t="s">
        <v>5741</v>
      </c>
      <c r="AV37" s="6" t="s">
        <v>5738</v>
      </c>
      <c r="AW37" s="6" t="s">
        <v>5738</v>
      </c>
      <c r="AX37" s="6" t="s">
        <v>5738</v>
      </c>
      <c r="AY37" s="6" t="s">
        <v>5738</v>
      </c>
      <c r="AZ37" s="6" t="s">
        <v>5723</v>
      </c>
      <c r="BA37" s="6" t="s">
        <v>5723</v>
      </c>
      <c r="BB37" s="6" t="s">
        <v>5738</v>
      </c>
      <c r="BC37" s="6" t="s">
        <v>5738</v>
      </c>
      <c r="BD37" s="6" t="s">
        <v>5738</v>
      </c>
      <c r="BE37" s="6" t="s">
        <v>5738</v>
      </c>
      <c r="BF37" s="6" t="s">
        <v>5771</v>
      </c>
      <c r="BG37" s="6" t="s">
        <v>5662</v>
      </c>
      <c r="BH37" s="6" t="s">
        <v>5662</v>
      </c>
      <c r="BI37" s="6" t="s">
        <v>5738</v>
      </c>
      <c r="BJ37" s="6" t="s">
        <v>5738</v>
      </c>
      <c r="BK37" s="6" t="s">
        <v>5738</v>
      </c>
      <c r="BL37" s="6" t="s">
        <v>5738</v>
      </c>
      <c r="BM37" s="6" t="s">
        <v>5747</v>
      </c>
      <c r="BN37" s="6" t="s">
        <v>5748</v>
      </c>
      <c r="BO37" s="6" t="s">
        <v>5738</v>
      </c>
      <c r="BP37" s="6" t="s">
        <v>5738</v>
      </c>
      <c r="BQ37" s="6" t="s">
        <v>5738</v>
      </c>
      <c r="BR37" s="6" t="s">
        <v>5738</v>
      </c>
      <c r="BS37" s="6">
        <v>3</v>
      </c>
      <c r="BT37" s="6">
        <v>3</v>
      </c>
      <c r="BU37" s="6">
        <v>0</v>
      </c>
      <c r="BV37" s="6">
        <v>0</v>
      </c>
      <c r="BW37" s="6">
        <v>0</v>
      </c>
      <c r="BX37" s="6">
        <v>0</v>
      </c>
      <c r="BY37" s="6" t="s">
        <v>5467</v>
      </c>
      <c r="BZ37" s="6">
        <v>2</v>
      </c>
      <c r="CA37" s="6">
        <v>2</v>
      </c>
      <c r="CB37" s="6">
        <v>2</v>
      </c>
      <c r="CC37" s="6">
        <v>0</v>
      </c>
      <c r="CD37" s="6">
        <v>0</v>
      </c>
      <c r="CE37" s="6">
        <v>0</v>
      </c>
      <c r="CF37" s="6" t="s">
        <v>5749</v>
      </c>
      <c r="CG37" s="6">
        <v>1</v>
      </c>
      <c r="CH37" s="6">
        <v>1</v>
      </c>
      <c r="CI37" s="6">
        <v>1</v>
      </c>
      <c r="CJ37" s="6">
        <v>0</v>
      </c>
      <c r="CK37" s="6">
        <v>0</v>
      </c>
      <c r="CL37" s="6">
        <v>0</v>
      </c>
      <c r="CM37" s="6" t="s">
        <v>5738</v>
      </c>
      <c r="CN37" s="6">
        <v>0</v>
      </c>
      <c r="CO37" s="6">
        <v>0</v>
      </c>
      <c r="CP37" s="6">
        <v>0</v>
      </c>
      <c r="CQ37" s="6">
        <v>0</v>
      </c>
      <c r="CR37" s="6">
        <v>0</v>
      </c>
      <c r="CS37" s="6">
        <v>0</v>
      </c>
      <c r="CT37" s="6" t="s">
        <v>5738</v>
      </c>
      <c r="CU37" s="6">
        <v>0</v>
      </c>
      <c r="CV37" s="6">
        <v>0</v>
      </c>
      <c r="CW37" s="6">
        <v>0</v>
      </c>
      <c r="CX37" s="6">
        <v>0</v>
      </c>
      <c r="CY37" s="6">
        <v>0</v>
      </c>
      <c r="CZ37" s="6">
        <v>0</v>
      </c>
      <c r="DA37" s="6" t="s">
        <v>5738</v>
      </c>
      <c r="DB37" s="6">
        <v>0</v>
      </c>
      <c r="DC37" s="6">
        <v>0</v>
      </c>
      <c r="DD37" s="6">
        <v>0</v>
      </c>
      <c r="DE37" s="6">
        <v>0</v>
      </c>
      <c r="DF37" s="6">
        <v>0</v>
      </c>
      <c r="DG37" s="6">
        <v>0</v>
      </c>
      <c r="DH37" s="6" t="s">
        <v>5738</v>
      </c>
      <c r="DI37" s="6">
        <v>0</v>
      </c>
      <c r="DJ37" s="6">
        <v>0</v>
      </c>
      <c r="DK37" s="6">
        <v>0</v>
      </c>
      <c r="DL37" s="6">
        <v>0</v>
      </c>
      <c r="DM37" s="6">
        <v>0</v>
      </c>
      <c r="DN37" s="6">
        <v>0</v>
      </c>
      <c r="DO37" s="6" t="s">
        <v>5752</v>
      </c>
      <c r="DP37" s="6">
        <v>60</v>
      </c>
      <c r="DQ37" s="6">
        <v>60</v>
      </c>
      <c r="DR37" s="6">
        <v>60</v>
      </c>
      <c r="DS37" s="6">
        <v>0</v>
      </c>
      <c r="DT37" s="6">
        <v>0</v>
      </c>
      <c r="DU37" s="6">
        <v>0</v>
      </c>
      <c r="DV37" s="6" t="s">
        <v>5753</v>
      </c>
      <c r="DW37" s="6">
        <v>60</v>
      </c>
      <c r="DX37" s="6" t="s">
        <v>5752</v>
      </c>
      <c r="DY37" s="6">
        <v>60</v>
      </c>
      <c r="DZ37" s="6">
        <v>60</v>
      </c>
      <c r="EA37" s="6">
        <v>60</v>
      </c>
      <c r="EB37" s="6">
        <v>0</v>
      </c>
      <c r="EC37" s="6">
        <v>0</v>
      </c>
      <c r="ED37" s="6">
        <v>0</v>
      </c>
      <c r="EE37" s="6" t="s">
        <v>5753</v>
      </c>
      <c r="EF37" s="6">
        <v>60</v>
      </c>
      <c r="EG37" s="6" t="s">
        <v>5738</v>
      </c>
      <c r="EH37" s="6">
        <v>0</v>
      </c>
      <c r="EI37" s="6">
        <v>0</v>
      </c>
      <c r="EJ37" s="6">
        <v>0</v>
      </c>
      <c r="EK37" s="6">
        <v>0</v>
      </c>
      <c r="EL37" s="6">
        <v>0</v>
      </c>
      <c r="EM37" s="6">
        <v>0</v>
      </c>
      <c r="EN37" s="6" t="s">
        <v>5738</v>
      </c>
      <c r="EO37" s="6">
        <v>0</v>
      </c>
      <c r="EP37" s="6" t="s">
        <v>5738</v>
      </c>
      <c r="EQ37" s="6">
        <v>0</v>
      </c>
      <c r="ER37" s="6">
        <v>0</v>
      </c>
      <c r="ES37" s="6">
        <v>0</v>
      </c>
      <c r="ET37" s="6">
        <v>0</v>
      </c>
      <c r="EU37" s="6">
        <v>0</v>
      </c>
      <c r="EV37" s="6">
        <v>0</v>
      </c>
      <c r="EW37" s="6" t="s">
        <v>5738</v>
      </c>
      <c r="EX37" s="6">
        <v>0</v>
      </c>
      <c r="EY37" s="6" t="s">
        <v>5738</v>
      </c>
      <c r="EZ37" s="6">
        <v>0</v>
      </c>
      <c r="FA37" s="6">
        <v>0</v>
      </c>
      <c r="FB37" s="6">
        <v>0</v>
      </c>
      <c r="FC37" s="6">
        <v>0</v>
      </c>
      <c r="FD37" s="6">
        <v>0</v>
      </c>
      <c r="FE37" s="6">
        <v>0</v>
      </c>
      <c r="FF37" s="6" t="s">
        <v>5738</v>
      </c>
      <c r="FG37" s="6">
        <v>0</v>
      </c>
      <c r="FH37" s="6" t="s">
        <v>5738</v>
      </c>
      <c r="FI37" s="6">
        <v>0</v>
      </c>
      <c r="FJ37" s="6">
        <v>0</v>
      </c>
      <c r="FK37" s="6">
        <v>0</v>
      </c>
      <c r="FL37" s="6">
        <v>0</v>
      </c>
      <c r="FM37" s="6">
        <v>0</v>
      </c>
      <c r="FN37" s="6">
        <v>0</v>
      </c>
      <c r="FO37" s="6" t="s">
        <v>5738</v>
      </c>
      <c r="FP37" s="6">
        <v>0</v>
      </c>
      <c r="FQ37" s="6">
        <v>60</v>
      </c>
      <c r="FR37" s="6" t="s">
        <v>5754</v>
      </c>
      <c r="FS37" s="6" t="s">
        <v>5755</v>
      </c>
      <c r="FT37" s="6" t="s">
        <v>5738</v>
      </c>
      <c r="FU37" s="6" t="s">
        <v>5738</v>
      </c>
      <c r="FV37" s="6" t="s">
        <v>5738</v>
      </c>
      <c r="FW37" s="6" t="s">
        <v>5738</v>
      </c>
      <c r="FX37" s="6" t="s">
        <v>5800</v>
      </c>
      <c r="FY37" s="6">
        <v>26</v>
      </c>
      <c r="FZ37" s="6">
        <v>26</v>
      </c>
      <c r="GA37" s="6">
        <v>26</v>
      </c>
      <c r="GB37" s="6">
        <v>0</v>
      </c>
      <c r="GC37" s="6">
        <v>0</v>
      </c>
      <c r="GD37" s="6">
        <v>0</v>
      </c>
      <c r="GE37" s="6" t="s">
        <v>5801</v>
      </c>
      <c r="GF37" s="6" t="s">
        <v>5800</v>
      </c>
      <c r="GG37" s="6">
        <v>26</v>
      </c>
      <c r="GH37" s="6">
        <v>26</v>
      </c>
      <c r="GI37" s="6">
        <v>26</v>
      </c>
      <c r="GJ37" s="6">
        <v>0</v>
      </c>
      <c r="GK37" s="6">
        <v>0</v>
      </c>
      <c r="GL37" s="6">
        <v>0</v>
      </c>
      <c r="GM37" s="6" t="s">
        <v>5801</v>
      </c>
      <c r="GN37" s="6" t="s">
        <v>5738</v>
      </c>
      <c r="GO37" s="6">
        <v>0</v>
      </c>
      <c r="GP37" s="6">
        <v>0</v>
      </c>
      <c r="GQ37" s="6">
        <v>0</v>
      </c>
      <c r="GR37" s="6">
        <v>0</v>
      </c>
      <c r="GS37" s="6">
        <v>0</v>
      </c>
      <c r="GT37" s="6">
        <v>0</v>
      </c>
      <c r="GU37" s="6" t="s">
        <v>5738</v>
      </c>
      <c r="GV37" s="6" t="s">
        <v>5738</v>
      </c>
      <c r="GW37" s="6">
        <v>0</v>
      </c>
      <c r="GX37" s="6">
        <v>0</v>
      </c>
      <c r="GY37" s="6">
        <v>0</v>
      </c>
      <c r="GZ37" s="6">
        <v>0</v>
      </c>
      <c r="HA37" s="6">
        <v>0</v>
      </c>
      <c r="HB37" s="6">
        <v>0</v>
      </c>
      <c r="HC37" s="6" t="s">
        <v>5738</v>
      </c>
      <c r="HD37" s="6" t="s">
        <v>5738</v>
      </c>
      <c r="HE37" s="6">
        <v>0</v>
      </c>
      <c r="HF37" s="6">
        <v>0</v>
      </c>
      <c r="HG37" s="6">
        <v>0</v>
      </c>
      <c r="HH37" s="6">
        <v>0</v>
      </c>
      <c r="HI37" s="6">
        <v>0</v>
      </c>
      <c r="HJ37" s="6">
        <v>0</v>
      </c>
      <c r="HK37" s="6" t="s">
        <v>5738</v>
      </c>
      <c r="HL37" s="6" t="s">
        <v>5738</v>
      </c>
      <c r="HM37" s="6">
        <v>0</v>
      </c>
      <c r="HN37" s="6">
        <v>0</v>
      </c>
      <c r="HO37" s="6">
        <v>0</v>
      </c>
      <c r="HP37" s="6">
        <v>0</v>
      </c>
      <c r="HQ37" s="6">
        <v>0</v>
      </c>
      <c r="HR37" s="6">
        <v>0</v>
      </c>
      <c r="HS37" s="6" t="s">
        <v>5738</v>
      </c>
      <c r="HT37" s="6" t="s">
        <v>5758</v>
      </c>
      <c r="HU37" s="6">
        <v>26</v>
      </c>
      <c r="HV37" s="6">
        <v>26</v>
      </c>
      <c r="HW37" s="6">
        <v>0</v>
      </c>
      <c r="HX37" s="6">
        <v>0</v>
      </c>
      <c r="HY37" s="6">
        <v>0</v>
      </c>
      <c r="HZ37" s="6">
        <v>0</v>
      </c>
      <c r="IA37" s="5">
        <v>26</v>
      </c>
      <c r="IB37" s="5">
        <v>10</v>
      </c>
      <c r="IC37" s="132" t="s">
        <v>5460</v>
      </c>
      <c r="ID37" s="132" t="s">
        <v>5966</v>
      </c>
      <c r="IE37" s="132" t="s">
        <v>5760</v>
      </c>
      <c r="IF37" s="132" t="s">
        <v>5761</v>
      </c>
      <c r="IG37" s="171">
        <v>43756</v>
      </c>
      <c r="IH37" s="171">
        <v>45583</v>
      </c>
      <c r="II37" s="6">
        <v>37</v>
      </c>
    </row>
    <row r="38" spans="1:243" ht="409.5">
      <c r="A38" s="5">
        <v>37</v>
      </c>
      <c r="B38" s="132" t="s">
        <v>5723</v>
      </c>
      <c r="C38" s="132" t="s">
        <v>5723</v>
      </c>
      <c r="D38" s="5" t="s">
        <v>5666</v>
      </c>
      <c r="E38" s="107" t="s">
        <v>5667</v>
      </c>
      <c r="F38" s="5" t="s">
        <v>5351</v>
      </c>
      <c r="G38" s="5">
        <v>105.723142</v>
      </c>
      <c r="H38" s="5">
        <v>21.184450999999999</v>
      </c>
      <c r="I38" s="5">
        <v>1</v>
      </c>
      <c r="J38" s="5">
        <v>3</v>
      </c>
      <c r="K38" s="5" t="s">
        <v>5724</v>
      </c>
      <c r="L38" s="5" t="s">
        <v>5967</v>
      </c>
      <c r="M38" s="5" t="s">
        <v>5968</v>
      </c>
      <c r="N38" s="5" t="s">
        <v>5969</v>
      </c>
      <c r="O38" s="5" t="s">
        <v>5970</v>
      </c>
      <c r="P38" s="5" t="s">
        <v>5971</v>
      </c>
      <c r="Q38" s="5" t="s">
        <v>5972</v>
      </c>
      <c r="R38" s="5" t="s">
        <v>5973</v>
      </c>
      <c r="S38" s="152" t="b">
        <v>1</v>
      </c>
      <c r="T38" s="5" t="s">
        <v>5668</v>
      </c>
      <c r="U38" s="5">
        <v>0</v>
      </c>
      <c r="V38" s="5" t="s">
        <v>5732</v>
      </c>
      <c r="W38" s="5" t="s">
        <v>5669</v>
      </c>
      <c r="X38" s="7" t="s">
        <v>5733</v>
      </c>
      <c r="Y38" s="5" t="b">
        <v>1</v>
      </c>
      <c r="Z38" s="152" t="b">
        <v>0</v>
      </c>
      <c r="AA38" s="5">
        <v>42</v>
      </c>
      <c r="AB38" s="152" t="b">
        <v>1</v>
      </c>
      <c r="AC38" s="5">
        <v>20</v>
      </c>
      <c r="AD38" s="5" t="b">
        <v>0</v>
      </c>
      <c r="AE38" s="5" t="s">
        <v>5734</v>
      </c>
      <c r="AF38" s="5" t="s">
        <v>5735</v>
      </c>
      <c r="AG38" s="132" t="s">
        <v>5736</v>
      </c>
      <c r="AH38" s="132" t="s">
        <v>5737</v>
      </c>
      <c r="AI38" s="132" t="s">
        <v>5479</v>
      </c>
      <c r="AJ38" s="132" t="s">
        <v>5738</v>
      </c>
      <c r="AK38" s="132" t="s">
        <v>5739</v>
      </c>
      <c r="AL38" s="6"/>
      <c r="AM38" s="6" t="s">
        <v>5740</v>
      </c>
      <c r="AN38" s="6" t="s">
        <v>5741</v>
      </c>
      <c r="AO38" s="5">
        <v>3</v>
      </c>
      <c r="AP38" s="85" t="s">
        <v>5742</v>
      </c>
      <c r="AQ38" s="233" t="s">
        <v>5964</v>
      </c>
      <c r="AR38" s="233" t="s">
        <v>5974</v>
      </c>
      <c r="AS38" s="234" t="s">
        <v>5350</v>
      </c>
      <c r="AT38" s="6" t="s">
        <v>5741</v>
      </c>
      <c r="AU38" s="6" t="s">
        <v>5741</v>
      </c>
      <c r="AV38" s="6" t="s">
        <v>5741</v>
      </c>
      <c r="AW38" s="6" t="s">
        <v>5738</v>
      </c>
      <c r="AX38" s="6" t="s">
        <v>5738</v>
      </c>
      <c r="AY38" s="6" t="s">
        <v>5738</v>
      </c>
      <c r="AZ38" s="6" t="s">
        <v>5723</v>
      </c>
      <c r="BA38" s="6" t="s">
        <v>5723</v>
      </c>
      <c r="BB38" s="6" t="s">
        <v>5723</v>
      </c>
      <c r="BC38" s="6" t="s">
        <v>5738</v>
      </c>
      <c r="BD38" s="6" t="s">
        <v>5738</v>
      </c>
      <c r="BE38" s="6" t="s">
        <v>5738</v>
      </c>
      <c r="BF38" s="6" t="s">
        <v>5975</v>
      </c>
      <c r="BG38" s="6" t="s">
        <v>5666</v>
      </c>
      <c r="BH38" s="6" t="s">
        <v>5666</v>
      </c>
      <c r="BI38" s="6" t="s">
        <v>5666</v>
      </c>
      <c r="BJ38" s="6" t="s">
        <v>5738</v>
      </c>
      <c r="BK38" s="6" t="s">
        <v>5738</v>
      </c>
      <c r="BL38" s="6" t="s">
        <v>5738</v>
      </c>
      <c r="BM38" s="6" t="s">
        <v>5798</v>
      </c>
      <c r="BN38" s="6" t="s">
        <v>5799</v>
      </c>
      <c r="BO38" s="6" t="s">
        <v>5748</v>
      </c>
      <c r="BP38" s="6" t="s">
        <v>5738</v>
      </c>
      <c r="BQ38" s="6" t="s">
        <v>5738</v>
      </c>
      <c r="BR38" s="6" t="s">
        <v>5738</v>
      </c>
      <c r="BS38" s="6">
        <v>3</v>
      </c>
      <c r="BT38" s="6">
        <v>3</v>
      </c>
      <c r="BU38" s="6">
        <v>3</v>
      </c>
      <c r="BV38" s="6">
        <v>0</v>
      </c>
      <c r="BW38" s="6">
        <v>0</v>
      </c>
      <c r="BX38" s="6">
        <v>0</v>
      </c>
      <c r="BY38" s="6" t="s">
        <v>5467</v>
      </c>
      <c r="BZ38" s="6">
        <v>2</v>
      </c>
      <c r="CA38" s="6">
        <v>2</v>
      </c>
      <c r="CB38" s="6">
        <v>2</v>
      </c>
      <c r="CC38" s="6">
        <v>0</v>
      </c>
      <c r="CD38" s="6">
        <v>0</v>
      </c>
      <c r="CE38" s="6">
        <v>0</v>
      </c>
      <c r="CF38" s="6" t="s">
        <v>5467</v>
      </c>
      <c r="CG38" s="6">
        <v>2</v>
      </c>
      <c r="CH38" s="6">
        <v>2</v>
      </c>
      <c r="CI38" s="6">
        <v>2</v>
      </c>
      <c r="CJ38" s="6">
        <v>0</v>
      </c>
      <c r="CK38" s="6">
        <v>0</v>
      </c>
      <c r="CL38" s="6">
        <v>0</v>
      </c>
      <c r="CM38" s="6" t="s">
        <v>5749</v>
      </c>
      <c r="CN38" s="6">
        <v>1</v>
      </c>
      <c r="CO38" s="6">
        <v>1</v>
      </c>
      <c r="CP38" s="6">
        <v>1</v>
      </c>
      <c r="CQ38" s="6">
        <v>0</v>
      </c>
      <c r="CR38" s="6">
        <v>0</v>
      </c>
      <c r="CS38" s="6">
        <v>0</v>
      </c>
      <c r="CT38" s="6" t="s">
        <v>5738</v>
      </c>
      <c r="CU38" s="6">
        <v>0</v>
      </c>
      <c r="CV38" s="6">
        <v>0</v>
      </c>
      <c r="CW38" s="6">
        <v>0</v>
      </c>
      <c r="CX38" s="6">
        <v>0</v>
      </c>
      <c r="CY38" s="6">
        <v>0</v>
      </c>
      <c r="CZ38" s="6">
        <v>0</v>
      </c>
      <c r="DA38" s="6" t="s">
        <v>5738</v>
      </c>
      <c r="DB38" s="6">
        <v>0</v>
      </c>
      <c r="DC38" s="6">
        <v>0</v>
      </c>
      <c r="DD38" s="6">
        <v>0</v>
      </c>
      <c r="DE38" s="6">
        <v>0</v>
      </c>
      <c r="DF38" s="6">
        <v>0</v>
      </c>
      <c r="DG38" s="6">
        <v>0</v>
      </c>
      <c r="DH38" s="6" t="s">
        <v>5738</v>
      </c>
      <c r="DI38" s="6">
        <v>0</v>
      </c>
      <c r="DJ38" s="6">
        <v>0</v>
      </c>
      <c r="DK38" s="6">
        <v>0</v>
      </c>
      <c r="DL38" s="6">
        <v>0</v>
      </c>
      <c r="DM38" s="6">
        <v>0</v>
      </c>
      <c r="DN38" s="6">
        <v>0</v>
      </c>
      <c r="DO38" s="6" t="s">
        <v>5750</v>
      </c>
      <c r="DP38" s="6">
        <v>80</v>
      </c>
      <c r="DQ38" s="6">
        <v>80</v>
      </c>
      <c r="DR38" s="6">
        <v>80</v>
      </c>
      <c r="DS38" s="6">
        <v>0</v>
      </c>
      <c r="DT38" s="6">
        <v>0</v>
      </c>
      <c r="DU38" s="6">
        <v>0</v>
      </c>
      <c r="DV38" s="6" t="s">
        <v>5751</v>
      </c>
      <c r="DW38" s="6">
        <v>80</v>
      </c>
      <c r="DX38" s="6" t="s">
        <v>5752</v>
      </c>
      <c r="DY38" s="6">
        <v>60</v>
      </c>
      <c r="DZ38" s="6">
        <v>60</v>
      </c>
      <c r="EA38" s="6">
        <v>60</v>
      </c>
      <c r="EB38" s="6">
        <v>0</v>
      </c>
      <c r="EC38" s="6">
        <v>0</v>
      </c>
      <c r="ED38" s="6">
        <v>0</v>
      </c>
      <c r="EE38" s="6" t="s">
        <v>5753</v>
      </c>
      <c r="EF38" s="6">
        <v>60</v>
      </c>
      <c r="EG38" s="6" t="s">
        <v>5752</v>
      </c>
      <c r="EH38" s="6">
        <v>60</v>
      </c>
      <c r="EI38" s="6">
        <v>60</v>
      </c>
      <c r="EJ38" s="6">
        <v>60</v>
      </c>
      <c r="EK38" s="6">
        <v>0</v>
      </c>
      <c r="EL38" s="6">
        <v>0</v>
      </c>
      <c r="EM38" s="6">
        <v>0</v>
      </c>
      <c r="EN38" s="6" t="s">
        <v>5753</v>
      </c>
      <c r="EO38" s="6">
        <v>60</v>
      </c>
      <c r="EP38" s="6" t="s">
        <v>5738</v>
      </c>
      <c r="EQ38" s="6">
        <v>0</v>
      </c>
      <c r="ER38" s="6">
        <v>0</v>
      </c>
      <c r="ES38" s="6">
        <v>0</v>
      </c>
      <c r="ET38" s="6">
        <v>0</v>
      </c>
      <c r="EU38" s="6">
        <v>0</v>
      </c>
      <c r="EV38" s="6">
        <v>0</v>
      </c>
      <c r="EW38" s="6" t="s">
        <v>5738</v>
      </c>
      <c r="EX38" s="6">
        <v>0</v>
      </c>
      <c r="EY38" s="6" t="s">
        <v>5738</v>
      </c>
      <c r="EZ38" s="6">
        <v>0</v>
      </c>
      <c r="FA38" s="6">
        <v>0</v>
      </c>
      <c r="FB38" s="6">
        <v>0</v>
      </c>
      <c r="FC38" s="6">
        <v>0</v>
      </c>
      <c r="FD38" s="6">
        <v>0</v>
      </c>
      <c r="FE38" s="6">
        <v>0</v>
      </c>
      <c r="FF38" s="6" t="s">
        <v>5738</v>
      </c>
      <c r="FG38" s="6">
        <v>0</v>
      </c>
      <c r="FH38" s="6" t="s">
        <v>5738</v>
      </c>
      <c r="FI38" s="6">
        <v>0</v>
      </c>
      <c r="FJ38" s="6">
        <v>0</v>
      </c>
      <c r="FK38" s="6">
        <v>0</v>
      </c>
      <c r="FL38" s="6">
        <v>0</v>
      </c>
      <c r="FM38" s="6">
        <v>0</v>
      </c>
      <c r="FN38" s="6">
        <v>0</v>
      </c>
      <c r="FO38" s="6" t="s">
        <v>5738</v>
      </c>
      <c r="FP38" s="6">
        <v>0</v>
      </c>
      <c r="FQ38" s="6">
        <v>80</v>
      </c>
      <c r="FR38" s="6" t="s">
        <v>3353</v>
      </c>
      <c r="FS38" s="6" t="s">
        <v>5754</v>
      </c>
      <c r="FT38" s="6" t="s">
        <v>5755</v>
      </c>
      <c r="FU38" s="6" t="s">
        <v>5738</v>
      </c>
      <c r="FV38" s="6" t="s">
        <v>5738</v>
      </c>
      <c r="FW38" s="6" t="s">
        <v>5738</v>
      </c>
      <c r="FX38" s="6" t="s">
        <v>5976</v>
      </c>
      <c r="FY38" s="6">
        <v>42</v>
      </c>
      <c r="FZ38" s="6">
        <v>42</v>
      </c>
      <c r="GA38" s="6">
        <v>42</v>
      </c>
      <c r="GB38" s="6">
        <v>0</v>
      </c>
      <c r="GC38" s="6">
        <v>0</v>
      </c>
      <c r="GD38" s="6">
        <v>0</v>
      </c>
      <c r="GE38" s="6" t="s">
        <v>5977</v>
      </c>
      <c r="GF38" s="6" t="s">
        <v>5976</v>
      </c>
      <c r="GG38" s="6">
        <v>42</v>
      </c>
      <c r="GH38" s="6">
        <v>42</v>
      </c>
      <c r="GI38" s="6">
        <v>42</v>
      </c>
      <c r="GJ38" s="6">
        <v>0</v>
      </c>
      <c r="GK38" s="6">
        <v>0</v>
      </c>
      <c r="GL38" s="6">
        <v>0</v>
      </c>
      <c r="GM38" s="6" t="s">
        <v>5977</v>
      </c>
      <c r="GN38" s="6" t="s">
        <v>5976</v>
      </c>
      <c r="GO38" s="6">
        <v>42</v>
      </c>
      <c r="GP38" s="6">
        <v>42</v>
      </c>
      <c r="GQ38" s="6">
        <v>42</v>
      </c>
      <c r="GR38" s="6">
        <v>0</v>
      </c>
      <c r="GS38" s="6">
        <v>0</v>
      </c>
      <c r="GT38" s="6">
        <v>0</v>
      </c>
      <c r="GU38" s="6" t="s">
        <v>5977</v>
      </c>
      <c r="GV38" s="6" t="s">
        <v>5738</v>
      </c>
      <c r="GW38" s="6">
        <v>0</v>
      </c>
      <c r="GX38" s="6">
        <v>0</v>
      </c>
      <c r="GY38" s="6">
        <v>0</v>
      </c>
      <c r="GZ38" s="6">
        <v>0</v>
      </c>
      <c r="HA38" s="6">
        <v>0</v>
      </c>
      <c r="HB38" s="6">
        <v>0</v>
      </c>
      <c r="HC38" s="6" t="s">
        <v>5738</v>
      </c>
      <c r="HD38" s="6" t="s">
        <v>5738</v>
      </c>
      <c r="HE38" s="6">
        <v>0</v>
      </c>
      <c r="HF38" s="6">
        <v>0</v>
      </c>
      <c r="HG38" s="6">
        <v>0</v>
      </c>
      <c r="HH38" s="6">
        <v>0</v>
      </c>
      <c r="HI38" s="6">
        <v>0</v>
      </c>
      <c r="HJ38" s="6">
        <v>0</v>
      </c>
      <c r="HK38" s="6" t="s">
        <v>5738</v>
      </c>
      <c r="HL38" s="6" t="s">
        <v>5738</v>
      </c>
      <c r="HM38" s="6">
        <v>0</v>
      </c>
      <c r="HN38" s="6">
        <v>0</v>
      </c>
      <c r="HO38" s="6">
        <v>0</v>
      </c>
      <c r="HP38" s="6">
        <v>0</v>
      </c>
      <c r="HQ38" s="6">
        <v>0</v>
      </c>
      <c r="HR38" s="6">
        <v>0</v>
      </c>
      <c r="HS38" s="6" t="s">
        <v>5738</v>
      </c>
      <c r="HT38" s="6" t="s">
        <v>5758</v>
      </c>
      <c r="HU38" s="6">
        <v>42</v>
      </c>
      <c r="HV38" s="6">
        <v>42</v>
      </c>
      <c r="HW38" s="6">
        <v>42</v>
      </c>
      <c r="HX38" s="6">
        <v>0</v>
      </c>
      <c r="HY38" s="6">
        <v>0</v>
      </c>
      <c r="HZ38" s="6">
        <v>0</v>
      </c>
      <c r="IA38" s="5">
        <v>42</v>
      </c>
      <c r="IB38" s="5">
        <v>22</v>
      </c>
      <c r="IC38" s="132" t="s">
        <v>5460</v>
      </c>
      <c r="ID38" s="132" t="s">
        <v>5978</v>
      </c>
      <c r="IE38" s="132" t="s">
        <v>5760</v>
      </c>
      <c r="IF38" s="132" t="s">
        <v>5761</v>
      </c>
      <c r="IG38" s="171">
        <v>43756</v>
      </c>
      <c r="IH38" s="171">
        <v>45583</v>
      </c>
      <c r="II38" s="6">
        <v>37</v>
      </c>
    </row>
  </sheetData>
  <sheetProtection sheet="1" objects="1" scenarios="1" formatCells="0" formatColumns="0" formatRows="0" sort="0" autoFilter="0" pivotTables="0"/>
  <autoFilter ref="A1:IJ1"/>
  <conditionalFormatting sqref="F2">
    <cfRule type="expression" dxfId="2996" priority="2924">
      <formula>F2&lt;&gt;RIGHT(SUBSTITUTE(TRIM(E2),".",""),LEN(F2))</formula>
    </cfRule>
  </conditionalFormatting>
  <conditionalFormatting sqref="BS2">
    <cfRule type="expression" dxfId="2995" priority="2923">
      <formula>AND(J2&gt;=1,BS2&lt;1)</formula>
    </cfRule>
  </conditionalFormatting>
  <conditionalFormatting sqref="BT2">
    <cfRule type="expression" dxfId="2994" priority="2922">
      <formula>AND(J2&gt;=2,BT2&lt;1)</formula>
    </cfRule>
  </conditionalFormatting>
  <conditionalFormatting sqref="BU2">
    <cfRule type="expression" dxfId="2993" priority="2920">
      <formula>AND(J2&gt;=3,BU2&lt;1)</formula>
    </cfRule>
  </conditionalFormatting>
  <conditionalFormatting sqref="BV2">
    <cfRule type="expression" dxfId="2992" priority="2919">
      <formula>AND(J2&gt;=4,BV2&lt;1)</formula>
    </cfRule>
  </conditionalFormatting>
  <conditionalFormatting sqref="BW2">
    <cfRule type="expression" dxfId="2991" priority="2921">
      <formula>AND(J2&gt;=5,BW2&lt;1)</formula>
    </cfRule>
  </conditionalFormatting>
  <conditionalFormatting sqref="BX2">
    <cfRule type="expression" dxfId="2990" priority="2918">
      <formula>AND(J2&gt;=6,BX2&lt;1)</formula>
    </cfRule>
  </conditionalFormatting>
  <conditionalFormatting sqref="IC2">
    <cfRule type="expression" dxfId="2989" priority="2997">
      <formula>AND($S2 = TRUE, $IC2&lt;&gt;OptionsUnitCode)</formula>
    </cfRule>
  </conditionalFormatting>
  <conditionalFormatting sqref="A2:II2 A3:A38">
    <cfRule type="containsErrors" dxfId="2988" priority="2917">
      <formula>ISERROR(A2)</formula>
    </cfRule>
  </conditionalFormatting>
  <conditionalFormatting sqref="DP2">
    <cfRule type="expression" dxfId="2987" priority="2925">
      <formula>AND(BS2&gt;=1,DP2&lt;&gt;0, GetEquPower(AZ2,BM2, BZ2, FR2)=0)</formula>
    </cfRule>
    <cfRule type="expression" dxfId="2986" priority="2926">
      <formula>AND(BS2&gt;=1,DP2&lt;&gt;GetEquPower(AZ2,BM2, BZ2, FR2))</formula>
    </cfRule>
  </conditionalFormatting>
  <conditionalFormatting sqref="DQ2">
    <cfRule type="expression" dxfId="2985" priority="2927">
      <formula>AND(BS2&gt;=2,DQ2&lt;&gt;0, GetEquPower(AZ2,BM2, CA2, FR2)=0)</formula>
    </cfRule>
    <cfRule type="expression" dxfId="2984" priority="2928">
      <formula>AND(BS2&gt;=2,DQ2&lt;&gt;GetEquPower(AZ2,BM2, CA2, FR2))</formula>
    </cfRule>
  </conditionalFormatting>
  <conditionalFormatting sqref="DR2">
    <cfRule type="expression" dxfId="2983" priority="2929">
      <formula>AND(BS2&gt;=3,DR2&lt;&gt;0, GetEquPower(AZ2,BM2, CB2, FR2)=0)</formula>
    </cfRule>
    <cfRule type="expression" dxfId="2982" priority="2930">
      <formula>AND(BS2&gt;=3,DR2&lt;&gt;GetEquPower(AZ2,BM2, CB2, FR2))</formula>
    </cfRule>
  </conditionalFormatting>
  <conditionalFormatting sqref="DS2">
    <cfRule type="expression" dxfId="2981" priority="2961">
      <formula>AND(BS2&gt;=4,DS2&lt;&gt;0, GetEquPower(AZ2,BM2, CC2, FR2)=0)</formula>
    </cfRule>
    <cfRule type="expression" dxfId="2980" priority="2962">
      <formula>AND(BS2&gt;=4, DS2&lt;&gt;GetEquPower(AZ2,BM2, CC2, FR2))</formula>
    </cfRule>
  </conditionalFormatting>
  <conditionalFormatting sqref="DT2">
    <cfRule type="expression" dxfId="2979" priority="2973">
      <formula>AND(BS2&gt;=5,DT2&lt;&gt;0, GetEquPower(AZ2,BM2, CD2, FR2)=0)</formula>
    </cfRule>
    <cfRule type="expression" dxfId="2978" priority="2974">
      <formula>AND(BS2&gt;=5, DT2&lt;&gt;GetEquPower(AZ2,BM2, CD2, FR2))</formula>
    </cfRule>
  </conditionalFormatting>
  <conditionalFormatting sqref="DU2">
    <cfRule type="expression" dxfId="2977" priority="2975">
      <formula>AND(BS2&gt;=6,DU2&lt;&gt;0, GetEquPower(AZ2,BM2, CE2, FR2)=0)</formula>
    </cfRule>
    <cfRule type="expression" dxfId="2976" priority="2976">
      <formula>AND(BS2&gt;=6, DU2&lt;&gt;GetEquPower(AZ2,BM2, CE2, FR2))</formula>
    </cfRule>
  </conditionalFormatting>
  <conditionalFormatting sqref="DY2">
    <cfRule type="expression" dxfId="2975" priority="2931">
      <formula>AND(BT2&gt;=1,DY2&lt;&gt;0, GetEquPower(BA2,BN2, CG2, FS2)=0)</formula>
    </cfRule>
    <cfRule type="expression" dxfId="2974" priority="2932">
      <formula>AND(BT2&gt;=1,DY2&lt;&gt;GetEquPower(BA2,BN2, CG2, FS2))</formula>
    </cfRule>
  </conditionalFormatting>
  <conditionalFormatting sqref="DZ2">
    <cfRule type="expression" dxfId="2973" priority="2933">
      <formula>AND(BT2&gt;=2,DZ2&lt;&gt;0, GetEquPower(BA2,BN2, CH2, FS2)=0)</formula>
    </cfRule>
    <cfRule type="expression" dxfId="2972" priority="2934">
      <formula>AND(BT2&gt;=2,DZ2&lt;&gt;GetEquPower(BA2,BN2, CH2, FS2))</formula>
    </cfRule>
  </conditionalFormatting>
  <conditionalFormatting sqref="EA2">
    <cfRule type="expression" dxfId="2971" priority="2935">
      <formula>AND(BT2&gt;=3,EA2&lt;&gt;0, GetEquPower(BA2,BN2, CI2, FS2)=0)</formula>
    </cfRule>
    <cfRule type="expression" dxfId="2970" priority="2936">
      <formula>AND(BT2&gt;=3,EA2&lt;&gt;GetEquPower(BA2,BN2, CI2, FS2))</formula>
    </cfRule>
  </conditionalFormatting>
  <conditionalFormatting sqref="EB2">
    <cfRule type="expression" dxfId="2969" priority="2963">
      <formula>AND(BT2&gt;=4,EB2&lt;&gt;0, GetEquPower(BA2,BN2, CJ2, FS2)=0)</formula>
    </cfRule>
    <cfRule type="expression" dxfId="2968" priority="2964">
      <formula>AND(BT2&gt;=4,EB2&lt;&gt;GetEquPower(BA2,BN2, CJ2, FS2))</formula>
    </cfRule>
  </conditionalFormatting>
  <conditionalFormatting sqref="EC2">
    <cfRule type="expression" dxfId="2967" priority="2977">
      <formula>AND(BT2&gt;=5,EC2&lt;&gt;0, GetEquPower(BA2,BN2, CK2, FS2)=0)</formula>
    </cfRule>
    <cfRule type="expression" dxfId="2966" priority="2978">
      <formula>AND(BT2&gt;=5,EC2&lt;&gt;GetEquPower(BA2,BN2, CK2, FS2))</formula>
    </cfRule>
  </conditionalFormatting>
  <conditionalFormatting sqref="ED2">
    <cfRule type="expression" dxfId="2965" priority="2979">
      <formula>AND(BT2&gt;=6,ED2&lt;&gt;0, GetEquPower(BA2,BN2, CL2, FS2)=0)</formula>
    </cfRule>
    <cfRule type="expression" dxfId="2964" priority="2980">
      <formula>AND(BT2&gt;=6,ED2&lt;&gt;GetEquPower(BA2,BN2, CL2, FS2))</formula>
    </cfRule>
  </conditionalFormatting>
  <conditionalFormatting sqref="EH2">
    <cfRule type="expression" dxfId="2963" priority="2937">
      <formula>AND(BU2&gt;=1,EH2&lt;&gt;0, GetEquPower(BB2,BO2, CN2, FT2)=0)</formula>
    </cfRule>
    <cfRule type="expression" dxfId="2962" priority="2938">
      <formula>AND(BU2&gt;=1,EH2&lt;&gt;GetEquPower(BB2,BO2, CN2, FT2))</formula>
    </cfRule>
  </conditionalFormatting>
  <conditionalFormatting sqref="EI2">
    <cfRule type="expression" dxfId="2961" priority="2939">
      <formula>AND(BU2&gt;=2,EI2&lt;&gt;0, GetEquPower(BB2,BO2, CO2, FT2)=0)</formula>
    </cfRule>
    <cfRule type="expression" dxfId="2960" priority="2940">
      <formula xml:space="preserve"> AND(BU2&gt;=2,EI2&lt;&gt;GetEquPower(BB2,BO2, CO2, FT2))</formula>
    </cfRule>
  </conditionalFormatting>
  <conditionalFormatting sqref="EJ2">
    <cfRule type="expression" dxfId="2959" priority="2941">
      <formula>AND(BU2&gt;=3,EJ2&lt;&gt;0, GetEquPower(BB2,BO2, CP2, FT2)=0)</formula>
    </cfRule>
    <cfRule type="expression" dxfId="2958" priority="2942">
      <formula xml:space="preserve"> AND(BU2&gt;=3,EJ2&lt;&gt;GetEquPower(BB2,BO2, CP2, FT2))</formula>
    </cfRule>
  </conditionalFormatting>
  <conditionalFormatting sqref="EK2">
    <cfRule type="expression" dxfId="2957" priority="2965">
      <formula>AND(BU2&gt;=4,EK2&lt;&gt;0, GetEquPower(BB2,BO2, CQ2, FT2)=0)</formula>
    </cfRule>
    <cfRule type="expression" dxfId="2956" priority="2966">
      <formula xml:space="preserve"> AND(BU2&gt;=4,EK2&lt;&gt;GetEquPower(BB2,BO2, CQ2, FT2))</formula>
    </cfRule>
  </conditionalFormatting>
  <conditionalFormatting sqref="EL2">
    <cfRule type="expression" dxfId="2955" priority="2981">
      <formula>AND(BU2&gt;=5,EL2&lt;&gt;0, GetEquPower(BB2,BO2, CR2, FT2)=0)</formula>
    </cfRule>
    <cfRule type="expression" dxfId="2954" priority="2982">
      <formula xml:space="preserve"> AND(BU2&gt;=5,EL2&lt;&gt;GetEquPower(BB2,BO2, CR2, FT2))</formula>
    </cfRule>
  </conditionalFormatting>
  <conditionalFormatting sqref="EM2">
    <cfRule type="expression" dxfId="2953" priority="2983">
      <formula>AND(BU2&gt;=6,EM2&lt;&gt;0, GetEquPower(BB2,BO2, CS2, FT2)=0)</formula>
    </cfRule>
    <cfRule type="expression" dxfId="2952" priority="2984">
      <formula xml:space="preserve"> AND(BU2&gt;=6,EM2&lt;&gt;GetEquPower(BB2,BO2, CS2, FT2))</formula>
    </cfRule>
  </conditionalFormatting>
  <conditionalFormatting sqref="EQ2">
    <cfRule type="expression" dxfId="2951" priority="2943">
      <formula>AND(BV2&gt;=1,EQ2&lt;&gt;0, GetEquPower(BC2,BP2, CU2, FU2)=0)</formula>
    </cfRule>
    <cfRule type="expression" dxfId="2950" priority="2944">
      <formula>AND(BV2&gt;=1,EQ2&lt;&gt;GetEquPower(BC2,BP2, CU2, FU2))</formula>
    </cfRule>
  </conditionalFormatting>
  <conditionalFormatting sqref="ER2">
    <cfRule type="expression" dxfId="2949" priority="2945">
      <formula>AND(BV2&gt;=2,ER2&lt;&gt;0, GetEquPower(BC2,BP2, CV2, FU2)=0)</formula>
    </cfRule>
    <cfRule type="expression" dxfId="2948" priority="2946">
      <formula>AND(BV2&gt;=2,ER2&lt;&gt;GetEquPower(BC2,BP2, CV2, FU2))</formula>
    </cfRule>
  </conditionalFormatting>
  <conditionalFormatting sqref="ES2">
    <cfRule type="expression" dxfId="2947" priority="2947">
      <formula>AND(BV2&gt;=3,ES2&lt;&gt;0, GetEquPower(BC2,BP2, CW2, FU2)=0)</formula>
    </cfRule>
    <cfRule type="expression" dxfId="2946" priority="2948">
      <formula>AND(BV2&gt;=3,ES2&lt;&gt;GetEquPower(BC2,BP2, CW2, FU2))</formula>
    </cfRule>
  </conditionalFormatting>
  <conditionalFormatting sqref="ET2">
    <cfRule type="expression" dxfId="2945" priority="2967">
      <formula>AND(BV2&gt;=4,ET2&lt;&gt;0, GetEquPower(BC2,BP2, CX2, FU2)=0)</formula>
    </cfRule>
    <cfRule type="expression" dxfId="2944" priority="2968">
      <formula>AND(BV2&gt;=4,ET2&lt;&gt;GetEquPower(BC2,BP2, CX2, FU2))</formula>
    </cfRule>
  </conditionalFormatting>
  <conditionalFormatting sqref="EU2">
    <cfRule type="expression" dxfId="2943" priority="2985">
      <formula>AND(BV2&gt;=5,EU2&lt;&gt;0, GetEquPower(BC2,BP2, CY2, FU2)=0)</formula>
    </cfRule>
    <cfRule type="expression" dxfId="2942" priority="2986">
      <formula>AND(BV2&gt;=5,EU2&lt;&gt;GetEquPower(BC2,BP2, CY2, FU2))</formula>
    </cfRule>
  </conditionalFormatting>
  <conditionalFormatting sqref="EV2">
    <cfRule type="expression" dxfId="2941" priority="2987">
      <formula>AND(BV2&gt;=6,EV2&lt;&gt;0, GetEquPower(BC2,BP2, CZ2, FU2)=0)</formula>
    </cfRule>
    <cfRule type="expression" dxfId="2940" priority="2988">
      <formula>AND(BV2&gt;=6,EV2&lt;&gt;GetEquPower(BC2,BP2, CZ2, FU2))</formula>
    </cfRule>
  </conditionalFormatting>
  <conditionalFormatting sqref="EZ2">
    <cfRule type="expression" dxfId="2939" priority="2949">
      <formula>AND(BW2&gt;=1,EZ2&lt;&gt;0, GetEquPower(BD2,BQ2, DB2, FV2)=0)</formula>
    </cfRule>
    <cfRule type="expression" dxfId="2938" priority="2950">
      <formula>AND(BW2&gt;=1,EZ2&lt;&gt;GetEquPower(BD2,BQ2, DB2, FV2))</formula>
    </cfRule>
  </conditionalFormatting>
  <conditionalFormatting sqref="FA2">
    <cfRule type="expression" dxfId="2937" priority="2951">
      <formula>AND(BW2&gt;=2,FA2&lt;&gt;0, GetEquPower(BD2,BQ2, DC2, FV2)=0)</formula>
    </cfRule>
    <cfRule type="expression" dxfId="2936" priority="2952">
      <formula>AND(BW2&gt;=2,FA2&lt;&gt;GetEquPower(BD2,BQ2, DC2, FV2))</formula>
    </cfRule>
  </conditionalFormatting>
  <conditionalFormatting sqref="FB2">
    <cfRule type="expression" dxfId="2935" priority="2953">
      <formula>AND(BW2&gt;=3,FB2&lt;&gt;0, GetEquPower(BD2,BQ2, DD2, FV2)=0)</formula>
    </cfRule>
    <cfRule type="expression" dxfId="2934" priority="2954">
      <formula>AND(BW2&gt;=3,FB2&lt;&gt;GetEquPower(BD2,BQ2, DD2, FV2))</formula>
    </cfRule>
  </conditionalFormatting>
  <conditionalFormatting sqref="FC2">
    <cfRule type="expression" dxfId="2933" priority="2969">
      <formula>AND(BW2&gt;=4,FC2&lt;&gt;0, GetEquPower(BD2,BQ2, DE2, FV2)=0)</formula>
    </cfRule>
    <cfRule type="expression" dxfId="2932" priority="2970">
      <formula>AND(BW2&gt;=4,FC2&lt;&gt;GetEquPower(BD2,BQ2, DE2, FV2))</formula>
    </cfRule>
  </conditionalFormatting>
  <conditionalFormatting sqref="FD2">
    <cfRule type="expression" dxfId="2931" priority="2989">
      <formula>AND(BW2&gt;=5,FD2&lt;&gt;0, GetEquPower(BD2,BQ2, DF2, FV2)=0)</formula>
    </cfRule>
    <cfRule type="expression" dxfId="2930" priority="2990">
      <formula>AND(BW2&gt;=5,FD2&lt;&gt;GetEquPower(BD2,BQ2, DF2, FV2))</formula>
    </cfRule>
  </conditionalFormatting>
  <conditionalFormatting sqref="FE2">
    <cfRule type="expression" dxfId="2929" priority="2991">
      <formula>AND(BW2&gt;=6,FE2&lt;&gt;0, GetEquPower(BD2,BQ2, DG2, FV2)=0)</formula>
    </cfRule>
    <cfRule type="expression" dxfId="2928" priority="2992">
      <formula>AND(BW2&gt;=6,FE2&lt;&gt;GetEquPower(BD2,BQ2, DG2, FV2))</formula>
    </cfRule>
  </conditionalFormatting>
  <conditionalFormatting sqref="FI2">
    <cfRule type="expression" dxfId="2927" priority="2955">
      <formula>AND(BX2&gt;=1,FI2&lt;&gt;0, GetEquPower(BE2,BR2, DI2, FW2)=0)</formula>
    </cfRule>
    <cfRule type="expression" dxfId="2926" priority="2956">
      <formula>AND(BX2&gt;=1,FI2&lt;&gt;GetEquPower(BE2,BR2, DI2, FW2))</formula>
    </cfRule>
  </conditionalFormatting>
  <conditionalFormatting sqref="FJ2">
    <cfRule type="expression" dxfId="2925" priority="2957">
      <formula>AND(BX2&gt;=2,FJ2&lt;&gt;0, GetEquPower(BE2,BR2, DJ2, FW2)=0)</formula>
    </cfRule>
    <cfRule type="expression" dxfId="2924" priority="2958">
      <formula>AND(BX2&gt;=2,FJ2&lt;&gt;GetEquPower(BE2,BR2, DJ2, FW2))</formula>
    </cfRule>
  </conditionalFormatting>
  <conditionalFormatting sqref="FK2">
    <cfRule type="expression" dxfId="2923" priority="2959">
      <formula>AND(BX2&gt;=3,FK2&lt;&gt;0, GetEquPower(BE2,BR2, DK2, FW2)=0)</formula>
    </cfRule>
    <cfRule type="expression" dxfId="2922" priority="2960">
      <formula>AND(BX2&gt;=3,FK2&lt;&gt;GetEquPower(BE2,BR2, DK2, FW2))</formula>
    </cfRule>
  </conditionalFormatting>
  <conditionalFormatting sqref="FL2">
    <cfRule type="expression" dxfId="2921" priority="2971">
      <formula>AND(BX2&gt;=4,FL2&lt;&gt;0, GetEquPower(BE2,BR2, DL2, FW2)=0)</formula>
    </cfRule>
    <cfRule type="expression" dxfId="2920" priority="2972">
      <formula>AND(BX2&gt;=4,FL2&lt;&gt;GetEquPower(BE2,BR2, DL2, FW2))</formula>
    </cfRule>
  </conditionalFormatting>
  <conditionalFormatting sqref="FM2">
    <cfRule type="expression" dxfId="2919" priority="2993">
      <formula>AND(BX2&gt;=5,FM2&lt;&gt;0, GetEquPower(BE2,BR2, DM2, FW2)=0)</formula>
    </cfRule>
    <cfRule type="expression" dxfId="2918" priority="2994">
      <formula>AND(BX2&gt;=5,FM2&lt;&gt;GetEquPower(BE2,BR2, DM2, FW2))</formula>
    </cfRule>
  </conditionalFormatting>
  <conditionalFormatting sqref="FN2">
    <cfRule type="expression" dxfId="2917" priority="2995">
      <formula>AND(BX2&gt;=6,FN2&lt;&gt;0, GetEquPower(BE2,BR2, DN2, FW2)=0)</formula>
    </cfRule>
    <cfRule type="expression" dxfId="2916" priority="2996">
      <formula>AND(BX2&gt;=6,FN2&lt;&gt;GetEquPower(BE2,BR2, DN2, FW2))</formula>
    </cfRule>
  </conditionalFormatting>
  <conditionalFormatting sqref="F3">
    <cfRule type="expression" dxfId="2915" priority="2843">
      <formula>F3&lt;&gt;RIGHT(SUBSTITUTE(TRIM(E3),".",""),LEN(F3))</formula>
    </cfRule>
  </conditionalFormatting>
  <conditionalFormatting sqref="BS3">
    <cfRule type="expression" dxfId="2914" priority="2842">
      <formula>AND(J3&gt;=1,BS3&lt;1)</formula>
    </cfRule>
  </conditionalFormatting>
  <conditionalFormatting sqref="BT3">
    <cfRule type="expression" dxfId="2913" priority="2841">
      <formula>AND(J3&gt;=2,BT3&lt;1)</formula>
    </cfRule>
  </conditionalFormatting>
  <conditionalFormatting sqref="BU3">
    <cfRule type="expression" dxfId="2912" priority="2839">
      <formula>AND(J3&gt;=3,BU3&lt;1)</formula>
    </cfRule>
  </conditionalFormatting>
  <conditionalFormatting sqref="BV3">
    <cfRule type="expression" dxfId="2911" priority="2838">
      <formula>AND(J3&gt;=4,BV3&lt;1)</formula>
    </cfRule>
  </conditionalFormatting>
  <conditionalFormatting sqref="BW3">
    <cfRule type="expression" dxfId="2910" priority="2840">
      <formula>AND(J3&gt;=5,BW3&lt;1)</formula>
    </cfRule>
  </conditionalFormatting>
  <conditionalFormatting sqref="BX3">
    <cfRule type="expression" dxfId="2909" priority="2837">
      <formula>AND(J3&gt;=6,BX3&lt;1)</formula>
    </cfRule>
  </conditionalFormatting>
  <conditionalFormatting sqref="IC3">
    <cfRule type="expression" dxfId="2908" priority="2916">
      <formula>AND($S3 = TRUE, $IC3&lt;&gt;OptionsUnitCode)</formula>
    </cfRule>
  </conditionalFormatting>
  <conditionalFormatting sqref="B3:II3">
    <cfRule type="containsErrors" dxfId="2907" priority="2836">
      <formula>ISERROR(B3)</formula>
    </cfRule>
  </conditionalFormatting>
  <conditionalFormatting sqref="DP3">
    <cfRule type="expression" dxfId="2906" priority="2844">
      <formula>AND(BS3&gt;=1,DP3&lt;&gt;0, GetEquPower(AZ3,BM3, BZ3, FR3)=0)</formula>
    </cfRule>
    <cfRule type="expression" dxfId="2905" priority="2845">
      <formula>AND(BS3&gt;=1,DP3&lt;&gt;GetEquPower(AZ3,BM3, BZ3, FR3))</formula>
    </cfRule>
  </conditionalFormatting>
  <conditionalFormatting sqref="DQ3">
    <cfRule type="expression" dxfId="2904" priority="2846">
      <formula>AND(BS3&gt;=2,DQ3&lt;&gt;0, GetEquPower(AZ3,BM3, CA3, FR3)=0)</formula>
    </cfRule>
    <cfRule type="expression" dxfId="2903" priority="2847">
      <formula>AND(BS3&gt;=2,DQ3&lt;&gt;GetEquPower(AZ3,BM3, CA3, FR3))</formula>
    </cfRule>
  </conditionalFormatting>
  <conditionalFormatting sqref="DR3">
    <cfRule type="expression" dxfId="2902" priority="2848">
      <formula>AND(BS3&gt;=3,DR3&lt;&gt;0, GetEquPower(AZ3,BM3, CB3, FR3)=0)</formula>
    </cfRule>
    <cfRule type="expression" dxfId="2901" priority="2849">
      <formula>AND(BS3&gt;=3,DR3&lt;&gt;GetEquPower(AZ3,BM3, CB3, FR3))</formula>
    </cfRule>
  </conditionalFormatting>
  <conditionalFormatting sqref="DS3">
    <cfRule type="expression" dxfId="2900" priority="2880">
      <formula>AND(BS3&gt;=4,DS3&lt;&gt;0, GetEquPower(AZ3,BM3, CC3, FR3)=0)</formula>
    </cfRule>
    <cfRule type="expression" dxfId="2899" priority="2881">
      <formula>AND(BS3&gt;=4, DS3&lt;&gt;GetEquPower(AZ3,BM3, CC3, FR3))</formula>
    </cfRule>
  </conditionalFormatting>
  <conditionalFormatting sqref="DT3">
    <cfRule type="expression" dxfId="2898" priority="2892">
      <formula>AND(BS3&gt;=5,DT3&lt;&gt;0, GetEquPower(AZ3,BM3, CD3, FR3)=0)</formula>
    </cfRule>
    <cfRule type="expression" dxfId="2897" priority="2893">
      <formula>AND(BS3&gt;=5, DT3&lt;&gt;GetEquPower(AZ3,BM3, CD3, FR3))</formula>
    </cfRule>
  </conditionalFormatting>
  <conditionalFormatting sqref="DU3">
    <cfRule type="expression" dxfId="2896" priority="2894">
      <formula>AND(BS3&gt;=6,DU3&lt;&gt;0, GetEquPower(AZ3,BM3, CE3, FR3)=0)</formula>
    </cfRule>
    <cfRule type="expression" dxfId="2895" priority="2895">
      <formula>AND(BS3&gt;=6, DU3&lt;&gt;GetEquPower(AZ3,BM3, CE3, FR3))</formula>
    </cfRule>
  </conditionalFormatting>
  <conditionalFormatting sqref="DY3">
    <cfRule type="expression" dxfId="2894" priority="2850">
      <formula>AND(BT3&gt;=1,DY3&lt;&gt;0, GetEquPower(BA3,BN3, CG3, FS3)=0)</formula>
    </cfRule>
    <cfRule type="expression" dxfId="2893" priority="2851">
      <formula>AND(BT3&gt;=1,DY3&lt;&gt;GetEquPower(BA3,BN3, CG3, FS3))</formula>
    </cfRule>
  </conditionalFormatting>
  <conditionalFormatting sqref="DZ3">
    <cfRule type="expression" dxfId="2892" priority="2852">
      <formula>AND(BT3&gt;=2,DZ3&lt;&gt;0, GetEquPower(BA3,BN3, CH3, FS3)=0)</formula>
    </cfRule>
    <cfRule type="expression" dxfId="2891" priority="2853">
      <formula>AND(BT3&gt;=2,DZ3&lt;&gt;GetEquPower(BA3,BN3, CH3, FS3))</formula>
    </cfRule>
  </conditionalFormatting>
  <conditionalFormatting sqref="EA3">
    <cfRule type="expression" dxfId="2890" priority="2854">
      <formula>AND(BT3&gt;=3,EA3&lt;&gt;0, GetEquPower(BA3,BN3, CI3, FS3)=0)</formula>
    </cfRule>
    <cfRule type="expression" dxfId="2889" priority="2855">
      <formula>AND(BT3&gt;=3,EA3&lt;&gt;GetEquPower(BA3,BN3, CI3, FS3))</formula>
    </cfRule>
  </conditionalFormatting>
  <conditionalFormatting sqref="EB3">
    <cfRule type="expression" dxfId="2888" priority="2882">
      <formula>AND(BT3&gt;=4,EB3&lt;&gt;0, GetEquPower(BA3,BN3, CJ3, FS3)=0)</formula>
    </cfRule>
    <cfRule type="expression" dxfId="2887" priority="2883">
      <formula>AND(BT3&gt;=4,EB3&lt;&gt;GetEquPower(BA3,BN3, CJ3, FS3))</formula>
    </cfRule>
  </conditionalFormatting>
  <conditionalFormatting sqref="EC3">
    <cfRule type="expression" dxfId="2886" priority="2896">
      <formula>AND(BT3&gt;=5,EC3&lt;&gt;0, GetEquPower(BA3,BN3, CK3, FS3)=0)</formula>
    </cfRule>
    <cfRule type="expression" dxfId="2885" priority="2897">
      <formula>AND(BT3&gt;=5,EC3&lt;&gt;GetEquPower(BA3,BN3, CK3, FS3))</formula>
    </cfRule>
  </conditionalFormatting>
  <conditionalFormatting sqref="ED3">
    <cfRule type="expression" dxfId="2884" priority="2898">
      <formula>AND(BT3&gt;=6,ED3&lt;&gt;0, GetEquPower(BA3,BN3, CL3, FS3)=0)</formula>
    </cfRule>
    <cfRule type="expression" dxfId="2883" priority="2899">
      <formula>AND(BT3&gt;=6,ED3&lt;&gt;GetEquPower(BA3,BN3, CL3, FS3))</formula>
    </cfRule>
  </conditionalFormatting>
  <conditionalFormatting sqref="EH3">
    <cfRule type="expression" dxfId="2882" priority="2856">
      <formula>AND(BU3&gt;=1,EH3&lt;&gt;0, GetEquPower(BB3,BO3, CN3, FT3)=0)</formula>
    </cfRule>
    <cfRule type="expression" dxfId="2881" priority="2857">
      <formula>AND(BU3&gt;=1,EH3&lt;&gt;GetEquPower(BB3,BO3, CN3, FT3))</formula>
    </cfRule>
  </conditionalFormatting>
  <conditionalFormatting sqref="EI3">
    <cfRule type="expression" dxfId="2880" priority="2858">
      <formula>AND(BU3&gt;=2,EI3&lt;&gt;0, GetEquPower(BB3,BO3, CO3, FT3)=0)</formula>
    </cfRule>
    <cfRule type="expression" dxfId="2879" priority="2859">
      <formula xml:space="preserve"> AND(BU3&gt;=2,EI3&lt;&gt;GetEquPower(BB3,BO3, CO3, FT3))</formula>
    </cfRule>
  </conditionalFormatting>
  <conditionalFormatting sqref="EJ3">
    <cfRule type="expression" dxfId="2878" priority="2860">
      <formula>AND(BU3&gt;=3,EJ3&lt;&gt;0, GetEquPower(BB3,BO3, CP3, FT3)=0)</formula>
    </cfRule>
    <cfRule type="expression" dxfId="2877" priority="2861">
      <formula xml:space="preserve"> AND(BU3&gt;=3,EJ3&lt;&gt;GetEquPower(BB3,BO3, CP3, FT3))</formula>
    </cfRule>
  </conditionalFormatting>
  <conditionalFormatting sqref="EK3">
    <cfRule type="expression" dxfId="2876" priority="2884">
      <formula>AND(BU3&gt;=4,EK3&lt;&gt;0, GetEquPower(BB3,BO3, CQ3, FT3)=0)</formula>
    </cfRule>
    <cfRule type="expression" dxfId="2875" priority="2885">
      <formula xml:space="preserve"> AND(BU3&gt;=4,EK3&lt;&gt;GetEquPower(BB3,BO3, CQ3, FT3))</formula>
    </cfRule>
  </conditionalFormatting>
  <conditionalFormatting sqref="EL3">
    <cfRule type="expression" dxfId="2874" priority="2900">
      <formula>AND(BU3&gt;=5,EL3&lt;&gt;0, GetEquPower(BB3,BO3, CR3, FT3)=0)</formula>
    </cfRule>
    <cfRule type="expression" dxfId="2873" priority="2901">
      <formula xml:space="preserve"> AND(BU3&gt;=5,EL3&lt;&gt;GetEquPower(BB3,BO3, CR3, FT3))</formula>
    </cfRule>
  </conditionalFormatting>
  <conditionalFormatting sqref="EM3">
    <cfRule type="expression" dxfId="2872" priority="2902">
      <formula>AND(BU3&gt;=6,EM3&lt;&gt;0, GetEquPower(BB3,BO3, CS3, FT3)=0)</formula>
    </cfRule>
    <cfRule type="expression" dxfId="2871" priority="2903">
      <formula xml:space="preserve"> AND(BU3&gt;=6,EM3&lt;&gt;GetEquPower(BB3,BO3, CS3, FT3))</formula>
    </cfRule>
  </conditionalFormatting>
  <conditionalFormatting sqref="EQ3">
    <cfRule type="expression" dxfId="2870" priority="2862">
      <formula>AND(BV3&gt;=1,EQ3&lt;&gt;0, GetEquPower(BC3,BP3, CU3, FU3)=0)</formula>
    </cfRule>
    <cfRule type="expression" dxfId="2869" priority="2863">
      <formula>AND(BV3&gt;=1,EQ3&lt;&gt;GetEquPower(BC3,BP3, CU3, FU3))</formula>
    </cfRule>
  </conditionalFormatting>
  <conditionalFormatting sqref="ER3">
    <cfRule type="expression" dxfId="2868" priority="2864">
      <formula>AND(BV3&gt;=2,ER3&lt;&gt;0, GetEquPower(BC3,BP3, CV3, FU3)=0)</formula>
    </cfRule>
    <cfRule type="expression" dxfId="2867" priority="2865">
      <formula>AND(BV3&gt;=2,ER3&lt;&gt;GetEquPower(BC3,BP3, CV3, FU3))</formula>
    </cfRule>
  </conditionalFormatting>
  <conditionalFormatting sqref="ES3">
    <cfRule type="expression" dxfId="2866" priority="2866">
      <formula>AND(BV3&gt;=3,ES3&lt;&gt;0, GetEquPower(BC3,BP3, CW3, FU3)=0)</formula>
    </cfRule>
    <cfRule type="expression" dxfId="2865" priority="2867">
      <formula>AND(BV3&gt;=3,ES3&lt;&gt;GetEquPower(BC3,BP3, CW3, FU3))</formula>
    </cfRule>
  </conditionalFormatting>
  <conditionalFormatting sqref="ET3">
    <cfRule type="expression" dxfId="2864" priority="2886">
      <formula>AND(BV3&gt;=4,ET3&lt;&gt;0, GetEquPower(BC3,BP3, CX3, FU3)=0)</formula>
    </cfRule>
    <cfRule type="expression" dxfId="2863" priority="2887">
      <formula>AND(BV3&gt;=4,ET3&lt;&gt;GetEquPower(BC3,BP3, CX3, FU3))</formula>
    </cfRule>
  </conditionalFormatting>
  <conditionalFormatting sqref="EU3">
    <cfRule type="expression" dxfId="2862" priority="2904">
      <formula>AND(BV3&gt;=5,EU3&lt;&gt;0, GetEquPower(BC3,BP3, CY3, FU3)=0)</formula>
    </cfRule>
    <cfRule type="expression" dxfId="2861" priority="2905">
      <formula>AND(BV3&gt;=5,EU3&lt;&gt;GetEquPower(BC3,BP3, CY3, FU3))</formula>
    </cfRule>
  </conditionalFormatting>
  <conditionalFormatting sqref="EV3">
    <cfRule type="expression" dxfId="2860" priority="2906">
      <formula>AND(BV3&gt;=6,EV3&lt;&gt;0, GetEquPower(BC3,BP3, CZ3, FU3)=0)</formula>
    </cfRule>
    <cfRule type="expression" dxfId="2859" priority="2907">
      <formula>AND(BV3&gt;=6,EV3&lt;&gt;GetEquPower(BC3,BP3, CZ3, FU3))</formula>
    </cfRule>
  </conditionalFormatting>
  <conditionalFormatting sqref="EZ3">
    <cfRule type="expression" dxfId="2858" priority="2868">
      <formula>AND(BW3&gt;=1,EZ3&lt;&gt;0, GetEquPower(BD3,BQ3, DB3, FV3)=0)</formula>
    </cfRule>
    <cfRule type="expression" dxfId="2857" priority="2869">
      <formula>AND(BW3&gt;=1,EZ3&lt;&gt;GetEquPower(BD3,BQ3, DB3, FV3))</formula>
    </cfRule>
  </conditionalFormatting>
  <conditionalFormatting sqref="FA3">
    <cfRule type="expression" dxfId="2856" priority="2870">
      <formula>AND(BW3&gt;=2,FA3&lt;&gt;0, GetEquPower(BD3,BQ3, DC3, FV3)=0)</formula>
    </cfRule>
    <cfRule type="expression" dxfId="2855" priority="2871">
      <formula>AND(BW3&gt;=2,FA3&lt;&gt;GetEquPower(BD3,BQ3, DC3, FV3))</formula>
    </cfRule>
  </conditionalFormatting>
  <conditionalFormatting sqref="FB3">
    <cfRule type="expression" dxfId="2854" priority="2872">
      <formula>AND(BW3&gt;=3,FB3&lt;&gt;0, GetEquPower(BD3,BQ3, DD3, FV3)=0)</formula>
    </cfRule>
    <cfRule type="expression" dxfId="2853" priority="2873">
      <formula>AND(BW3&gt;=3,FB3&lt;&gt;GetEquPower(BD3,BQ3, DD3, FV3))</formula>
    </cfRule>
  </conditionalFormatting>
  <conditionalFormatting sqref="FC3">
    <cfRule type="expression" dxfId="2852" priority="2888">
      <formula>AND(BW3&gt;=4,FC3&lt;&gt;0, GetEquPower(BD3,BQ3, DE3, FV3)=0)</formula>
    </cfRule>
    <cfRule type="expression" dxfId="2851" priority="2889">
      <formula>AND(BW3&gt;=4,FC3&lt;&gt;GetEquPower(BD3,BQ3, DE3, FV3))</formula>
    </cfRule>
  </conditionalFormatting>
  <conditionalFormatting sqref="FD3">
    <cfRule type="expression" dxfId="2850" priority="2908">
      <formula>AND(BW3&gt;=5,FD3&lt;&gt;0, GetEquPower(BD3,BQ3, DF3, FV3)=0)</formula>
    </cfRule>
    <cfRule type="expression" dxfId="2849" priority="2909">
      <formula>AND(BW3&gt;=5,FD3&lt;&gt;GetEquPower(BD3,BQ3, DF3, FV3))</formula>
    </cfRule>
  </conditionalFormatting>
  <conditionalFormatting sqref="FE3">
    <cfRule type="expression" dxfId="2848" priority="2910">
      <formula>AND(BW3&gt;=6,FE3&lt;&gt;0, GetEquPower(BD3,BQ3, DG3, FV3)=0)</formula>
    </cfRule>
    <cfRule type="expression" dxfId="2847" priority="2911">
      <formula>AND(BW3&gt;=6,FE3&lt;&gt;GetEquPower(BD3,BQ3, DG3, FV3))</formula>
    </cfRule>
  </conditionalFormatting>
  <conditionalFormatting sqref="FI3">
    <cfRule type="expression" dxfId="2846" priority="2874">
      <formula>AND(BX3&gt;=1,FI3&lt;&gt;0, GetEquPower(BE3,BR3, DI3, FW3)=0)</formula>
    </cfRule>
    <cfRule type="expression" dxfId="2845" priority="2875">
      <formula>AND(BX3&gt;=1,FI3&lt;&gt;GetEquPower(BE3,BR3, DI3, FW3))</formula>
    </cfRule>
  </conditionalFormatting>
  <conditionalFormatting sqref="FJ3">
    <cfRule type="expression" dxfId="2844" priority="2876">
      <formula>AND(BX3&gt;=2,FJ3&lt;&gt;0, GetEquPower(BE3,BR3, DJ3, FW3)=0)</formula>
    </cfRule>
    <cfRule type="expression" dxfId="2843" priority="2877">
      <formula>AND(BX3&gt;=2,FJ3&lt;&gt;GetEquPower(BE3,BR3, DJ3, FW3))</formula>
    </cfRule>
  </conditionalFormatting>
  <conditionalFormatting sqref="FK3">
    <cfRule type="expression" dxfId="2842" priority="2878">
      <formula>AND(BX3&gt;=3,FK3&lt;&gt;0, GetEquPower(BE3,BR3, DK3, FW3)=0)</formula>
    </cfRule>
    <cfRule type="expression" dxfId="2841" priority="2879">
      <formula>AND(BX3&gt;=3,FK3&lt;&gt;GetEquPower(BE3,BR3, DK3, FW3))</formula>
    </cfRule>
  </conditionalFormatting>
  <conditionalFormatting sqref="FL3">
    <cfRule type="expression" dxfId="2840" priority="2890">
      <formula>AND(BX3&gt;=4,FL3&lt;&gt;0, GetEquPower(BE3,BR3, DL3, FW3)=0)</formula>
    </cfRule>
    <cfRule type="expression" dxfId="2839" priority="2891">
      <formula>AND(BX3&gt;=4,FL3&lt;&gt;GetEquPower(BE3,BR3, DL3, FW3))</formula>
    </cfRule>
  </conditionalFormatting>
  <conditionalFormatting sqref="FM3">
    <cfRule type="expression" dxfId="2838" priority="2912">
      <formula>AND(BX3&gt;=5,FM3&lt;&gt;0, GetEquPower(BE3,BR3, DM3, FW3)=0)</formula>
    </cfRule>
    <cfRule type="expression" dxfId="2837" priority="2913">
      <formula>AND(BX3&gt;=5,FM3&lt;&gt;GetEquPower(BE3,BR3, DM3, FW3))</formula>
    </cfRule>
  </conditionalFormatting>
  <conditionalFormatting sqref="FN3">
    <cfRule type="expression" dxfId="2836" priority="2914">
      <formula>AND(BX3&gt;=6,FN3&lt;&gt;0, GetEquPower(BE3,BR3, DN3, FW3)=0)</formula>
    </cfRule>
    <cfRule type="expression" dxfId="2835" priority="2915">
      <formula>AND(BX3&gt;=6,FN3&lt;&gt;GetEquPower(BE3,BR3, DN3, FW3))</formula>
    </cfRule>
  </conditionalFormatting>
  <conditionalFormatting sqref="F4">
    <cfRule type="expression" dxfId="2834" priority="2762">
      <formula>F4&lt;&gt;RIGHT(SUBSTITUTE(TRIM(E4),".",""),LEN(F4))</formula>
    </cfRule>
  </conditionalFormatting>
  <conditionalFormatting sqref="BS4">
    <cfRule type="expression" dxfId="2833" priority="2761">
      <formula>AND(J4&gt;=1,BS4&lt;1)</formula>
    </cfRule>
  </conditionalFormatting>
  <conditionalFormatting sqref="BT4">
    <cfRule type="expression" dxfId="2832" priority="2760">
      <formula>AND(J4&gt;=2,BT4&lt;1)</formula>
    </cfRule>
  </conditionalFormatting>
  <conditionalFormatting sqref="BU4">
    <cfRule type="expression" dxfId="2831" priority="2758">
      <formula>AND(J4&gt;=3,BU4&lt;1)</formula>
    </cfRule>
  </conditionalFormatting>
  <conditionalFormatting sqref="BV4">
    <cfRule type="expression" dxfId="2830" priority="2757">
      <formula>AND(J4&gt;=4,BV4&lt;1)</formula>
    </cfRule>
  </conditionalFormatting>
  <conditionalFormatting sqref="BW4">
    <cfRule type="expression" dxfId="2829" priority="2759">
      <formula>AND(J4&gt;=5,BW4&lt;1)</formula>
    </cfRule>
  </conditionalFormatting>
  <conditionalFormatting sqref="BX4">
    <cfRule type="expression" dxfId="2828" priority="2756">
      <formula>AND(J4&gt;=6,BX4&lt;1)</formula>
    </cfRule>
  </conditionalFormatting>
  <conditionalFormatting sqref="IC4">
    <cfRule type="expression" dxfId="2827" priority="2835">
      <formula>AND($S4 = TRUE, $IC4&lt;&gt;OptionsUnitCode)</formula>
    </cfRule>
  </conditionalFormatting>
  <conditionalFormatting sqref="B4:II4">
    <cfRule type="containsErrors" dxfId="2826" priority="2755">
      <formula>ISERROR(B4)</formula>
    </cfRule>
  </conditionalFormatting>
  <conditionalFormatting sqref="DP4">
    <cfRule type="expression" dxfId="2825" priority="2763">
      <formula>AND(BS4&gt;=1,DP4&lt;&gt;0, GetEquPower(AZ4,BM4, BZ4, FR4)=0)</formula>
    </cfRule>
    <cfRule type="expression" dxfId="2824" priority="2764">
      <formula>AND(BS4&gt;=1,DP4&lt;&gt;GetEquPower(AZ4,BM4, BZ4, FR4))</formula>
    </cfRule>
  </conditionalFormatting>
  <conditionalFormatting sqref="DQ4">
    <cfRule type="expression" dxfId="2823" priority="2765">
      <formula>AND(BS4&gt;=2,DQ4&lt;&gt;0, GetEquPower(AZ4,BM4, CA4, FR4)=0)</formula>
    </cfRule>
    <cfRule type="expression" dxfId="2822" priority="2766">
      <formula>AND(BS4&gt;=2,DQ4&lt;&gt;GetEquPower(AZ4,BM4, CA4, FR4))</formula>
    </cfRule>
  </conditionalFormatting>
  <conditionalFormatting sqref="DR4">
    <cfRule type="expression" dxfId="2821" priority="2767">
      <formula>AND(BS4&gt;=3,DR4&lt;&gt;0, GetEquPower(AZ4,BM4, CB4, FR4)=0)</formula>
    </cfRule>
    <cfRule type="expression" dxfId="2820" priority="2768">
      <formula>AND(BS4&gt;=3,DR4&lt;&gt;GetEquPower(AZ4,BM4, CB4, FR4))</formula>
    </cfRule>
  </conditionalFormatting>
  <conditionalFormatting sqref="DS4">
    <cfRule type="expression" dxfId="2819" priority="2799">
      <formula>AND(BS4&gt;=4,DS4&lt;&gt;0, GetEquPower(AZ4,BM4, CC4, FR4)=0)</formula>
    </cfRule>
    <cfRule type="expression" dxfId="2818" priority="2800">
      <formula>AND(BS4&gt;=4, DS4&lt;&gt;GetEquPower(AZ4,BM4, CC4, FR4))</formula>
    </cfRule>
  </conditionalFormatting>
  <conditionalFormatting sqref="DT4">
    <cfRule type="expression" dxfId="2817" priority="2811">
      <formula>AND(BS4&gt;=5,DT4&lt;&gt;0, GetEquPower(AZ4,BM4, CD4, FR4)=0)</formula>
    </cfRule>
    <cfRule type="expression" dxfId="2816" priority="2812">
      <formula>AND(BS4&gt;=5, DT4&lt;&gt;GetEquPower(AZ4,BM4, CD4, FR4))</formula>
    </cfRule>
  </conditionalFormatting>
  <conditionalFormatting sqref="DU4">
    <cfRule type="expression" dxfId="2815" priority="2813">
      <formula>AND(BS4&gt;=6,DU4&lt;&gt;0, GetEquPower(AZ4,BM4, CE4, FR4)=0)</formula>
    </cfRule>
    <cfRule type="expression" dxfId="2814" priority="2814">
      <formula>AND(BS4&gt;=6, DU4&lt;&gt;GetEquPower(AZ4,BM4, CE4, FR4))</formula>
    </cfRule>
  </conditionalFormatting>
  <conditionalFormatting sqref="DY4">
    <cfRule type="expression" dxfId="2813" priority="2769">
      <formula>AND(BT4&gt;=1,DY4&lt;&gt;0, GetEquPower(BA4,BN4, CG4, FS4)=0)</formula>
    </cfRule>
    <cfRule type="expression" dxfId="2812" priority="2770">
      <formula>AND(BT4&gt;=1,DY4&lt;&gt;GetEquPower(BA4,BN4, CG4, FS4))</formula>
    </cfRule>
  </conditionalFormatting>
  <conditionalFormatting sqref="DZ4">
    <cfRule type="expression" dxfId="2811" priority="2771">
      <formula>AND(BT4&gt;=2,DZ4&lt;&gt;0, GetEquPower(BA4,BN4, CH4, FS4)=0)</formula>
    </cfRule>
    <cfRule type="expression" dxfId="2810" priority="2772">
      <formula>AND(BT4&gt;=2,DZ4&lt;&gt;GetEquPower(BA4,BN4, CH4, FS4))</formula>
    </cfRule>
  </conditionalFormatting>
  <conditionalFormatting sqref="EA4">
    <cfRule type="expression" dxfId="2809" priority="2773">
      <formula>AND(BT4&gt;=3,EA4&lt;&gt;0, GetEquPower(BA4,BN4, CI4, FS4)=0)</formula>
    </cfRule>
    <cfRule type="expression" dxfId="2808" priority="2774">
      <formula>AND(BT4&gt;=3,EA4&lt;&gt;GetEquPower(BA4,BN4, CI4, FS4))</formula>
    </cfRule>
  </conditionalFormatting>
  <conditionalFormatting sqref="EB4">
    <cfRule type="expression" dxfId="2807" priority="2801">
      <formula>AND(BT4&gt;=4,EB4&lt;&gt;0, GetEquPower(BA4,BN4, CJ4, FS4)=0)</formula>
    </cfRule>
    <cfRule type="expression" dxfId="2806" priority="2802">
      <formula>AND(BT4&gt;=4,EB4&lt;&gt;GetEquPower(BA4,BN4, CJ4, FS4))</formula>
    </cfRule>
  </conditionalFormatting>
  <conditionalFormatting sqref="EC4">
    <cfRule type="expression" dxfId="2805" priority="2815">
      <formula>AND(BT4&gt;=5,EC4&lt;&gt;0, GetEquPower(BA4,BN4, CK4, FS4)=0)</formula>
    </cfRule>
    <cfRule type="expression" dxfId="2804" priority="2816">
      <formula>AND(BT4&gt;=5,EC4&lt;&gt;GetEquPower(BA4,BN4, CK4, FS4))</formula>
    </cfRule>
  </conditionalFormatting>
  <conditionalFormatting sqref="ED4">
    <cfRule type="expression" dxfId="2803" priority="2817">
      <formula>AND(BT4&gt;=6,ED4&lt;&gt;0, GetEquPower(BA4,BN4, CL4, FS4)=0)</formula>
    </cfRule>
    <cfRule type="expression" dxfId="2802" priority="2818">
      <formula>AND(BT4&gt;=6,ED4&lt;&gt;GetEquPower(BA4,BN4, CL4, FS4))</formula>
    </cfRule>
  </conditionalFormatting>
  <conditionalFormatting sqref="EH4">
    <cfRule type="expression" dxfId="2801" priority="2775">
      <formula>AND(BU4&gt;=1,EH4&lt;&gt;0, GetEquPower(BB4,BO4, CN4, FT4)=0)</formula>
    </cfRule>
    <cfRule type="expression" dxfId="2800" priority="2776">
      <formula>AND(BU4&gt;=1,EH4&lt;&gt;GetEquPower(BB4,BO4, CN4, FT4))</formula>
    </cfRule>
  </conditionalFormatting>
  <conditionalFormatting sqref="EI4">
    <cfRule type="expression" dxfId="2799" priority="2777">
      <formula>AND(BU4&gt;=2,EI4&lt;&gt;0, GetEquPower(BB4,BO4, CO4, FT4)=0)</formula>
    </cfRule>
    <cfRule type="expression" dxfId="2798" priority="2778">
      <formula xml:space="preserve"> AND(BU4&gt;=2,EI4&lt;&gt;GetEquPower(BB4,BO4, CO4, FT4))</formula>
    </cfRule>
  </conditionalFormatting>
  <conditionalFormatting sqref="EJ4">
    <cfRule type="expression" dxfId="2797" priority="2779">
      <formula>AND(BU4&gt;=3,EJ4&lt;&gt;0, GetEquPower(BB4,BO4, CP4, FT4)=0)</formula>
    </cfRule>
    <cfRule type="expression" dxfId="2796" priority="2780">
      <formula xml:space="preserve"> AND(BU4&gt;=3,EJ4&lt;&gt;GetEquPower(BB4,BO4, CP4, FT4))</formula>
    </cfRule>
  </conditionalFormatting>
  <conditionalFormatting sqref="EK4">
    <cfRule type="expression" dxfId="2795" priority="2803">
      <formula>AND(BU4&gt;=4,EK4&lt;&gt;0, GetEquPower(BB4,BO4, CQ4, FT4)=0)</formula>
    </cfRule>
    <cfRule type="expression" dxfId="2794" priority="2804">
      <formula xml:space="preserve"> AND(BU4&gt;=4,EK4&lt;&gt;GetEquPower(BB4,BO4, CQ4, FT4))</formula>
    </cfRule>
  </conditionalFormatting>
  <conditionalFormatting sqref="EL4">
    <cfRule type="expression" dxfId="2793" priority="2819">
      <formula>AND(BU4&gt;=5,EL4&lt;&gt;0, GetEquPower(BB4,BO4, CR4, FT4)=0)</formula>
    </cfRule>
    <cfRule type="expression" dxfId="2792" priority="2820">
      <formula xml:space="preserve"> AND(BU4&gt;=5,EL4&lt;&gt;GetEquPower(BB4,BO4, CR4, FT4))</formula>
    </cfRule>
  </conditionalFormatting>
  <conditionalFormatting sqref="EM4">
    <cfRule type="expression" dxfId="2791" priority="2821">
      <formula>AND(BU4&gt;=6,EM4&lt;&gt;0, GetEquPower(BB4,BO4, CS4, FT4)=0)</formula>
    </cfRule>
    <cfRule type="expression" dxfId="2790" priority="2822">
      <formula xml:space="preserve"> AND(BU4&gt;=6,EM4&lt;&gt;GetEquPower(BB4,BO4, CS4, FT4))</formula>
    </cfRule>
  </conditionalFormatting>
  <conditionalFormatting sqref="EQ4">
    <cfRule type="expression" dxfId="2789" priority="2781">
      <formula>AND(BV4&gt;=1,EQ4&lt;&gt;0, GetEquPower(BC4,BP4, CU4, FU4)=0)</formula>
    </cfRule>
    <cfRule type="expression" dxfId="2788" priority="2782">
      <formula>AND(BV4&gt;=1,EQ4&lt;&gt;GetEquPower(BC4,BP4, CU4, FU4))</formula>
    </cfRule>
  </conditionalFormatting>
  <conditionalFormatting sqref="ER4">
    <cfRule type="expression" dxfId="2787" priority="2783">
      <formula>AND(BV4&gt;=2,ER4&lt;&gt;0, GetEquPower(BC4,BP4, CV4, FU4)=0)</formula>
    </cfRule>
    <cfRule type="expression" dxfId="2786" priority="2784">
      <formula>AND(BV4&gt;=2,ER4&lt;&gt;GetEquPower(BC4,BP4, CV4, FU4))</formula>
    </cfRule>
  </conditionalFormatting>
  <conditionalFormatting sqref="ES4">
    <cfRule type="expression" dxfId="2785" priority="2785">
      <formula>AND(BV4&gt;=3,ES4&lt;&gt;0, GetEquPower(BC4,BP4, CW4, FU4)=0)</formula>
    </cfRule>
    <cfRule type="expression" dxfId="2784" priority="2786">
      <formula>AND(BV4&gt;=3,ES4&lt;&gt;GetEquPower(BC4,BP4, CW4, FU4))</formula>
    </cfRule>
  </conditionalFormatting>
  <conditionalFormatting sqref="ET4">
    <cfRule type="expression" dxfId="2783" priority="2805">
      <formula>AND(BV4&gt;=4,ET4&lt;&gt;0, GetEquPower(BC4,BP4, CX4, FU4)=0)</formula>
    </cfRule>
    <cfRule type="expression" dxfId="2782" priority="2806">
      <formula>AND(BV4&gt;=4,ET4&lt;&gt;GetEquPower(BC4,BP4, CX4, FU4))</formula>
    </cfRule>
  </conditionalFormatting>
  <conditionalFormatting sqref="EU4">
    <cfRule type="expression" dxfId="2781" priority="2823">
      <formula>AND(BV4&gt;=5,EU4&lt;&gt;0, GetEquPower(BC4,BP4, CY4, FU4)=0)</formula>
    </cfRule>
    <cfRule type="expression" dxfId="2780" priority="2824">
      <formula>AND(BV4&gt;=5,EU4&lt;&gt;GetEquPower(BC4,BP4, CY4, FU4))</formula>
    </cfRule>
  </conditionalFormatting>
  <conditionalFormatting sqref="EV4">
    <cfRule type="expression" dxfId="2779" priority="2825">
      <formula>AND(BV4&gt;=6,EV4&lt;&gt;0, GetEquPower(BC4,BP4, CZ4, FU4)=0)</formula>
    </cfRule>
    <cfRule type="expression" dxfId="2778" priority="2826">
      <formula>AND(BV4&gt;=6,EV4&lt;&gt;GetEquPower(BC4,BP4, CZ4, FU4))</formula>
    </cfRule>
  </conditionalFormatting>
  <conditionalFormatting sqref="EZ4">
    <cfRule type="expression" dxfId="2777" priority="2787">
      <formula>AND(BW4&gt;=1,EZ4&lt;&gt;0, GetEquPower(BD4,BQ4, DB4, FV4)=0)</formula>
    </cfRule>
    <cfRule type="expression" dxfId="2776" priority="2788">
      <formula>AND(BW4&gt;=1,EZ4&lt;&gt;GetEquPower(BD4,BQ4, DB4, FV4))</formula>
    </cfRule>
  </conditionalFormatting>
  <conditionalFormatting sqref="FA4">
    <cfRule type="expression" dxfId="2775" priority="2789">
      <formula>AND(BW4&gt;=2,FA4&lt;&gt;0, GetEquPower(BD4,BQ4, DC4, FV4)=0)</formula>
    </cfRule>
    <cfRule type="expression" dxfId="2774" priority="2790">
      <formula>AND(BW4&gt;=2,FA4&lt;&gt;GetEquPower(BD4,BQ4, DC4, FV4))</formula>
    </cfRule>
  </conditionalFormatting>
  <conditionalFormatting sqref="FB4">
    <cfRule type="expression" dxfId="2773" priority="2791">
      <formula>AND(BW4&gt;=3,FB4&lt;&gt;0, GetEquPower(BD4,BQ4, DD4, FV4)=0)</formula>
    </cfRule>
    <cfRule type="expression" dxfId="2772" priority="2792">
      <formula>AND(BW4&gt;=3,FB4&lt;&gt;GetEquPower(BD4,BQ4, DD4, FV4))</formula>
    </cfRule>
  </conditionalFormatting>
  <conditionalFormatting sqref="FC4">
    <cfRule type="expression" dxfId="2771" priority="2807">
      <formula>AND(BW4&gt;=4,FC4&lt;&gt;0, GetEquPower(BD4,BQ4, DE4, FV4)=0)</formula>
    </cfRule>
    <cfRule type="expression" dxfId="2770" priority="2808">
      <formula>AND(BW4&gt;=4,FC4&lt;&gt;GetEquPower(BD4,BQ4, DE4, FV4))</formula>
    </cfRule>
  </conditionalFormatting>
  <conditionalFormatting sqref="FD4">
    <cfRule type="expression" dxfId="2769" priority="2827">
      <formula>AND(BW4&gt;=5,FD4&lt;&gt;0, GetEquPower(BD4,BQ4, DF4, FV4)=0)</formula>
    </cfRule>
    <cfRule type="expression" dxfId="2768" priority="2828">
      <formula>AND(BW4&gt;=5,FD4&lt;&gt;GetEquPower(BD4,BQ4, DF4, FV4))</formula>
    </cfRule>
  </conditionalFormatting>
  <conditionalFormatting sqref="FE4">
    <cfRule type="expression" dxfId="2767" priority="2829">
      <formula>AND(BW4&gt;=6,FE4&lt;&gt;0, GetEquPower(BD4,BQ4, DG4, FV4)=0)</formula>
    </cfRule>
    <cfRule type="expression" dxfId="2766" priority="2830">
      <formula>AND(BW4&gt;=6,FE4&lt;&gt;GetEquPower(BD4,BQ4, DG4, FV4))</formula>
    </cfRule>
  </conditionalFormatting>
  <conditionalFormatting sqref="FI4">
    <cfRule type="expression" dxfId="2765" priority="2793">
      <formula>AND(BX4&gt;=1,FI4&lt;&gt;0, GetEquPower(BE4,BR4, DI4, FW4)=0)</formula>
    </cfRule>
    <cfRule type="expression" dxfId="2764" priority="2794">
      <formula>AND(BX4&gt;=1,FI4&lt;&gt;GetEquPower(BE4,BR4, DI4, FW4))</formula>
    </cfRule>
  </conditionalFormatting>
  <conditionalFormatting sqref="FJ4">
    <cfRule type="expression" dxfId="2763" priority="2795">
      <formula>AND(BX4&gt;=2,FJ4&lt;&gt;0, GetEquPower(BE4,BR4, DJ4, FW4)=0)</formula>
    </cfRule>
    <cfRule type="expression" dxfId="2762" priority="2796">
      <formula>AND(BX4&gt;=2,FJ4&lt;&gt;GetEquPower(BE4,BR4, DJ4, FW4))</formula>
    </cfRule>
  </conditionalFormatting>
  <conditionalFormatting sqref="FK4">
    <cfRule type="expression" dxfId="2761" priority="2797">
      <formula>AND(BX4&gt;=3,FK4&lt;&gt;0, GetEquPower(BE4,BR4, DK4, FW4)=0)</formula>
    </cfRule>
    <cfRule type="expression" dxfId="2760" priority="2798">
      <formula>AND(BX4&gt;=3,FK4&lt;&gt;GetEquPower(BE4,BR4, DK4, FW4))</formula>
    </cfRule>
  </conditionalFormatting>
  <conditionalFormatting sqref="FL4">
    <cfRule type="expression" dxfId="2759" priority="2809">
      <formula>AND(BX4&gt;=4,FL4&lt;&gt;0, GetEquPower(BE4,BR4, DL4, FW4)=0)</formula>
    </cfRule>
    <cfRule type="expression" dxfId="2758" priority="2810">
      <formula>AND(BX4&gt;=4,FL4&lt;&gt;GetEquPower(BE4,BR4, DL4, FW4))</formula>
    </cfRule>
  </conditionalFormatting>
  <conditionalFormatting sqref="FM4">
    <cfRule type="expression" dxfId="2757" priority="2831">
      <formula>AND(BX4&gt;=5,FM4&lt;&gt;0, GetEquPower(BE4,BR4, DM4, FW4)=0)</formula>
    </cfRule>
    <cfRule type="expression" dxfId="2756" priority="2832">
      <formula>AND(BX4&gt;=5,FM4&lt;&gt;GetEquPower(BE4,BR4, DM4, FW4))</formula>
    </cfRule>
  </conditionalFormatting>
  <conditionalFormatting sqref="FN4">
    <cfRule type="expression" dxfId="2755" priority="2833">
      <formula>AND(BX4&gt;=6,FN4&lt;&gt;0, GetEquPower(BE4,BR4, DN4, FW4)=0)</formula>
    </cfRule>
    <cfRule type="expression" dxfId="2754" priority="2834">
      <formula>AND(BX4&gt;=6,FN4&lt;&gt;GetEquPower(BE4,BR4, DN4, FW4))</formula>
    </cfRule>
  </conditionalFormatting>
  <conditionalFormatting sqref="F5">
    <cfRule type="expression" dxfId="2753" priority="2681">
      <formula>F5&lt;&gt;RIGHT(SUBSTITUTE(TRIM(E5),".",""),LEN(F5))</formula>
    </cfRule>
  </conditionalFormatting>
  <conditionalFormatting sqref="BS5">
    <cfRule type="expression" dxfId="2752" priority="2680">
      <formula>AND(J5&gt;=1,BS5&lt;1)</formula>
    </cfRule>
  </conditionalFormatting>
  <conditionalFormatting sqref="BT5">
    <cfRule type="expression" dxfId="2751" priority="2679">
      <formula>AND(J5&gt;=2,BT5&lt;1)</formula>
    </cfRule>
  </conditionalFormatting>
  <conditionalFormatting sqref="BU5">
    <cfRule type="expression" dxfId="2750" priority="2677">
      <formula>AND(J5&gt;=3,BU5&lt;1)</formula>
    </cfRule>
  </conditionalFormatting>
  <conditionalFormatting sqref="BV5">
    <cfRule type="expression" dxfId="2749" priority="2676">
      <formula>AND(J5&gt;=4,BV5&lt;1)</formula>
    </cfRule>
  </conditionalFormatting>
  <conditionalFormatting sqref="BW5">
    <cfRule type="expression" dxfId="2748" priority="2678">
      <formula>AND(J5&gt;=5,BW5&lt;1)</formula>
    </cfRule>
  </conditionalFormatting>
  <conditionalFormatting sqref="BX5">
    <cfRule type="expression" dxfId="2747" priority="2675">
      <formula>AND(J5&gt;=6,BX5&lt;1)</formula>
    </cfRule>
  </conditionalFormatting>
  <conditionalFormatting sqref="IC5">
    <cfRule type="expression" dxfId="2746" priority="2754">
      <formula>AND($S5 = TRUE, $IC5&lt;&gt;OptionsUnitCode)</formula>
    </cfRule>
  </conditionalFormatting>
  <conditionalFormatting sqref="B5:II5">
    <cfRule type="containsErrors" dxfId="2745" priority="2674">
      <formula>ISERROR(B5)</formula>
    </cfRule>
  </conditionalFormatting>
  <conditionalFormatting sqref="DP5">
    <cfRule type="expression" dxfId="2744" priority="2682">
      <formula>AND(BS5&gt;=1,DP5&lt;&gt;0, GetEquPower(AZ5,BM5, BZ5, FR5)=0)</formula>
    </cfRule>
    <cfRule type="expression" dxfId="2743" priority="2683">
      <formula>AND(BS5&gt;=1,DP5&lt;&gt;GetEquPower(AZ5,BM5, BZ5, FR5))</formula>
    </cfRule>
  </conditionalFormatting>
  <conditionalFormatting sqref="DQ5">
    <cfRule type="expression" dxfId="2742" priority="2684">
      <formula>AND(BS5&gt;=2,DQ5&lt;&gt;0, GetEquPower(AZ5,BM5, CA5, FR5)=0)</formula>
    </cfRule>
    <cfRule type="expression" dxfId="2741" priority="2685">
      <formula>AND(BS5&gt;=2,DQ5&lt;&gt;GetEquPower(AZ5,BM5, CA5, FR5))</formula>
    </cfRule>
  </conditionalFormatting>
  <conditionalFormatting sqref="DR5">
    <cfRule type="expression" dxfId="2740" priority="2686">
      <formula>AND(BS5&gt;=3,DR5&lt;&gt;0, GetEquPower(AZ5,BM5, CB5, FR5)=0)</formula>
    </cfRule>
    <cfRule type="expression" dxfId="2739" priority="2687">
      <formula>AND(BS5&gt;=3,DR5&lt;&gt;GetEquPower(AZ5,BM5, CB5, FR5))</formula>
    </cfRule>
  </conditionalFormatting>
  <conditionalFormatting sqref="DS5">
    <cfRule type="expression" dxfId="2738" priority="2718">
      <formula>AND(BS5&gt;=4,DS5&lt;&gt;0, GetEquPower(AZ5,BM5, CC5, FR5)=0)</formula>
    </cfRule>
    <cfRule type="expression" dxfId="2737" priority="2719">
      <formula>AND(BS5&gt;=4, DS5&lt;&gt;GetEquPower(AZ5,BM5, CC5, FR5))</formula>
    </cfRule>
  </conditionalFormatting>
  <conditionalFormatting sqref="DT5">
    <cfRule type="expression" dxfId="2736" priority="2730">
      <formula>AND(BS5&gt;=5,DT5&lt;&gt;0, GetEquPower(AZ5,BM5, CD5, FR5)=0)</formula>
    </cfRule>
    <cfRule type="expression" dxfId="2735" priority="2731">
      <formula>AND(BS5&gt;=5, DT5&lt;&gt;GetEquPower(AZ5,BM5, CD5, FR5))</formula>
    </cfRule>
  </conditionalFormatting>
  <conditionalFormatting sqref="DU5">
    <cfRule type="expression" dxfId="2734" priority="2732">
      <formula>AND(BS5&gt;=6,DU5&lt;&gt;0, GetEquPower(AZ5,BM5, CE5, FR5)=0)</formula>
    </cfRule>
    <cfRule type="expression" dxfId="2733" priority="2733">
      <formula>AND(BS5&gt;=6, DU5&lt;&gt;GetEquPower(AZ5,BM5, CE5, FR5))</formula>
    </cfRule>
  </conditionalFormatting>
  <conditionalFormatting sqref="DY5">
    <cfRule type="expression" dxfId="2732" priority="2688">
      <formula>AND(BT5&gt;=1,DY5&lt;&gt;0, GetEquPower(BA5,BN5, CG5, FS5)=0)</formula>
    </cfRule>
    <cfRule type="expression" dxfId="2731" priority="2689">
      <formula>AND(BT5&gt;=1,DY5&lt;&gt;GetEquPower(BA5,BN5, CG5, FS5))</formula>
    </cfRule>
  </conditionalFormatting>
  <conditionalFormatting sqref="DZ5">
    <cfRule type="expression" dxfId="2730" priority="2690">
      <formula>AND(BT5&gt;=2,DZ5&lt;&gt;0, GetEquPower(BA5,BN5, CH5, FS5)=0)</formula>
    </cfRule>
    <cfRule type="expression" dxfId="2729" priority="2691">
      <formula>AND(BT5&gt;=2,DZ5&lt;&gt;GetEquPower(BA5,BN5, CH5, FS5))</formula>
    </cfRule>
  </conditionalFormatting>
  <conditionalFormatting sqref="EA5">
    <cfRule type="expression" dxfId="2728" priority="2692">
      <formula>AND(BT5&gt;=3,EA5&lt;&gt;0, GetEquPower(BA5,BN5, CI5, FS5)=0)</formula>
    </cfRule>
    <cfRule type="expression" dxfId="2727" priority="2693">
      <formula>AND(BT5&gt;=3,EA5&lt;&gt;GetEquPower(BA5,BN5, CI5, FS5))</formula>
    </cfRule>
  </conditionalFormatting>
  <conditionalFormatting sqref="EB5">
    <cfRule type="expression" dxfId="2726" priority="2720">
      <formula>AND(BT5&gt;=4,EB5&lt;&gt;0, GetEquPower(BA5,BN5, CJ5, FS5)=0)</formula>
    </cfRule>
    <cfRule type="expression" dxfId="2725" priority="2721">
      <formula>AND(BT5&gt;=4,EB5&lt;&gt;GetEquPower(BA5,BN5, CJ5, FS5))</formula>
    </cfRule>
  </conditionalFormatting>
  <conditionalFormatting sqref="EC5">
    <cfRule type="expression" dxfId="2724" priority="2734">
      <formula>AND(BT5&gt;=5,EC5&lt;&gt;0, GetEquPower(BA5,BN5, CK5, FS5)=0)</formula>
    </cfRule>
    <cfRule type="expression" dxfId="2723" priority="2735">
      <formula>AND(BT5&gt;=5,EC5&lt;&gt;GetEquPower(BA5,BN5, CK5, FS5))</formula>
    </cfRule>
  </conditionalFormatting>
  <conditionalFormatting sqref="ED5">
    <cfRule type="expression" dxfId="2722" priority="2736">
      <formula>AND(BT5&gt;=6,ED5&lt;&gt;0, GetEquPower(BA5,BN5, CL5, FS5)=0)</formula>
    </cfRule>
    <cfRule type="expression" dxfId="2721" priority="2737">
      <formula>AND(BT5&gt;=6,ED5&lt;&gt;GetEquPower(BA5,BN5, CL5, FS5))</formula>
    </cfRule>
  </conditionalFormatting>
  <conditionalFormatting sqref="EH5">
    <cfRule type="expression" dxfId="2720" priority="2694">
      <formula>AND(BU5&gt;=1,EH5&lt;&gt;0, GetEquPower(BB5,BO5, CN5, FT5)=0)</formula>
    </cfRule>
    <cfRule type="expression" dxfId="2719" priority="2695">
      <formula>AND(BU5&gt;=1,EH5&lt;&gt;GetEquPower(BB5,BO5, CN5, FT5))</formula>
    </cfRule>
  </conditionalFormatting>
  <conditionalFormatting sqref="EI5">
    <cfRule type="expression" dxfId="2718" priority="2696">
      <formula>AND(BU5&gt;=2,EI5&lt;&gt;0, GetEquPower(BB5,BO5, CO5, FT5)=0)</formula>
    </cfRule>
    <cfRule type="expression" dxfId="2717" priority="2697">
      <formula xml:space="preserve"> AND(BU5&gt;=2,EI5&lt;&gt;GetEquPower(BB5,BO5, CO5, FT5))</formula>
    </cfRule>
  </conditionalFormatting>
  <conditionalFormatting sqref="EJ5">
    <cfRule type="expression" dxfId="2716" priority="2698">
      <formula>AND(BU5&gt;=3,EJ5&lt;&gt;0, GetEquPower(BB5,BO5, CP5, FT5)=0)</formula>
    </cfRule>
    <cfRule type="expression" dxfId="2715" priority="2699">
      <formula xml:space="preserve"> AND(BU5&gt;=3,EJ5&lt;&gt;GetEquPower(BB5,BO5, CP5, FT5))</formula>
    </cfRule>
  </conditionalFormatting>
  <conditionalFormatting sqref="EK5">
    <cfRule type="expression" dxfId="2714" priority="2722">
      <formula>AND(BU5&gt;=4,EK5&lt;&gt;0, GetEquPower(BB5,BO5, CQ5, FT5)=0)</formula>
    </cfRule>
    <cfRule type="expression" dxfId="2713" priority="2723">
      <formula xml:space="preserve"> AND(BU5&gt;=4,EK5&lt;&gt;GetEquPower(BB5,BO5, CQ5, FT5))</formula>
    </cfRule>
  </conditionalFormatting>
  <conditionalFormatting sqref="EL5">
    <cfRule type="expression" dxfId="2712" priority="2738">
      <formula>AND(BU5&gt;=5,EL5&lt;&gt;0, GetEquPower(BB5,BO5, CR5, FT5)=0)</formula>
    </cfRule>
    <cfRule type="expression" dxfId="2711" priority="2739">
      <formula xml:space="preserve"> AND(BU5&gt;=5,EL5&lt;&gt;GetEquPower(BB5,BO5, CR5, FT5))</formula>
    </cfRule>
  </conditionalFormatting>
  <conditionalFormatting sqref="EM5">
    <cfRule type="expression" dxfId="2710" priority="2740">
      <formula>AND(BU5&gt;=6,EM5&lt;&gt;0, GetEquPower(BB5,BO5, CS5, FT5)=0)</formula>
    </cfRule>
    <cfRule type="expression" dxfId="2709" priority="2741">
      <formula xml:space="preserve"> AND(BU5&gt;=6,EM5&lt;&gt;GetEquPower(BB5,BO5, CS5, FT5))</formula>
    </cfRule>
  </conditionalFormatting>
  <conditionalFormatting sqref="EQ5">
    <cfRule type="expression" dxfId="2708" priority="2700">
      <formula>AND(BV5&gt;=1,EQ5&lt;&gt;0, GetEquPower(BC5,BP5, CU5, FU5)=0)</formula>
    </cfRule>
    <cfRule type="expression" dxfId="2707" priority="2701">
      <formula>AND(BV5&gt;=1,EQ5&lt;&gt;GetEquPower(BC5,BP5, CU5, FU5))</formula>
    </cfRule>
  </conditionalFormatting>
  <conditionalFormatting sqref="ER5">
    <cfRule type="expression" dxfId="2706" priority="2702">
      <formula>AND(BV5&gt;=2,ER5&lt;&gt;0, GetEquPower(BC5,BP5, CV5, FU5)=0)</formula>
    </cfRule>
    <cfRule type="expression" dxfId="2705" priority="2703">
      <formula>AND(BV5&gt;=2,ER5&lt;&gt;GetEquPower(BC5,BP5, CV5, FU5))</formula>
    </cfRule>
  </conditionalFormatting>
  <conditionalFormatting sqref="ES5">
    <cfRule type="expression" dxfId="2704" priority="2704">
      <formula>AND(BV5&gt;=3,ES5&lt;&gt;0, GetEquPower(BC5,BP5, CW5, FU5)=0)</formula>
    </cfRule>
    <cfRule type="expression" dxfId="2703" priority="2705">
      <formula>AND(BV5&gt;=3,ES5&lt;&gt;GetEquPower(BC5,BP5, CW5, FU5))</formula>
    </cfRule>
  </conditionalFormatting>
  <conditionalFormatting sqref="ET5">
    <cfRule type="expression" dxfId="2702" priority="2724">
      <formula>AND(BV5&gt;=4,ET5&lt;&gt;0, GetEquPower(BC5,BP5, CX5, FU5)=0)</formula>
    </cfRule>
    <cfRule type="expression" dxfId="2701" priority="2725">
      <formula>AND(BV5&gt;=4,ET5&lt;&gt;GetEquPower(BC5,BP5, CX5, FU5))</formula>
    </cfRule>
  </conditionalFormatting>
  <conditionalFormatting sqref="EU5">
    <cfRule type="expression" dxfId="2700" priority="2742">
      <formula>AND(BV5&gt;=5,EU5&lt;&gt;0, GetEquPower(BC5,BP5, CY5, FU5)=0)</formula>
    </cfRule>
    <cfRule type="expression" dxfId="2699" priority="2743">
      <formula>AND(BV5&gt;=5,EU5&lt;&gt;GetEquPower(BC5,BP5, CY5, FU5))</formula>
    </cfRule>
  </conditionalFormatting>
  <conditionalFormatting sqref="EV5">
    <cfRule type="expression" dxfId="2698" priority="2744">
      <formula>AND(BV5&gt;=6,EV5&lt;&gt;0, GetEquPower(BC5,BP5, CZ5, FU5)=0)</formula>
    </cfRule>
    <cfRule type="expression" dxfId="2697" priority="2745">
      <formula>AND(BV5&gt;=6,EV5&lt;&gt;GetEquPower(BC5,BP5, CZ5, FU5))</formula>
    </cfRule>
  </conditionalFormatting>
  <conditionalFormatting sqref="EZ5">
    <cfRule type="expression" dxfId="2696" priority="2706">
      <formula>AND(BW5&gt;=1,EZ5&lt;&gt;0, GetEquPower(BD5,BQ5, DB5, FV5)=0)</formula>
    </cfRule>
    <cfRule type="expression" dxfId="2695" priority="2707">
      <formula>AND(BW5&gt;=1,EZ5&lt;&gt;GetEquPower(BD5,BQ5, DB5, FV5))</formula>
    </cfRule>
  </conditionalFormatting>
  <conditionalFormatting sqref="FA5">
    <cfRule type="expression" dxfId="2694" priority="2708">
      <formula>AND(BW5&gt;=2,FA5&lt;&gt;0, GetEquPower(BD5,BQ5, DC5, FV5)=0)</formula>
    </cfRule>
    <cfRule type="expression" dxfId="2693" priority="2709">
      <formula>AND(BW5&gt;=2,FA5&lt;&gt;GetEquPower(BD5,BQ5, DC5, FV5))</formula>
    </cfRule>
  </conditionalFormatting>
  <conditionalFormatting sqref="FB5">
    <cfRule type="expression" dxfId="2692" priority="2710">
      <formula>AND(BW5&gt;=3,FB5&lt;&gt;0, GetEquPower(BD5,BQ5, DD5, FV5)=0)</formula>
    </cfRule>
    <cfRule type="expression" dxfId="2691" priority="2711">
      <formula>AND(BW5&gt;=3,FB5&lt;&gt;GetEquPower(BD5,BQ5, DD5, FV5))</formula>
    </cfRule>
  </conditionalFormatting>
  <conditionalFormatting sqref="FC5">
    <cfRule type="expression" dxfId="2690" priority="2726">
      <formula>AND(BW5&gt;=4,FC5&lt;&gt;0, GetEquPower(BD5,BQ5, DE5, FV5)=0)</formula>
    </cfRule>
    <cfRule type="expression" dxfId="2689" priority="2727">
      <formula>AND(BW5&gt;=4,FC5&lt;&gt;GetEquPower(BD5,BQ5, DE5, FV5))</formula>
    </cfRule>
  </conditionalFormatting>
  <conditionalFormatting sqref="FD5">
    <cfRule type="expression" dxfId="2688" priority="2746">
      <formula>AND(BW5&gt;=5,FD5&lt;&gt;0, GetEquPower(BD5,BQ5, DF5, FV5)=0)</formula>
    </cfRule>
    <cfRule type="expression" dxfId="2687" priority="2747">
      <formula>AND(BW5&gt;=5,FD5&lt;&gt;GetEquPower(BD5,BQ5, DF5, FV5))</formula>
    </cfRule>
  </conditionalFormatting>
  <conditionalFormatting sqref="FE5">
    <cfRule type="expression" dxfId="2686" priority="2748">
      <formula>AND(BW5&gt;=6,FE5&lt;&gt;0, GetEquPower(BD5,BQ5, DG5, FV5)=0)</formula>
    </cfRule>
    <cfRule type="expression" dxfId="2685" priority="2749">
      <formula>AND(BW5&gt;=6,FE5&lt;&gt;GetEquPower(BD5,BQ5, DG5, FV5))</formula>
    </cfRule>
  </conditionalFormatting>
  <conditionalFormatting sqref="FI5">
    <cfRule type="expression" dxfId="2684" priority="2712">
      <formula>AND(BX5&gt;=1,FI5&lt;&gt;0, GetEquPower(BE5,BR5, DI5, FW5)=0)</formula>
    </cfRule>
    <cfRule type="expression" dxfId="2683" priority="2713">
      <formula>AND(BX5&gt;=1,FI5&lt;&gt;GetEquPower(BE5,BR5, DI5, FW5))</formula>
    </cfRule>
  </conditionalFormatting>
  <conditionalFormatting sqref="FJ5">
    <cfRule type="expression" dxfId="2682" priority="2714">
      <formula>AND(BX5&gt;=2,FJ5&lt;&gt;0, GetEquPower(BE5,BR5, DJ5, FW5)=0)</formula>
    </cfRule>
    <cfRule type="expression" dxfId="2681" priority="2715">
      <formula>AND(BX5&gt;=2,FJ5&lt;&gt;GetEquPower(BE5,BR5, DJ5, FW5))</formula>
    </cfRule>
  </conditionalFormatting>
  <conditionalFormatting sqref="FK5">
    <cfRule type="expression" dxfId="2680" priority="2716">
      <formula>AND(BX5&gt;=3,FK5&lt;&gt;0, GetEquPower(BE5,BR5, DK5, FW5)=0)</formula>
    </cfRule>
    <cfRule type="expression" dxfId="2679" priority="2717">
      <formula>AND(BX5&gt;=3,FK5&lt;&gt;GetEquPower(BE5,BR5, DK5, FW5))</formula>
    </cfRule>
  </conditionalFormatting>
  <conditionalFormatting sqref="FL5">
    <cfRule type="expression" dxfId="2678" priority="2728">
      <formula>AND(BX5&gt;=4,FL5&lt;&gt;0, GetEquPower(BE5,BR5, DL5, FW5)=0)</formula>
    </cfRule>
    <cfRule type="expression" dxfId="2677" priority="2729">
      <formula>AND(BX5&gt;=4,FL5&lt;&gt;GetEquPower(BE5,BR5, DL5, FW5))</formula>
    </cfRule>
  </conditionalFormatting>
  <conditionalFormatting sqref="FM5">
    <cfRule type="expression" dxfId="2676" priority="2750">
      <formula>AND(BX5&gt;=5,FM5&lt;&gt;0, GetEquPower(BE5,BR5, DM5, FW5)=0)</formula>
    </cfRule>
    <cfRule type="expression" dxfId="2675" priority="2751">
      <formula>AND(BX5&gt;=5,FM5&lt;&gt;GetEquPower(BE5,BR5, DM5, FW5))</formula>
    </cfRule>
  </conditionalFormatting>
  <conditionalFormatting sqref="FN5">
    <cfRule type="expression" dxfId="2674" priority="2752">
      <formula>AND(BX5&gt;=6,FN5&lt;&gt;0, GetEquPower(BE5,BR5, DN5, FW5)=0)</formula>
    </cfRule>
    <cfRule type="expression" dxfId="2673" priority="2753">
      <formula>AND(BX5&gt;=6,FN5&lt;&gt;GetEquPower(BE5,BR5, DN5, FW5))</formula>
    </cfRule>
  </conditionalFormatting>
  <conditionalFormatting sqref="F6">
    <cfRule type="expression" dxfId="2672" priority="2600">
      <formula>F6&lt;&gt;RIGHT(SUBSTITUTE(TRIM(E6),".",""),LEN(F6))</formula>
    </cfRule>
  </conditionalFormatting>
  <conditionalFormatting sqref="BS6">
    <cfRule type="expression" dxfId="2671" priority="2599">
      <formula>AND(J6&gt;=1,BS6&lt;1)</formula>
    </cfRule>
  </conditionalFormatting>
  <conditionalFormatting sqref="BT6">
    <cfRule type="expression" dxfId="2670" priority="2598">
      <formula>AND(J6&gt;=2,BT6&lt;1)</formula>
    </cfRule>
  </conditionalFormatting>
  <conditionalFormatting sqref="BU6">
    <cfRule type="expression" dxfId="2669" priority="2596">
      <formula>AND(J6&gt;=3,BU6&lt;1)</formula>
    </cfRule>
  </conditionalFormatting>
  <conditionalFormatting sqref="BV6">
    <cfRule type="expression" dxfId="2668" priority="2595">
      <formula>AND(J6&gt;=4,BV6&lt;1)</formula>
    </cfRule>
  </conditionalFormatting>
  <conditionalFormatting sqref="BW6">
    <cfRule type="expression" dxfId="2667" priority="2597">
      <formula>AND(J6&gt;=5,BW6&lt;1)</formula>
    </cfRule>
  </conditionalFormatting>
  <conditionalFormatting sqref="BX6">
    <cfRule type="expression" dxfId="2666" priority="2594">
      <formula>AND(J6&gt;=6,BX6&lt;1)</formula>
    </cfRule>
  </conditionalFormatting>
  <conditionalFormatting sqref="IC6">
    <cfRule type="expression" dxfId="2665" priority="2673">
      <formula>AND($S6 = TRUE, $IC6&lt;&gt;OptionsUnitCode)</formula>
    </cfRule>
  </conditionalFormatting>
  <conditionalFormatting sqref="B6:II6">
    <cfRule type="containsErrors" dxfId="2664" priority="2593">
      <formula>ISERROR(B6)</formula>
    </cfRule>
  </conditionalFormatting>
  <conditionalFormatting sqref="DP6">
    <cfRule type="expression" dxfId="2663" priority="2601">
      <formula>AND(BS6&gt;=1,DP6&lt;&gt;0, GetEquPower(AZ6,BM6, BZ6, FR6)=0)</formula>
    </cfRule>
    <cfRule type="expression" dxfId="2662" priority="2602">
      <formula>AND(BS6&gt;=1,DP6&lt;&gt;GetEquPower(AZ6,BM6, BZ6, FR6))</formula>
    </cfRule>
  </conditionalFormatting>
  <conditionalFormatting sqref="DQ6">
    <cfRule type="expression" dxfId="2661" priority="2603">
      <formula>AND(BS6&gt;=2,DQ6&lt;&gt;0, GetEquPower(AZ6,BM6, CA6, FR6)=0)</formula>
    </cfRule>
    <cfRule type="expression" dxfId="2660" priority="2604">
      <formula>AND(BS6&gt;=2,DQ6&lt;&gt;GetEquPower(AZ6,BM6, CA6, FR6))</formula>
    </cfRule>
  </conditionalFormatting>
  <conditionalFormatting sqref="DR6">
    <cfRule type="expression" dxfId="2659" priority="2605">
      <formula>AND(BS6&gt;=3,DR6&lt;&gt;0, GetEquPower(AZ6,BM6, CB6, FR6)=0)</formula>
    </cfRule>
    <cfRule type="expression" dxfId="2658" priority="2606">
      <formula>AND(BS6&gt;=3,DR6&lt;&gt;GetEquPower(AZ6,BM6, CB6, FR6))</formula>
    </cfRule>
  </conditionalFormatting>
  <conditionalFormatting sqref="DS6">
    <cfRule type="expression" dxfId="2657" priority="2637">
      <formula>AND(BS6&gt;=4,DS6&lt;&gt;0, GetEquPower(AZ6,BM6, CC6, FR6)=0)</formula>
    </cfRule>
    <cfRule type="expression" dxfId="2656" priority="2638">
      <formula>AND(BS6&gt;=4, DS6&lt;&gt;GetEquPower(AZ6,BM6, CC6, FR6))</formula>
    </cfRule>
  </conditionalFormatting>
  <conditionalFormatting sqref="DT6">
    <cfRule type="expression" dxfId="2655" priority="2649">
      <formula>AND(BS6&gt;=5,DT6&lt;&gt;0, GetEquPower(AZ6,BM6, CD6, FR6)=0)</formula>
    </cfRule>
    <cfRule type="expression" dxfId="2654" priority="2650">
      <formula>AND(BS6&gt;=5, DT6&lt;&gt;GetEquPower(AZ6,BM6, CD6, FR6))</formula>
    </cfRule>
  </conditionalFormatting>
  <conditionalFormatting sqref="DU6">
    <cfRule type="expression" dxfId="2653" priority="2651">
      <formula>AND(BS6&gt;=6,DU6&lt;&gt;0, GetEquPower(AZ6,BM6, CE6, FR6)=0)</formula>
    </cfRule>
    <cfRule type="expression" dxfId="2652" priority="2652">
      <formula>AND(BS6&gt;=6, DU6&lt;&gt;GetEquPower(AZ6,BM6, CE6, FR6))</formula>
    </cfRule>
  </conditionalFormatting>
  <conditionalFormatting sqref="DY6">
    <cfRule type="expression" dxfId="2651" priority="2607">
      <formula>AND(BT6&gt;=1,DY6&lt;&gt;0, GetEquPower(BA6,BN6, CG6, FS6)=0)</formula>
    </cfRule>
    <cfRule type="expression" dxfId="2650" priority="2608">
      <formula>AND(BT6&gt;=1,DY6&lt;&gt;GetEquPower(BA6,BN6, CG6, FS6))</formula>
    </cfRule>
  </conditionalFormatting>
  <conditionalFormatting sqref="DZ6">
    <cfRule type="expression" dxfId="2649" priority="2609">
      <formula>AND(BT6&gt;=2,DZ6&lt;&gt;0, GetEquPower(BA6,BN6, CH6, FS6)=0)</formula>
    </cfRule>
    <cfRule type="expression" dxfId="2648" priority="2610">
      <formula>AND(BT6&gt;=2,DZ6&lt;&gt;GetEquPower(BA6,BN6, CH6, FS6))</formula>
    </cfRule>
  </conditionalFormatting>
  <conditionalFormatting sqref="EA6">
    <cfRule type="expression" dxfId="2647" priority="2611">
      <formula>AND(BT6&gt;=3,EA6&lt;&gt;0, GetEquPower(BA6,BN6, CI6, FS6)=0)</formula>
    </cfRule>
    <cfRule type="expression" dxfId="2646" priority="2612">
      <formula>AND(BT6&gt;=3,EA6&lt;&gt;GetEquPower(BA6,BN6, CI6, FS6))</formula>
    </cfRule>
  </conditionalFormatting>
  <conditionalFormatting sqref="EB6">
    <cfRule type="expression" dxfId="2645" priority="2639">
      <formula>AND(BT6&gt;=4,EB6&lt;&gt;0, GetEquPower(BA6,BN6, CJ6, FS6)=0)</formula>
    </cfRule>
    <cfRule type="expression" dxfId="2644" priority="2640">
      <formula>AND(BT6&gt;=4,EB6&lt;&gt;GetEquPower(BA6,BN6, CJ6, FS6))</formula>
    </cfRule>
  </conditionalFormatting>
  <conditionalFormatting sqref="EC6">
    <cfRule type="expression" dxfId="2643" priority="2653">
      <formula>AND(BT6&gt;=5,EC6&lt;&gt;0, GetEquPower(BA6,BN6, CK6, FS6)=0)</formula>
    </cfRule>
    <cfRule type="expression" dxfId="2642" priority="2654">
      <formula>AND(BT6&gt;=5,EC6&lt;&gt;GetEquPower(BA6,BN6, CK6, FS6))</formula>
    </cfRule>
  </conditionalFormatting>
  <conditionalFormatting sqref="ED6">
    <cfRule type="expression" dxfId="2641" priority="2655">
      <formula>AND(BT6&gt;=6,ED6&lt;&gt;0, GetEquPower(BA6,BN6, CL6, FS6)=0)</formula>
    </cfRule>
    <cfRule type="expression" dxfId="2640" priority="2656">
      <formula>AND(BT6&gt;=6,ED6&lt;&gt;GetEquPower(BA6,BN6, CL6, FS6))</formula>
    </cfRule>
  </conditionalFormatting>
  <conditionalFormatting sqref="EH6">
    <cfRule type="expression" dxfId="2639" priority="2613">
      <formula>AND(BU6&gt;=1,EH6&lt;&gt;0, GetEquPower(BB6,BO6, CN6, FT6)=0)</formula>
    </cfRule>
    <cfRule type="expression" dxfId="2638" priority="2614">
      <formula>AND(BU6&gt;=1,EH6&lt;&gt;GetEquPower(BB6,BO6, CN6, FT6))</formula>
    </cfRule>
  </conditionalFormatting>
  <conditionalFormatting sqref="EI6">
    <cfRule type="expression" dxfId="2637" priority="2615">
      <formula>AND(BU6&gt;=2,EI6&lt;&gt;0, GetEquPower(BB6,BO6, CO6, FT6)=0)</formula>
    </cfRule>
    <cfRule type="expression" dxfId="2636" priority="2616">
      <formula xml:space="preserve"> AND(BU6&gt;=2,EI6&lt;&gt;GetEquPower(BB6,BO6, CO6, FT6))</formula>
    </cfRule>
  </conditionalFormatting>
  <conditionalFormatting sqref="EJ6">
    <cfRule type="expression" dxfId="2635" priority="2617">
      <formula>AND(BU6&gt;=3,EJ6&lt;&gt;0, GetEquPower(BB6,BO6, CP6, FT6)=0)</formula>
    </cfRule>
    <cfRule type="expression" dxfId="2634" priority="2618">
      <formula xml:space="preserve"> AND(BU6&gt;=3,EJ6&lt;&gt;GetEquPower(BB6,BO6, CP6, FT6))</formula>
    </cfRule>
  </conditionalFormatting>
  <conditionalFormatting sqref="EK6">
    <cfRule type="expression" dxfId="2633" priority="2641">
      <formula>AND(BU6&gt;=4,EK6&lt;&gt;0, GetEquPower(BB6,BO6, CQ6, FT6)=0)</formula>
    </cfRule>
    <cfRule type="expression" dxfId="2632" priority="2642">
      <formula xml:space="preserve"> AND(BU6&gt;=4,EK6&lt;&gt;GetEquPower(BB6,BO6, CQ6, FT6))</formula>
    </cfRule>
  </conditionalFormatting>
  <conditionalFormatting sqref="EL6">
    <cfRule type="expression" dxfId="2631" priority="2657">
      <formula>AND(BU6&gt;=5,EL6&lt;&gt;0, GetEquPower(BB6,BO6, CR6, FT6)=0)</formula>
    </cfRule>
    <cfRule type="expression" dxfId="2630" priority="2658">
      <formula xml:space="preserve"> AND(BU6&gt;=5,EL6&lt;&gt;GetEquPower(BB6,BO6, CR6, FT6))</formula>
    </cfRule>
  </conditionalFormatting>
  <conditionalFormatting sqref="EM6">
    <cfRule type="expression" dxfId="2629" priority="2659">
      <formula>AND(BU6&gt;=6,EM6&lt;&gt;0, GetEquPower(BB6,BO6, CS6, FT6)=0)</formula>
    </cfRule>
    <cfRule type="expression" dxfId="2628" priority="2660">
      <formula xml:space="preserve"> AND(BU6&gt;=6,EM6&lt;&gt;GetEquPower(BB6,BO6, CS6, FT6))</formula>
    </cfRule>
  </conditionalFormatting>
  <conditionalFormatting sqref="EQ6">
    <cfRule type="expression" dxfId="2627" priority="2619">
      <formula>AND(BV6&gt;=1,EQ6&lt;&gt;0, GetEquPower(BC6,BP6, CU6, FU6)=0)</formula>
    </cfRule>
    <cfRule type="expression" dxfId="2626" priority="2620">
      <formula>AND(BV6&gt;=1,EQ6&lt;&gt;GetEquPower(BC6,BP6, CU6, FU6))</formula>
    </cfRule>
  </conditionalFormatting>
  <conditionalFormatting sqref="ER6">
    <cfRule type="expression" dxfId="2625" priority="2621">
      <formula>AND(BV6&gt;=2,ER6&lt;&gt;0, GetEquPower(BC6,BP6, CV6, FU6)=0)</formula>
    </cfRule>
    <cfRule type="expression" dxfId="2624" priority="2622">
      <formula>AND(BV6&gt;=2,ER6&lt;&gt;GetEquPower(BC6,BP6, CV6, FU6))</formula>
    </cfRule>
  </conditionalFormatting>
  <conditionalFormatting sqref="ES6">
    <cfRule type="expression" dxfId="2623" priority="2623">
      <formula>AND(BV6&gt;=3,ES6&lt;&gt;0, GetEquPower(BC6,BP6, CW6, FU6)=0)</formula>
    </cfRule>
    <cfRule type="expression" dxfId="2622" priority="2624">
      <formula>AND(BV6&gt;=3,ES6&lt;&gt;GetEquPower(BC6,BP6, CW6, FU6))</formula>
    </cfRule>
  </conditionalFormatting>
  <conditionalFormatting sqref="ET6">
    <cfRule type="expression" dxfId="2621" priority="2643">
      <formula>AND(BV6&gt;=4,ET6&lt;&gt;0, GetEquPower(BC6,BP6, CX6, FU6)=0)</formula>
    </cfRule>
    <cfRule type="expression" dxfId="2620" priority="2644">
      <formula>AND(BV6&gt;=4,ET6&lt;&gt;GetEquPower(BC6,BP6, CX6, FU6))</formula>
    </cfRule>
  </conditionalFormatting>
  <conditionalFormatting sqref="EU6">
    <cfRule type="expression" dxfId="2619" priority="2661">
      <formula>AND(BV6&gt;=5,EU6&lt;&gt;0, GetEquPower(BC6,BP6, CY6, FU6)=0)</formula>
    </cfRule>
    <cfRule type="expression" dxfId="2618" priority="2662">
      <formula>AND(BV6&gt;=5,EU6&lt;&gt;GetEquPower(BC6,BP6, CY6, FU6))</formula>
    </cfRule>
  </conditionalFormatting>
  <conditionalFormatting sqref="EV6">
    <cfRule type="expression" dxfId="2617" priority="2663">
      <formula>AND(BV6&gt;=6,EV6&lt;&gt;0, GetEquPower(BC6,BP6, CZ6, FU6)=0)</formula>
    </cfRule>
    <cfRule type="expression" dxfId="2616" priority="2664">
      <formula>AND(BV6&gt;=6,EV6&lt;&gt;GetEquPower(BC6,BP6, CZ6, FU6))</formula>
    </cfRule>
  </conditionalFormatting>
  <conditionalFormatting sqref="EZ6">
    <cfRule type="expression" dxfId="2615" priority="2625">
      <formula>AND(BW6&gt;=1,EZ6&lt;&gt;0, GetEquPower(BD6,BQ6, DB6, FV6)=0)</formula>
    </cfRule>
    <cfRule type="expression" dxfId="2614" priority="2626">
      <formula>AND(BW6&gt;=1,EZ6&lt;&gt;GetEquPower(BD6,BQ6, DB6, FV6))</formula>
    </cfRule>
  </conditionalFormatting>
  <conditionalFormatting sqref="FA6">
    <cfRule type="expression" dxfId="2613" priority="2627">
      <formula>AND(BW6&gt;=2,FA6&lt;&gt;0, GetEquPower(BD6,BQ6, DC6, FV6)=0)</formula>
    </cfRule>
    <cfRule type="expression" dxfId="2612" priority="2628">
      <formula>AND(BW6&gt;=2,FA6&lt;&gt;GetEquPower(BD6,BQ6, DC6, FV6))</formula>
    </cfRule>
  </conditionalFormatting>
  <conditionalFormatting sqref="FB6">
    <cfRule type="expression" dxfId="2611" priority="2629">
      <formula>AND(BW6&gt;=3,FB6&lt;&gt;0, GetEquPower(BD6,BQ6, DD6, FV6)=0)</formula>
    </cfRule>
    <cfRule type="expression" dxfId="2610" priority="2630">
      <formula>AND(BW6&gt;=3,FB6&lt;&gt;GetEquPower(BD6,BQ6, DD6, FV6))</formula>
    </cfRule>
  </conditionalFormatting>
  <conditionalFormatting sqref="FC6">
    <cfRule type="expression" dxfId="2609" priority="2645">
      <formula>AND(BW6&gt;=4,FC6&lt;&gt;0, GetEquPower(BD6,BQ6, DE6, FV6)=0)</formula>
    </cfRule>
    <cfRule type="expression" dxfId="2608" priority="2646">
      <formula>AND(BW6&gt;=4,FC6&lt;&gt;GetEquPower(BD6,BQ6, DE6, FV6))</formula>
    </cfRule>
  </conditionalFormatting>
  <conditionalFormatting sqref="FD6">
    <cfRule type="expression" dxfId="2607" priority="2665">
      <formula>AND(BW6&gt;=5,FD6&lt;&gt;0, GetEquPower(BD6,BQ6, DF6, FV6)=0)</formula>
    </cfRule>
    <cfRule type="expression" dxfId="2606" priority="2666">
      <formula>AND(BW6&gt;=5,FD6&lt;&gt;GetEquPower(BD6,BQ6, DF6, FV6))</formula>
    </cfRule>
  </conditionalFormatting>
  <conditionalFormatting sqref="FE6">
    <cfRule type="expression" dxfId="2605" priority="2667">
      <formula>AND(BW6&gt;=6,FE6&lt;&gt;0, GetEquPower(BD6,BQ6, DG6, FV6)=0)</formula>
    </cfRule>
    <cfRule type="expression" dxfId="2604" priority="2668">
      <formula>AND(BW6&gt;=6,FE6&lt;&gt;GetEquPower(BD6,BQ6, DG6, FV6))</formula>
    </cfRule>
  </conditionalFormatting>
  <conditionalFormatting sqref="FI6">
    <cfRule type="expression" dxfId="2603" priority="2631">
      <formula>AND(BX6&gt;=1,FI6&lt;&gt;0, GetEquPower(BE6,BR6, DI6, FW6)=0)</formula>
    </cfRule>
    <cfRule type="expression" dxfId="2602" priority="2632">
      <formula>AND(BX6&gt;=1,FI6&lt;&gt;GetEquPower(BE6,BR6, DI6, FW6))</formula>
    </cfRule>
  </conditionalFormatting>
  <conditionalFormatting sqref="FJ6">
    <cfRule type="expression" dxfId="2601" priority="2633">
      <formula>AND(BX6&gt;=2,FJ6&lt;&gt;0, GetEquPower(BE6,BR6, DJ6, FW6)=0)</formula>
    </cfRule>
    <cfRule type="expression" dxfId="2600" priority="2634">
      <formula>AND(BX6&gt;=2,FJ6&lt;&gt;GetEquPower(BE6,BR6, DJ6, FW6))</formula>
    </cfRule>
  </conditionalFormatting>
  <conditionalFormatting sqref="FK6">
    <cfRule type="expression" dxfId="2599" priority="2635">
      <formula>AND(BX6&gt;=3,FK6&lt;&gt;0, GetEquPower(BE6,BR6, DK6, FW6)=0)</formula>
    </cfRule>
    <cfRule type="expression" dxfId="2598" priority="2636">
      <formula>AND(BX6&gt;=3,FK6&lt;&gt;GetEquPower(BE6,BR6, DK6, FW6))</formula>
    </cfRule>
  </conditionalFormatting>
  <conditionalFormatting sqref="FL6">
    <cfRule type="expression" dxfId="2597" priority="2647">
      <formula>AND(BX6&gt;=4,FL6&lt;&gt;0, GetEquPower(BE6,BR6, DL6, FW6)=0)</formula>
    </cfRule>
    <cfRule type="expression" dxfId="2596" priority="2648">
      <formula>AND(BX6&gt;=4,FL6&lt;&gt;GetEquPower(BE6,BR6, DL6, FW6))</formula>
    </cfRule>
  </conditionalFormatting>
  <conditionalFormatting sqref="FM6">
    <cfRule type="expression" dxfId="2595" priority="2669">
      <formula>AND(BX6&gt;=5,FM6&lt;&gt;0, GetEquPower(BE6,BR6, DM6, FW6)=0)</formula>
    </cfRule>
    <cfRule type="expression" dxfId="2594" priority="2670">
      <formula>AND(BX6&gt;=5,FM6&lt;&gt;GetEquPower(BE6,BR6, DM6, FW6))</formula>
    </cfRule>
  </conditionalFormatting>
  <conditionalFormatting sqref="FN6">
    <cfRule type="expression" dxfId="2593" priority="2671">
      <formula>AND(BX6&gt;=6,FN6&lt;&gt;0, GetEquPower(BE6,BR6, DN6, FW6)=0)</formula>
    </cfRule>
    <cfRule type="expression" dxfId="2592" priority="2672">
      <formula>AND(BX6&gt;=6,FN6&lt;&gt;GetEquPower(BE6,BR6, DN6, FW6))</formula>
    </cfRule>
  </conditionalFormatting>
  <conditionalFormatting sqref="F7">
    <cfRule type="expression" dxfId="2591" priority="2519">
      <formula>F7&lt;&gt;RIGHT(SUBSTITUTE(TRIM(E7),".",""),LEN(F7))</formula>
    </cfRule>
  </conditionalFormatting>
  <conditionalFormatting sqref="BS7">
    <cfRule type="expression" dxfId="2590" priority="2518">
      <formula>AND(J7&gt;=1,BS7&lt;1)</formula>
    </cfRule>
  </conditionalFormatting>
  <conditionalFormatting sqref="BT7">
    <cfRule type="expression" dxfId="2589" priority="2517">
      <formula>AND(J7&gt;=2,BT7&lt;1)</formula>
    </cfRule>
  </conditionalFormatting>
  <conditionalFormatting sqref="BU7">
    <cfRule type="expression" dxfId="2588" priority="2515">
      <formula>AND(J7&gt;=3,BU7&lt;1)</formula>
    </cfRule>
  </conditionalFormatting>
  <conditionalFormatting sqref="BV7">
    <cfRule type="expression" dxfId="2587" priority="2514">
      <formula>AND(J7&gt;=4,BV7&lt;1)</formula>
    </cfRule>
  </conditionalFormatting>
  <conditionalFormatting sqref="BW7">
    <cfRule type="expression" dxfId="2586" priority="2516">
      <formula>AND(J7&gt;=5,BW7&lt;1)</formula>
    </cfRule>
  </conditionalFormatting>
  <conditionalFormatting sqref="BX7">
    <cfRule type="expression" dxfId="2585" priority="2513">
      <formula>AND(J7&gt;=6,BX7&lt;1)</formula>
    </cfRule>
  </conditionalFormatting>
  <conditionalFormatting sqref="IC7">
    <cfRule type="expression" dxfId="2584" priority="2592">
      <formula>AND($S7 = TRUE, $IC7&lt;&gt;OptionsUnitCode)</formula>
    </cfRule>
  </conditionalFormatting>
  <conditionalFormatting sqref="B7:II7">
    <cfRule type="containsErrors" dxfId="2583" priority="2512">
      <formula>ISERROR(B7)</formula>
    </cfRule>
  </conditionalFormatting>
  <conditionalFormatting sqref="DP7">
    <cfRule type="expression" dxfId="2582" priority="2520">
      <formula>AND(BS7&gt;=1,DP7&lt;&gt;0, GetEquPower(AZ7,BM7, BZ7, FR7)=0)</formula>
    </cfRule>
    <cfRule type="expression" dxfId="2581" priority="2521">
      <formula>AND(BS7&gt;=1,DP7&lt;&gt;GetEquPower(AZ7,BM7, BZ7, FR7))</formula>
    </cfRule>
  </conditionalFormatting>
  <conditionalFormatting sqref="DQ7">
    <cfRule type="expression" dxfId="2580" priority="2522">
      <formula>AND(BS7&gt;=2,DQ7&lt;&gt;0, GetEquPower(AZ7,BM7, CA7, FR7)=0)</formula>
    </cfRule>
    <cfRule type="expression" dxfId="2579" priority="2523">
      <formula>AND(BS7&gt;=2,DQ7&lt;&gt;GetEquPower(AZ7,BM7, CA7, FR7))</formula>
    </cfRule>
  </conditionalFormatting>
  <conditionalFormatting sqref="DR7">
    <cfRule type="expression" dxfId="2578" priority="2524">
      <formula>AND(BS7&gt;=3,DR7&lt;&gt;0, GetEquPower(AZ7,BM7, CB7, FR7)=0)</formula>
    </cfRule>
    <cfRule type="expression" dxfId="2577" priority="2525">
      <formula>AND(BS7&gt;=3,DR7&lt;&gt;GetEquPower(AZ7,BM7, CB7, FR7))</formula>
    </cfRule>
  </conditionalFormatting>
  <conditionalFormatting sqref="DS7">
    <cfRule type="expression" dxfId="2576" priority="2556">
      <formula>AND(BS7&gt;=4,DS7&lt;&gt;0, GetEquPower(AZ7,BM7, CC7, FR7)=0)</formula>
    </cfRule>
    <cfRule type="expression" dxfId="2575" priority="2557">
      <formula>AND(BS7&gt;=4, DS7&lt;&gt;GetEquPower(AZ7,BM7, CC7, FR7))</formula>
    </cfRule>
  </conditionalFormatting>
  <conditionalFormatting sqref="DT7">
    <cfRule type="expression" dxfId="2574" priority="2568">
      <formula>AND(BS7&gt;=5,DT7&lt;&gt;0, GetEquPower(AZ7,BM7, CD7, FR7)=0)</formula>
    </cfRule>
    <cfRule type="expression" dxfId="2573" priority="2569">
      <formula>AND(BS7&gt;=5, DT7&lt;&gt;GetEquPower(AZ7,BM7, CD7, FR7))</formula>
    </cfRule>
  </conditionalFormatting>
  <conditionalFormatting sqref="DU7">
    <cfRule type="expression" dxfId="2572" priority="2570">
      <formula>AND(BS7&gt;=6,DU7&lt;&gt;0, GetEquPower(AZ7,BM7, CE7, FR7)=0)</formula>
    </cfRule>
    <cfRule type="expression" dxfId="2571" priority="2571">
      <formula>AND(BS7&gt;=6, DU7&lt;&gt;GetEquPower(AZ7,BM7, CE7, FR7))</formula>
    </cfRule>
  </conditionalFormatting>
  <conditionalFormatting sqref="DY7">
    <cfRule type="expression" dxfId="2570" priority="2526">
      <formula>AND(BT7&gt;=1,DY7&lt;&gt;0, GetEquPower(BA7,BN7, CG7, FS7)=0)</formula>
    </cfRule>
    <cfRule type="expression" dxfId="2569" priority="2527">
      <formula>AND(BT7&gt;=1,DY7&lt;&gt;GetEquPower(BA7,BN7, CG7, FS7))</formula>
    </cfRule>
  </conditionalFormatting>
  <conditionalFormatting sqref="DZ7">
    <cfRule type="expression" dxfId="2568" priority="2528">
      <formula>AND(BT7&gt;=2,DZ7&lt;&gt;0, GetEquPower(BA7,BN7, CH7, FS7)=0)</formula>
    </cfRule>
    <cfRule type="expression" dxfId="2567" priority="2529">
      <formula>AND(BT7&gt;=2,DZ7&lt;&gt;GetEquPower(BA7,BN7, CH7, FS7))</formula>
    </cfRule>
  </conditionalFormatting>
  <conditionalFormatting sqref="EA7">
    <cfRule type="expression" dxfId="2566" priority="2530">
      <formula>AND(BT7&gt;=3,EA7&lt;&gt;0, GetEquPower(BA7,BN7, CI7, FS7)=0)</formula>
    </cfRule>
    <cfRule type="expression" dxfId="2565" priority="2531">
      <formula>AND(BT7&gt;=3,EA7&lt;&gt;GetEquPower(BA7,BN7, CI7, FS7))</formula>
    </cfRule>
  </conditionalFormatting>
  <conditionalFormatting sqref="EB7">
    <cfRule type="expression" dxfId="2564" priority="2558">
      <formula>AND(BT7&gt;=4,EB7&lt;&gt;0, GetEquPower(BA7,BN7, CJ7, FS7)=0)</formula>
    </cfRule>
    <cfRule type="expression" dxfId="2563" priority="2559">
      <formula>AND(BT7&gt;=4,EB7&lt;&gt;GetEquPower(BA7,BN7, CJ7, FS7))</formula>
    </cfRule>
  </conditionalFormatting>
  <conditionalFormatting sqref="EC7">
    <cfRule type="expression" dxfId="2562" priority="2572">
      <formula>AND(BT7&gt;=5,EC7&lt;&gt;0, GetEquPower(BA7,BN7, CK7, FS7)=0)</formula>
    </cfRule>
    <cfRule type="expression" dxfId="2561" priority="2573">
      <formula>AND(BT7&gt;=5,EC7&lt;&gt;GetEquPower(BA7,BN7, CK7, FS7))</formula>
    </cfRule>
  </conditionalFormatting>
  <conditionalFormatting sqref="ED7">
    <cfRule type="expression" dxfId="2560" priority="2574">
      <formula>AND(BT7&gt;=6,ED7&lt;&gt;0, GetEquPower(BA7,BN7, CL7, FS7)=0)</formula>
    </cfRule>
    <cfRule type="expression" dxfId="2559" priority="2575">
      <formula>AND(BT7&gt;=6,ED7&lt;&gt;GetEquPower(BA7,BN7, CL7, FS7))</formula>
    </cfRule>
  </conditionalFormatting>
  <conditionalFormatting sqref="EH7">
    <cfRule type="expression" dxfId="2558" priority="2532">
      <formula>AND(BU7&gt;=1,EH7&lt;&gt;0, GetEquPower(BB7,BO7, CN7, FT7)=0)</formula>
    </cfRule>
    <cfRule type="expression" dxfId="2557" priority="2533">
      <formula>AND(BU7&gt;=1,EH7&lt;&gt;GetEquPower(BB7,BO7, CN7, FT7))</formula>
    </cfRule>
  </conditionalFormatting>
  <conditionalFormatting sqref="EI7">
    <cfRule type="expression" dxfId="2556" priority="2534">
      <formula>AND(BU7&gt;=2,EI7&lt;&gt;0, GetEquPower(BB7,BO7, CO7, FT7)=0)</formula>
    </cfRule>
    <cfRule type="expression" dxfId="2555" priority="2535">
      <formula xml:space="preserve"> AND(BU7&gt;=2,EI7&lt;&gt;GetEquPower(BB7,BO7, CO7, FT7))</formula>
    </cfRule>
  </conditionalFormatting>
  <conditionalFormatting sqref="EJ7">
    <cfRule type="expression" dxfId="2554" priority="2536">
      <formula>AND(BU7&gt;=3,EJ7&lt;&gt;0, GetEquPower(BB7,BO7, CP7, FT7)=0)</formula>
    </cfRule>
    <cfRule type="expression" dxfId="2553" priority="2537">
      <formula xml:space="preserve"> AND(BU7&gt;=3,EJ7&lt;&gt;GetEquPower(BB7,BO7, CP7, FT7))</formula>
    </cfRule>
  </conditionalFormatting>
  <conditionalFormatting sqref="EK7">
    <cfRule type="expression" dxfId="2552" priority="2560">
      <formula>AND(BU7&gt;=4,EK7&lt;&gt;0, GetEquPower(BB7,BO7, CQ7, FT7)=0)</formula>
    </cfRule>
    <cfRule type="expression" dxfId="2551" priority="2561">
      <formula xml:space="preserve"> AND(BU7&gt;=4,EK7&lt;&gt;GetEquPower(BB7,BO7, CQ7, FT7))</formula>
    </cfRule>
  </conditionalFormatting>
  <conditionalFormatting sqref="EL7">
    <cfRule type="expression" dxfId="2550" priority="2576">
      <formula>AND(BU7&gt;=5,EL7&lt;&gt;0, GetEquPower(BB7,BO7, CR7, FT7)=0)</formula>
    </cfRule>
    <cfRule type="expression" dxfId="2549" priority="2577">
      <formula xml:space="preserve"> AND(BU7&gt;=5,EL7&lt;&gt;GetEquPower(BB7,BO7, CR7, FT7))</formula>
    </cfRule>
  </conditionalFormatting>
  <conditionalFormatting sqref="EM7">
    <cfRule type="expression" dxfId="2548" priority="2578">
      <formula>AND(BU7&gt;=6,EM7&lt;&gt;0, GetEquPower(BB7,BO7, CS7, FT7)=0)</formula>
    </cfRule>
    <cfRule type="expression" dxfId="2547" priority="2579">
      <formula xml:space="preserve"> AND(BU7&gt;=6,EM7&lt;&gt;GetEquPower(BB7,BO7, CS7, FT7))</formula>
    </cfRule>
  </conditionalFormatting>
  <conditionalFormatting sqref="EQ7">
    <cfRule type="expression" dxfId="2546" priority="2538">
      <formula>AND(BV7&gt;=1,EQ7&lt;&gt;0, GetEquPower(BC7,BP7, CU7, FU7)=0)</formula>
    </cfRule>
    <cfRule type="expression" dxfId="2545" priority="2539">
      <formula>AND(BV7&gt;=1,EQ7&lt;&gt;GetEquPower(BC7,BP7, CU7, FU7))</formula>
    </cfRule>
  </conditionalFormatting>
  <conditionalFormatting sqref="ER7">
    <cfRule type="expression" dxfId="2544" priority="2540">
      <formula>AND(BV7&gt;=2,ER7&lt;&gt;0, GetEquPower(BC7,BP7, CV7, FU7)=0)</formula>
    </cfRule>
    <cfRule type="expression" dxfId="2543" priority="2541">
      <formula>AND(BV7&gt;=2,ER7&lt;&gt;GetEquPower(BC7,BP7, CV7, FU7))</formula>
    </cfRule>
  </conditionalFormatting>
  <conditionalFormatting sqref="ES7">
    <cfRule type="expression" dxfId="2542" priority="2542">
      <formula>AND(BV7&gt;=3,ES7&lt;&gt;0, GetEquPower(BC7,BP7, CW7, FU7)=0)</formula>
    </cfRule>
    <cfRule type="expression" dxfId="2541" priority="2543">
      <formula>AND(BV7&gt;=3,ES7&lt;&gt;GetEquPower(BC7,BP7, CW7, FU7))</formula>
    </cfRule>
  </conditionalFormatting>
  <conditionalFormatting sqref="ET7">
    <cfRule type="expression" dxfId="2540" priority="2562">
      <formula>AND(BV7&gt;=4,ET7&lt;&gt;0, GetEquPower(BC7,BP7, CX7, FU7)=0)</formula>
    </cfRule>
    <cfRule type="expression" dxfId="2539" priority="2563">
      <formula>AND(BV7&gt;=4,ET7&lt;&gt;GetEquPower(BC7,BP7, CX7, FU7))</formula>
    </cfRule>
  </conditionalFormatting>
  <conditionalFormatting sqref="EU7">
    <cfRule type="expression" dxfId="2538" priority="2580">
      <formula>AND(BV7&gt;=5,EU7&lt;&gt;0, GetEquPower(BC7,BP7, CY7, FU7)=0)</formula>
    </cfRule>
    <cfRule type="expression" dxfId="2537" priority="2581">
      <formula>AND(BV7&gt;=5,EU7&lt;&gt;GetEquPower(BC7,BP7, CY7, FU7))</formula>
    </cfRule>
  </conditionalFormatting>
  <conditionalFormatting sqref="EV7">
    <cfRule type="expression" dxfId="2536" priority="2582">
      <formula>AND(BV7&gt;=6,EV7&lt;&gt;0, GetEquPower(BC7,BP7, CZ7, FU7)=0)</formula>
    </cfRule>
    <cfRule type="expression" dxfId="2535" priority="2583">
      <formula>AND(BV7&gt;=6,EV7&lt;&gt;GetEquPower(BC7,BP7, CZ7, FU7))</formula>
    </cfRule>
  </conditionalFormatting>
  <conditionalFormatting sqref="EZ7">
    <cfRule type="expression" dxfId="2534" priority="2544">
      <formula>AND(BW7&gt;=1,EZ7&lt;&gt;0, GetEquPower(BD7,BQ7, DB7, FV7)=0)</formula>
    </cfRule>
    <cfRule type="expression" dxfId="2533" priority="2545">
      <formula>AND(BW7&gt;=1,EZ7&lt;&gt;GetEquPower(BD7,BQ7, DB7, FV7))</formula>
    </cfRule>
  </conditionalFormatting>
  <conditionalFormatting sqref="FA7">
    <cfRule type="expression" dxfId="2532" priority="2546">
      <formula>AND(BW7&gt;=2,FA7&lt;&gt;0, GetEquPower(BD7,BQ7, DC7, FV7)=0)</formula>
    </cfRule>
    <cfRule type="expression" dxfId="2531" priority="2547">
      <formula>AND(BW7&gt;=2,FA7&lt;&gt;GetEquPower(BD7,BQ7, DC7, FV7))</formula>
    </cfRule>
  </conditionalFormatting>
  <conditionalFormatting sqref="FB7">
    <cfRule type="expression" dxfId="2530" priority="2548">
      <formula>AND(BW7&gt;=3,FB7&lt;&gt;0, GetEquPower(BD7,BQ7, DD7, FV7)=0)</formula>
    </cfRule>
    <cfRule type="expression" dxfId="2529" priority="2549">
      <formula>AND(BW7&gt;=3,FB7&lt;&gt;GetEquPower(BD7,BQ7, DD7, FV7))</formula>
    </cfRule>
  </conditionalFormatting>
  <conditionalFormatting sqref="FC7">
    <cfRule type="expression" dxfId="2528" priority="2564">
      <formula>AND(BW7&gt;=4,FC7&lt;&gt;0, GetEquPower(BD7,BQ7, DE7, FV7)=0)</formula>
    </cfRule>
    <cfRule type="expression" dxfId="2527" priority="2565">
      <formula>AND(BW7&gt;=4,FC7&lt;&gt;GetEquPower(BD7,BQ7, DE7, FV7))</formula>
    </cfRule>
  </conditionalFormatting>
  <conditionalFormatting sqref="FD7">
    <cfRule type="expression" dxfId="2526" priority="2584">
      <formula>AND(BW7&gt;=5,FD7&lt;&gt;0, GetEquPower(BD7,BQ7, DF7, FV7)=0)</formula>
    </cfRule>
    <cfRule type="expression" dxfId="2525" priority="2585">
      <formula>AND(BW7&gt;=5,FD7&lt;&gt;GetEquPower(BD7,BQ7, DF7, FV7))</formula>
    </cfRule>
  </conditionalFormatting>
  <conditionalFormatting sqref="FE7">
    <cfRule type="expression" dxfId="2524" priority="2586">
      <formula>AND(BW7&gt;=6,FE7&lt;&gt;0, GetEquPower(BD7,BQ7, DG7, FV7)=0)</formula>
    </cfRule>
    <cfRule type="expression" dxfId="2523" priority="2587">
      <formula>AND(BW7&gt;=6,FE7&lt;&gt;GetEquPower(BD7,BQ7, DG7, FV7))</formula>
    </cfRule>
  </conditionalFormatting>
  <conditionalFormatting sqref="FI7">
    <cfRule type="expression" dxfId="2522" priority="2550">
      <formula>AND(BX7&gt;=1,FI7&lt;&gt;0, GetEquPower(BE7,BR7, DI7, FW7)=0)</formula>
    </cfRule>
    <cfRule type="expression" dxfId="2521" priority="2551">
      <formula>AND(BX7&gt;=1,FI7&lt;&gt;GetEquPower(BE7,BR7, DI7, FW7))</formula>
    </cfRule>
  </conditionalFormatting>
  <conditionalFormatting sqref="FJ7">
    <cfRule type="expression" dxfId="2520" priority="2552">
      <formula>AND(BX7&gt;=2,FJ7&lt;&gt;0, GetEquPower(BE7,BR7, DJ7, FW7)=0)</formula>
    </cfRule>
    <cfRule type="expression" dxfId="2519" priority="2553">
      <formula>AND(BX7&gt;=2,FJ7&lt;&gt;GetEquPower(BE7,BR7, DJ7, FW7))</formula>
    </cfRule>
  </conditionalFormatting>
  <conditionalFormatting sqref="FK7">
    <cfRule type="expression" dxfId="2518" priority="2554">
      <formula>AND(BX7&gt;=3,FK7&lt;&gt;0, GetEquPower(BE7,BR7, DK7, FW7)=0)</formula>
    </cfRule>
    <cfRule type="expression" dxfId="2517" priority="2555">
      <formula>AND(BX7&gt;=3,FK7&lt;&gt;GetEquPower(BE7,BR7, DK7, FW7))</formula>
    </cfRule>
  </conditionalFormatting>
  <conditionalFormatting sqref="FL7">
    <cfRule type="expression" dxfId="2516" priority="2566">
      <formula>AND(BX7&gt;=4,FL7&lt;&gt;0, GetEquPower(BE7,BR7, DL7, FW7)=0)</formula>
    </cfRule>
    <cfRule type="expression" dxfId="2515" priority="2567">
      <formula>AND(BX7&gt;=4,FL7&lt;&gt;GetEquPower(BE7,BR7, DL7, FW7))</formula>
    </cfRule>
  </conditionalFormatting>
  <conditionalFormatting sqref="FM7">
    <cfRule type="expression" dxfId="2514" priority="2588">
      <formula>AND(BX7&gt;=5,FM7&lt;&gt;0, GetEquPower(BE7,BR7, DM7, FW7)=0)</formula>
    </cfRule>
    <cfRule type="expression" dxfId="2513" priority="2589">
      <formula>AND(BX7&gt;=5,FM7&lt;&gt;GetEquPower(BE7,BR7, DM7, FW7))</formula>
    </cfRule>
  </conditionalFormatting>
  <conditionalFormatting sqref="FN7">
    <cfRule type="expression" dxfId="2512" priority="2590">
      <formula>AND(BX7&gt;=6,FN7&lt;&gt;0, GetEquPower(BE7,BR7, DN7, FW7)=0)</formula>
    </cfRule>
    <cfRule type="expression" dxfId="2511" priority="2591">
      <formula>AND(BX7&gt;=6,FN7&lt;&gt;GetEquPower(BE7,BR7, DN7, FW7))</formula>
    </cfRule>
  </conditionalFormatting>
  <conditionalFormatting sqref="F8">
    <cfRule type="expression" dxfId="2510" priority="2438">
      <formula>F8&lt;&gt;RIGHT(SUBSTITUTE(TRIM(E8),".",""),LEN(F8))</formula>
    </cfRule>
  </conditionalFormatting>
  <conditionalFormatting sqref="BS8">
    <cfRule type="expression" dxfId="2509" priority="2437">
      <formula>AND(J8&gt;=1,BS8&lt;1)</formula>
    </cfRule>
  </conditionalFormatting>
  <conditionalFormatting sqref="BT8">
    <cfRule type="expression" dxfId="2508" priority="2436">
      <formula>AND(J8&gt;=2,BT8&lt;1)</formula>
    </cfRule>
  </conditionalFormatting>
  <conditionalFormatting sqref="BU8">
    <cfRule type="expression" dxfId="2507" priority="2434">
      <formula>AND(J8&gt;=3,BU8&lt;1)</formula>
    </cfRule>
  </conditionalFormatting>
  <conditionalFormatting sqref="BV8">
    <cfRule type="expression" dxfId="2506" priority="2433">
      <formula>AND(J8&gt;=4,BV8&lt;1)</formula>
    </cfRule>
  </conditionalFormatting>
  <conditionalFormatting sqref="BW8">
    <cfRule type="expression" dxfId="2505" priority="2435">
      <formula>AND(J8&gt;=5,BW8&lt;1)</formula>
    </cfRule>
  </conditionalFormatting>
  <conditionalFormatting sqref="BX8">
    <cfRule type="expression" dxfId="2504" priority="2432">
      <formula>AND(J8&gt;=6,BX8&lt;1)</formula>
    </cfRule>
  </conditionalFormatting>
  <conditionalFormatting sqref="IC8">
    <cfRule type="expression" dxfId="2503" priority="2511">
      <formula>AND($S8 = TRUE, $IC8&lt;&gt;OptionsUnitCode)</formula>
    </cfRule>
  </conditionalFormatting>
  <conditionalFormatting sqref="B8:II8">
    <cfRule type="containsErrors" dxfId="2502" priority="2431">
      <formula>ISERROR(B8)</formula>
    </cfRule>
  </conditionalFormatting>
  <conditionalFormatting sqref="DP8">
    <cfRule type="expression" dxfId="2501" priority="2439">
      <formula>AND(BS8&gt;=1,DP8&lt;&gt;0, GetEquPower(AZ8,BM8, BZ8, FR8)=0)</formula>
    </cfRule>
    <cfRule type="expression" dxfId="2500" priority="2440">
      <formula>AND(BS8&gt;=1,DP8&lt;&gt;GetEquPower(AZ8,BM8, BZ8, FR8))</formula>
    </cfRule>
  </conditionalFormatting>
  <conditionalFormatting sqref="DQ8">
    <cfRule type="expression" dxfId="2499" priority="2441">
      <formula>AND(BS8&gt;=2,DQ8&lt;&gt;0, GetEquPower(AZ8,BM8, CA8, FR8)=0)</formula>
    </cfRule>
    <cfRule type="expression" dxfId="2498" priority="2442">
      <formula>AND(BS8&gt;=2,DQ8&lt;&gt;GetEquPower(AZ8,BM8, CA8, FR8))</formula>
    </cfRule>
  </conditionalFormatting>
  <conditionalFormatting sqref="DR8">
    <cfRule type="expression" dxfId="2497" priority="2443">
      <formula>AND(BS8&gt;=3,DR8&lt;&gt;0, GetEquPower(AZ8,BM8, CB8, FR8)=0)</formula>
    </cfRule>
    <cfRule type="expression" dxfId="2496" priority="2444">
      <formula>AND(BS8&gt;=3,DR8&lt;&gt;GetEquPower(AZ8,BM8, CB8, FR8))</formula>
    </cfRule>
  </conditionalFormatting>
  <conditionalFormatting sqref="DS8">
    <cfRule type="expression" dxfId="2495" priority="2475">
      <formula>AND(BS8&gt;=4,DS8&lt;&gt;0, GetEquPower(AZ8,BM8, CC8, FR8)=0)</formula>
    </cfRule>
    <cfRule type="expression" dxfId="2494" priority="2476">
      <formula>AND(BS8&gt;=4, DS8&lt;&gt;GetEquPower(AZ8,BM8, CC8, FR8))</formula>
    </cfRule>
  </conditionalFormatting>
  <conditionalFormatting sqref="DT8">
    <cfRule type="expression" dxfId="2493" priority="2487">
      <formula>AND(BS8&gt;=5,DT8&lt;&gt;0, GetEquPower(AZ8,BM8, CD8, FR8)=0)</formula>
    </cfRule>
    <cfRule type="expression" dxfId="2492" priority="2488">
      <formula>AND(BS8&gt;=5, DT8&lt;&gt;GetEquPower(AZ8,BM8, CD8, FR8))</formula>
    </cfRule>
  </conditionalFormatting>
  <conditionalFormatting sqref="DU8">
    <cfRule type="expression" dxfId="2491" priority="2489">
      <formula>AND(BS8&gt;=6,DU8&lt;&gt;0, GetEquPower(AZ8,BM8, CE8, FR8)=0)</formula>
    </cfRule>
    <cfRule type="expression" dxfId="2490" priority="2490">
      <formula>AND(BS8&gt;=6, DU8&lt;&gt;GetEquPower(AZ8,BM8, CE8, FR8))</formula>
    </cfRule>
  </conditionalFormatting>
  <conditionalFormatting sqref="DY8">
    <cfRule type="expression" dxfId="2489" priority="2445">
      <formula>AND(BT8&gt;=1,DY8&lt;&gt;0, GetEquPower(BA8,BN8, CG8, FS8)=0)</formula>
    </cfRule>
    <cfRule type="expression" dxfId="2488" priority="2446">
      <formula>AND(BT8&gt;=1,DY8&lt;&gt;GetEquPower(BA8,BN8, CG8, FS8))</formula>
    </cfRule>
  </conditionalFormatting>
  <conditionalFormatting sqref="DZ8">
    <cfRule type="expression" dxfId="2487" priority="2447">
      <formula>AND(BT8&gt;=2,DZ8&lt;&gt;0, GetEquPower(BA8,BN8, CH8, FS8)=0)</formula>
    </cfRule>
    <cfRule type="expression" dxfId="2486" priority="2448">
      <formula>AND(BT8&gt;=2,DZ8&lt;&gt;GetEquPower(BA8,BN8, CH8, FS8))</formula>
    </cfRule>
  </conditionalFormatting>
  <conditionalFormatting sqref="EA8">
    <cfRule type="expression" dxfId="2485" priority="2449">
      <formula>AND(BT8&gt;=3,EA8&lt;&gt;0, GetEquPower(BA8,BN8, CI8, FS8)=0)</formula>
    </cfRule>
    <cfRule type="expression" dxfId="2484" priority="2450">
      <formula>AND(BT8&gt;=3,EA8&lt;&gt;GetEquPower(BA8,BN8, CI8, FS8))</formula>
    </cfRule>
  </conditionalFormatting>
  <conditionalFormatting sqref="EB8">
    <cfRule type="expression" dxfId="2483" priority="2477">
      <formula>AND(BT8&gt;=4,EB8&lt;&gt;0, GetEquPower(BA8,BN8, CJ8, FS8)=0)</formula>
    </cfRule>
    <cfRule type="expression" dxfId="2482" priority="2478">
      <formula>AND(BT8&gt;=4,EB8&lt;&gt;GetEquPower(BA8,BN8, CJ8, FS8))</formula>
    </cfRule>
  </conditionalFormatting>
  <conditionalFormatting sqref="EC8">
    <cfRule type="expression" dxfId="2481" priority="2491">
      <formula>AND(BT8&gt;=5,EC8&lt;&gt;0, GetEquPower(BA8,BN8, CK8, FS8)=0)</formula>
    </cfRule>
    <cfRule type="expression" dxfId="2480" priority="2492">
      <formula>AND(BT8&gt;=5,EC8&lt;&gt;GetEquPower(BA8,BN8, CK8, FS8))</formula>
    </cfRule>
  </conditionalFormatting>
  <conditionalFormatting sqref="ED8">
    <cfRule type="expression" dxfId="2479" priority="2493">
      <formula>AND(BT8&gt;=6,ED8&lt;&gt;0, GetEquPower(BA8,BN8, CL8, FS8)=0)</formula>
    </cfRule>
    <cfRule type="expression" dxfId="2478" priority="2494">
      <formula>AND(BT8&gt;=6,ED8&lt;&gt;GetEquPower(BA8,BN8, CL8, FS8))</formula>
    </cfRule>
  </conditionalFormatting>
  <conditionalFormatting sqref="EH8">
    <cfRule type="expression" dxfId="2477" priority="2451">
      <formula>AND(BU8&gt;=1,EH8&lt;&gt;0, GetEquPower(BB8,BO8, CN8, FT8)=0)</formula>
    </cfRule>
    <cfRule type="expression" dxfId="2476" priority="2452">
      <formula>AND(BU8&gt;=1,EH8&lt;&gt;GetEquPower(BB8,BO8, CN8, FT8))</formula>
    </cfRule>
  </conditionalFormatting>
  <conditionalFormatting sqref="EI8">
    <cfRule type="expression" dxfId="2475" priority="2453">
      <formula>AND(BU8&gt;=2,EI8&lt;&gt;0, GetEquPower(BB8,BO8, CO8, FT8)=0)</formula>
    </cfRule>
    <cfRule type="expression" dxfId="2474" priority="2454">
      <formula xml:space="preserve"> AND(BU8&gt;=2,EI8&lt;&gt;GetEquPower(BB8,BO8, CO8, FT8))</formula>
    </cfRule>
  </conditionalFormatting>
  <conditionalFormatting sqref="EJ8">
    <cfRule type="expression" dxfId="2473" priority="2455">
      <formula>AND(BU8&gt;=3,EJ8&lt;&gt;0, GetEquPower(BB8,BO8, CP8, FT8)=0)</formula>
    </cfRule>
    <cfRule type="expression" dxfId="2472" priority="2456">
      <formula xml:space="preserve"> AND(BU8&gt;=3,EJ8&lt;&gt;GetEquPower(BB8,BO8, CP8, FT8))</formula>
    </cfRule>
  </conditionalFormatting>
  <conditionalFormatting sqref="EK8">
    <cfRule type="expression" dxfId="2471" priority="2479">
      <formula>AND(BU8&gt;=4,EK8&lt;&gt;0, GetEquPower(BB8,BO8, CQ8, FT8)=0)</formula>
    </cfRule>
    <cfRule type="expression" dxfId="2470" priority="2480">
      <formula xml:space="preserve"> AND(BU8&gt;=4,EK8&lt;&gt;GetEquPower(BB8,BO8, CQ8, FT8))</formula>
    </cfRule>
  </conditionalFormatting>
  <conditionalFormatting sqref="EL8">
    <cfRule type="expression" dxfId="2469" priority="2495">
      <formula>AND(BU8&gt;=5,EL8&lt;&gt;0, GetEquPower(BB8,BO8, CR8, FT8)=0)</formula>
    </cfRule>
    <cfRule type="expression" dxfId="2468" priority="2496">
      <formula xml:space="preserve"> AND(BU8&gt;=5,EL8&lt;&gt;GetEquPower(BB8,BO8, CR8, FT8))</formula>
    </cfRule>
  </conditionalFormatting>
  <conditionalFormatting sqref="EM8">
    <cfRule type="expression" dxfId="2467" priority="2497">
      <formula>AND(BU8&gt;=6,EM8&lt;&gt;0, GetEquPower(BB8,BO8, CS8, FT8)=0)</formula>
    </cfRule>
    <cfRule type="expression" dxfId="2466" priority="2498">
      <formula xml:space="preserve"> AND(BU8&gt;=6,EM8&lt;&gt;GetEquPower(BB8,BO8, CS8, FT8))</formula>
    </cfRule>
  </conditionalFormatting>
  <conditionalFormatting sqref="EQ8">
    <cfRule type="expression" dxfId="2465" priority="2457">
      <formula>AND(BV8&gt;=1,EQ8&lt;&gt;0, GetEquPower(BC8,BP8, CU8, FU8)=0)</formula>
    </cfRule>
    <cfRule type="expression" dxfId="2464" priority="2458">
      <formula>AND(BV8&gt;=1,EQ8&lt;&gt;GetEquPower(BC8,BP8, CU8, FU8))</formula>
    </cfRule>
  </conditionalFormatting>
  <conditionalFormatting sqref="ER8">
    <cfRule type="expression" dxfId="2463" priority="2459">
      <formula>AND(BV8&gt;=2,ER8&lt;&gt;0, GetEquPower(BC8,BP8, CV8, FU8)=0)</formula>
    </cfRule>
    <cfRule type="expression" dxfId="2462" priority="2460">
      <formula>AND(BV8&gt;=2,ER8&lt;&gt;GetEquPower(BC8,BP8, CV8, FU8))</formula>
    </cfRule>
  </conditionalFormatting>
  <conditionalFormatting sqref="ES8">
    <cfRule type="expression" dxfId="2461" priority="2461">
      <formula>AND(BV8&gt;=3,ES8&lt;&gt;0, GetEquPower(BC8,BP8, CW8, FU8)=0)</formula>
    </cfRule>
    <cfRule type="expression" dxfId="2460" priority="2462">
      <formula>AND(BV8&gt;=3,ES8&lt;&gt;GetEquPower(BC8,BP8, CW8, FU8))</formula>
    </cfRule>
  </conditionalFormatting>
  <conditionalFormatting sqref="ET8">
    <cfRule type="expression" dxfId="2459" priority="2481">
      <formula>AND(BV8&gt;=4,ET8&lt;&gt;0, GetEquPower(BC8,BP8, CX8, FU8)=0)</formula>
    </cfRule>
    <cfRule type="expression" dxfId="2458" priority="2482">
      <formula>AND(BV8&gt;=4,ET8&lt;&gt;GetEquPower(BC8,BP8, CX8, FU8))</formula>
    </cfRule>
  </conditionalFormatting>
  <conditionalFormatting sqref="EU8">
    <cfRule type="expression" dxfId="2457" priority="2499">
      <formula>AND(BV8&gt;=5,EU8&lt;&gt;0, GetEquPower(BC8,BP8, CY8, FU8)=0)</formula>
    </cfRule>
    <cfRule type="expression" dxfId="2456" priority="2500">
      <formula>AND(BV8&gt;=5,EU8&lt;&gt;GetEquPower(BC8,BP8, CY8, FU8))</formula>
    </cfRule>
  </conditionalFormatting>
  <conditionalFormatting sqref="EV8">
    <cfRule type="expression" dxfId="2455" priority="2501">
      <formula>AND(BV8&gt;=6,EV8&lt;&gt;0, GetEquPower(BC8,BP8, CZ8, FU8)=0)</formula>
    </cfRule>
    <cfRule type="expression" dxfId="2454" priority="2502">
      <formula>AND(BV8&gt;=6,EV8&lt;&gt;GetEquPower(BC8,BP8, CZ8, FU8))</formula>
    </cfRule>
  </conditionalFormatting>
  <conditionalFormatting sqref="EZ8">
    <cfRule type="expression" dxfId="2453" priority="2463">
      <formula>AND(BW8&gt;=1,EZ8&lt;&gt;0, GetEquPower(BD8,BQ8, DB8, FV8)=0)</formula>
    </cfRule>
    <cfRule type="expression" dxfId="2452" priority="2464">
      <formula>AND(BW8&gt;=1,EZ8&lt;&gt;GetEquPower(BD8,BQ8, DB8, FV8))</formula>
    </cfRule>
  </conditionalFormatting>
  <conditionalFormatting sqref="FA8">
    <cfRule type="expression" dxfId="2451" priority="2465">
      <formula>AND(BW8&gt;=2,FA8&lt;&gt;0, GetEquPower(BD8,BQ8, DC8, FV8)=0)</formula>
    </cfRule>
    <cfRule type="expression" dxfId="2450" priority="2466">
      <formula>AND(BW8&gt;=2,FA8&lt;&gt;GetEquPower(BD8,BQ8, DC8, FV8))</formula>
    </cfRule>
  </conditionalFormatting>
  <conditionalFormatting sqref="FB8">
    <cfRule type="expression" dxfId="2449" priority="2467">
      <formula>AND(BW8&gt;=3,FB8&lt;&gt;0, GetEquPower(BD8,BQ8, DD8, FV8)=0)</formula>
    </cfRule>
    <cfRule type="expression" dxfId="2448" priority="2468">
      <formula>AND(BW8&gt;=3,FB8&lt;&gt;GetEquPower(BD8,BQ8, DD8, FV8))</formula>
    </cfRule>
  </conditionalFormatting>
  <conditionalFormatting sqref="FC8">
    <cfRule type="expression" dxfId="2447" priority="2483">
      <formula>AND(BW8&gt;=4,FC8&lt;&gt;0, GetEquPower(BD8,BQ8, DE8, FV8)=0)</formula>
    </cfRule>
    <cfRule type="expression" dxfId="2446" priority="2484">
      <formula>AND(BW8&gt;=4,FC8&lt;&gt;GetEquPower(BD8,BQ8, DE8, FV8))</formula>
    </cfRule>
  </conditionalFormatting>
  <conditionalFormatting sqref="FD8">
    <cfRule type="expression" dxfId="2445" priority="2503">
      <formula>AND(BW8&gt;=5,FD8&lt;&gt;0, GetEquPower(BD8,BQ8, DF8, FV8)=0)</formula>
    </cfRule>
    <cfRule type="expression" dxfId="2444" priority="2504">
      <formula>AND(BW8&gt;=5,FD8&lt;&gt;GetEquPower(BD8,BQ8, DF8, FV8))</formula>
    </cfRule>
  </conditionalFormatting>
  <conditionalFormatting sqref="FE8">
    <cfRule type="expression" dxfId="2443" priority="2505">
      <formula>AND(BW8&gt;=6,FE8&lt;&gt;0, GetEquPower(BD8,BQ8, DG8, FV8)=0)</formula>
    </cfRule>
    <cfRule type="expression" dxfId="2442" priority="2506">
      <formula>AND(BW8&gt;=6,FE8&lt;&gt;GetEquPower(BD8,BQ8, DG8, FV8))</formula>
    </cfRule>
  </conditionalFormatting>
  <conditionalFormatting sqref="FI8">
    <cfRule type="expression" dxfId="2441" priority="2469">
      <formula>AND(BX8&gt;=1,FI8&lt;&gt;0, GetEquPower(BE8,BR8, DI8, FW8)=0)</formula>
    </cfRule>
    <cfRule type="expression" dxfId="2440" priority="2470">
      <formula>AND(BX8&gt;=1,FI8&lt;&gt;GetEquPower(BE8,BR8, DI8, FW8))</formula>
    </cfRule>
  </conditionalFormatting>
  <conditionalFormatting sqref="FJ8">
    <cfRule type="expression" dxfId="2439" priority="2471">
      <formula>AND(BX8&gt;=2,FJ8&lt;&gt;0, GetEquPower(BE8,BR8, DJ8, FW8)=0)</formula>
    </cfRule>
    <cfRule type="expression" dxfId="2438" priority="2472">
      <formula>AND(BX8&gt;=2,FJ8&lt;&gt;GetEquPower(BE8,BR8, DJ8, FW8))</formula>
    </cfRule>
  </conditionalFormatting>
  <conditionalFormatting sqref="FK8">
    <cfRule type="expression" dxfId="2437" priority="2473">
      <formula>AND(BX8&gt;=3,FK8&lt;&gt;0, GetEquPower(BE8,BR8, DK8, FW8)=0)</formula>
    </cfRule>
    <cfRule type="expression" dxfId="2436" priority="2474">
      <formula>AND(BX8&gt;=3,FK8&lt;&gt;GetEquPower(BE8,BR8, DK8, FW8))</formula>
    </cfRule>
  </conditionalFormatting>
  <conditionalFormatting sqref="FL8">
    <cfRule type="expression" dxfId="2435" priority="2485">
      <formula>AND(BX8&gt;=4,FL8&lt;&gt;0, GetEquPower(BE8,BR8, DL8, FW8)=0)</formula>
    </cfRule>
    <cfRule type="expression" dxfId="2434" priority="2486">
      <formula>AND(BX8&gt;=4,FL8&lt;&gt;GetEquPower(BE8,BR8, DL8, FW8))</formula>
    </cfRule>
  </conditionalFormatting>
  <conditionalFormatting sqref="FM8">
    <cfRule type="expression" dxfId="2433" priority="2507">
      <formula>AND(BX8&gt;=5,FM8&lt;&gt;0, GetEquPower(BE8,BR8, DM8, FW8)=0)</formula>
    </cfRule>
    <cfRule type="expression" dxfId="2432" priority="2508">
      <formula>AND(BX8&gt;=5,FM8&lt;&gt;GetEquPower(BE8,BR8, DM8, FW8))</formula>
    </cfRule>
  </conditionalFormatting>
  <conditionalFormatting sqref="FN8">
    <cfRule type="expression" dxfId="2431" priority="2509">
      <formula>AND(BX8&gt;=6,FN8&lt;&gt;0, GetEquPower(BE8,BR8, DN8, FW8)=0)</formula>
    </cfRule>
    <cfRule type="expression" dxfId="2430" priority="2510">
      <formula>AND(BX8&gt;=6,FN8&lt;&gt;GetEquPower(BE8,BR8, DN8, FW8))</formula>
    </cfRule>
  </conditionalFormatting>
  <conditionalFormatting sqref="F9">
    <cfRule type="expression" dxfId="2429" priority="2357">
      <formula>F9&lt;&gt;RIGHT(SUBSTITUTE(TRIM(E9),".",""),LEN(F9))</formula>
    </cfRule>
  </conditionalFormatting>
  <conditionalFormatting sqref="BS9">
    <cfRule type="expression" dxfId="2428" priority="2356">
      <formula>AND(J9&gt;=1,BS9&lt;1)</formula>
    </cfRule>
  </conditionalFormatting>
  <conditionalFormatting sqref="BT9">
    <cfRule type="expression" dxfId="2427" priority="2355">
      <formula>AND(J9&gt;=2,BT9&lt;1)</formula>
    </cfRule>
  </conditionalFormatting>
  <conditionalFormatting sqref="BU9">
    <cfRule type="expression" dxfId="2426" priority="2353">
      <formula>AND(J9&gt;=3,BU9&lt;1)</formula>
    </cfRule>
  </conditionalFormatting>
  <conditionalFormatting sqref="BV9">
    <cfRule type="expression" dxfId="2425" priority="2352">
      <formula>AND(J9&gt;=4,BV9&lt;1)</formula>
    </cfRule>
  </conditionalFormatting>
  <conditionalFormatting sqref="BW9">
    <cfRule type="expression" dxfId="2424" priority="2354">
      <formula>AND(J9&gt;=5,BW9&lt;1)</formula>
    </cfRule>
  </conditionalFormatting>
  <conditionalFormatting sqref="BX9">
    <cfRule type="expression" dxfId="2423" priority="2351">
      <formula>AND(J9&gt;=6,BX9&lt;1)</formula>
    </cfRule>
  </conditionalFormatting>
  <conditionalFormatting sqref="IC9">
    <cfRule type="expression" dxfId="2422" priority="2430">
      <formula>AND($S9 = TRUE, $IC9&lt;&gt;OptionsUnitCode)</formula>
    </cfRule>
  </conditionalFormatting>
  <conditionalFormatting sqref="B9:II9">
    <cfRule type="containsErrors" dxfId="2421" priority="2350">
      <formula>ISERROR(B9)</formula>
    </cfRule>
  </conditionalFormatting>
  <conditionalFormatting sqref="DP9">
    <cfRule type="expression" dxfId="2420" priority="2358">
      <formula>AND(BS9&gt;=1,DP9&lt;&gt;0, GetEquPower(AZ9,BM9, BZ9, FR9)=0)</formula>
    </cfRule>
    <cfRule type="expression" dxfId="2419" priority="2359">
      <formula>AND(BS9&gt;=1,DP9&lt;&gt;GetEquPower(AZ9,BM9, BZ9, FR9))</formula>
    </cfRule>
  </conditionalFormatting>
  <conditionalFormatting sqref="DQ9">
    <cfRule type="expression" dxfId="2418" priority="2360">
      <formula>AND(BS9&gt;=2,DQ9&lt;&gt;0, GetEquPower(AZ9,BM9, CA9, FR9)=0)</formula>
    </cfRule>
    <cfRule type="expression" dxfId="2417" priority="2361">
      <formula>AND(BS9&gt;=2,DQ9&lt;&gt;GetEquPower(AZ9,BM9, CA9, FR9))</formula>
    </cfRule>
  </conditionalFormatting>
  <conditionalFormatting sqref="DR9">
    <cfRule type="expression" dxfId="2416" priority="2362">
      <formula>AND(BS9&gt;=3,DR9&lt;&gt;0, GetEquPower(AZ9,BM9, CB9, FR9)=0)</formula>
    </cfRule>
    <cfRule type="expression" dxfId="2415" priority="2363">
      <formula>AND(BS9&gt;=3,DR9&lt;&gt;GetEquPower(AZ9,BM9, CB9, FR9))</formula>
    </cfRule>
  </conditionalFormatting>
  <conditionalFormatting sqref="DS9">
    <cfRule type="expression" dxfId="2414" priority="2394">
      <formula>AND(BS9&gt;=4,DS9&lt;&gt;0, GetEquPower(AZ9,BM9, CC9, FR9)=0)</formula>
    </cfRule>
    <cfRule type="expression" dxfId="2413" priority="2395">
      <formula>AND(BS9&gt;=4, DS9&lt;&gt;GetEquPower(AZ9,BM9, CC9, FR9))</formula>
    </cfRule>
  </conditionalFormatting>
  <conditionalFormatting sqref="DT9">
    <cfRule type="expression" dxfId="2412" priority="2406">
      <formula>AND(BS9&gt;=5,DT9&lt;&gt;0, GetEquPower(AZ9,BM9, CD9, FR9)=0)</formula>
    </cfRule>
    <cfRule type="expression" dxfId="2411" priority="2407">
      <formula>AND(BS9&gt;=5, DT9&lt;&gt;GetEquPower(AZ9,BM9, CD9, FR9))</formula>
    </cfRule>
  </conditionalFormatting>
  <conditionalFormatting sqref="DU9">
    <cfRule type="expression" dxfId="2410" priority="2408">
      <formula>AND(BS9&gt;=6,DU9&lt;&gt;0, GetEquPower(AZ9,BM9, CE9, FR9)=0)</formula>
    </cfRule>
    <cfRule type="expression" dxfId="2409" priority="2409">
      <formula>AND(BS9&gt;=6, DU9&lt;&gt;GetEquPower(AZ9,BM9, CE9, FR9))</formula>
    </cfRule>
  </conditionalFormatting>
  <conditionalFormatting sqref="DY9">
    <cfRule type="expression" dxfId="2408" priority="2364">
      <formula>AND(BT9&gt;=1,DY9&lt;&gt;0, GetEquPower(BA9,BN9, CG9, FS9)=0)</formula>
    </cfRule>
    <cfRule type="expression" dxfId="2407" priority="2365">
      <formula>AND(BT9&gt;=1,DY9&lt;&gt;GetEquPower(BA9,BN9, CG9, FS9))</formula>
    </cfRule>
  </conditionalFormatting>
  <conditionalFormatting sqref="DZ9">
    <cfRule type="expression" dxfId="2406" priority="2366">
      <formula>AND(BT9&gt;=2,DZ9&lt;&gt;0, GetEquPower(BA9,BN9, CH9, FS9)=0)</formula>
    </cfRule>
    <cfRule type="expression" dxfId="2405" priority="2367">
      <formula>AND(BT9&gt;=2,DZ9&lt;&gt;GetEquPower(BA9,BN9, CH9, FS9))</formula>
    </cfRule>
  </conditionalFormatting>
  <conditionalFormatting sqref="EA9">
    <cfRule type="expression" dxfId="2404" priority="2368">
      <formula>AND(BT9&gt;=3,EA9&lt;&gt;0, GetEquPower(BA9,BN9, CI9, FS9)=0)</formula>
    </cfRule>
    <cfRule type="expression" dxfId="2403" priority="2369">
      <formula>AND(BT9&gt;=3,EA9&lt;&gt;GetEquPower(BA9,BN9, CI9, FS9))</formula>
    </cfRule>
  </conditionalFormatting>
  <conditionalFormatting sqref="EB9">
    <cfRule type="expression" dxfId="2402" priority="2396">
      <formula>AND(BT9&gt;=4,EB9&lt;&gt;0, GetEquPower(BA9,BN9, CJ9, FS9)=0)</formula>
    </cfRule>
    <cfRule type="expression" dxfId="2401" priority="2397">
      <formula>AND(BT9&gt;=4,EB9&lt;&gt;GetEquPower(BA9,BN9, CJ9, FS9))</formula>
    </cfRule>
  </conditionalFormatting>
  <conditionalFormatting sqref="EC9">
    <cfRule type="expression" dxfId="2400" priority="2410">
      <formula>AND(BT9&gt;=5,EC9&lt;&gt;0, GetEquPower(BA9,BN9, CK9, FS9)=0)</formula>
    </cfRule>
    <cfRule type="expression" dxfId="2399" priority="2411">
      <formula>AND(BT9&gt;=5,EC9&lt;&gt;GetEquPower(BA9,BN9, CK9, FS9))</formula>
    </cfRule>
  </conditionalFormatting>
  <conditionalFormatting sqref="ED9">
    <cfRule type="expression" dxfId="2398" priority="2412">
      <formula>AND(BT9&gt;=6,ED9&lt;&gt;0, GetEquPower(BA9,BN9, CL9, FS9)=0)</formula>
    </cfRule>
    <cfRule type="expression" dxfId="2397" priority="2413">
      <formula>AND(BT9&gt;=6,ED9&lt;&gt;GetEquPower(BA9,BN9, CL9, FS9))</formula>
    </cfRule>
  </conditionalFormatting>
  <conditionalFormatting sqref="EH9">
    <cfRule type="expression" dxfId="2396" priority="2370">
      <formula>AND(BU9&gt;=1,EH9&lt;&gt;0, GetEquPower(BB9,BO9, CN9, FT9)=0)</formula>
    </cfRule>
    <cfRule type="expression" dxfId="2395" priority="2371">
      <formula>AND(BU9&gt;=1,EH9&lt;&gt;GetEquPower(BB9,BO9, CN9, FT9))</formula>
    </cfRule>
  </conditionalFormatting>
  <conditionalFormatting sqref="EI9">
    <cfRule type="expression" dxfId="2394" priority="2372">
      <formula>AND(BU9&gt;=2,EI9&lt;&gt;0, GetEquPower(BB9,BO9, CO9, FT9)=0)</formula>
    </cfRule>
    <cfRule type="expression" dxfId="2393" priority="2373">
      <formula xml:space="preserve"> AND(BU9&gt;=2,EI9&lt;&gt;GetEquPower(BB9,BO9, CO9, FT9))</formula>
    </cfRule>
  </conditionalFormatting>
  <conditionalFormatting sqref="EJ9">
    <cfRule type="expression" dxfId="2392" priority="2374">
      <formula>AND(BU9&gt;=3,EJ9&lt;&gt;0, GetEquPower(BB9,BO9, CP9, FT9)=0)</formula>
    </cfRule>
    <cfRule type="expression" dxfId="2391" priority="2375">
      <formula xml:space="preserve"> AND(BU9&gt;=3,EJ9&lt;&gt;GetEquPower(BB9,BO9, CP9, FT9))</formula>
    </cfRule>
  </conditionalFormatting>
  <conditionalFormatting sqref="EK9">
    <cfRule type="expression" dxfId="2390" priority="2398">
      <formula>AND(BU9&gt;=4,EK9&lt;&gt;0, GetEquPower(BB9,BO9, CQ9, FT9)=0)</formula>
    </cfRule>
    <cfRule type="expression" dxfId="2389" priority="2399">
      <formula xml:space="preserve"> AND(BU9&gt;=4,EK9&lt;&gt;GetEquPower(BB9,BO9, CQ9, FT9))</formula>
    </cfRule>
  </conditionalFormatting>
  <conditionalFormatting sqref="EL9">
    <cfRule type="expression" dxfId="2388" priority="2414">
      <formula>AND(BU9&gt;=5,EL9&lt;&gt;0, GetEquPower(BB9,BO9, CR9, FT9)=0)</formula>
    </cfRule>
    <cfRule type="expression" dxfId="2387" priority="2415">
      <formula xml:space="preserve"> AND(BU9&gt;=5,EL9&lt;&gt;GetEquPower(BB9,BO9, CR9, FT9))</formula>
    </cfRule>
  </conditionalFormatting>
  <conditionalFormatting sqref="EM9">
    <cfRule type="expression" dxfId="2386" priority="2416">
      <formula>AND(BU9&gt;=6,EM9&lt;&gt;0, GetEquPower(BB9,BO9, CS9, FT9)=0)</formula>
    </cfRule>
    <cfRule type="expression" dxfId="2385" priority="2417">
      <formula xml:space="preserve"> AND(BU9&gt;=6,EM9&lt;&gt;GetEquPower(BB9,BO9, CS9, FT9))</formula>
    </cfRule>
  </conditionalFormatting>
  <conditionalFormatting sqref="EQ9">
    <cfRule type="expression" dxfId="2384" priority="2376">
      <formula>AND(BV9&gt;=1,EQ9&lt;&gt;0, GetEquPower(BC9,BP9, CU9, FU9)=0)</formula>
    </cfRule>
    <cfRule type="expression" dxfId="2383" priority="2377">
      <formula>AND(BV9&gt;=1,EQ9&lt;&gt;GetEquPower(BC9,BP9, CU9, FU9))</formula>
    </cfRule>
  </conditionalFormatting>
  <conditionalFormatting sqref="ER9">
    <cfRule type="expression" dxfId="2382" priority="2378">
      <formula>AND(BV9&gt;=2,ER9&lt;&gt;0, GetEquPower(BC9,BP9, CV9, FU9)=0)</formula>
    </cfRule>
    <cfRule type="expression" dxfId="2381" priority="2379">
      <formula>AND(BV9&gt;=2,ER9&lt;&gt;GetEquPower(BC9,BP9, CV9, FU9))</formula>
    </cfRule>
  </conditionalFormatting>
  <conditionalFormatting sqref="ES9">
    <cfRule type="expression" dxfId="2380" priority="2380">
      <formula>AND(BV9&gt;=3,ES9&lt;&gt;0, GetEquPower(BC9,BP9, CW9, FU9)=0)</formula>
    </cfRule>
    <cfRule type="expression" dxfId="2379" priority="2381">
      <formula>AND(BV9&gt;=3,ES9&lt;&gt;GetEquPower(BC9,BP9, CW9, FU9))</formula>
    </cfRule>
  </conditionalFormatting>
  <conditionalFormatting sqref="ET9">
    <cfRule type="expression" dxfId="2378" priority="2400">
      <formula>AND(BV9&gt;=4,ET9&lt;&gt;0, GetEquPower(BC9,BP9, CX9, FU9)=0)</formula>
    </cfRule>
    <cfRule type="expression" dxfId="2377" priority="2401">
      <formula>AND(BV9&gt;=4,ET9&lt;&gt;GetEquPower(BC9,BP9, CX9, FU9))</formula>
    </cfRule>
  </conditionalFormatting>
  <conditionalFormatting sqref="EU9">
    <cfRule type="expression" dxfId="2376" priority="2418">
      <formula>AND(BV9&gt;=5,EU9&lt;&gt;0, GetEquPower(BC9,BP9, CY9, FU9)=0)</formula>
    </cfRule>
    <cfRule type="expression" dxfId="2375" priority="2419">
      <formula>AND(BV9&gt;=5,EU9&lt;&gt;GetEquPower(BC9,BP9, CY9, FU9))</formula>
    </cfRule>
  </conditionalFormatting>
  <conditionalFormatting sqref="EV9">
    <cfRule type="expression" dxfId="2374" priority="2420">
      <formula>AND(BV9&gt;=6,EV9&lt;&gt;0, GetEquPower(BC9,BP9, CZ9, FU9)=0)</formula>
    </cfRule>
    <cfRule type="expression" dxfId="2373" priority="2421">
      <formula>AND(BV9&gt;=6,EV9&lt;&gt;GetEquPower(BC9,BP9, CZ9, FU9))</formula>
    </cfRule>
  </conditionalFormatting>
  <conditionalFormatting sqref="EZ9">
    <cfRule type="expression" dxfId="2372" priority="2382">
      <formula>AND(BW9&gt;=1,EZ9&lt;&gt;0, GetEquPower(BD9,BQ9, DB9, FV9)=0)</formula>
    </cfRule>
    <cfRule type="expression" dxfId="2371" priority="2383">
      <formula>AND(BW9&gt;=1,EZ9&lt;&gt;GetEquPower(BD9,BQ9, DB9, FV9))</formula>
    </cfRule>
  </conditionalFormatting>
  <conditionalFormatting sqref="FA9">
    <cfRule type="expression" dxfId="2370" priority="2384">
      <formula>AND(BW9&gt;=2,FA9&lt;&gt;0, GetEquPower(BD9,BQ9, DC9, FV9)=0)</formula>
    </cfRule>
    <cfRule type="expression" dxfId="2369" priority="2385">
      <formula>AND(BW9&gt;=2,FA9&lt;&gt;GetEquPower(BD9,BQ9, DC9, FV9))</formula>
    </cfRule>
  </conditionalFormatting>
  <conditionalFormatting sqref="FB9">
    <cfRule type="expression" dxfId="2368" priority="2386">
      <formula>AND(BW9&gt;=3,FB9&lt;&gt;0, GetEquPower(BD9,BQ9, DD9, FV9)=0)</formula>
    </cfRule>
    <cfRule type="expression" dxfId="2367" priority="2387">
      <formula>AND(BW9&gt;=3,FB9&lt;&gt;GetEquPower(BD9,BQ9, DD9, FV9))</formula>
    </cfRule>
  </conditionalFormatting>
  <conditionalFormatting sqref="FC9">
    <cfRule type="expression" dxfId="2366" priority="2402">
      <formula>AND(BW9&gt;=4,FC9&lt;&gt;0, GetEquPower(BD9,BQ9, DE9, FV9)=0)</formula>
    </cfRule>
    <cfRule type="expression" dxfId="2365" priority="2403">
      <formula>AND(BW9&gt;=4,FC9&lt;&gt;GetEquPower(BD9,BQ9, DE9, FV9))</formula>
    </cfRule>
  </conditionalFormatting>
  <conditionalFormatting sqref="FD9">
    <cfRule type="expression" dxfId="2364" priority="2422">
      <formula>AND(BW9&gt;=5,FD9&lt;&gt;0, GetEquPower(BD9,BQ9, DF9, FV9)=0)</formula>
    </cfRule>
    <cfRule type="expression" dxfId="2363" priority="2423">
      <formula>AND(BW9&gt;=5,FD9&lt;&gt;GetEquPower(BD9,BQ9, DF9, FV9))</formula>
    </cfRule>
  </conditionalFormatting>
  <conditionalFormatting sqref="FE9">
    <cfRule type="expression" dxfId="2362" priority="2424">
      <formula>AND(BW9&gt;=6,FE9&lt;&gt;0, GetEquPower(BD9,BQ9, DG9, FV9)=0)</formula>
    </cfRule>
    <cfRule type="expression" dxfId="2361" priority="2425">
      <formula>AND(BW9&gt;=6,FE9&lt;&gt;GetEquPower(BD9,BQ9, DG9, FV9))</formula>
    </cfRule>
  </conditionalFormatting>
  <conditionalFormatting sqref="FI9">
    <cfRule type="expression" dxfId="2360" priority="2388">
      <formula>AND(BX9&gt;=1,FI9&lt;&gt;0, GetEquPower(BE9,BR9, DI9, FW9)=0)</formula>
    </cfRule>
    <cfRule type="expression" dxfId="2359" priority="2389">
      <formula>AND(BX9&gt;=1,FI9&lt;&gt;GetEquPower(BE9,BR9, DI9, FW9))</formula>
    </cfRule>
  </conditionalFormatting>
  <conditionalFormatting sqref="FJ9">
    <cfRule type="expression" dxfId="2358" priority="2390">
      <formula>AND(BX9&gt;=2,FJ9&lt;&gt;0, GetEquPower(BE9,BR9, DJ9, FW9)=0)</formula>
    </cfRule>
    <cfRule type="expression" dxfId="2357" priority="2391">
      <formula>AND(BX9&gt;=2,FJ9&lt;&gt;GetEquPower(BE9,BR9, DJ9, FW9))</formula>
    </cfRule>
  </conditionalFormatting>
  <conditionalFormatting sqref="FK9">
    <cfRule type="expression" dxfId="2356" priority="2392">
      <formula>AND(BX9&gt;=3,FK9&lt;&gt;0, GetEquPower(BE9,BR9, DK9, FW9)=0)</formula>
    </cfRule>
    <cfRule type="expression" dxfId="2355" priority="2393">
      <formula>AND(BX9&gt;=3,FK9&lt;&gt;GetEquPower(BE9,BR9, DK9, FW9))</formula>
    </cfRule>
  </conditionalFormatting>
  <conditionalFormatting sqref="FL9">
    <cfRule type="expression" dxfId="2354" priority="2404">
      <formula>AND(BX9&gt;=4,FL9&lt;&gt;0, GetEquPower(BE9,BR9, DL9, FW9)=0)</formula>
    </cfRule>
    <cfRule type="expression" dxfId="2353" priority="2405">
      <formula>AND(BX9&gt;=4,FL9&lt;&gt;GetEquPower(BE9,BR9, DL9, FW9))</formula>
    </cfRule>
  </conditionalFormatting>
  <conditionalFormatting sqref="FM9">
    <cfRule type="expression" dxfId="2352" priority="2426">
      <formula>AND(BX9&gt;=5,FM9&lt;&gt;0, GetEquPower(BE9,BR9, DM9, FW9)=0)</formula>
    </cfRule>
    <cfRule type="expression" dxfId="2351" priority="2427">
      <formula>AND(BX9&gt;=5,FM9&lt;&gt;GetEquPower(BE9,BR9, DM9, FW9))</formula>
    </cfRule>
  </conditionalFormatting>
  <conditionalFormatting sqref="FN9">
    <cfRule type="expression" dxfId="2350" priority="2428">
      <formula>AND(BX9&gt;=6,FN9&lt;&gt;0, GetEquPower(BE9,BR9, DN9, FW9)=0)</formula>
    </cfRule>
    <cfRule type="expression" dxfId="2349" priority="2429">
      <formula>AND(BX9&gt;=6,FN9&lt;&gt;GetEquPower(BE9,BR9, DN9, FW9))</formula>
    </cfRule>
  </conditionalFormatting>
  <conditionalFormatting sqref="F10">
    <cfRule type="expression" dxfId="2348" priority="2276">
      <formula>F10&lt;&gt;RIGHT(SUBSTITUTE(TRIM(E10),".",""),LEN(F10))</formula>
    </cfRule>
  </conditionalFormatting>
  <conditionalFormatting sqref="BS10">
    <cfRule type="expression" dxfId="2347" priority="2275">
      <formula>AND(J10&gt;=1,BS10&lt;1)</formula>
    </cfRule>
  </conditionalFormatting>
  <conditionalFormatting sqref="BT10">
    <cfRule type="expression" dxfId="2346" priority="2274">
      <formula>AND(J10&gt;=2,BT10&lt;1)</formula>
    </cfRule>
  </conditionalFormatting>
  <conditionalFormatting sqref="BU10">
    <cfRule type="expression" dxfId="2345" priority="2272">
      <formula>AND(J10&gt;=3,BU10&lt;1)</formula>
    </cfRule>
  </conditionalFormatting>
  <conditionalFormatting sqref="BV10">
    <cfRule type="expression" dxfId="2344" priority="2271">
      <formula>AND(J10&gt;=4,BV10&lt;1)</formula>
    </cfRule>
  </conditionalFormatting>
  <conditionalFormatting sqref="BW10">
    <cfRule type="expression" dxfId="2343" priority="2273">
      <formula>AND(J10&gt;=5,BW10&lt;1)</formula>
    </cfRule>
  </conditionalFormatting>
  <conditionalFormatting sqref="BX10">
    <cfRule type="expression" dxfId="2342" priority="2270">
      <formula>AND(J10&gt;=6,BX10&lt;1)</formula>
    </cfRule>
  </conditionalFormatting>
  <conditionalFormatting sqref="IC10">
    <cfRule type="expression" dxfId="2341" priority="2349">
      <formula>AND($S10 = TRUE, $IC10&lt;&gt;OptionsUnitCode)</formula>
    </cfRule>
  </conditionalFormatting>
  <conditionalFormatting sqref="B10:II10">
    <cfRule type="containsErrors" dxfId="2340" priority="2269">
      <formula>ISERROR(B10)</formula>
    </cfRule>
  </conditionalFormatting>
  <conditionalFormatting sqref="DP10">
    <cfRule type="expression" dxfId="2339" priority="2277">
      <formula>AND(BS10&gt;=1,DP10&lt;&gt;0, GetEquPower(AZ10,BM10, BZ10, FR10)=0)</formula>
    </cfRule>
    <cfRule type="expression" dxfId="2338" priority="2278">
      <formula>AND(BS10&gt;=1,DP10&lt;&gt;GetEquPower(AZ10,BM10, BZ10, FR10))</formula>
    </cfRule>
  </conditionalFormatting>
  <conditionalFormatting sqref="DQ10">
    <cfRule type="expression" dxfId="2337" priority="2279">
      <formula>AND(BS10&gt;=2,DQ10&lt;&gt;0, GetEquPower(AZ10,BM10, CA10, FR10)=0)</formula>
    </cfRule>
    <cfRule type="expression" dxfId="2336" priority="2280">
      <formula>AND(BS10&gt;=2,DQ10&lt;&gt;GetEquPower(AZ10,BM10, CA10, FR10))</formula>
    </cfRule>
  </conditionalFormatting>
  <conditionalFormatting sqref="DR10">
    <cfRule type="expression" dxfId="2335" priority="2281">
      <formula>AND(BS10&gt;=3,DR10&lt;&gt;0, GetEquPower(AZ10,BM10, CB10, FR10)=0)</formula>
    </cfRule>
    <cfRule type="expression" dxfId="2334" priority="2282">
      <formula>AND(BS10&gt;=3,DR10&lt;&gt;GetEquPower(AZ10,BM10, CB10, FR10))</formula>
    </cfRule>
  </conditionalFormatting>
  <conditionalFormatting sqref="DS10">
    <cfRule type="expression" dxfId="2333" priority="2313">
      <formula>AND(BS10&gt;=4,DS10&lt;&gt;0, GetEquPower(AZ10,BM10, CC10, FR10)=0)</formula>
    </cfRule>
    <cfRule type="expression" dxfId="2332" priority="2314">
      <formula>AND(BS10&gt;=4, DS10&lt;&gt;GetEquPower(AZ10,BM10, CC10, FR10))</formula>
    </cfRule>
  </conditionalFormatting>
  <conditionalFormatting sqref="DT10">
    <cfRule type="expression" dxfId="2331" priority="2325">
      <formula>AND(BS10&gt;=5,DT10&lt;&gt;0, GetEquPower(AZ10,BM10, CD10, FR10)=0)</formula>
    </cfRule>
    <cfRule type="expression" dxfId="2330" priority="2326">
      <formula>AND(BS10&gt;=5, DT10&lt;&gt;GetEquPower(AZ10,BM10, CD10, FR10))</formula>
    </cfRule>
  </conditionalFormatting>
  <conditionalFormatting sqref="DU10">
    <cfRule type="expression" dxfId="2329" priority="2327">
      <formula>AND(BS10&gt;=6,DU10&lt;&gt;0, GetEquPower(AZ10,BM10, CE10, FR10)=0)</formula>
    </cfRule>
    <cfRule type="expression" dxfId="2328" priority="2328">
      <formula>AND(BS10&gt;=6, DU10&lt;&gt;GetEquPower(AZ10,BM10, CE10, FR10))</formula>
    </cfRule>
  </conditionalFormatting>
  <conditionalFormatting sqref="DY10">
    <cfRule type="expression" dxfId="2327" priority="2283">
      <formula>AND(BT10&gt;=1,DY10&lt;&gt;0, GetEquPower(BA10,BN10, CG10, FS10)=0)</formula>
    </cfRule>
    <cfRule type="expression" dxfId="2326" priority="2284">
      <formula>AND(BT10&gt;=1,DY10&lt;&gt;GetEquPower(BA10,BN10, CG10, FS10))</formula>
    </cfRule>
  </conditionalFormatting>
  <conditionalFormatting sqref="DZ10">
    <cfRule type="expression" dxfId="2325" priority="2285">
      <formula>AND(BT10&gt;=2,DZ10&lt;&gt;0, GetEquPower(BA10,BN10, CH10, FS10)=0)</formula>
    </cfRule>
    <cfRule type="expression" dxfId="2324" priority="2286">
      <formula>AND(BT10&gt;=2,DZ10&lt;&gt;GetEquPower(BA10,BN10, CH10, FS10))</formula>
    </cfRule>
  </conditionalFormatting>
  <conditionalFormatting sqref="EA10">
    <cfRule type="expression" dxfId="2323" priority="2287">
      <formula>AND(BT10&gt;=3,EA10&lt;&gt;0, GetEquPower(BA10,BN10, CI10, FS10)=0)</formula>
    </cfRule>
    <cfRule type="expression" dxfId="2322" priority="2288">
      <formula>AND(BT10&gt;=3,EA10&lt;&gt;GetEquPower(BA10,BN10, CI10, FS10))</formula>
    </cfRule>
  </conditionalFormatting>
  <conditionalFormatting sqref="EB10">
    <cfRule type="expression" dxfId="2321" priority="2315">
      <formula>AND(BT10&gt;=4,EB10&lt;&gt;0, GetEquPower(BA10,BN10, CJ10, FS10)=0)</formula>
    </cfRule>
    <cfRule type="expression" dxfId="2320" priority="2316">
      <formula>AND(BT10&gt;=4,EB10&lt;&gt;GetEquPower(BA10,BN10, CJ10, FS10))</formula>
    </cfRule>
  </conditionalFormatting>
  <conditionalFormatting sqref="EC10">
    <cfRule type="expression" dxfId="2319" priority="2329">
      <formula>AND(BT10&gt;=5,EC10&lt;&gt;0, GetEquPower(BA10,BN10, CK10, FS10)=0)</formula>
    </cfRule>
    <cfRule type="expression" dxfId="2318" priority="2330">
      <formula>AND(BT10&gt;=5,EC10&lt;&gt;GetEquPower(BA10,BN10, CK10, FS10))</formula>
    </cfRule>
  </conditionalFormatting>
  <conditionalFormatting sqref="ED10">
    <cfRule type="expression" dxfId="2317" priority="2331">
      <formula>AND(BT10&gt;=6,ED10&lt;&gt;0, GetEquPower(BA10,BN10, CL10, FS10)=0)</formula>
    </cfRule>
    <cfRule type="expression" dxfId="2316" priority="2332">
      <formula>AND(BT10&gt;=6,ED10&lt;&gt;GetEquPower(BA10,BN10, CL10, FS10))</formula>
    </cfRule>
  </conditionalFormatting>
  <conditionalFormatting sqref="EH10">
    <cfRule type="expression" dxfId="2315" priority="2289">
      <formula>AND(BU10&gt;=1,EH10&lt;&gt;0, GetEquPower(BB10,BO10, CN10, FT10)=0)</formula>
    </cfRule>
    <cfRule type="expression" dxfId="2314" priority="2290">
      <formula>AND(BU10&gt;=1,EH10&lt;&gt;GetEquPower(BB10,BO10, CN10, FT10))</formula>
    </cfRule>
  </conditionalFormatting>
  <conditionalFormatting sqref="EI10">
    <cfRule type="expression" dxfId="2313" priority="2291">
      <formula>AND(BU10&gt;=2,EI10&lt;&gt;0, GetEquPower(BB10,BO10, CO10, FT10)=0)</formula>
    </cfRule>
    <cfRule type="expression" dxfId="2312" priority="2292">
      <formula xml:space="preserve"> AND(BU10&gt;=2,EI10&lt;&gt;GetEquPower(BB10,BO10, CO10, FT10))</formula>
    </cfRule>
  </conditionalFormatting>
  <conditionalFormatting sqref="EJ10">
    <cfRule type="expression" dxfId="2311" priority="2293">
      <formula>AND(BU10&gt;=3,EJ10&lt;&gt;0, GetEquPower(BB10,BO10, CP10, FT10)=0)</formula>
    </cfRule>
    <cfRule type="expression" dxfId="2310" priority="2294">
      <formula xml:space="preserve"> AND(BU10&gt;=3,EJ10&lt;&gt;GetEquPower(BB10,BO10, CP10, FT10))</formula>
    </cfRule>
  </conditionalFormatting>
  <conditionalFormatting sqref="EK10">
    <cfRule type="expression" dxfId="2309" priority="2317">
      <formula>AND(BU10&gt;=4,EK10&lt;&gt;0, GetEquPower(BB10,BO10, CQ10, FT10)=0)</formula>
    </cfRule>
    <cfRule type="expression" dxfId="2308" priority="2318">
      <formula xml:space="preserve"> AND(BU10&gt;=4,EK10&lt;&gt;GetEquPower(BB10,BO10, CQ10, FT10))</formula>
    </cfRule>
  </conditionalFormatting>
  <conditionalFormatting sqref="EL10">
    <cfRule type="expression" dxfId="2307" priority="2333">
      <formula>AND(BU10&gt;=5,EL10&lt;&gt;0, GetEquPower(BB10,BO10, CR10, FT10)=0)</formula>
    </cfRule>
    <cfRule type="expression" dxfId="2306" priority="2334">
      <formula xml:space="preserve"> AND(BU10&gt;=5,EL10&lt;&gt;GetEquPower(BB10,BO10, CR10, FT10))</formula>
    </cfRule>
  </conditionalFormatting>
  <conditionalFormatting sqref="EM10">
    <cfRule type="expression" dxfId="2305" priority="2335">
      <formula>AND(BU10&gt;=6,EM10&lt;&gt;0, GetEquPower(BB10,BO10, CS10, FT10)=0)</formula>
    </cfRule>
    <cfRule type="expression" dxfId="2304" priority="2336">
      <formula xml:space="preserve"> AND(BU10&gt;=6,EM10&lt;&gt;GetEquPower(BB10,BO10, CS10, FT10))</formula>
    </cfRule>
  </conditionalFormatting>
  <conditionalFormatting sqref="EQ10">
    <cfRule type="expression" dxfId="2303" priority="2295">
      <formula>AND(BV10&gt;=1,EQ10&lt;&gt;0, GetEquPower(BC10,BP10, CU10, FU10)=0)</formula>
    </cfRule>
    <cfRule type="expression" dxfId="2302" priority="2296">
      <formula>AND(BV10&gt;=1,EQ10&lt;&gt;GetEquPower(BC10,BP10, CU10, FU10))</formula>
    </cfRule>
  </conditionalFormatting>
  <conditionalFormatting sqref="ER10">
    <cfRule type="expression" dxfId="2301" priority="2297">
      <formula>AND(BV10&gt;=2,ER10&lt;&gt;0, GetEquPower(BC10,BP10, CV10, FU10)=0)</formula>
    </cfRule>
    <cfRule type="expression" dxfId="2300" priority="2298">
      <formula>AND(BV10&gt;=2,ER10&lt;&gt;GetEquPower(BC10,BP10, CV10, FU10))</formula>
    </cfRule>
  </conditionalFormatting>
  <conditionalFormatting sqref="ES10">
    <cfRule type="expression" dxfId="2299" priority="2299">
      <formula>AND(BV10&gt;=3,ES10&lt;&gt;0, GetEquPower(BC10,BP10, CW10, FU10)=0)</formula>
    </cfRule>
    <cfRule type="expression" dxfId="2298" priority="2300">
      <formula>AND(BV10&gt;=3,ES10&lt;&gt;GetEquPower(BC10,BP10, CW10, FU10))</formula>
    </cfRule>
  </conditionalFormatting>
  <conditionalFormatting sqref="ET10">
    <cfRule type="expression" dxfId="2297" priority="2319">
      <formula>AND(BV10&gt;=4,ET10&lt;&gt;0, GetEquPower(BC10,BP10, CX10, FU10)=0)</formula>
    </cfRule>
    <cfRule type="expression" dxfId="2296" priority="2320">
      <formula>AND(BV10&gt;=4,ET10&lt;&gt;GetEquPower(BC10,BP10, CX10, FU10))</formula>
    </cfRule>
  </conditionalFormatting>
  <conditionalFormatting sqref="EU10">
    <cfRule type="expression" dxfId="2295" priority="2337">
      <formula>AND(BV10&gt;=5,EU10&lt;&gt;0, GetEquPower(BC10,BP10, CY10, FU10)=0)</formula>
    </cfRule>
    <cfRule type="expression" dxfId="2294" priority="2338">
      <formula>AND(BV10&gt;=5,EU10&lt;&gt;GetEquPower(BC10,BP10, CY10, FU10))</formula>
    </cfRule>
  </conditionalFormatting>
  <conditionalFormatting sqref="EV10">
    <cfRule type="expression" dxfId="2293" priority="2339">
      <formula>AND(BV10&gt;=6,EV10&lt;&gt;0, GetEquPower(BC10,BP10, CZ10, FU10)=0)</formula>
    </cfRule>
    <cfRule type="expression" dxfId="2292" priority="2340">
      <formula>AND(BV10&gt;=6,EV10&lt;&gt;GetEquPower(BC10,BP10, CZ10, FU10))</formula>
    </cfRule>
  </conditionalFormatting>
  <conditionalFormatting sqref="EZ10">
    <cfRule type="expression" dxfId="2291" priority="2301">
      <formula>AND(BW10&gt;=1,EZ10&lt;&gt;0, GetEquPower(BD10,BQ10, DB10, FV10)=0)</formula>
    </cfRule>
    <cfRule type="expression" dxfId="2290" priority="2302">
      <formula>AND(BW10&gt;=1,EZ10&lt;&gt;GetEquPower(BD10,BQ10, DB10, FV10))</formula>
    </cfRule>
  </conditionalFormatting>
  <conditionalFormatting sqref="FA10">
    <cfRule type="expression" dxfId="2289" priority="2303">
      <formula>AND(BW10&gt;=2,FA10&lt;&gt;0, GetEquPower(BD10,BQ10, DC10, FV10)=0)</formula>
    </cfRule>
    <cfRule type="expression" dxfId="2288" priority="2304">
      <formula>AND(BW10&gt;=2,FA10&lt;&gt;GetEquPower(BD10,BQ10, DC10, FV10))</formula>
    </cfRule>
  </conditionalFormatting>
  <conditionalFormatting sqref="FB10">
    <cfRule type="expression" dxfId="2287" priority="2305">
      <formula>AND(BW10&gt;=3,FB10&lt;&gt;0, GetEquPower(BD10,BQ10, DD10, FV10)=0)</formula>
    </cfRule>
    <cfRule type="expression" dxfId="2286" priority="2306">
      <formula>AND(BW10&gt;=3,FB10&lt;&gt;GetEquPower(BD10,BQ10, DD10, FV10))</formula>
    </cfRule>
  </conditionalFormatting>
  <conditionalFormatting sqref="FC10">
    <cfRule type="expression" dxfId="2285" priority="2321">
      <formula>AND(BW10&gt;=4,FC10&lt;&gt;0, GetEquPower(BD10,BQ10, DE10, FV10)=0)</formula>
    </cfRule>
    <cfRule type="expression" dxfId="2284" priority="2322">
      <formula>AND(BW10&gt;=4,FC10&lt;&gt;GetEquPower(BD10,BQ10, DE10, FV10))</formula>
    </cfRule>
  </conditionalFormatting>
  <conditionalFormatting sqref="FD10">
    <cfRule type="expression" dxfId="2283" priority="2341">
      <formula>AND(BW10&gt;=5,FD10&lt;&gt;0, GetEquPower(BD10,BQ10, DF10, FV10)=0)</formula>
    </cfRule>
    <cfRule type="expression" dxfId="2282" priority="2342">
      <formula>AND(BW10&gt;=5,FD10&lt;&gt;GetEquPower(BD10,BQ10, DF10, FV10))</formula>
    </cfRule>
  </conditionalFormatting>
  <conditionalFormatting sqref="FE10">
    <cfRule type="expression" dxfId="2281" priority="2343">
      <formula>AND(BW10&gt;=6,FE10&lt;&gt;0, GetEquPower(BD10,BQ10, DG10, FV10)=0)</formula>
    </cfRule>
    <cfRule type="expression" dxfId="2280" priority="2344">
      <formula>AND(BW10&gt;=6,FE10&lt;&gt;GetEquPower(BD10,BQ10, DG10, FV10))</formula>
    </cfRule>
  </conditionalFormatting>
  <conditionalFormatting sqref="FI10">
    <cfRule type="expression" dxfId="2279" priority="2307">
      <formula>AND(BX10&gt;=1,FI10&lt;&gt;0, GetEquPower(BE10,BR10, DI10, FW10)=0)</formula>
    </cfRule>
    <cfRule type="expression" dxfId="2278" priority="2308">
      <formula>AND(BX10&gt;=1,FI10&lt;&gt;GetEquPower(BE10,BR10, DI10, FW10))</formula>
    </cfRule>
  </conditionalFormatting>
  <conditionalFormatting sqref="FJ10">
    <cfRule type="expression" dxfId="2277" priority="2309">
      <formula>AND(BX10&gt;=2,FJ10&lt;&gt;0, GetEquPower(BE10,BR10, DJ10, FW10)=0)</formula>
    </cfRule>
    <cfRule type="expression" dxfId="2276" priority="2310">
      <formula>AND(BX10&gt;=2,FJ10&lt;&gt;GetEquPower(BE10,BR10, DJ10, FW10))</formula>
    </cfRule>
  </conditionalFormatting>
  <conditionalFormatting sqref="FK10">
    <cfRule type="expression" dxfId="2275" priority="2311">
      <formula>AND(BX10&gt;=3,FK10&lt;&gt;0, GetEquPower(BE10,BR10, DK10, FW10)=0)</formula>
    </cfRule>
    <cfRule type="expression" dxfId="2274" priority="2312">
      <formula>AND(BX10&gt;=3,FK10&lt;&gt;GetEquPower(BE10,BR10, DK10, FW10))</formula>
    </cfRule>
  </conditionalFormatting>
  <conditionalFormatting sqref="FL10">
    <cfRule type="expression" dxfId="2273" priority="2323">
      <formula>AND(BX10&gt;=4,FL10&lt;&gt;0, GetEquPower(BE10,BR10, DL10, FW10)=0)</formula>
    </cfRule>
    <cfRule type="expression" dxfId="2272" priority="2324">
      <formula>AND(BX10&gt;=4,FL10&lt;&gt;GetEquPower(BE10,BR10, DL10, FW10))</formula>
    </cfRule>
  </conditionalFormatting>
  <conditionalFormatting sqref="FM10">
    <cfRule type="expression" dxfId="2271" priority="2345">
      <formula>AND(BX10&gt;=5,FM10&lt;&gt;0, GetEquPower(BE10,BR10, DM10, FW10)=0)</formula>
    </cfRule>
    <cfRule type="expression" dxfId="2270" priority="2346">
      <formula>AND(BX10&gt;=5,FM10&lt;&gt;GetEquPower(BE10,BR10, DM10, FW10))</formula>
    </cfRule>
  </conditionalFormatting>
  <conditionalFormatting sqref="FN10">
    <cfRule type="expression" dxfId="2269" priority="2347">
      <formula>AND(BX10&gt;=6,FN10&lt;&gt;0, GetEquPower(BE10,BR10, DN10, FW10)=0)</formula>
    </cfRule>
    <cfRule type="expression" dxfId="2268" priority="2348">
      <formula>AND(BX10&gt;=6,FN10&lt;&gt;GetEquPower(BE10,BR10, DN10, FW10))</formula>
    </cfRule>
  </conditionalFormatting>
  <conditionalFormatting sqref="F11">
    <cfRule type="expression" dxfId="2267" priority="2195">
      <formula>F11&lt;&gt;RIGHT(SUBSTITUTE(TRIM(E11),".",""),LEN(F11))</formula>
    </cfRule>
  </conditionalFormatting>
  <conditionalFormatting sqref="BS11">
    <cfRule type="expression" dxfId="2266" priority="2194">
      <formula>AND(J11&gt;=1,BS11&lt;1)</formula>
    </cfRule>
  </conditionalFormatting>
  <conditionalFormatting sqref="BT11">
    <cfRule type="expression" dxfId="2265" priority="2193">
      <formula>AND(J11&gt;=2,BT11&lt;1)</formula>
    </cfRule>
  </conditionalFormatting>
  <conditionalFormatting sqref="BU11">
    <cfRule type="expression" dxfId="2264" priority="2191">
      <formula>AND(J11&gt;=3,BU11&lt;1)</formula>
    </cfRule>
  </conditionalFormatting>
  <conditionalFormatting sqref="BV11">
    <cfRule type="expression" dxfId="2263" priority="2190">
      <formula>AND(J11&gt;=4,BV11&lt;1)</formula>
    </cfRule>
  </conditionalFormatting>
  <conditionalFormatting sqref="BW11">
    <cfRule type="expression" dxfId="2262" priority="2192">
      <formula>AND(J11&gt;=5,BW11&lt;1)</formula>
    </cfRule>
  </conditionalFormatting>
  <conditionalFormatting sqref="BX11">
    <cfRule type="expression" dxfId="2261" priority="2189">
      <formula>AND(J11&gt;=6,BX11&lt;1)</formula>
    </cfRule>
  </conditionalFormatting>
  <conditionalFormatting sqref="IC11">
    <cfRule type="expression" dxfId="2260" priority="2268">
      <formula>AND($S11 = TRUE, $IC11&lt;&gt;OptionsUnitCode)</formula>
    </cfRule>
  </conditionalFormatting>
  <conditionalFormatting sqref="B11:II11">
    <cfRule type="containsErrors" dxfId="2259" priority="2188">
      <formula>ISERROR(B11)</formula>
    </cfRule>
  </conditionalFormatting>
  <conditionalFormatting sqref="DP11">
    <cfRule type="expression" dxfId="2258" priority="2196">
      <formula>AND(BS11&gt;=1,DP11&lt;&gt;0, GetEquPower(AZ11,BM11, BZ11, FR11)=0)</formula>
    </cfRule>
    <cfRule type="expression" dxfId="2257" priority="2197">
      <formula>AND(BS11&gt;=1,DP11&lt;&gt;GetEquPower(AZ11,BM11, BZ11, FR11))</formula>
    </cfRule>
  </conditionalFormatting>
  <conditionalFormatting sqref="DQ11">
    <cfRule type="expression" dxfId="2256" priority="2198">
      <formula>AND(BS11&gt;=2,DQ11&lt;&gt;0, GetEquPower(AZ11,BM11, CA11, FR11)=0)</formula>
    </cfRule>
    <cfRule type="expression" dxfId="2255" priority="2199">
      <formula>AND(BS11&gt;=2,DQ11&lt;&gt;GetEquPower(AZ11,BM11, CA11, FR11))</formula>
    </cfRule>
  </conditionalFormatting>
  <conditionalFormatting sqref="DR11">
    <cfRule type="expression" dxfId="2254" priority="2200">
      <formula>AND(BS11&gt;=3,DR11&lt;&gt;0, GetEquPower(AZ11,BM11, CB11, FR11)=0)</formula>
    </cfRule>
    <cfRule type="expression" dxfId="2253" priority="2201">
      <formula>AND(BS11&gt;=3,DR11&lt;&gt;GetEquPower(AZ11,BM11, CB11, FR11))</formula>
    </cfRule>
  </conditionalFormatting>
  <conditionalFormatting sqref="DS11">
    <cfRule type="expression" dxfId="2252" priority="2232">
      <formula>AND(BS11&gt;=4,DS11&lt;&gt;0, GetEquPower(AZ11,BM11, CC11, FR11)=0)</formula>
    </cfRule>
    <cfRule type="expression" dxfId="2251" priority="2233">
      <formula>AND(BS11&gt;=4, DS11&lt;&gt;GetEquPower(AZ11,BM11, CC11, FR11))</formula>
    </cfRule>
  </conditionalFormatting>
  <conditionalFormatting sqref="DT11">
    <cfRule type="expression" dxfId="2250" priority="2244">
      <formula>AND(BS11&gt;=5,DT11&lt;&gt;0, GetEquPower(AZ11,BM11, CD11, FR11)=0)</formula>
    </cfRule>
    <cfRule type="expression" dxfId="2249" priority="2245">
      <formula>AND(BS11&gt;=5, DT11&lt;&gt;GetEquPower(AZ11,BM11, CD11, FR11))</formula>
    </cfRule>
  </conditionalFormatting>
  <conditionalFormatting sqref="DU11">
    <cfRule type="expression" dxfId="2248" priority="2246">
      <formula>AND(BS11&gt;=6,DU11&lt;&gt;0, GetEquPower(AZ11,BM11, CE11, FR11)=0)</formula>
    </cfRule>
    <cfRule type="expression" dxfId="2247" priority="2247">
      <formula>AND(BS11&gt;=6, DU11&lt;&gt;GetEquPower(AZ11,BM11, CE11, FR11))</formula>
    </cfRule>
  </conditionalFormatting>
  <conditionalFormatting sqref="DY11">
    <cfRule type="expression" dxfId="2246" priority="2202">
      <formula>AND(BT11&gt;=1,DY11&lt;&gt;0, GetEquPower(BA11,BN11, CG11, FS11)=0)</formula>
    </cfRule>
    <cfRule type="expression" dxfId="2245" priority="2203">
      <formula>AND(BT11&gt;=1,DY11&lt;&gt;GetEquPower(BA11,BN11, CG11, FS11))</formula>
    </cfRule>
  </conditionalFormatting>
  <conditionalFormatting sqref="DZ11">
    <cfRule type="expression" dxfId="2244" priority="2204">
      <formula>AND(BT11&gt;=2,DZ11&lt;&gt;0, GetEquPower(BA11,BN11, CH11, FS11)=0)</formula>
    </cfRule>
    <cfRule type="expression" dxfId="2243" priority="2205">
      <formula>AND(BT11&gt;=2,DZ11&lt;&gt;GetEquPower(BA11,BN11, CH11, FS11))</formula>
    </cfRule>
  </conditionalFormatting>
  <conditionalFormatting sqref="EA11">
    <cfRule type="expression" dxfId="2242" priority="2206">
      <formula>AND(BT11&gt;=3,EA11&lt;&gt;0, GetEquPower(BA11,BN11, CI11, FS11)=0)</formula>
    </cfRule>
    <cfRule type="expression" dxfId="2241" priority="2207">
      <formula>AND(BT11&gt;=3,EA11&lt;&gt;GetEquPower(BA11,BN11, CI11, FS11))</formula>
    </cfRule>
  </conditionalFormatting>
  <conditionalFormatting sqref="EB11">
    <cfRule type="expression" dxfId="2240" priority="2234">
      <formula>AND(BT11&gt;=4,EB11&lt;&gt;0, GetEquPower(BA11,BN11, CJ11, FS11)=0)</formula>
    </cfRule>
    <cfRule type="expression" dxfId="2239" priority="2235">
      <formula>AND(BT11&gt;=4,EB11&lt;&gt;GetEquPower(BA11,BN11, CJ11, FS11))</formula>
    </cfRule>
  </conditionalFormatting>
  <conditionalFormatting sqref="EC11">
    <cfRule type="expression" dxfId="2238" priority="2248">
      <formula>AND(BT11&gt;=5,EC11&lt;&gt;0, GetEquPower(BA11,BN11, CK11, FS11)=0)</formula>
    </cfRule>
    <cfRule type="expression" dxfId="2237" priority="2249">
      <formula>AND(BT11&gt;=5,EC11&lt;&gt;GetEquPower(BA11,BN11, CK11, FS11))</formula>
    </cfRule>
  </conditionalFormatting>
  <conditionalFormatting sqref="ED11">
    <cfRule type="expression" dxfId="2236" priority="2250">
      <formula>AND(BT11&gt;=6,ED11&lt;&gt;0, GetEquPower(BA11,BN11, CL11, FS11)=0)</formula>
    </cfRule>
    <cfRule type="expression" dxfId="2235" priority="2251">
      <formula>AND(BT11&gt;=6,ED11&lt;&gt;GetEquPower(BA11,BN11, CL11, FS11))</formula>
    </cfRule>
  </conditionalFormatting>
  <conditionalFormatting sqref="EH11">
    <cfRule type="expression" dxfId="2234" priority="2208">
      <formula>AND(BU11&gt;=1,EH11&lt;&gt;0, GetEquPower(BB11,BO11, CN11, FT11)=0)</formula>
    </cfRule>
    <cfRule type="expression" dxfId="2233" priority="2209">
      <formula>AND(BU11&gt;=1,EH11&lt;&gt;GetEquPower(BB11,BO11, CN11, FT11))</formula>
    </cfRule>
  </conditionalFormatting>
  <conditionalFormatting sqref="EI11">
    <cfRule type="expression" dxfId="2232" priority="2210">
      <formula>AND(BU11&gt;=2,EI11&lt;&gt;0, GetEquPower(BB11,BO11, CO11, FT11)=0)</formula>
    </cfRule>
    <cfRule type="expression" dxfId="2231" priority="2211">
      <formula xml:space="preserve"> AND(BU11&gt;=2,EI11&lt;&gt;GetEquPower(BB11,BO11, CO11, FT11))</formula>
    </cfRule>
  </conditionalFormatting>
  <conditionalFormatting sqref="EJ11">
    <cfRule type="expression" dxfId="2230" priority="2212">
      <formula>AND(BU11&gt;=3,EJ11&lt;&gt;0, GetEquPower(BB11,BO11, CP11, FT11)=0)</formula>
    </cfRule>
    <cfRule type="expression" dxfId="2229" priority="2213">
      <formula xml:space="preserve"> AND(BU11&gt;=3,EJ11&lt;&gt;GetEquPower(BB11,BO11, CP11, FT11))</formula>
    </cfRule>
  </conditionalFormatting>
  <conditionalFormatting sqref="EK11">
    <cfRule type="expression" dxfId="2228" priority="2236">
      <formula>AND(BU11&gt;=4,EK11&lt;&gt;0, GetEquPower(BB11,BO11, CQ11, FT11)=0)</formula>
    </cfRule>
    <cfRule type="expression" dxfId="2227" priority="2237">
      <formula xml:space="preserve"> AND(BU11&gt;=4,EK11&lt;&gt;GetEquPower(BB11,BO11, CQ11, FT11))</formula>
    </cfRule>
  </conditionalFormatting>
  <conditionalFormatting sqref="EL11">
    <cfRule type="expression" dxfId="2226" priority="2252">
      <formula>AND(BU11&gt;=5,EL11&lt;&gt;0, GetEquPower(BB11,BO11, CR11, FT11)=0)</formula>
    </cfRule>
    <cfRule type="expression" dxfId="2225" priority="2253">
      <formula xml:space="preserve"> AND(BU11&gt;=5,EL11&lt;&gt;GetEquPower(BB11,BO11, CR11, FT11))</formula>
    </cfRule>
  </conditionalFormatting>
  <conditionalFormatting sqref="EM11">
    <cfRule type="expression" dxfId="2224" priority="2254">
      <formula>AND(BU11&gt;=6,EM11&lt;&gt;0, GetEquPower(BB11,BO11, CS11, FT11)=0)</formula>
    </cfRule>
    <cfRule type="expression" dxfId="2223" priority="2255">
      <formula xml:space="preserve"> AND(BU11&gt;=6,EM11&lt;&gt;GetEquPower(BB11,BO11, CS11, FT11))</formula>
    </cfRule>
  </conditionalFormatting>
  <conditionalFormatting sqref="EQ11">
    <cfRule type="expression" dxfId="2222" priority="2214">
      <formula>AND(BV11&gt;=1,EQ11&lt;&gt;0, GetEquPower(BC11,BP11, CU11, FU11)=0)</formula>
    </cfRule>
    <cfRule type="expression" dxfId="2221" priority="2215">
      <formula>AND(BV11&gt;=1,EQ11&lt;&gt;GetEquPower(BC11,BP11, CU11, FU11))</formula>
    </cfRule>
  </conditionalFormatting>
  <conditionalFormatting sqref="ER11">
    <cfRule type="expression" dxfId="2220" priority="2216">
      <formula>AND(BV11&gt;=2,ER11&lt;&gt;0, GetEquPower(BC11,BP11, CV11, FU11)=0)</formula>
    </cfRule>
    <cfRule type="expression" dxfId="2219" priority="2217">
      <formula>AND(BV11&gt;=2,ER11&lt;&gt;GetEquPower(BC11,BP11, CV11, FU11))</formula>
    </cfRule>
  </conditionalFormatting>
  <conditionalFormatting sqref="ES11">
    <cfRule type="expression" dxfId="2218" priority="2218">
      <formula>AND(BV11&gt;=3,ES11&lt;&gt;0, GetEquPower(BC11,BP11, CW11, FU11)=0)</formula>
    </cfRule>
    <cfRule type="expression" dxfId="2217" priority="2219">
      <formula>AND(BV11&gt;=3,ES11&lt;&gt;GetEquPower(BC11,BP11, CW11, FU11))</formula>
    </cfRule>
  </conditionalFormatting>
  <conditionalFormatting sqref="ET11">
    <cfRule type="expression" dxfId="2216" priority="2238">
      <formula>AND(BV11&gt;=4,ET11&lt;&gt;0, GetEquPower(BC11,BP11, CX11, FU11)=0)</formula>
    </cfRule>
    <cfRule type="expression" dxfId="2215" priority="2239">
      <formula>AND(BV11&gt;=4,ET11&lt;&gt;GetEquPower(BC11,BP11, CX11, FU11))</formula>
    </cfRule>
  </conditionalFormatting>
  <conditionalFormatting sqref="EU11">
    <cfRule type="expression" dxfId="2214" priority="2256">
      <formula>AND(BV11&gt;=5,EU11&lt;&gt;0, GetEquPower(BC11,BP11, CY11, FU11)=0)</formula>
    </cfRule>
    <cfRule type="expression" dxfId="2213" priority="2257">
      <formula>AND(BV11&gt;=5,EU11&lt;&gt;GetEquPower(BC11,BP11, CY11, FU11))</formula>
    </cfRule>
  </conditionalFormatting>
  <conditionalFormatting sqref="EV11">
    <cfRule type="expression" dxfId="2212" priority="2258">
      <formula>AND(BV11&gt;=6,EV11&lt;&gt;0, GetEquPower(BC11,BP11, CZ11, FU11)=0)</formula>
    </cfRule>
    <cfRule type="expression" dxfId="2211" priority="2259">
      <formula>AND(BV11&gt;=6,EV11&lt;&gt;GetEquPower(BC11,BP11, CZ11, FU11))</formula>
    </cfRule>
  </conditionalFormatting>
  <conditionalFormatting sqref="EZ11">
    <cfRule type="expression" dxfId="2210" priority="2220">
      <formula>AND(BW11&gt;=1,EZ11&lt;&gt;0, GetEquPower(BD11,BQ11, DB11, FV11)=0)</formula>
    </cfRule>
    <cfRule type="expression" dxfId="2209" priority="2221">
      <formula>AND(BW11&gt;=1,EZ11&lt;&gt;GetEquPower(BD11,BQ11, DB11, FV11))</formula>
    </cfRule>
  </conditionalFormatting>
  <conditionalFormatting sqref="FA11">
    <cfRule type="expression" dxfId="2208" priority="2222">
      <formula>AND(BW11&gt;=2,FA11&lt;&gt;0, GetEquPower(BD11,BQ11, DC11, FV11)=0)</formula>
    </cfRule>
    <cfRule type="expression" dxfId="2207" priority="2223">
      <formula>AND(BW11&gt;=2,FA11&lt;&gt;GetEquPower(BD11,BQ11, DC11, FV11))</formula>
    </cfRule>
  </conditionalFormatting>
  <conditionalFormatting sqref="FB11">
    <cfRule type="expression" dxfId="2206" priority="2224">
      <formula>AND(BW11&gt;=3,FB11&lt;&gt;0, GetEquPower(BD11,BQ11, DD11, FV11)=0)</formula>
    </cfRule>
    <cfRule type="expression" dxfId="2205" priority="2225">
      <formula>AND(BW11&gt;=3,FB11&lt;&gt;GetEquPower(BD11,BQ11, DD11, FV11))</formula>
    </cfRule>
  </conditionalFormatting>
  <conditionalFormatting sqref="FC11">
    <cfRule type="expression" dxfId="2204" priority="2240">
      <formula>AND(BW11&gt;=4,FC11&lt;&gt;0, GetEquPower(BD11,BQ11, DE11, FV11)=0)</formula>
    </cfRule>
    <cfRule type="expression" dxfId="2203" priority="2241">
      <formula>AND(BW11&gt;=4,FC11&lt;&gt;GetEquPower(BD11,BQ11, DE11, FV11))</formula>
    </cfRule>
  </conditionalFormatting>
  <conditionalFormatting sqref="FD11">
    <cfRule type="expression" dxfId="2202" priority="2260">
      <formula>AND(BW11&gt;=5,FD11&lt;&gt;0, GetEquPower(BD11,BQ11, DF11, FV11)=0)</formula>
    </cfRule>
    <cfRule type="expression" dxfId="2201" priority="2261">
      <formula>AND(BW11&gt;=5,FD11&lt;&gt;GetEquPower(BD11,BQ11, DF11, FV11))</formula>
    </cfRule>
  </conditionalFormatting>
  <conditionalFormatting sqref="FE11">
    <cfRule type="expression" dxfId="2200" priority="2262">
      <formula>AND(BW11&gt;=6,FE11&lt;&gt;0, GetEquPower(BD11,BQ11, DG11, FV11)=0)</formula>
    </cfRule>
    <cfRule type="expression" dxfId="2199" priority="2263">
      <formula>AND(BW11&gt;=6,FE11&lt;&gt;GetEquPower(BD11,BQ11, DG11, FV11))</formula>
    </cfRule>
  </conditionalFormatting>
  <conditionalFormatting sqref="FI11">
    <cfRule type="expression" dxfId="2198" priority="2226">
      <formula>AND(BX11&gt;=1,FI11&lt;&gt;0, GetEquPower(BE11,BR11, DI11, FW11)=0)</formula>
    </cfRule>
    <cfRule type="expression" dxfId="2197" priority="2227">
      <formula>AND(BX11&gt;=1,FI11&lt;&gt;GetEquPower(BE11,BR11, DI11, FW11))</formula>
    </cfRule>
  </conditionalFormatting>
  <conditionalFormatting sqref="FJ11">
    <cfRule type="expression" dxfId="2196" priority="2228">
      <formula>AND(BX11&gt;=2,FJ11&lt;&gt;0, GetEquPower(BE11,BR11, DJ11, FW11)=0)</formula>
    </cfRule>
    <cfRule type="expression" dxfId="2195" priority="2229">
      <formula>AND(BX11&gt;=2,FJ11&lt;&gt;GetEquPower(BE11,BR11, DJ11, FW11))</formula>
    </cfRule>
  </conditionalFormatting>
  <conditionalFormatting sqref="FK11">
    <cfRule type="expression" dxfId="2194" priority="2230">
      <formula>AND(BX11&gt;=3,FK11&lt;&gt;0, GetEquPower(BE11,BR11, DK11, FW11)=0)</formula>
    </cfRule>
    <cfRule type="expression" dxfId="2193" priority="2231">
      <formula>AND(BX11&gt;=3,FK11&lt;&gt;GetEquPower(BE11,BR11, DK11, FW11))</formula>
    </cfRule>
  </conditionalFormatting>
  <conditionalFormatting sqref="FL11">
    <cfRule type="expression" dxfId="2192" priority="2242">
      <formula>AND(BX11&gt;=4,FL11&lt;&gt;0, GetEquPower(BE11,BR11, DL11, FW11)=0)</formula>
    </cfRule>
    <cfRule type="expression" dxfId="2191" priority="2243">
      <formula>AND(BX11&gt;=4,FL11&lt;&gt;GetEquPower(BE11,BR11, DL11, FW11))</formula>
    </cfRule>
  </conditionalFormatting>
  <conditionalFormatting sqref="FM11">
    <cfRule type="expression" dxfId="2190" priority="2264">
      <formula>AND(BX11&gt;=5,FM11&lt;&gt;0, GetEquPower(BE11,BR11, DM11, FW11)=0)</formula>
    </cfRule>
    <cfRule type="expression" dxfId="2189" priority="2265">
      <formula>AND(BX11&gt;=5,FM11&lt;&gt;GetEquPower(BE11,BR11, DM11, FW11))</formula>
    </cfRule>
  </conditionalFormatting>
  <conditionalFormatting sqref="FN11">
    <cfRule type="expression" dxfId="2188" priority="2266">
      <formula>AND(BX11&gt;=6,FN11&lt;&gt;0, GetEquPower(BE11,BR11, DN11, FW11)=0)</formula>
    </cfRule>
    <cfRule type="expression" dxfId="2187" priority="2267">
      <formula>AND(BX11&gt;=6,FN11&lt;&gt;GetEquPower(BE11,BR11, DN11, FW11))</formula>
    </cfRule>
  </conditionalFormatting>
  <conditionalFormatting sqref="F12">
    <cfRule type="expression" dxfId="2186" priority="2114">
      <formula>F12&lt;&gt;RIGHT(SUBSTITUTE(TRIM(E12),".",""),LEN(F12))</formula>
    </cfRule>
  </conditionalFormatting>
  <conditionalFormatting sqref="BS12">
    <cfRule type="expression" dxfId="2185" priority="2113">
      <formula>AND(J12&gt;=1,BS12&lt;1)</formula>
    </cfRule>
  </conditionalFormatting>
  <conditionalFormatting sqref="BT12">
    <cfRule type="expression" dxfId="2184" priority="2112">
      <formula>AND(J12&gt;=2,BT12&lt;1)</formula>
    </cfRule>
  </conditionalFormatting>
  <conditionalFormatting sqref="BU12">
    <cfRule type="expression" dxfId="2183" priority="2110">
      <formula>AND(J12&gt;=3,BU12&lt;1)</formula>
    </cfRule>
  </conditionalFormatting>
  <conditionalFormatting sqref="BV12">
    <cfRule type="expression" dxfId="2182" priority="2109">
      <formula>AND(J12&gt;=4,BV12&lt;1)</formula>
    </cfRule>
  </conditionalFormatting>
  <conditionalFormatting sqref="BW12">
    <cfRule type="expression" dxfId="2181" priority="2111">
      <formula>AND(J12&gt;=5,BW12&lt;1)</formula>
    </cfRule>
  </conditionalFormatting>
  <conditionalFormatting sqref="BX12">
    <cfRule type="expression" dxfId="2180" priority="2108">
      <formula>AND(J12&gt;=6,BX12&lt;1)</formula>
    </cfRule>
  </conditionalFormatting>
  <conditionalFormatting sqref="IC12">
    <cfRule type="expression" dxfId="2179" priority="2187">
      <formula>AND($S12 = TRUE, $IC12&lt;&gt;OptionsUnitCode)</formula>
    </cfRule>
  </conditionalFormatting>
  <conditionalFormatting sqref="B12:II12">
    <cfRule type="containsErrors" dxfId="2178" priority="2107">
      <formula>ISERROR(B12)</formula>
    </cfRule>
  </conditionalFormatting>
  <conditionalFormatting sqref="DP12">
    <cfRule type="expression" dxfId="2177" priority="2115">
      <formula>AND(BS12&gt;=1,DP12&lt;&gt;0, GetEquPower(AZ12,BM12, BZ12, FR12)=0)</formula>
    </cfRule>
    <cfRule type="expression" dxfId="2176" priority="2116">
      <formula>AND(BS12&gt;=1,DP12&lt;&gt;GetEquPower(AZ12,BM12, BZ12, FR12))</formula>
    </cfRule>
  </conditionalFormatting>
  <conditionalFormatting sqref="DQ12">
    <cfRule type="expression" dxfId="2175" priority="2117">
      <formula>AND(BS12&gt;=2,DQ12&lt;&gt;0, GetEquPower(AZ12,BM12, CA12, FR12)=0)</formula>
    </cfRule>
    <cfRule type="expression" dxfId="2174" priority="2118">
      <formula>AND(BS12&gt;=2,DQ12&lt;&gt;GetEquPower(AZ12,BM12, CA12, FR12))</formula>
    </cfRule>
  </conditionalFormatting>
  <conditionalFormatting sqref="DR12">
    <cfRule type="expression" dxfId="2173" priority="2119">
      <formula>AND(BS12&gt;=3,DR12&lt;&gt;0, GetEquPower(AZ12,BM12, CB12, FR12)=0)</formula>
    </cfRule>
    <cfRule type="expression" dxfId="2172" priority="2120">
      <formula>AND(BS12&gt;=3,DR12&lt;&gt;GetEquPower(AZ12,BM12, CB12, FR12))</formula>
    </cfRule>
  </conditionalFormatting>
  <conditionalFormatting sqref="DS12">
    <cfRule type="expression" dxfId="2171" priority="2151">
      <formula>AND(BS12&gt;=4,DS12&lt;&gt;0, GetEquPower(AZ12,BM12, CC12, FR12)=0)</formula>
    </cfRule>
    <cfRule type="expression" dxfId="2170" priority="2152">
      <formula>AND(BS12&gt;=4, DS12&lt;&gt;GetEquPower(AZ12,BM12, CC12, FR12))</formula>
    </cfRule>
  </conditionalFormatting>
  <conditionalFormatting sqref="DT12">
    <cfRule type="expression" dxfId="2169" priority="2163">
      <formula>AND(BS12&gt;=5,DT12&lt;&gt;0, GetEquPower(AZ12,BM12, CD12, FR12)=0)</formula>
    </cfRule>
    <cfRule type="expression" dxfId="2168" priority="2164">
      <formula>AND(BS12&gt;=5, DT12&lt;&gt;GetEquPower(AZ12,BM12, CD12, FR12))</formula>
    </cfRule>
  </conditionalFormatting>
  <conditionalFormatting sqref="DU12">
    <cfRule type="expression" dxfId="2167" priority="2165">
      <formula>AND(BS12&gt;=6,DU12&lt;&gt;0, GetEquPower(AZ12,BM12, CE12, FR12)=0)</formula>
    </cfRule>
    <cfRule type="expression" dxfId="2166" priority="2166">
      <formula>AND(BS12&gt;=6, DU12&lt;&gt;GetEquPower(AZ12,BM12, CE12, FR12))</formula>
    </cfRule>
  </conditionalFormatting>
  <conditionalFormatting sqref="DY12">
    <cfRule type="expression" dxfId="2165" priority="2121">
      <formula>AND(BT12&gt;=1,DY12&lt;&gt;0, GetEquPower(BA12,BN12, CG12, FS12)=0)</formula>
    </cfRule>
    <cfRule type="expression" dxfId="2164" priority="2122">
      <formula>AND(BT12&gt;=1,DY12&lt;&gt;GetEquPower(BA12,BN12, CG12, FS12))</formula>
    </cfRule>
  </conditionalFormatting>
  <conditionalFormatting sqref="DZ12">
    <cfRule type="expression" dxfId="2163" priority="2123">
      <formula>AND(BT12&gt;=2,DZ12&lt;&gt;0, GetEquPower(BA12,BN12, CH12, FS12)=0)</formula>
    </cfRule>
    <cfRule type="expression" dxfId="2162" priority="2124">
      <formula>AND(BT12&gt;=2,DZ12&lt;&gt;GetEquPower(BA12,BN12, CH12, FS12))</formula>
    </cfRule>
  </conditionalFormatting>
  <conditionalFormatting sqref="EA12">
    <cfRule type="expression" dxfId="2161" priority="2125">
      <formula>AND(BT12&gt;=3,EA12&lt;&gt;0, GetEquPower(BA12,BN12, CI12, FS12)=0)</formula>
    </cfRule>
    <cfRule type="expression" dxfId="2160" priority="2126">
      <formula>AND(BT12&gt;=3,EA12&lt;&gt;GetEquPower(BA12,BN12, CI12, FS12))</formula>
    </cfRule>
  </conditionalFormatting>
  <conditionalFormatting sqref="EB12">
    <cfRule type="expression" dxfId="2159" priority="2153">
      <formula>AND(BT12&gt;=4,EB12&lt;&gt;0, GetEquPower(BA12,BN12, CJ12, FS12)=0)</formula>
    </cfRule>
    <cfRule type="expression" dxfId="2158" priority="2154">
      <formula>AND(BT12&gt;=4,EB12&lt;&gt;GetEquPower(BA12,BN12, CJ12, FS12))</formula>
    </cfRule>
  </conditionalFormatting>
  <conditionalFormatting sqref="EC12">
    <cfRule type="expression" dxfId="2157" priority="2167">
      <formula>AND(BT12&gt;=5,EC12&lt;&gt;0, GetEquPower(BA12,BN12, CK12, FS12)=0)</formula>
    </cfRule>
    <cfRule type="expression" dxfId="2156" priority="2168">
      <formula>AND(BT12&gt;=5,EC12&lt;&gt;GetEquPower(BA12,BN12, CK12, FS12))</formula>
    </cfRule>
  </conditionalFormatting>
  <conditionalFormatting sqref="ED12">
    <cfRule type="expression" dxfId="2155" priority="2169">
      <formula>AND(BT12&gt;=6,ED12&lt;&gt;0, GetEquPower(BA12,BN12, CL12, FS12)=0)</formula>
    </cfRule>
    <cfRule type="expression" dxfId="2154" priority="2170">
      <formula>AND(BT12&gt;=6,ED12&lt;&gt;GetEquPower(BA12,BN12, CL12, FS12))</formula>
    </cfRule>
  </conditionalFormatting>
  <conditionalFormatting sqref="EH12">
    <cfRule type="expression" dxfId="2153" priority="2127">
      <formula>AND(BU12&gt;=1,EH12&lt;&gt;0, GetEquPower(BB12,BO12, CN12, FT12)=0)</formula>
    </cfRule>
    <cfRule type="expression" dxfId="2152" priority="2128">
      <formula>AND(BU12&gt;=1,EH12&lt;&gt;GetEquPower(BB12,BO12, CN12, FT12))</formula>
    </cfRule>
  </conditionalFormatting>
  <conditionalFormatting sqref="EI12">
    <cfRule type="expression" dxfId="2151" priority="2129">
      <formula>AND(BU12&gt;=2,EI12&lt;&gt;0, GetEquPower(BB12,BO12, CO12, FT12)=0)</formula>
    </cfRule>
    <cfRule type="expression" dxfId="2150" priority="2130">
      <formula xml:space="preserve"> AND(BU12&gt;=2,EI12&lt;&gt;GetEquPower(BB12,BO12, CO12, FT12))</formula>
    </cfRule>
  </conditionalFormatting>
  <conditionalFormatting sqref="EJ12">
    <cfRule type="expression" dxfId="2149" priority="2131">
      <formula>AND(BU12&gt;=3,EJ12&lt;&gt;0, GetEquPower(BB12,BO12, CP12, FT12)=0)</formula>
    </cfRule>
    <cfRule type="expression" dxfId="2148" priority="2132">
      <formula xml:space="preserve"> AND(BU12&gt;=3,EJ12&lt;&gt;GetEquPower(BB12,BO12, CP12, FT12))</formula>
    </cfRule>
  </conditionalFormatting>
  <conditionalFormatting sqref="EK12">
    <cfRule type="expression" dxfId="2147" priority="2155">
      <formula>AND(BU12&gt;=4,EK12&lt;&gt;0, GetEquPower(BB12,BO12, CQ12, FT12)=0)</formula>
    </cfRule>
    <cfRule type="expression" dxfId="2146" priority="2156">
      <formula xml:space="preserve"> AND(BU12&gt;=4,EK12&lt;&gt;GetEquPower(BB12,BO12, CQ12, FT12))</formula>
    </cfRule>
  </conditionalFormatting>
  <conditionalFormatting sqref="EL12">
    <cfRule type="expression" dxfId="2145" priority="2171">
      <formula>AND(BU12&gt;=5,EL12&lt;&gt;0, GetEquPower(BB12,BO12, CR12, FT12)=0)</formula>
    </cfRule>
    <cfRule type="expression" dxfId="2144" priority="2172">
      <formula xml:space="preserve"> AND(BU12&gt;=5,EL12&lt;&gt;GetEquPower(BB12,BO12, CR12, FT12))</formula>
    </cfRule>
  </conditionalFormatting>
  <conditionalFormatting sqref="EM12">
    <cfRule type="expression" dxfId="2143" priority="2173">
      <formula>AND(BU12&gt;=6,EM12&lt;&gt;0, GetEquPower(BB12,BO12, CS12, FT12)=0)</formula>
    </cfRule>
    <cfRule type="expression" dxfId="2142" priority="2174">
      <formula xml:space="preserve"> AND(BU12&gt;=6,EM12&lt;&gt;GetEquPower(BB12,BO12, CS12, FT12))</formula>
    </cfRule>
  </conditionalFormatting>
  <conditionalFormatting sqref="EQ12">
    <cfRule type="expression" dxfId="2141" priority="2133">
      <formula>AND(BV12&gt;=1,EQ12&lt;&gt;0, GetEquPower(BC12,BP12, CU12, FU12)=0)</formula>
    </cfRule>
    <cfRule type="expression" dxfId="2140" priority="2134">
      <formula>AND(BV12&gt;=1,EQ12&lt;&gt;GetEquPower(BC12,BP12, CU12, FU12))</formula>
    </cfRule>
  </conditionalFormatting>
  <conditionalFormatting sqref="ER12">
    <cfRule type="expression" dxfId="2139" priority="2135">
      <formula>AND(BV12&gt;=2,ER12&lt;&gt;0, GetEquPower(BC12,BP12, CV12, FU12)=0)</formula>
    </cfRule>
    <cfRule type="expression" dxfId="2138" priority="2136">
      <formula>AND(BV12&gt;=2,ER12&lt;&gt;GetEquPower(BC12,BP12, CV12, FU12))</formula>
    </cfRule>
  </conditionalFormatting>
  <conditionalFormatting sqref="ES12">
    <cfRule type="expression" dxfId="2137" priority="2137">
      <formula>AND(BV12&gt;=3,ES12&lt;&gt;0, GetEquPower(BC12,BP12, CW12, FU12)=0)</formula>
    </cfRule>
    <cfRule type="expression" dxfId="2136" priority="2138">
      <formula>AND(BV12&gt;=3,ES12&lt;&gt;GetEquPower(BC12,BP12, CW12, FU12))</formula>
    </cfRule>
  </conditionalFormatting>
  <conditionalFormatting sqref="ET12">
    <cfRule type="expression" dxfId="2135" priority="2157">
      <formula>AND(BV12&gt;=4,ET12&lt;&gt;0, GetEquPower(BC12,BP12, CX12, FU12)=0)</formula>
    </cfRule>
    <cfRule type="expression" dxfId="2134" priority="2158">
      <formula>AND(BV12&gt;=4,ET12&lt;&gt;GetEquPower(BC12,BP12, CX12, FU12))</formula>
    </cfRule>
  </conditionalFormatting>
  <conditionalFormatting sqref="EU12">
    <cfRule type="expression" dxfId="2133" priority="2175">
      <formula>AND(BV12&gt;=5,EU12&lt;&gt;0, GetEquPower(BC12,BP12, CY12, FU12)=0)</formula>
    </cfRule>
    <cfRule type="expression" dxfId="2132" priority="2176">
      <formula>AND(BV12&gt;=5,EU12&lt;&gt;GetEquPower(BC12,BP12, CY12, FU12))</formula>
    </cfRule>
  </conditionalFormatting>
  <conditionalFormatting sqref="EV12">
    <cfRule type="expression" dxfId="2131" priority="2177">
      <formula>AND(BV12&gt;=6,EV12&lt;&gt;0, GetEquPower(BC12,BP12, CZ12, FU12)=0)</formula>
    </cfRule>
    <cfRule type="expression" dxfId="2130" priority="2178">
      <formula>AND(BV12&gt;=6,EV12&lt;&gt;GetEquPower(BC12,BP12, CZ12, FU12))</formula>
    </cfRule>
  </conditionalFormatting>
  <conditionalFormatting sqref="EZ12">
    <cfRule type="expression" dxfId="2129" priority="2139">
      <formula>AND(BW12&gt;=1,EZ12&lt;&gt;0, GetEquPower(BD12,BQ12, DB12, FV12)=0)</formula>
    </cfRule>
    <cfRule type="expression" dxfId="2128" priority="2140">
      <formula>AND(BW12&gt;=1,EZ12&lt;&gt;GetEquPower(BD12,BQ12, DB12, FV12))</formula>
    </cfRule>
  </conditionalFormatting>
  <conditionalFormatting sqref="FA12">
    <cfRule type="expression" dxfId="2127" priority="2141">
      <formula>AND(BW12&gt;=2,FA12&lt;&gt;0, GetEquPower(BD12,BQ12, DC12, FV12)=0)</formula>
    </cfRule>
    <cfRule type="expression" dxfId="2126" priority="2142">
      <formula>AND(BW12&gt;=2,FA12&lt;&gt;GetEquPower(BD12,BQ12, DC12, FV12))</formula>
    </cfRule>
  </conditionalFormatting>
  <conditionalFormatting sqref="FB12">
    <cfRule type="expression" dxfId="2125" priority="2143">
      <formula>AND(BW12&gt;=3,FB12&lt;&gt;0, GetEquPower(BD12,BQ12, DD12, FV12)=0)</formula>
    </cfRule>
    <cfRule type="expression" dxfId="2124" priority="2144">
      <formula>AND(BW12&gt;=3,FB12&lt;&gt;GetEquPower(BD12,BQ12, DD12, FV12))</formula>
    </cfRule>
  </conditionalFormatting>
  <conditionalFormatting sqref="FC12">
    <cfRule type="expression" dxfId="2123" priority="2159">
      <formula>AND(BW12&gt;=4,FC12&lt;&gt;0, GetEquPower(BD12,BQ12, DE12, FV12)=0)</formula>
    </cfRule>
    <cfRule type="expression" dxfId="2122" priority="2160">
      <formula>AND(BW12&gt;=4,FC12&lt;&gt;GetEquPower(BD12,BQ12, DE12, FV12))</formula>
    </cfRule>
  </conditionalFormatting>
  <conditionalFormatting sqref="FD12">
    <cfRule type="expression" dxfId="2121" priority="2179">
      <formula>AND(BW12&gt;=5,FD12&lt;&gt;0, GetEquPower(BD12,BQ12, DF12, FV12)=0)</formula>
    </cfRule>
    <cfRule type="expression" dxfId="2120" priority="2180">
      <formula>AND(BW12&gt;=5,FD12&lt;&gt;GetEquPower(BD12,BQ12, DF12, FV12))</formula>
    </cfRule>
  </conditionalFormatting>
  <conditionalFormatting sqref="FE12">
    <cfRule type="expression" dxfId="2119" priority="2181">
      <formula>AND(BW12&gt;=6,FE12&lt;&gt;0, GetEquPower(BD12,BQ12, DG12, FV12)=0)</formula>
    </cfRule>
    <cfRule type="expression" dxfId="2118" priority="2182">
      <formula>AND(BW12&gt;=6,FE12&lt;&gt;GetEquPower(BD12,BQ12, DG12, FV12))</formula>
    </cfRule>
  </conditionalFormatting>
  <conditionalFormatting sqref="FI12">
    <cfRule type="expression" dxfId="2117" priority="2145">
      <formula>AND(BX12&gt;=1,FI12&lt;&gt;0, GetEquPower(BE12,BR12, DI12, FW12)=0)</formula>
    </cfRule>
    <cfRule type="expression" dxfId="2116" priority="2146">
      <formula>AND(BX12&gt;=1,FI12&lt;&gt;GetEquPower(BE12,BR12, DI12, FW12))</formula>
    </cfRule>
  </conditionalFormatting>
  <conditionalFormatting sqref="FJ12">
    <cfRule type="expression" dxfId="2115" priority="2147">
      <formula>AND(BX12&gt;=2,FJ12&lt;&gt;0, GetEquPower(BE12,BR12, DJ12, FW12)=0)</formula>
    </cfRule>
    <cfRule type="expression" dxfId="2114" priority="2148">
      <formula>AND(BX12&gt;=2,FJ12&lt;&gt;GetEquPower(BE12,BR12, DJ12, FW12))</formula>
    </cfRule>
  </conditionalFormatting>
  <conditionalFormatting sqref="FK12">
    <cfRule type="expression" dxfId="2113" priority="2149">
      <formula>AND(BX12&gt;=3,FK12&lt;&gt;0, GetEquPower(BE12,BR12, DK12, FW12)=0)</formula>
    </cfRule>
    <cfRule type="expression" dxfId="2112" priority="2150">
      <formula>AND(BX12&gt;=3,FK12&lt;&gt;GetEquPower(BE12,BR12, DK12, FW12))</formula>
    </cfRule>
  </conditionalFormatting>
  <conditionalFormatting sqref="FL12">
    <cfRule type="expression" dxfId="2111" priority="2161">
      <formula>AND(BX12&gt;=4,FL12&lt;&gt;0, GetEquPower(BE12,BR12, DL12, FW12)=0)</formula>
    </cfRule>
    <cfRule type="expression" dxfId="2110" priority="2162">
      <formula>AND(BX12&gt;=4,FL12&lt;&gt;GetEquPower(BE12,BR12, DL12, FW12))</formula>
    </cfRule>
  </conditionalFormatting>
  <conditionalFormatting sqref="FM12">
    <cfRule type="expression" dxfId="2109" priority="2183">
      <formula>AND(BX12&gt;=5,FM12&lt;&gt;0, GetEquPower(BE12,BR12, DM12, FW12)=0)</formula>
    </cfRule>
    <cfRule type="expression" dxfId="2108" priority="2184">
      <formula>AND(BX12&gt;=5,FM12&lt;&gt;GetEquPower(BE12,BR12, DM12, FW12))</formula>
    </cfRule>
  </conditionalFormatting>
  <conditionalFormatting sqref="FN12">
    <cfRule type="expression" dxfId="2107" priority="2185">
      <formula>AND(BX12&gt;=6,FN12&lt;&gt;0, GetEquPower(BE12,BR12, DN12, FW12)=0)</formula>
    </cfRule>
    <cfRule type="expression" dxfId="2106" priority="2186">
      <formula>AND(BX12&gt;=6,FN12&lt;&gt;GetEquPower(BE12,BR12, DN12, FW12))</formula>
    </cfRule>
  </conditionalFormatting>
  <conditionalFormatting sqref="F13">
    <cfRule type="expression" dxfId="2105" priority="2033">
      <formula>F13&lt;&gt;RIGHT(SUBSTITUTE(TRIM(E13),".",""),LEN(F13))</formula>
    </cfRule>
  </conditionalFormatting>
  <conditionalFormatting sqref="BS13">
    <cfRule type="expression" dxfId="2104" priority="2032">
      <formula>AND(J13&gt;=1,BS13&lt;1)</formula>
    </cfRule>
  </conditionalFormatting>
  <conditionalFormatting sqref="BT13">
    <cfRule type="expression" dxfId="2103" priority="2031">
      <formula>AND(J13&gt;=2,BT13&lt;1)</formula>
    </cfRule>
  </conditionalFormatting>
  <conditionalFormatting sqref="BU13">
    <cfRule type="expression" dxfId="2102" priority="2029">
      <formula>AND(J13&gt;=3,BU13&lt;1)</formula>
    </cfRule>
  </conditionalFormatting>
  <conditionalFormatting sqref="BV13">
    <cfRule type="expression" dxfId="2101" priority="2028">
      <formula>AND(J13&gt;=4,BV13&lt;1)</formula>
    </cfRule>
  </conditionalFormatting>
  <conditionalFormatting sqref="BW13">
    <cfRule type="expression" dxfId="2100" priority="2030">
      <formula>AND(J13&gt;=5,BW13&lt;1)</formula>
    </cfRule>
  </conditionalFormatting>
  <conditionalFormatting sqref="BX13">
    <cfRule type="expression" dxfId="2099" priority="2027">
      <formula>AND(J13&gt;=6,BX13&lt;1)</formula>
    </cfRule>
  </conditionalFormatting>
  <conditionalFormatting sqref="IC13">
    <cfRule type="expression" dxfId="2098" priority="2106">
      <formula>AND($S13 = TRUE, $IC13&lt;&gt;OptionsUnitCode)</formula>
    </cfRule>
  </conditionalFormatting>
  <conditionalFormatting sqref="B13:II13">
    <cfRule type="containsErrors" dxfId="2097" priority="2026">
      <formula>ISERROR(B13)</formula>
    </cfRule>
  </conditionalFormatting>
  <conditionalFormatting sqref="DP13">
    <cfRule type="expression" dxfId="2096" priority="2034">
      <formula>AND(BS13&gt;=1,DP13&lt;&gt;0, GetEquPower(AZ13,BM13, BZ13, FR13)=0)</formula>
    </cfRule>
    <cfRule type="expression" dxfId="2095" priority="2035">
      <formula>AND(BS13&gt;=1,DP13&lt;&gt;GetEquPower(AZ13,BM13, BZ13, FR13))</formula>
    </cfRule>
  </conditionalFormatting>
  <conditionalFormatting sqref="DQ13">
    <cfRule type="expression" dxfId="2094" priority="2036">
      <formula>AND(BS13&gt;=2,DQ13&lt;&gt;0, GetEquPower(AZ13,BM13, CA13, FR13)=0)</formula>
    </cfRule>
    <cfRule type="expression" dxfId="2093" priority="2037">
      <formula>AND(BS13&gt;=2,DQ13&lt;&gt;GetEquPower(AZ13,BM13, CA13, FR13))</formula>
    </cfRule>
  </conditionalFormatting>
  <conditionalFormatting sqref="DR13">
    <cfRule type="expression" dxfId="2092" priority="2038">
      <formula>AND(BS13&gt;=3,DR13&lt;&gt;0, GetEquPower(AZ13,BM13, CB13, FR13)=0)</formula>
    </cfRule>
    <cfRule type="expression" dxfId="2091" priority="2039">
      <formula>AND(BS13&gt;=3,DR13&lt;&gt;GetEquPower(AZ13,BM13, CB13, FR13))</formula>
    </cfRule>
  </conditionalFormatting>
  <conditionalFormatting sqref="DS13">
    <cfRule type="expression" dxfId="2090" priority="2070">
      <formula>AND(BS13&gt;=4,DS13&lt;&gt;0, GetEquPower(AZ13,BM13, CC13, FR13)=0)</formula>
    </cfRule>
    <cfRule type="expression" dxfId="2089" priority="2071">
      <formula>AND(BS13&gt;=4, DS13&lt;&gt;GetEquPower(AZ13,BM13, CC13, FR13))</formula>
    </cfRule>
  </conditionalFormatting>
  <conditionalFormatting sqref="DT13">
    <cfRule type="expression" dxfId="2088" priority="2082">
      <formula>AND(BS13&gt;=5,DT13&lt;&gt;0, GetEquPower(AZ13,BM13, CD13, FR13)=0)</formula>
    </cfRule>
    <cfRule type="expression" dxfId="2087" priority="2083">
      <formula>AND(BS13&gt;=5, DT13&lt;&gt;GetEquPower(AZ13,BM13, CD13, FR13))</formula>
    </cfRule>
  </conditionalFormatting>
  <conditionalFormatting sqref="DU13">
    <cfRule type="expression" dxfId="2086" priority="2084">
      <formula>AND(BS13&gt;=6,DU13&lt;&gt;0, GetEquPower(AZ13,BM13, CE13, FR13)=0)</formula>
    </cfRule>
    <cfRule type="expression" dxfId="2085" priority="2085">
      <formula>AND(BS13&gt;=6, DU13&lt;&gt;GetEquPower(AZ13,BM13, CE13, FR13))</formula>
    </cfRule>
  </conditionalFormatting>
  <conditionalFormatting sqref="DY13">
    <cfRule type="expression" dxfId="2084" priority="2040">
      <formula>AND(BT13&gt;=1,DY13&lt;&gt;0, GetEquPower(BA13,BN13, CG13, FS13)=0)</formula>
    </cfRule>
    <cfRule type="expression" dxfId="2083" priority="2041">
      <formula>AND(BT13&gt;=1,DY13&lt;&gt;GetEquPower(BA13,BN13, CG13, FS13))</formula>
    </cfRule>
  </conditionalFormatting>
  <conditionalFormatting sqref="DZ13">
    <cfRule type="expression" dxfId="2082" priority="2042">
      <formula>AND(BT13&gt;=2,DZ13&lt;&gt;0, GetEquPower(BA13,BN13, CH13, FS13)=0)</formula>
    </cfRule>
    <cfRule type="expression" dxfId="2081" priority="2043">
      <formula>AND(BT13&gt;=2,DZ13&lt;&gt;GetEquPower(BA13,BN13, CH13, FS13))</formula>
    </cfRule>
  </conditionalFormatting>
  <conditionalFormatting sqref="EA13">
    <cfRule type="expression" dxfId="2080" priority="2044">
      <formula>AND(BT13&gt;=3,EA13&lt;&gt;0, GetEquPower(BA13,BN13, CI13, FS13)=0)</formula>
    </cfRule>
    <cfRule type="expression" dxfId="2079" priority="2045">
      <formula>AND(BT13&gt;=3,EA13&lt;&gt;GetEquPower(BA13,BN13, CI13, FS13))</formula>
    </cfRule>
  </conditionalFormatting>
  <conditionalFormatting sqref="EB13">
    <cfRule type="expression" dxfId="2078" priority="2072">
      <formula>AND(BT13&gt;=4,EB13&lt;&gt;0, GetEquPower(BA13,BN13, CJ13, FS13)=0)</formula>
    </cfRule>
    <cfRule type="expression" dxfId="2077" priority="2073">
      <formula>AND(BT13&gt;=4,EB13&lt;&gt;GetEquPower(BA13,BN13, CJ13, FS13))</formula>
    </cfRule>
  </conditionalFormatting>
  <conditionalFormatting sqref="EC13">
    <cfRule type="expression" dxfId="2076" priority="2086">
      <formula>AND(BT13&gt;=5,EC13&lt;&gt;0, GetEquPower(BA13,BN13, CK13, FS13)=0)</formula>
    </cfRule>
    <cfRule type="expression" dxfId="2075" priority="2087">
      <formula>AND(BT13&gt;=5,EC13&lt;&gt;GetEquPower(BA13,BN13, CK13, FS13))</formula>
    </cfRule>
  </conditionalFormatting>
  <conditionalFormatting sqref="ED13">
    <cfRule type="expression" dxfId="2074" priority="2088">
      <formula>AND(BT13&gt;=6,ED13&lt;&gt;0, GetEquPower(BA13,BN13, CL13, FS13)=0)</formula>
    </cfRule>
    <cfRule type="expression" dxfId="2073" priority="2089">
      <formula>AND(BT13&gt;=6,ED13&lt;&gt;GetEquPower(BA13,BN13, CL13, FS13))</formula>
    </cfRule>
  </conditionalFormatting>
  <conditionalFormatting sqref="EH13">
    <cfRule type="expression" dxfId="2072" priority="2046">
      <formula>AND(BU13&gt;=1,EH13&lt;&gt;0, GetEquPower(BB13,BO13, CN13, FT13)=0)</formula>
    </cfRule>
    <cfRule type="expression" dxfId="2071" priority="2047">
      <formula>AND(BU13&gt;=1,EH13&lt;&gt;GetEquPower(BB13,BO13, CN13, FT13))</formula>
    </cfRule>
  </conditionalFormatting>
  <conditionalFormatting sqref="EI13">
    <cfRule type="expression" dxfId="2070" priority="2048">
      <formula>AND(BU13&gt;=2,EI13&lt;&gt;0, GetEquPower(BB13,BO13, CO13, FT13)=0)</formula>
    </cfRule>
    <cfRule type="expression" dxfId="2069" priority="2049">
      <formula xml:space="preserve"> AND(BU13&gt;=2,EI13&lt;&gt;GetEquPower(BB13,BO13, CO13, FT13))</formula>
    </cfRule>
  </conditionalFormatting>
  <conditionalFormatting sqref="EJ13">
    <cfRule type="expression" dxfId="2068" priority="2050">
      <formula>AND(BU13&gt;=3,EJ13&lt;&gt;0, GetEquPower(BB13,BO13, CP13, FT13)=0)</formula>
    </cfRule>
    <cfRule type="expression" dxfId="2067" priority="2051">
      <formula xml:space="preserve"> AND(BU13&gt;=3,EJ13&lt;&gt;GetEquPower(BB13,BO13, CP13, FT13))</formula>
    </cfRule>
  </conditionalFormatting>
  <conditionalFormatting sqref="EK13">
    <cfRule type="expression" dxfId="2066" priority="2074">
      <formula>AND(BU13&gt;=4,EK13&lt;&gt;0, GetEquPower(BB13,BO13, CQ13, FT13)=0)</formula>
    </cfRule>
    <cfRule type="expression" dxfId="2065" priority="2075">
      <formula xml:space="preserve"> AND(BU13&gt;=4,EK13&lt;&gt;GetEquPower(BB13,BO13, CQ13, FT13))</formula>
    </cfRule>
  </conditionalFormatting>
  <conditionalFormatting sqref="EL13">
    <cfRule type="expression" dxfId="2064" priority="2090">
      <formula>AND(BU13&gt;=5,EL13&lt;&gt;0, GetEquPower(BB13,BO13, CR13, FT13)=0)</formula>
    </cfRule>
    <cfRule type="expression" dxfId="2063" priority="2091">
      <formula xml:space="preserve"> AND(BU13&gt;=5,EL13&lt;&gt;GetEquPower(BB13,BO13, CR13, FT13))</formula>
    </cfRule>
  </conditionalFormatting>
  <conditionalFormatting sqref="EM13">
    <cfRule type="expression" dxfId="2062" priority="2092">
      <formula>AND(BU13&gt;=6,EM13&lt;&gt;0, GetEquPower(BB13,BO13, CS13, FT13)=0)</formula>
    </cfRule>
    <cfRule type="expression" dxfId="2061" priority="2093">
      <formula xml:space="preserve"> AND(BU13&gt;=6,EM13&lt;&gt;GetEquPower(BB13,BO13, CS13, FT13))</formula>
    </cfRule>
  </conditionalFormatting>
  <conditionalFormatting sqref="EQ13">
    <cfRule type="expression" dxfId="2060" priority="2052">
      <formula>AND(BV13&gt;=1,EQ13&lt;&gt;0, GetEquPower(BC13,BP13, CU13, FU13)=0)</formula>
    </cfRule>
    <cfRule type="expression" dxfId="2059" priority="2053">
      <formula>AND(BV13&gt;=1,EQ13&lt;&gt;GetEquPower(BC13,BP13, CU13, FU13))</formula>
    </cfRule>
  </conditionalFormatting>
  <conditionalFormatting sqref="ER13">
    <cfRule type="expression" dxfId="2058" priority="2054">
      <formula>AND(BV13&gt;=2,ER13&lt;&gt;0, GetEquPower(BC13,BP13, CV13, FU13)=0)</formula>
    </cfRule>
    <cfRule type="expression" dxfId="2057" priority="2055">
      <formula>AND(BV13&gt;=2,ER13&lt;&gt;GetEquPower(BC13,BP13, CV13, FU13))</formula>
    </cfRule>
  </conditionalFormatting>
  <conditionalFormatting sqref="ES13">
    <cfRule type="expression" dxfId="2056" priority="2056">
      <formula>AND(BV13&gt;=3,ES13&lt;&gt;0, GetEquPower(BC13,BP13, CW13, FU13)=0)</formula>
    </cfRule>
    <cfRule type="expression" dxfId="2055" priority="2057">
      <formula>AND(BV13&gt;=3,ES13&lt;&gt;GetEquPower(BC13,BP13, CW13, FU13))</formula>
    </cfRule>
  </conditionalFormatting>
  <conditionalFormatting sqref="ET13">
    <cfRule type="expression" dxfId="2054" priority="2076">
      <formula>AND(BV13&gt;=4,ET13&lt;&gt;0, GetEquPower(BC13,BP13, CX13, FU13)=0)</formula>
    </cfRule>
    <cfRule type="expression" dxfId="2053" priority="2077">
      <formula>AND(BV13&gt;=4,ET13&lt;&gt;GetEquPower(BC13,BP13, CX13, FU13))</formula>
    </cfRule>
  </conditionalFormatting>
  <conditionalFormatting sqref="EU13">
    <cfRule type="expression" dxfId="2052" priority="2094">
      <formula>AND(BV13&gt;=5,EU13&lt;&gt;0, GetEquPower(BC13,BP13, CY13, FU13)=0)</formula>
    </cfRule>
    <cfRule type="expression" dxfId="2051" priority="2095">
      <formula>AND(BV13&gt;=5,EU13&lt;&gt;GetEquPower(BC13,BP13, CY13, FU13))</formula>
    </cfRule>
  </conditionalFormatting>
  <conditionalFormatting sqref="EV13">
    <cfRule type="expression" dxfId="2050" priority="2096">
      <formula>AND(BV13&gt;=6,EV13&lt;&gt;0, GetEquPower(BC13,BP13, CZ13, FU13)=0)</formula>
    </cfRule>
    <cfRule type="expression" dxfId="2049" priority="2097">
      <formula>AND(BV13&gt;=6,EV13&lt;&gt;GetEquPower(BC13,BP13, CZ13, FU13))</formula>
    </cfRule>
  </conditionalFormatting>
  <conditionalFormatting sqref="EZ13">
    <cfRule type="expression" dxfId="2048" priority="2058">
      <formula>AND(BW13&gt;=1,EZ13&lt;&gt;0, GetEquPower(BD13,BQ13, DB13, FV13)=0)</formula>
    </cfRule>
    <cfRule type="expression" dxfId="2047" priority="2059">
      <formula>AND(BW13&gt;=1,EZ13&lt;&gt;GetEquPower(BD13,BQ13, DB13, FV13))</formula>
    </cfRule>
  </conditionalFormatting>
  <conditionalFormatting sqref="FA13">
    <cfRule type="expression" dxfId="2046" priority="2060">
      <formula>AND(BW13&gt;=2,FA13&lt;&gt;0, GetEquPower(BD13,BQ13, DC13, FV13)=0)</formula>
    </cfRule>
    <cfRule type="expression" dxfId="2045" priority="2061">
      <formula>AND(BW13&gt;=2,FA13&lt;&gt;GetEquPower(BD13,BQ13, DC13, FV13))</formula>
    </cfRule>
  </conditionalFormatting>
  <conditionalFormatting sqref="FB13">
    <cfRule type="expression" dxfId="2044" priority="2062">
      <formula>AND(BW13&gt;=3,FB13&lt;&gt;0, GetEquPower(BD13,BQ13, DD13, FV13)=0)</formula>
    </cfRule>
    <cfRule type="expression" dxfId="2043" priority="2063">
      <formula>AND(BW13&gt;=3,FB13&lt;&gt;GetEquPower(BD13,BQ13, DD13, FV13))</formula>
    </cfRule>
  </conditionalFormatting>
  <conditionalFormatting sqref="FC13">
    <cfRule type="expression" dxfId="2042" priority="2078">
      <formula>AND(BW13&gt;=4,FC13&lt;&gt;0, GetEquPower(BD13,BQ13, DE13, FV13)=0)</formula>
    </cfRule>
    <cfRule type="expression" dxfId="2041" priority="2079">
      <formula>AND(BW13&gt;=4,FC13&lt;&gt;GetEquPower(BD13,BQ13, DE13, FV13))</formula>
    </cfRule>
  </conditionalFormatting>
  <conditionalFormatting sqref="FD13">
    <cfRule type="expression" dxfId="2040" priority="2098">
      <formula>AND(BW13&gt;=5,FD13&lt;&gt;0, GetEquPower(BD13,BQ13, DF13, FV13)=0)</formula>
    </cfRule>
    <cfRule type="expression" dxfId="2039" priority="2099">
      <formula>AND(BW13&gt;=5,FD13&lt;&gt;GetEquPower(BD13,BQ13, DF13, FV13))</formula>
    </cfRule>
  </conditionalFormatting>
  <conditionalFormatting sqref="FE13">
    <cfRule type="expression" dxfId="2038" priority="2100">
      <formula>AND(BW13&gt;=6,FE13&lt;&gt;0, GetEquPower(BD13,BQ13, DG13, FV13)=0)</formula>
    </cfRule>
    <cfRule type="expression" dxfId="2037" priority="2101">
      <formula>AND(BW13&gt;=6,FE13&lt;&gt;GetEquPower(BD13,BQ13, DG13, FV13))</formula>
    </cfRule>
  </conditionalFormatting>
  <conditionalFormatting sqref="FI13">
    <cfRule type="expression" dxfId="2036" priority="2064">
      <formula>AND(BX13&gt;=1,FI13&lt;&gt;0, GetEquPower(BE13,BR13, DI13, FW13)=0)</formula>
    </cfRule>
    <cfRule type="expression" dxfId="2035" priority="2065">
      <formula>AND(BX13&gt;=1,FI13&lt;&gt;GetEquPower(BE13,BR13, DI13, FW13))</formula>
    </cfRule>
  </conditionalFormatting>
  <conditionalFormatting sqref="FJ13">
    <cfRule type="expression" dxfId="2034" priority="2066">
      <formula>AND(BX13&gt;=2,FJ13&lt;&gt;0, GetEquPower(BE13,BR13, DJ13, FW13)=0)</formula>
    </cfRule>
    <cfRule type="expression" dxfId="2033" priority="2067">
      <formula>AND(BX13&gt;=2,FJ13&lt;&gt;GetEquPower(BE13,BR13, DJ13, FW13))</formula>
    </cfRule>
  </conditionalFormatting>
  <conditionalFormatting sqref="FK13">
    <cfRule type="expression" dxfId="2032" priority="2068">
      <formula>AND(BX13&gt;=3,FK13&lt;&gt;0, GetEquPower(BE13,BR13, DK13, FW13)=0)</formula>
    </cfRule>
    <cfRule type="expression" dxfId="2031" priority="2069">
      <formula>AND(BX13&gt;=3,FK13&lt;&gt;GetEquPower(BE13,BR13, DK13, FW13))</formula>
    </cfRule>
  </conditionalFormatting>
  <conditionalFormatting sqref="FL13">
    <cfRule type="expression" dxfId="2030" priority="2080">
      <formula>AND(BX13&gt;=4,FL13&lt;&gt;0, GetEquPower(BE13,BR13, DL13, FW13)=0)</formula>
    </cfRule>
    <cfRule type="expression" dxfId="2029" priority="2081">
      <formula>AND(BX13&gt;=4,FL13&lt;&gt;GetEquPower(BE13,BR13, DL13, FW13))</formula>
    </cfRule>
  </conditionalFormatting>
  <conditionalFormatting sqref="FM13">
    <cfRule type="expression" dxfId="2028" priority="2102">
      <formula>AND(BX13&gt;=5,FM13&lt;&gt;0, GetEquPower(BE13,BR13, DM13, FW13)=0)</formula>
    </cfRule>
    <cfRule type="expression" dxfId="2027" priority="2103">
      <formula>AND(BX13&gt;=5,FM13&lt;&gt;GetEquPower(BE13,BR13, DM13, FW13))</formula>
    </cfRule>
  </conditionalFormatting>
  <conditionalFormatting sqref="FN13">
    <cfRule type="expression" dxfId="2026" priority="2104">
      <formula>AND(BX13&gt;=6,FN13&lt;&gt;0, GetEquPower(BE13,BR13, DN13, FW13)=0)</formula>
    </cfRule>
    <cfRule type="expression" dxfId="2025" priority="2105">
      <formula>AND(BX13&gt;=6,FN13&lt;&gt;GetEquPower(BE13,BR13, DN13, FW13))</formula>
    </cfRule>
  </conditionalFormatting>
  <conditionalFormatting sqref="F14">
    <cfRule type="expression" dxfId="2024" priority="1952">
      <formula>F14&lt;&gt;RIGHT(SUBSTITUTE(TRIM(E14),".",""),LEN(F14))</formula>
    </cfRule>
  </conditionalFormatting>
  <conditionalFormatting sqref="BS14">
    <cfRule type="expression" dxfId="2023" priority="1951">
      <formula>AND(J14&gt;=1,BS14&lt;1)</formula>
    </cfRule>
  </conditionalFormatting>
  <conditionalFormatting sqref="BT14">
    <cfRule type="expression" dxfId="2022" priority="1950">
      <formula>AND(J14&gt;=2,BT14&lt;1)</formula>
    </cfRule>
  </conditionalFormatting>
  <conditionalFormatting sqref="BU14">
    <cfRule type="expression" dxfId="2021" priority="1948">
      <formula>AND(J14&gt;=3,BU14&lt;1)</formula>
    </cfRule>
  </conditionalFormatting>
  <conditionalFormatting sqref="BV14">
    <cfRule type="expression" dxfId="2020" priority="1947">
      <formula>AND(J14&gt;=4,BV14&lt;1)</formula>
    </cfRule>
  </conditionalFormatting>
  <conditionalFormatting sqref="BW14">
    <cfRule type="expression" dxfId="2019" priority="1949">
      <formula>AND(J14&gt;=5,BW14&lt;1)</formula>
    </cfRule>
  </conditionalFormatting>
  <conditionalFormatting sqref="BX14">
    <cfRule type="expression" dxfId="2018" priority="1946">
      <formula>AND(J14&gt;=6,BX14&lt;1)</formula>
    </cfRule>
  </conditionalFormatting>
  <conditionalFormatting sqref="IC14">
    <cfRule type="expression" dxfId="2017" priority="2025">
      <formula>AND($S14 = TRUE, $IC14&lt;&gt;OptionsUnitCode)</formula>
    </cfRule>
  </conditionalFormatting>
  <conditionalFormatting sqref="B14:II14">
    <cfRule type="containsErrors" dxfId="2016" priority="1945">
      <formula>ISERROR(B14)</formula>
    </cfRule>
  </conditionalFormatting>
  <conditionalFormatting sqref="DP14">
    <cfRule type="expression" dxfId="2015" priority="1953">
      <formula>AND(BS14&gt;=1,DP14&lt;&gt;0, GetEquPower(AZ14,BM14, BZ14, FR14)=0)</formula>
    </cfRule>
    <cfRule type="expression" dxfId="2014" priority="1954">
      <formula>AND(BS14&gt;=1,DP14&lt;&gt;GetEquPower(AZ14,BM14, BZ14, FR14))</formula>
    </cfRule>
  </conditionalFormatting>
  <conditionalFormatting sqref="DQ14">
    <cfRule type="expression" dxfId="2013" priority="1955">
      <formula>AND(BS14&gt;=2,DQ14&lt;&gt;0, GetEquPower(AZ14,BM14, CA14, FR14)=0)</formula>
    </cfRule>
    <cfRule type="expression" dxfId="2012" priority="1956">
      <formula>AND(BS14&gt;=2,DQ14&lt;&gt;GetEquPower(AZ14,BM14, CA14, FR14))</formula>
    </cfRule>
  </conditionalFormatting>
  <conditionalFormatting sqref="DR14">
    <cfRule type="expression" dxfId="2011" priority="1957">
      <formula>AND(BS14&gt;=3,DR14&lt;&gt;0, GetEquPower(AZ14,BM14, CB14, FR14)=0)</formula>
    </cfRule>
    <cfRule type="expression" dxfId="2010" priority="1958">
      <formula>AND(BS14&gt;=3,DR14&lt;&gt;GetEquPower(AZ14,BM14, CB14, FR14))</formula>
    </cfRule>
  </conditionalFormatting>
  <conditionalFormatting sqref="DS14">
    <cfRule type="expression" dxfId="2009" priority="1989">
      <formula>AND(BS14&gt;=4,DS14&lt;&gt;0, GetEquPower(AZ14,BM14, CC14, FR14)=0)</formula>
    </cfRule>
    <cfRule type="expression" dxfId="2008" priority="1990">
      <formula>AND(BS14&gt;=4, DS14&lt;&gt;GetEquPower(AZ14,BM14, CC14, FR14))</formula>
    </cfRule>
  </conditionalFormatting>
  <conditionalFormatting sqref="DT14">
    <cfRule type="expression" dxfId="2007" priority="2001">
      <formula>AND(BS14&gt;=5,DT14&lt;&gt;0, GetEquPower(AZ14,BM14, CD14, FR14)=0)</formula>
    </cfRule>
    <cfRule type="expression" dxfId="2006" priority="2002">
      <formula>AND(BS14&gt;=5, DT14&lt;&gt;GetEquPower(AZ14,BM14, CD14, FR14))</formula>
    </cfRule>
  </conditionalFormatting>
  <conditionalFormatting sqref="DU14">
    <cfRule type="expression" dxfId="2005" priority="2003">
      <formula>AND(BS14&gt;=6,DU14&lt;&gt;0, GetEquPower(AZ14,BM14, CE14, FR14)=0)</formula>
    </cfRule>
    <cfRule type="expression" dxfId="2004" priority="2004">
      <formula>AND(BS14&gt;=6, DU14&lt;&gt;GetEquPower(AZ14,BM14, CE14, FR14))</formula>
    </cfRule>
  </conditionalFormatting>
  <conditionalFormatting sqref="DY14">
    <cfRule type="expression" dxfId="2003" priority="1959">
      <formula>AND(BT14&gt;=1,DY14&lt;&gt;0, GetEquPower(BA14,BN14, CG14, FS14)=0)</formula>
    </cfRule>
    <cfRule type="expression" dxfId="2002" priority="1960">
      <formula>AND(BT14&gt;=1,DY14&lt;&gt;GetEquPower(BA14,BN14, CG14, FS14))</formula>
    </cfRule>
  </conditionalFormatting>
  <conditionalFormatting sqref="DZ14">
    <cfRule type="expression" dxfId="2001" priority="1961">
      <formula>AND(BT14&gt;=2,DZ14&lt;&gt;0, GetEquPower(BA14,BN14, CH14, FS14)=0)</formula>
    </cfRule>
    <cfRule type="expression" dxfId="2000" priority="1962">
      <formula>AND(BT14&gt;=2,DZ14&lt;&gt;GetEquPower(BA14,BN14, CH14, FS14))</formula>
    </cfRule>
  </conditionalFormatting>
  <conditionalFormatting sqref="EA14">
    <cfRule type="expression" dxfId="1999" priority="1963">
      <formula>AND(BT14&gt;=3,EA14&lt;&gt;0, GetEquPower(BA14,BN14, CI14, FS14)=0)</formula>
    </cfRule>
    <cfRule type="expression" dxfId="1998" priority="1964">
      <formula>AND(BT14&gt;=3,EA14&lt;&gt;GetEquPower(BA14,BN14, CI14, FS14))</formula>
    </cfRule>
  </conditionalFormatting>
  <conditionalFormatting sqref="EB14">
    <cfRule type="expression" dxfId="1997" priority="1991">
      <formula>AND(BT14&gt;=4,EB14&lt;&gt;0, GetEquPower(BA14,BN14, CJ14, FS14)=0)</formula>
    </cfRule>
    <cfRule type="expression" dxfId="1996" priority="1992">
      <formula>AND(BT14&gt;=4,EB14&lt;&gt;GetEquPower(BA14,BN14, CJ14, FS14))</formula>
    </cfRule>
  </conditionalFormatting>
  <conditionalFormatting sqref="EC14">
    <cfRule type="expression" dxfId="1995" priority="2005">
      <formula>AND(BT14&gt;=5,EC14&lt;&gt;0, GetEquPower(BA14,BN14, CK14, FS14)=0)</formula>
    </cfRule>
    <cfRule type="expression" dxfId="1994" priority="2006">
      <formula>AND(BT14&gt;=5,EC14&lt;&gt;GetEquPower(BA14,BN14, CK14, FS14))</formula>
    </cfRule>
  </conditionalFormatting>
  <conditionalFormatting sqref="ED14">
    <cfRule type="expression" dxfId="1993" priority="2007">
      <formula>AND(BT14&gt;=6,ED14&lt;&gt;0, GetEquPower(BA14,BN14, CL14, FS14)=0)</formula>
    </cfRule>
    <cfRule type="expression" dxfId="1992" priority="2008">
      <formula>AND(BT14&gt;=6,ED14&lt;&gt;GetEquPower(BA14,BN14, CL14, FS14))</formula>
    </cfRule>
  </conditionalFormatting>
  <conditionalFormatting sqref="EH14">
    <cfRule type="expression" dxfId="1991" priority="1965">
      <formula>AND(BU14&gt;=1,EH14&lt;&gt;0, GetEquPower(BB14,BO14, CN14, FT14)=0)</formula>
    </cfRule>
    <cfRule type="expression" dxfId="1990" priority="1966">
      <formula>AND(BU14&gt;=1,EH14&lt;&gt;GetEquPower(BB14,BO14, CN14, FT14))</formula>
    </cfRule>
  </conditionalFormatting>
  <conditionalFormatting sqref="EI14">
    <cfRule type="expression" dxfId="1989" priority="1967">
      <formula>AND(BU14&gt;=2,EI14&lt;&gt;0, GetEquPower(BB14,BO14, CO14, FT14)=0)</formula>
    </cfRule>
    <cfRule type="expression" dxfId="1988" priority="1968">
      <formula xml:space="preserve"> AND(BU14&gt;=2,EI14&lt;&gt;GetEquPower(BB14,BO14, CO14, FT14))</formula>
    </cfRule>
  </conditionalFormatting>
  <conditionalFormatting sqref="EJ14">
    <cfRule type="expression" dxfId="1987" priority="1969">
      <formula>AND(BU14&gt;=3,EJ14&lt;&gt;0, GetEquPower(BB14,BO14, CP14, FT14)=0)</formula>
    </cfRule>
    <cfRule type="expression" dxfId="1986" priority="1970">
      <formula xml:space="preserve"> AND(BU14&gt;=3,EJ14&lt;&gt;GetEquPower(BB14,BO14, CP14, FT14))</formula>
    </cfRule>
  </conditionalFormatting>
  <conditionalFormatting sqref="EK14">
    <cfRule type="expression" dxfId="1985" priority="1993">
      <formula>AND(BU14&gt;=4,EK14&lt;&gt;0, GetEquPower(BB14,BO14, CQ14, FT14)=0)</formula>
    </cfRule>
    <cfRule type="expression" dxfId="1984" priority="1994">
      <formula xml:space="preserve"> AND(BU14&gt;=4,EK14&lt;&gt;GetEquPower(BB14,BO14, CQ14, FT14))</formula>
    </cfRule>
  </conditionalFormatting>
  <conditionalFormatting sqref="EL14">
    <cfRule type="expression" dxfId="1983" priority="2009">
      <formula>AND(BU14&gt;=5,EL14&lt;&gt;0, GetEquPower(BB14,BO14, CR14, FT14)=0)</formula>
    </cfRule>
    <cfRule type="expression" dxfId="1982" priority="2010">
      <formula xml:space="preserve"> AND(BU14&gt;=5,EL14&lt;&gt;GetEquPower(BB14,BO14, CR14, FT14))</formula>
    </cfRule>
  </conditionalFormatting>
  <conditionalFormatting sqref="EM14">
    <cfRule type="expression" dxfId="1981" priority="2011">
      <formula>AND(BU14&gt;=6,EM14&lt;&gt;0, GetEquPower(BB14,BO14, CS14, FT14)=0)</formula>
    </cfRule>
    <cfRule type="expression" dxfId="1980" priority="2012">
      <formula xml:space="preserve"> AND(BU14&gt;=6,EM14&lt;&gt;GetEquPower(BB14,BO14, CS14, FT14))</formula>
    </cfRule>
  </conditionalFormatting>
  <conditionalFormatting sqref="EQ14">
    <cfRule type="expression" dxfId="1979" priority="1971">
      <formula>AND(BV14&gt;=1,EQ14&lt;&gt;0, GetEquPower(BC14,BP14, CU14, FU14)=0)</formula>
    </cfRule>
    <cfRule type="expression" dxfId="1978" priority="1972">
      <formula>AND(BV14&gt;=1,EQ14&lt;&gt;GetEquPower(BC14,BP14, CU14, FU14))</formula>
    </cfRule>
  </conditionalFormatting>
  <conditionalFormatting sqref="ER14">
    <cfRule type="expression" dxfId="1977" priority="1973">
      <formula>AND(BV14&gt;=2,ER14&lt;&gt;0, GetEquPower(BC14,BP14, CV14, FU14)=0)</formula>
    </cfRule>
    <cfRule type="expression" dxfId="1976" priority="1974">
      <formula>AND(BV14&gt;=2,ER14&lt;&gt;GetEquPower(BC14,BP14, CV14, FU14))</formula>
    </cfRule>
  </conditionalFormatting>
  <conditionalFormatting sqref="ES14">
    <cfRule type="expression" dxfId="1975" priority="1975">
      <formula>AND(BV14&gt;=3,ES14&lt;&gt;0, GetEquPower(BC14,BP14, CW14, FU14)=0)</formula>
    </cfRule>
    <cfRule type="expression" dxfId="1974" priority="1976">
      <formula>AND(BV14&gt;=3,ES14&lt;&gt;GetEquPower(BC14,BP14, CW14, FU14))</formula>
    </cfRule>
  </conditionalFormatting>
  <conditionalFormatting sqref="ET14">
    <cfRule type="expression" dxfId="1973" priority="1995">
      <formula>AND(BV14&gt;=4,ET14&lt;&gt;0, GetEquPower(BC14,BP14, CX14, FU14)=0)</formula>
    </cfRule>
    <cfRule type="expression" dxfId="1972" priority="1996">
      <formula>AND(BV14&gt;=4,ET14&lt;&gt;GetEquPower(BC14,BP14, CX14, FU14))</formula>
    </cfRule>
  </conditionalFormatting>
  <conditionalFormatting sqref="EU14">
    <cfRule type="expression" dxfId="1971" priority="2013">
      <formula>AND(BV14&gt;=5,EU14&lt;&gt;0, GetEquPower(BC14,BP14, CY14, FU14)=0)</formula>
    </cfRule>
    <cfRule type="expression" dxfId="1970" priority="2014">
      <formula>AND(BV14&gt;=5,EU14&lt;&gt;GetEquPower(BC14,BP14, CY14, FU14))</formula>
    </cfRule>
  </conditionalFormatting>
  <conditionalFormatting sqref="EV14">
    <cfRule type="expression" dxfId="1969" priority="2015">
      <formula>AND(BV14&gt;=6,EV14&lt;&gt;0, GetEquPower(BC14,BP14, CZ14, FU14)=0)</formula>
    </cfRule>
    <cfRule type="expression" dxfId="1968" priority="2016">
      <formula>AND(BV14&gt;=6,EV14&lt;&gt;GetEquPower(BC14,BP14, CZ14, FU14))</formula>
    </cfRule>
  </conditionalFormatting>
  <conditionalFormatting sqref="EZ14">
    <cfRule type="expression" dxfId="1967" priority="1977">
      <formula>AND(BW14&gt;=1,EZ14&lt;&gt;0, GetEquPower(BD14,BQ14, DB14, FV14)=0)</formula>
    </cfRule>
    <cfRule type="expression" dxfId="1966" priority="1978">
      <formula>AND(BW14&gt;=1,EZ14&lt;&gt;GetEquPower(BD14,BQ14, DB14, FV14))</formula>
    </cfRule>
  </conditionalFormatting>
  <conditionalFormatting sqref="FA14">
    <cfRule type="expression" dxfId="1965" priority="1979">
      <formula>AND(BW14&gt;=2,FA14&lt;&gt;0, GetEquPower(BD14,BQ14, DC14, FV14)=0)</formula>
    </cfRule>
    <cfRule type="expression" dxfId="1964" priority="1980">
      <formula>AND(BW14&gt;=2,FA14&lt;&gt;GetEquPower(BD14,BQ14, DC14, FV14))</formula>
    </cfRule>
  </conditionalFormatting>
  <conditionalFormatting sqref="FB14">
    <cfRule type="expression" dxfId="1963" priority="1981">
      <formula>AND(BW14&gt;=3,FB14&lt;&gt;0, GetEquPower(BD14,BQ14, DD14, FV14)=0)</formula>
    </cfRule>
    <cfRule type="expression" dxfId="1962" priority="1982">
      <formula>AND(BW14&gt;=3,FB14&lt;&gt;GetEquPower(BD14,BQ14, DD14, FV14))</formula>
    </cfRule>
  </conditionalFormatting>
  <conditionalFormatting sqref="FC14">
    <cfRule type="expression" dxfId="1961" priority="1997">
      <formula>AND(BW14&gt;=4,FC14&lt;&gt;0, GetEquPower(BD14,BQ14, DE14, FV14)=0)</formula>
    </cfRule>
    <cfRule type="expression" dxfId="1960" priority="1998">
      <formula>AND(BW14&gt;=4,FC14&lt;&gt;GetEquPower(BD14,BQ14, DE14, FV14))</formula>
    </cfRule>
  </conditionalFormatting>
  <conditionalFormatting sqref="FD14">
    <cfRule type="expression" dxfId="1959" priority="2017">
      <formula>AND(BW14&gt;=5,FD14&lt;&gt;0, GetEquPower(BD14,BQ14, DF14, FV14)=0)</formula>
    </cfRule>
    <cfRule type="expression" dxfId="1958" priority="2018">
      <formula>AND(BW14&gt;=5,FD14&lt;&gt;GetEquPower(BD14,BQ14, DF14, FV14))</formula>
    </cfRule>
  </conditionalFormatting>
  <conditionalFormatting sqref="FE14">
    <cfRule type="expression" dxfId="1957" priority="2019">
      <formula>AND(BW14&gt;=6,FE14&lt;&gt;0, GetEquPower(BD14,BQ14, DG14, FV14)=0)</formula>
    </cfRule>
    <cfRule type="expression" dxfId="1956" priority="2020">
      <formula>AND(BW14&gt;=6,FE14&lt;&gt;GetEquPower(BD14,BQ14, DG14, FV14))</formula>
    </cfRule>
  </conditionalFormatting>
  <conditionalFormatting sqref="FI14">
    <cfRule type="expression" dxfId="1955" priority="1983">
      <formula>AND(BX14&gt;=1,FI14&lt;&gt;0, GetEquPower(BE14,BR14, DI14, FW14)=0)</formula>
    </cfRule>
    <cfRule type="expression" dxfId="1954" priority="1984">
      <formula>AND(BX14&gt;=1,FI14&lt;&gt;GetEquPower(BE14,BR14, DI14, FW14))</formula>
    </cfRule>
  </conditionalFormatting>
  <conditionalFormatting sqref="FJ14">
    <cfRule type="expression" dxfId="1953" priority="1985">
      <formula>AND(BX14&gt;=2,FJ14&lt;&gt;0, GetEquPower(BE14,BR14, DJ14, FW14)=0)</formula>
    </cfRule>
    <cfRule type="expression" dxfId="1952" priority="1986">
      <formula>AND(BX14&gt;=2,FJ14&lt;&gt;GetEquPower(BE14,BR14, DJ14, FW14))</formula>
    </cfRule>
  </conditionalFormatting>
  <conditionalFormatting sqref="FK14">
    <cfRule type="expression" dxfId="1951" priority="1987">
      <formula>AND(BX14&gt;=3,FK14&lt;&gt;0, GetEquPower(BE14,BR14, DK14, FW14)=0)</formula>
    </cfRule>
    <cfRule type="expression" dxfId="1950" priority="1988">
      <formula>AND(BX14&gt;=3,FK14&lt;&gt;GetEquPower(BE14,BR14, DK14, FW14))</formula>
    </cfRule>
  </conditionalFormatting>
  <conditionalFormatting sqref="FL14">
    <cfRule type="expression" dxfId="1949" priority="1999">
      <formula>AND(BX14&gt;=4,FL14&lt;&gt;0, GetEquPower(BE14,BR14, DL14, FW14)=0)</formula>
    </cfRule>
    <cfRule type="expression" dxfId="1948" priority="2000">
      <formula>AND(BX14&gt;=4,FL14&lt;&gt;GetEquPower(BE14,BR14, DL14, FW14))</formula>
    </cfRule>
  </conditionalFormatting>
  <conditionalFormatting sqref="FM14">
    <cfRule type="expression" dxfId="1947" priority="2021">
      <formula>AND(BX14&gt;=5,FM14&lt;&gt;0, GetEquPower(BE14,BR14, DM14, FW14)=0)</formula>
    </cfRule>
    <cfRule type="expression" dxfId="1946" priority="2022">
      <formula>AND(BX14&gt;=5,FM14&lt;&gt;GetEquPower(BE14,BR14, DM14, FW14))</formula>
    </cfRule>
  </conditionalFormatting>
  <conditionalFormatting sqref="FN14">
    <cfRule type="expression" dxfId="1945" priority="2023">
      <formula>AND(BX14&gt;=6,FN14&lt;&gt;0, GetEquPower(BE14,BR14, DN14, FW14)=0)</formula>
    </cfRule>
    <cfRule type="expression" dxfId="1944" priority="2024">
      <formula>AND(BX14&gt;=6,FN14&lt;&gt;GetEquPower(BE14,BR14, DN14, FW14))</formula>
    </cfRule>
  </conditionalFormatting>
  <conditionalFormatting sqref="F15">
    <cfRule type="expression" dxfId="1943" priority="1871">
      <formula>F15&lt;&gt;RIGHT(SUBSTITUTE(TRIM(E15),".",""),LEN(F15))</formula>
    </cfRule>
  </conditionalFormatting>
  <conditionalFormatting sqref="BS15">
    <cfRule type="expression" dxfId="1942" priority="1870">
      <formula>AND(J15&gt;=1,BS15&lt;1)</formula>
    </cfRule>
  </conditionalFormatting>
  <conditionalFormatting sqref="BT15">
    <cfRule type="expression" dxfId="1941" priority="1869">
      <formula>AND(J15&gt;=2,BT15&lt;1)</formula>
    </cfRule>
  </conditionalFormatting>
  <conditionalFormatting sqref="BU15">
    <cfRule type="expression" dxfId="1940" priority="1867">
      <formula>AND(J15&gt;=3,BU15&lt;1)</formula>
    </cfRule>
  </conditionalFormatting>
  <conditionalFormatting sqref="BV15">
    <cfRule type="expression" dxfId="1939" priority="1866">
      <formula>AND(J15&gt;=4,BV15&lt;1)</formula>
    </cfRule>
  </conditionalFormatting>
  <conditionalFormatting sqref="BW15">
    <cfRule type="expression" dxfId="1938" priority="1868">
      <formula>AND(J15&gt;=5,BW15&lt;1)</formula>
    </cfRule>
  </conditionalFormatting>
  <conditionalFormatting sqref="BX15">
    <cfRule type="expression" dxfId="1937" priority="1865">
      <formula>AND(J15&gt;=6,BX15&lt;1)</formula>
    </cfRule>
  </conditionalFormatting>
  <conditionalFormatting sqref="IC15">
    <cfRule type="expression" dxfId="1936" priority="1944">
      <formula>AND($S15 = TRUE, $IC15&lt;&gt;OptionsUnitCode)</formula>
    </cfRule>
  </conditionalFormatting>
  <conditionalFormatting sqref="B15:II15">
    <cfRule type="containsErrors" dxfId="1935" priority="1864">
      <formula>ISERROR(B15)</formula>
    </cfRule>
  </conditionalFormatting>
  <conditionalFormatting sqref="DP15">
    <cfRule type="expression" dxfId="1934" priority="1872">
      <formula>AND(BS15&gt;=1,DP15&lt;&gt;0, GetEquPower(AZ15,BM15, BZ15, FR15)=0)</formula>
    </cfRule>
    <cfRule type="expression" dxfId="1933" priority="1873">
      <formula>AND(BS15&gt;=1,DP15&lt;&gt;GetEquPower(AZ15,BM15, BZ15, FR15))</formula>
    </cfRule>
  </conditionalFormatting>
  <conditionalFormatting sqref="DQ15">
    <cfRule type="expression" dxfId="1932" priority="1874">
      <formula>AND(BS15&gt;=2,DQ15&lt;&gt;0, GetEquPower(AZ15,BM15, CA15, FR15)=0)</formula>
    </cfRule>
    <cfRule type="expression" dxfId="1931" priority="1875">
      <formula>AND(BS15&gt;=2,DQ15&lt;&gt;GetEquPower(AZ15,BM15, CA15, FR15))</formula>
    </cfRule>
  </conditionalFormatting>
  <conditionalFormatting sqref="DR15">
    <cfRule type="expression" dxfId="1930" priority="1876">
      <formula>AND(BS15&gt;=3,DR15&lt;&gt;0, GetEquPower(AZ15,BM15, CB15, FR15)=0)</formula>
    </cfRule>
    <cfRule type="expression" dxfId="1929" priority="1877">
      <formula>AND(BS15&gt;=3,DR15&lt;&gt;GetEquPower(AZ15,BM15, CB15, FR15))</formula>
    </cfRule>
  </conditionalFormatting>
  <conditionalFormatting sqref="DS15">
    <cfRule type="expression" dxfId="1928" priority="1908">
      <formula>AND(BS15&gt;=4,DS15&lt;&gt;0, GetEquPower(AZ15,BM15, CC15, FR15)=0)</formula>
    </cfRule>
    <cfRule type="expression" dxfId="1927" priority="1909">
      <formula>AND(BS15&gt;=4, DS15&lt;&gt;GetEquPower(AZ15,BM15, CC15, FR15))</formula>
    </cfRule>
  </conditionalFormatting>
  <conditionalFormatting sqref="DT15">
    <cfRule type="expression" dxfId="1926" priority="1920">
      <formula>AND(BS15&gt;=5,DT15&lt;&gt;0, GetEquPower(AZ15,BM15, CD15, FR15)=0)</formula>
    </cfRule>
    <cfRule type="expression" dxfId="1925" priority="1921">
      <formula>AND(BS15&gt;=5, DT15&lt;&gt;GetEquPower(AZ15,BM15, CD15, FR15))</formula>
    </cfRule>
  </conditionalFormatting>
  <conditionalFormatting sqref="DU15">
    <cfRule type="expression" dxfId="1924" priority="1922">
      <formula>AND(BS15&gt;=6,DU15&lt;&gt;0, GetEquPower(AZ15,BM15, CE15, FR15)=0)</formula>
    </cfRule>
    <cfRule type="expression" dxfId="1923" priority="1923">
      <formula>AND(BS15&gt;=6, DU15&lt;&gt;GetEquPower(AZ15,BM15, CE15, FR15))</formula>
    </cfRule>
  </conditionalFormatting>
  <conditionalFormatting sqref="DY15">
    <cfRule type="expression" dxfId="1922" priority="1878">
      <formula>AND(BT15&gt;=1,DY15&lt;&gt;0, GetEquPower(BA15,BN15, CG15, FS15)=0)</formula>
    </cfRule>
    <cfRule type="expression" dxfId="1921" priority="1879">
      <formula>AND(BT15&gt;=1,DY15&lt;&gt;GetEquPower(BA15,BN15, CG15, FS15))</formula>
    </cfRule>
  </conditionalFormatting>
  <conditionalFormatting sqref="DZ15">
    <cfRule type="expression" dxfId="1920" priority="1880">
      <formula>AND(BT15&gt;=2,DZ15&lt;&gt;0, GetEquPower(BA15,BN15, CH15, FS15)=0)</formula>
    </cfRule>
    <cfRule type="expression" dxfId="1919" priority="1881">
      <formula>AND(BT15&gt;=2,DZ15&lt;&gt;GetEquPower(BA15,BN15, CH15, FS15))</formula>
    </cfRule>
  </conditionalFormatting>
  <conditionalFormatting sqref="EA15">
    <cfRule type="expression" dxfId="1918" priority="1882">
      <formula>AND(BT15&gt;=3,EA15&lt;&gt;0, GetEquPower(BA15,BN15, CI15, FS15)=0)</formula>
    </cfRule>
    <cfRule type="expression" dxfId="1917" priority="1883">
      <formula>AND(BT15&gt;=3,EA15&lt;&gt;GetEquPower(BA15,BN15, CI15, FS15))</formula>
    </cfRule>
  </conditionalFormatting>
  <conditionalFormatting sqref="EB15">
    <cfRule type="expression" dxfId="1916" priority="1910">
      <formula>AND(BT15&gt;=4,EB15&lt;&gt;0, GetEquPower(BA15,BN15, CJ15, FS15)=0)</formula>
    </cfRule>
    <cfRule type="expression" dxfId="1915" priority="1911">
      <formula>AND(BT15&gt;=4,EB15&lt;&gt;GetEquPower(BA15,BN15, CJ15, FS15))</formula>
    </cfRule>
  </conditionalFormatting>
  <conditionalFormatting sqref="EC15">
    <cfRule type="expression" dxfId="1914" priority="1924">
      <formula>AND(BT15&gt;=5,EC15&lt;&gt;0, GetEquPower(BA15,BN15, CK15, FS15)=0)</formula>
    </cfRule>
    <cfRule type="expression" dxfId="1913" priority="1925">
      <formula>AND(BT15&gt;=5,EC15&lt;&gt;GetEquPower(BA15,BN15, CK15, FS15))</formula>
    </cfRule>
  </conditionalFormatting>
  <conditionalFormatting sqref="ED15">
    <cfRule type="expression" dxfId="1912" priority="1926">
      <formula>AND(BT15&gt;=6,ED15&lt;&gt;0, GetEquPower(BA15,BN15, CL15, FS15)=0)</formula>
    </cfRule>
    <cfRule type="expression" dxfId="1911" priority="1927">
      <formula>AND(BT15&gt;=6,ED15&lt;&gt;GetEquPower(BA15,BN15, CL15, FS15))</formula>
    </cfRule>
  </conditionalFormatting>
  <conditionalFormatting sqref="EH15">
    <cfRule type="expression" dxfId="1910" priority="1884">
      <formula>AND(BU15&gt;=1,EH15&lt;&gt;0, GetEquPower(BB15,BO15, CN15, FT15)=0)</formula>
    </cfRule>
    <cfRule type="expression" dxfId="1909" priority="1885">
      <formula>AND(BU15&gt;=1,EH15&lt;&gt;GetEquPower(BB15,BO15, CN15, FT15))</formula>
    </cfRule>
  </conditionalFormatting>
  <conditionalFormatting sqref="EI15">
    <cfRule type="expression" dxfId="1908" priority="1886">
      <formula>AND(BU15&gt;=2,EI15&lt;&gt;0, GetEquPower(BB15,BO15, CO15, FT15)=0)</formula>
    </cfRule>
    <cfRule type="expression" dxfId="1907" priority="1887">
      <formula xml:space="preserve"> AND(BU15&gt;=2,EI15&lt;&gt;GetEquPower(BB15,BO15, CO15, FT15))</formula>
    </cfRule>
  </conditionalFormatting>
  <conditionalFormatting sqref="EJ15">
    <cfRule type="expression" dxfId="1906" priority="1888">
      <formula>AND(BU15&gt;=3,EJ15&lt;&gt;0, GetEquPower(BB15,BO15, CP15, FT15)=0)</formula>
    </cfRule>
    <cfRule type="expression" dxfId="1905" priority="1889">
      <formula xml:space="preserve"> AND(BU15&gt;=3,EJ15&lt;&gt;GetEquPower(BB15,BO15, CP15, FT15))</formula>
    </cfRule>
  </conditionalFormatting>
  <conditionalFormatting sqref="EK15">
    <cfRule type="expression" dxfId="1904" priority="1912">
      <formula>AND(BU15&gt;=4,EK15&lt;&gt;0, GetEquPower(BB15,BO15, CQ15, FT15)=0)</formula>
    </cfRule>
    <cfRule type="expression" dxfId="1903" priority="1913">
      <formula xml:space="preserve"> AND(BU15&gt;=4,EK15&lt;&gt;GetEquPower(BB15,BO15, CQ15, FT15))</formula>
    </cfRule>
  </conditionalFormatting>
  <conditionalFormatting sqref="EL15">
    <cfRule type="expression" dxfId="1902" priority="1928">
      <formula>AND(BU15&gt;=5,EL15&lt;&gt;0, GetEquPower(BB15,BO15, CR15, FT15)=0)</formula>
    </cfRule>
    <cfRule type="expression" dxfId="1901" priority="1929">
      <formula xml:space="preserve"> AND(BU15&gt;=5,EL15&lt;&gt;GetEquPower(BB15,BO15, CR15, FT15))</formula>
    </cfRule>
  </conditionalFormatting>
  <conditionalFormatting sqref="EM15">
    <cfRule type="expression" dxfId="1900" priority="1930">
      <formula>AND(BU15&gt;=6,EM15&lt;&gt;0, GetEquPower(BB15,BO15, CS15, FT15)=0)</formula>
    </cfRule>
    <cfRule type="expression" dxfId="1899" priority="1931">
      <formula xml:space="preserve"> AND(BU15&gt;=6,EM15&lt;&gt;GetEquPower(BB15,BO15, CS15, FT15))</formula>
    </cfRule>
  </conditionalFormatting>
  <conditionalFormatting sqref="EQ15">
    <cfRule type="expression" dxfId="1898" priority="1890">
      <formula>AND(BV15&gt;=1,EQ15&lt;&gt;0, GetEquPower(BC15,BP15, CU15, FU15)=0)</formula>
    </cfRule>
    <cfRule type="expression" dxfId="1897" priority="1891">
      <formula>AND(BV15&gt;=1,EQ15&lt;&gt;GetEquPower(BC15,BP15, CU15, FU15))</formula>
    </cfRule>
  </conditionalFormatting>
  <conditionalFormatting sqref="ER15">
    <cfRule type="expression" dxfId="1896" priority="1892">
      <formula>AND(BV15&gt;=2,ER15&lt;&gt;0, GetEquPower(BC15,BP15, CV15, FU15)=0)</formula>
    </cfRule>
    <cfRule type="expression" dxfId="1895" priority="1893">
      <formula>AND(BV15&gt;=2,ER15&lt;&gt;GetEquPower(BC15,BP15, CV15, FU15))</formula>
    </cfRule>
  </conditionalFormatting>
  <conditionalFormatting sqref="ES15">
    <cfRule type="expression" dxfId="1894" priority="1894">
      <formula>AND(BV15&gt;=3,ES15&lt;&gt;0, GetEquPower(BC15,BP15, CW15, FU15)=0)</formula>
    </cfRule>
    <cfRule type="expression" dxfId="1893" priority="1895">
      <formula>AND(BV15&gt;=3,ES15&lt;&gt;GetEquPower(BC15,BP15, CW15, FU15))</formula>
    </cfRule>
  </conditionalFormatting>
  <conditionalFormatting sqref="ET15">
    <cfRule type="expression" dxfId="1892" priority="1914">
      <formula>AND(BV15&gt;=4,ET15&lt;&gt;0, GetEquPower(BC15,BP15, CX15, FU15)=0)</formula>
    </cfRule>
    <cfRule type="expression" dxfId="1891" priority="1915">
      <formula>AND(BV15&gt;=4,ET15&lt;&gt;GetEquPower(BC15,BP15, CX15, FU15))</formula>
    </cfRule>
  </conditionalFormatting>
  <conditionalFormatting sqref="EU15">
    <cfRule type="expression" dxfId="1890" priority="1932">
      <formula>AND(BV15&gt;=5,EU15&lt;&gt;0, GetEquPower(BC15,BP15, CY15, FU15)=0)</formula>
    </cfRule>
    <cfRule type="expression" dxfId="1889" priority="1933">
      <formula>AND(BV15&gt;=5,EU15&lt;&gt;GetEquPower(BC15,BP15, CY15, FU15))</formula>
    </cfRule>
  </conditionalFormatting>
  <conditionalFormatting sqref="EV15">
    <cfRule type="expression" dxfId="1888" priority="1934">
      <formula>AND(BV15&gt;=6,EV15&lt;&gt;0, GetEquPower(BC15,BP15, CZ15, FU15)=0)</formula>
    </cfRule>
    <cfRule type="expression" dxfId="1887" priority="1935">
      <formula>AND(BV15&gt;=6,EV15&lt;&gt;GetEquPower(BC15,BP15, CZ15, FU15))</formula>
    </cfRule>
  </conditionalFormatting>
  <conditionalFormatting sqref="EZ15">
    <cfRule type="expression" dxfId="1886" priority="1896">
      <formula>AND(BW15&gt;=1,EZ15&lt;&gt;0, GetEquPower(BD15,BQ15, DB15, FV15)=0)</formula>
    </cfRule>
    <cfRule type="expression" dxfId="1885" priority="1897">
      <formula>AND(BW15&gt;=1,EZ15&lt;&gt;GetEquPower(BD15,BQ15, DB15, FV15))</formula>
    </cfRule>
  </conditionalFormatting>
  <conditionalFormatting sqref="FA15">
    <cfRule type="expression" dxfId="1884" priority="1898">
      <formula>AND(BW15&gt;=2,FA15&lt;&gt;0, GetEquPower(BD15,BQ15, DC15, FV15)=0)</formula>
    </cfRule>
    <cfRule type="expression" dxfId="1883" priority="1899">
      <formula>AND(BW15&gt;=2,FA15&lt;&gt;GetEquPower(BD15,BQ15, DC15, FV15))</formula>
    </cfRule>
  </conditionalFormatting>
  <conditionalFormatting sqref="FB15">
    <cfRule type="expression" dxfId="1882" priority="1900">
      <formula>AND(BW15&gt;=3,FB15&lt;&gt;0, GetEquPower(BD15,BQ15, DD15, FV15)=0)</formula>
    </cfRule>
    <cfRule type="expression" dxfId="1881" priority="1901">
      <formula>AND(BW15&gt;=3,FB15&lt;&gt;GetEquPower(BD15,BQ15, DD15, FV15))</formula>
    </cfRule>
  </conditionalFormatting>
  <conditionalFormatting sqref="FC15">
    <cfRule type="expression" dxfId="1880" priority="1916">
      <formula>AND(BW15&gt;=4,FC15&lt;&gt;0, GetEquPower(BD15,BQ15, DE15, FV15)=0)</formula>
    </cfRule>
    <cfRule type="expression" dxfId="1879" priority="1917">
      <formula>AND(BW15&gt;=4,FC15&lt;&gt;GetEquPower(BD15,BQ15, DE15, FV15))</formula>
    </cfRule>
  </conditionalFormatting>
  <conditionalFormatting sqref="FD15">
    <cfRule type="expression" dxfId="1878" priority="1936">
      <formula>AND(BW15&gt;=5,FD15&lt;&gt;0, GetEquPower(BD15,BQ15, DF15, FV15)=0)</formula>
    </cfRule>
    <cfRule type="expression" dxfId="1877" priority="1937">
      <formula>AND(BW15&gt;=5,FD15&lt;&gt;GetEquPower(BD15,BQ15, DF15, FV15))</formula>
    </cfRule>
  </conditionalFormatting>
  <conditionalFormatting sqref="FE15">
    <cfRule type="expression" dxfId="1876" priority="1938">
      <formula>AND(BW15&gt;=6,FE15&lt;&gt;0, GetEquPower(BD15,BQ15, DG15, FV15)=0)</formula>
    </cfRule>
    <cfRule type="expression" dxfId="1875" priority="1939">
      <formula>AND(BW15&gt;=6,FE15&lt;&gt;GetEquPower(BD15,BQ15, DG15, FV15))</formula>
    </cfRule>
  </conditionalFormatting>
  <conditionalFormatting sqref="FI15">
    <cfRule type="expression" dxfId="1874" priority="1902">
      <formula>AND(BX15&gt;=1,FI15&lt;&gt;0, GetEquPower(BE15,BR15, DI15, FW15)=0)</formula>
    </cfRule>
    <cfRule type="expression" dxfId="1873" priority="1903">
      <formula>AND(BX15&gt;=1,FI15&lt;&gt;GetEquPower(BE15,BR15, DI15, FW15))</formula>
    </cfRule>
  </conditionalFormatting>
  <conditionalFormatting sqref="FJ15">
    <cfRule type="expression" dxfId="1872" priority="1904">
      <formula>AND(BX15&gt;=2,FJ15&lt;&gt;0, GetEquPower(BE15,BR15, DJ15, FW15)=0)</formula>
    </cfRule>
    <cfRule type="expression" dxfId="1871" priority="1905">
      <formula>AND(BX15&gt;=2,FJ15&lt;&gt;GetEquPower(BE15,BR15, DJ15, FW15))</formula>
    </cfRule>
  </conditionalFormatting>
  <conditionalFormatting sqref="FK15">
    <cfRule type="expression" dxfId="1870" priority="1906">
      <formula>AND(BX15&gt;=3,FK15&lt;&gt;0, GetEquPower(BE15,BR15, DK15, FW15)=0)</formula>
    </cfRule>
    <cfRule type="expression" dxfId="1869" priority="1907">
      <formula>AND(BX15&gt;=3,FK15&lt;&gt;GetEquPower(BE15,BR15, DK15, FW15))</formula>
    </cfRule>
  </conditionalFormatting>
  <conditionalFormatting sqref="FL15">
    <cfRule type="expression" dxfId="1868" priority="1918">
      <formula>AND(BX15&gt;=4,FL15&lt;&gt;0, GetEquPower(BE15,BR15, DL15, FW15)=0)</formula>
    </cfRule>
    <cfRule type="expression" dxfId="1867" priority="1919">
      <formula>AND(BX15&gt;=4,FL15&lt;&gt;GetEquPower(BE15,BR15, DL15, FW15))</formula>
    </cfRule>
  </conditionalFormatting>
  <conditionalFormatting sqref="FM15">
    <cfRule type="expression" dxfId="1866" priority="1940">
      <formula>AND(BX15&gt;=5,FM15&lt;&gt;0, GetEquPower(BE15,BR15, DM15, FW15)=0)</formula>
    </cfRule>
    <cfRule type="expression" dxfId="1865" priority="1941">
      <formula>AND(BX15&gt;=5,FM15&lt;&gt;GetEquPower(BE15,BR15, DM15, FW15))</formula>
    </cfRule>
  </conditionalFormatting>
  <conditionalFormatting sqref="FN15">
    <cfRule type="expression" dxfId="1864" priority="1942">
      <formula>AND(BX15&gt;=6,FN15&lt;&gt;0, GetEquPower(BE15,BR15, DN15, FW15)=0)</formula>
    </cfRule>
    <cfRule type="expression" dxfId="1863" priority="1943">
      <formula>AND(BX15&gt;=6,FN15&lt;&gt;GetEquPower(BE15,BR15, DN15, FW15))</formula>
    </cfRule>
  </conditionalFormatting>
  <conditionalFormatting sqref="F16">
    <cfRule type="expression" dxfId="1862" priority="1790">
      <formula>F16&lt;&gt;RIGHT(SUBSTITUTE(TRIM(E16),".",""),LEN(F16))</formula>
    </cfRule>
  </conditionalFormatting>
  <conditionalFormatting sqref="BS16">
    <cfRule type="expression" dxfId="1861" priority="1789">
      <formula>AND(J16&gt;=1,BS16&lt;1)</formula>
    </cfRule>
  </conditionalFormatting>
  <conditionalFormatting sqref="BT16">
    <cfRule type="expression" dxfId="1860" priority="1788">
      <formula>AND(J16&gt;=2,BT16&lt;1)</formula>
    </cfRule>
  </conditionalFormatting>
  <conditionalFormatting sqref="BU16">
    <cfRule type="expression" dxfId="1859" priority="1786">
      <formula>AND(J16&gt;=3,BU16&lt;1)</formula>
    </cfRule>
  </conditionalFormatting>
  <conditionalFormatting sqref="BV16">
    <cfRule type="expression" dxfId="1858" priority="1785">
      <formula>AND(J16&gt;=4,BV16&lt;1)</formula>
    </cfRule>
  </conditionalFormatting>
  <conditionalFormatting sqref="BW16">
    <cfRule type="expression" dxfId="1857" priority="1787">
      <formula>AND(J16&gt;=5,BW16&lt;1)</formula>
    </cfRule>
  </conditionalFormatting>
  <conditionalFormatting sqref="BX16">
    <cfRule type="expression" dxfId="1856" priority="1784">
      <formula>AND(J16&gt;=6,BX16&lt;1)</formula>
    </cfRule>
  </conditionalFormatting>
  <conditionalFormatting sqref="IC16">
    <cfRule type="expression" dxfId="1855" priority="1863">
      <formula>AND($S16 = TRUE, $IC16&lt;&gt;OptionsUnitCode)</formula>
    </cfRule>
  </conditionalFormatting>
  <conditionalFormatting sqref="B16:II16">
    <cfRule type="containsErrors" dxfId="1854" priority="1783">
      <formula>ISERROR(B16)</formula>
    </cfRule>
  </conditionalFormatting>
  <conditionalFormatting sqref="DP16">
    <cfRule type="expression" dxfId="1853" priority="1791">
      <formula>AND(BS16&gt;=1,DP16&lt;&gt;0, GetEquPower(AZ16,BM16, BZ16, FR16)=0)</formula>
    </cfRule>
    <cfRule type="expression" dxfId="1852" priority="1792">
      <formula>AND(BS16&gt;=1,DP16&lt;&gt;GetEquPower(AZ16,BM16, BZ16, FR16))</formula>
    </cfRule>
  </conditionalFormatting>
  <conditionalFormatting sqref="DQ16">
    <cfRule type="expression" dxfId="1851" priority="1793">
      <formula>AND(BS16&gt;=2,DQ16&lt;&gt;0, GetEquPower(AZ16,BM16, CA16, FR16)=0)</formula>
    </cfRule>
    <cfRule type="expression" dxfId="1850" priority="1794">
      <formula>AND(BS16&gt;=2,DQ16&lt;&gt;GetEquPower(AZ16,BM16, CA16, FR16))</formula>
    </cfRule>
  </conditionalFormatting>
  <conditionalFormatting sqref="DR16">
    <cfRule type="expression" dxfId="1849" priority="1795">
      <formula>AND(BS16&gt;=3,DR16&lt;&gt;0, GetEquPower(AZ16,BM16, CB16, FR16)=0)</formula>
    </cfRule>
    <cfRule type="expression" dxfId="1848" priority="1796">
      <formula>AND(BS16&gt;=3,DR16&lt;&gt;GetEquPower(AZ16,BM16, CB16, FR16))</formula>
    </cfRule>
  </conditionalFormatting>
  <conditionalFormatting sqref="DS16">
    <cfRule type="expression" dxfId="1847" priority="1827">
      <formula>AND(BS16&gt;=4,DS16&lt;&gt;0, GetEquPower(AZ16,BM16, CC16, FR16)=0)</formula>
    </cfRule>
    <cfRule type="expression" dxfId="1846" priority="1828">
      <formula>AND(BS16&gt;=4, DS16&lt;&gt;GetEquPower(AZ16,BM16, CC16, FR16))</formula>
    </cfRule>
  </conditionalFormatting>
  <conditionalFormatting sqref="DT16">
    <cfRule type="expression" dxfId="1845" priority="1839">
      <formula>AND(BS16&gt;=5,DT16&lt;&gt;0, GetEquPower(AZ16,BM16, CD16, FR16)=0)</formula>
    </cfRule>
    <cfRule type="expression" dxfId="1844" priority="1840">
      <formula>AND(BS16&gt;=5, DT16&lt;&gt;GetEquPower(AZ16,BM16, CD16, FR16))</formula>
    </cfRule>
  </conditionalFormatting>
  <conditionalFormatting sqref="DU16">
    <cfRule type="expression" dxfId="1843" priority="1841">
      <formula>AND(BS16&gt;=6,DU16&lt;&gt;0, GetEquPower(AZ16,BM16, CE16, FR16)=0)</formula>
    </cfRule>
    <cfRule type="expression" dxfId="1842" priority="1842">
      <formula>AND(BS16&gt;=6, DU16&lt;&gt;GetEquPower(AZ16,BM16, CE16, FR16))</formula>
    </cfRule>
  </conditionalFormatting>
  <conditionalFormatting sqref="DY16">
    <cfRule type="expression" dxfId="1841" priority="1797">
      <formula>AND(BT16&gt;=1,DY16&lt;&gt;0, GetEquPower(BA16,BN16, CG16, FS16)=0)</formula>
    </cfRule>
    <cfRule type="expression" dxfId="1840" priority="1798">
      <formula>AND(BT16&gt;=1,DY16&lt;&gt;GetEquPower(BA16,BN16, CG16, FS16))</formula>
    </cfRule>
  </conditionalFormatting>
  <conditionalFormatting sqref="DZ16">
    <cfRule type="expression" dxfId="1839" priority="1799">
      <formula>AND(BT16&gt;=2,DZ16&lt;&gt;0, GetEquPower(BA16,BN16, CH16, FS16)=0)</formula>
    </cfRule>
    <cfRule type="expression" dxfId="1838" priority="1800">
      <formula>AND(BT16&gt;=2,DZ16&lt;&gt;GetEquPower(BA16,BN16, CH16, FS16))</formula>
    </cfRule>
  </conditionalFormatting>
  <conditionalFormatting sqref="EA16">
    <cfRule type="expression" dxfId="1837" priority="1801">
      <formula>AND(BT16&gt;=3,EA16&lt;&gt;0, GetEquPower(BA16,BN16, CI16, FS16)=0)</formula>
    </cfRule>
    <cfRule type="expression" dxfId="1836" priority="1802">
      <formula>AND(BT16&gt;=3,EA16&lt;&gt;GetEquPower(BA16,BN16, CI16, FS16))</formula>
    </cfRule>
  </conditionalFormatting>
  <conditionalFormatting sqref="EB16">
    <cfRule type="expression" dxfId="1835" priority="1829">
      <formula>AND(BT16&gt;=4,EB16&lt;&gt;0, GetEquPower(BA16,BN16, CJ16, FS16)=0)</formula>
    </cfRule>
    <cfRule type="expression" dxfId="1834" priority="1830">
      <formula>AND(BT16&gt;=4,EB16&lt;&gt;GetEquPower(BA16,BN16, CJ16, FS16))</formula>
    </cfRule>
  </conditionalFormatting>
  <conditionalFormatting sqref="EC16">
    <cfRule type="expression" dxfId="1833" priority="1843">
      <formula>AND(BT16&gt;=5,EC16&lt;&gt;0, GetEquPower(BA16,BN16, CK16, FS16)=0)</formula>
    </cfRule>
    <cfRule type="expression" dxfId="1832" priority="1844">
      <formula>AND(BT16&gt;=5,EC16&lt;&gt;GetEquPower(BA16,BN16, CK16, FS16))</formula>
    </cfRule>
  </conditionalFormatting>
  <conditionalFormatting sqref="ED16">
    <cfRule type="expression" dxfId="1831" priority="1845">
      <formula>AND(BT16&gt;=6,ED16&lt;&gt;0, GetEquPower(BA16,BN16, CL16, FS16)=0)</formula>
    </cfRule>
    <cfRule type="expression" dxfId="1830" priority="1846">
      <formula>AND(BT16&gt;=6,ED16&lt;&gt;GetEquPower(BA16,BN16, CL16, FS16))</formula>
    </cfRule>
  </conditionalFormatting>
  <conditionalFormatting sqref="EH16">
    <cfRule type="expression" dxfId="1829" priority="1803">
      <formula>AND(BU16&gt;=1,EH16&lt;&gt;0, GetEquPower(BB16,BO16, CN16, FT16)=0)</formula>
    </cfRule>
    <cfRule type="expression" dxfId="1828" priority="1804">
      <formula>AND(BU16&gt;=1,EH16&lt;&gt;GetEquPower(BB16,BO16, CN16, FT16))</formula>
    </cfRule>
  </conditionalFormatting>
  <conditionalFormatting sqref="EI16">
    <cfRule type="expression" dxfId="1827" priority="1805">
      <formula>AND(BU16&gt;=2,EI16&lt;&gt;0, GetEquPower(BB16,BO16, CO16, FT16)=0)</formula>
    </cfRule>
    <cfRule type="expression" dxfId="1826" priority="1806">
      <formula xml:space="preserve"> AND(BU16&gt;=2,EI16&lt;&gt;GetEquPower(BB16,BO16, CO16, FT16))</formula>
    </cfRule>
  </conditionalFormatting>
  <conditionalFormatting sqref="EJ16">
    <cfRule type="expression" dxfId="1825" priority="1807">
      <formula>AND(BU16&gt;=3,EJ16&lt;&gt;0, GetEquPower(BB16,BO16, CP16, FT16)=0)</formula>
    </cfRule>
    <cfRule type="expression" dxfId="1824" priority="1808">
      <formula xml:space="preserve"> AND(BU16&gt;=3,EJ16&lt;&gt;GetEquPower(BB16,BO16, CP16, FT16))</formula>
    </cfRule>
  </conditionalFormatting>
  <conditionalFormatting sqref="EK16">
    <cfRule type="expression" dxfId="1823" priority="1831">
      <formula>AND(BU16&gt;=4,EK16&lt;&gt;0, GetEquPower(BB16,BO16, CQ16, FT16)=0)</formula>
    </cfRule>
    <cfRule type="expression" dxfId="1822" priority="1832">
      <formula xml:space="preserve"> AND(BU16&gt;=4,EK16&lt;&gt;GetEquPower(BB16,BO16, CQ16, FT16))</formula>
    </cfRule>
  </conditionalFormatting>
  <conditionalFormatting sqref="EL16">
    <cfRule type="expression" dxfId="1821" priority="1847">
      <formula>AND(BU16&gt;=5,EL16&lt;&gt;0, GetEquPower(BB16,BO16, CR16, FT16)=0)</formula>
    </cfRule>
    <cfRule type="expression" dxfId="1820" priority="1848">
      <formula xml:space="preserve"> AND(BU16&gt;=5,EL16&lt;&gt;GetEquPower(BB16,BO16, CR16, FT16))</formula>
    </cfRule>
  </conditionalFormatting>
  <conditionalFormatting sqref="EM16">
    <cfRule type="expression" dxfId="1819" priority="1849">
      <formula>AND(BU16&gt;=6,EM16&lt;&gt;0, GetEquPower(BB16,BO16, CS16, FT16)=0)</formula>
    </cfRule>
    <cfRule type="expression" dxfId="1818" priority="1850">
      <formula xml:space="preserve"> AND(BU16&gt;=6,EM16&lt;&gt;GetEquPower(BB16,BO16, CS16, FT16))</formula>
    </cfRule>
  </conditionalFormatting>
  <conditionalFormatting sqref="EQ16">
    <cfRule type="expression" dxfId="1817" priority="1809">
      <formula>AND(BV16&gt;=1,EQ16&lt;&gt;0, GetEquPower(BC16,BP16, CU16, FU16)=0)</formula>
    </cfRule>
    <cfRule type="expression" dxfId="1816" priority="1810">
      <formula>AND(BV16&gt;=1,EQ16&lt;&gt;GetEquPower(BC16,BP16, CU16, FU16))</formula>
    </cfRule>
  </conditionalFormatting>
  <conditionalFormatting sqref="ER16">
    <cfRule type="expression" dxfId="1815" priority="1811">
      <formula>AND(BV16&gt;=2,ER16&lt;&gt;0, GetEquPower(BC16,BP16, CV16, FU16)=0)</formula>
    </cfRule>
    <cfRule type="expression" dxfId="1814" priority="1812">
      <formula>AND(BV16&gt;=2,ER16&lt;&gt;GetEquPower(BC16,BP16, CV16, FU16))</formula>
    </cfRule>
  </conditionalFormatting>
  <conditionalFormatting sqref="ES16">
    <cfRule type="expression" dxfId="1813" priority="1813">
      <formula>AND(BV16&gt;=3,ES16&lt;&gt;0, GetEquPower(BC16,BP16, CW16, FU16)=0)</formula>
    </cfRule>
    <cfRule type="expression" dxfId="1812" priority="1814">
      <formula>AND(BV16&gt;=3,ES16&lt;&gt;GetEquPower(BC16,BP16, CW16, FU16))</formula>
    </cfRule>
  </conditionalFormatting>
  <conditionalFormatting sqref="ET16">
    <cfRule type="expression" dxfId="1811" priority="1833">
      <formula>AND(BV16&gt;=4,ET16&lt;&gt;0, GetEquPower(BC16,BP16, CX16, FU16)=0)</formula>
    </cfRule>
    <cfRule type="expression" dxfId="1810" priority="1834">
      <formula>AND(BV16&gt;=4,ET16&lt;&gt;GetEquPower(BC16,BP16, CX16, FU16))</formula>
    </cfRule>
  </conditionalFormatting>
  <conditionalFormatting sqref="EU16">
    <cfRule type="expression" dxfId="1809" priority="1851">
      <formula>AND(BV16&gt;=5,EU16&lt;&gt;0, GetEquPower(BC16,BP16, CY16, FU16)=0)</formula>
    </cfRule>
    <cfRule type="expression" dxfId="1808" priority="1852">
      <formula>AND(BV16&gt;=5,EU16&lt;&gt;GetEquPower(BC16,BP16, CY16, FU16))</formula>
    </cfRule>
  </conditionalFormatting>
  <conditionalFormatting sqref="EV16">
    <cfRule type="expression" dxfId="1807" priority="1853">
      <formula>AND(BV16&gt;=6,EV16&lt;&gt;0, GetEquPower(BC16,BP16, CZ16, FU16)=0)</formula>
    </cfRule>
    <cfRule type="expression" dxfId="1806" priority="1854">
      <formula>AND(BV16&gt;=6,EV16&lt;&gt;GetEquPower(BC16,BP16, CZ16, FU16))</formula>
    </cfRule>
  </conditionalFormatting>
  <conditionalFormatting sqref="EZ16">
    <cfRule type="expression" dxfId="1805" priority="1815">
      <formula>AND(BW16&gt;=1,EZ16&lt;&gt;0, GetEquPower(BD16,BQ16, DB16, FV16)=0)</formula>
    </cfRule>
    <cfRule type="expression" dxfId="1804" priority="1816">
      <formula>AND(BW16&gt;=1,EZ16&lt;&gt;GetEquPower(BD16,BQ16, DB16, FV16))</formula>
    </cfRule>
  </conditionalFormatting>
  <conditionalFormatting sqref="FA16">
    <cfRule type="expression" dxfId="1803" priority="1817">
      <formula>AND(BW16&gt;=2,FA16&lt;&gt;0, GetEquPower(BD16,BQ16, DC16, FV16)=0)</formula>
    </cfRule>
    <cfRule type="expression" dxfId="1802" priority="1818">
      <formula>AND(BW16&gt;=2,FA16&lt;&gt;GetEquPower(BD16,BQ16, DC16, FV16))</formula>
    </cfRule>
  </conditionalFormatting>
  <conditionalFormatting sqref="FB16">
    <cfRule type="expression" dxfId="1801" priority="1819">
      <formula>AND(BW16&gt;=3,FB16&lt;&gt;0, GetEquPower(BD16,BQ16, DD16, FV16)=0)</formula>
    </cfRule>
    <cfRule type="expression" dxfId="1800" priority="1820">
      <formula>AND(BW16&gt;=3,FB16&lt;&gt;GetEquPower(BD16,BQ16, DD16, FV16))</formula>
    </cfRule>
  </conditionalFormatting>
  <conditionalFormatting sqref="FC16">
    <cfRule type="expression" dxfId="1799" priority="1835">
      <formula>AND(BW16&gt;=4,FC16&lt;&gt;0, GetEquPower(BD16,BQ16, DE16, FV16)=0)</formula>
    </cfRule>
    <cfRule type="expression" dxfId="1798" priority="1836">
      <formula>AND(BW16&gt;=4,FC16&lt;&gt;GetEquPower(BD16,BQ16, DE16, FV16))</formula>
    </cfRule>
  </conditionalFormatting>
  <conditionalFormatting sqref="FD16">
    <cfRule type="expression" dxfId="1797" priority="1855">
      <formula>AND(BW16&gt;=5,FD16&lt;&gt;0, GetEquPower(BD16,BQ16, DF16, FV16)=0)</formula>
    </cfRule>
    <cfRule type="expression" dxfId="1796" priority="1856">
      <formula>AND(BW16&gt;=5,FD16&lt;&gt;GetEquPower(BD16,BQ16, DF16, FV16))</formula>
    </cfRule>
  </conditionalFormatting>
  <conditionalFormatting sqref="FE16">
    <cfRule type="expression" dxfId="1795" priority="1857">
      <formula>AND(BW16&gt;=6,FE16&lt;&gt;0, GetEquPower(BD16,BQ16, DG16, FV16)=0)</formula>
    </cfRule>
    <cfRule type="expression" dxfId="1794" priority="1858">
      <formula>AND(BW16&gt;=6,FE16&lt;&gt;GetEquPower(BD16,BQ16, DG16, FV16))</formula>
    </cfRule>
  </conditionalFormatting>
  <conditionalFormatting sqref="FI16">
    <cfRule type="expression" dxfId="1793" priority="1821">
      <formula>AND(BX16&gt;=1,FI16&lt;&gt;0, GetEquPower(BE16,BR16, DI16, FW16)=0)</formula>
    </cfRule>
    <cfRule type="expression" dxfId="1792" priority="1822">
      <formula>AND(BX16&gt;=1,FI16&lt;&gt;GetEquPower(BE16,BR16, DI16, FW16))</formula>
    </cfRule>
  </conditionalFormatting>
  <conditionalFormatting sqref="FJ16">
    <cfRule type="expression" dxfId="1791" priority="1823">
      <formula>AND(BX16&gt;=2,FJ16&lt;&gt;0, GetEquPower(BE16,BR16, DJ16, FW16)=0)</formula>
    </cfRule>
    <cfRule type="expression" dxfId="1790" priority="1824">
      <formula>AND(BX16&gt;=2,FJ16&lt;&gt;GetEquPower(BE16,BR16, DJ16, FW16))</formula>
    </cfRule>
  </conditionalFormatting>
  <conditionalFormatting sqref="FK16">
    <cfRule type="expression" dxfId="1789" priority="1825">
      <formula>AND(BX16&gt;=3,FK16&lt;&gt;0, GetEquPower(BE16,BR16, DK16, FW16)=0)</formula>
    </cfRule>
    <cfRule type="expression" dxfId="1788" priority="1826">
      <formula>AND(BX16&gt;=3,FK16&lt;&gt;GetEquPower(BE16,BR16, DK16, FW16))</formula>
    </cfRule>
  </conditionalFormatting>
  <conditionalFormatting sqref="FL16">
    <cfRule type="expression" dxfId="1787" priority="1837">
      <formula>AND(BX16&gt;=4,FL16&lt;&gt;0, GetEquPower(BE16,BR16, DL16, FW16)=0)</formula>
    </cfRule>
    <cfRule type="expression" dxfId="1786" priority="1838">
      <formula>AND(BX16&gt;=4,FL16&lt;&gt;GetEquPower(BE16,BR16, DL16, FW16))</formula>
    </cfRule>
  </conditionalFormatting>
  <conditionalFormatting sqref="FM16">
    <cfRule type="expression" dxfId="1785" priority="1859">
      <formula>AND(BX16&gt;=5,FM16&lt;&gt;0, GetEquPower(BE16,BR16, DM16, FW16)=0)</formula>
    </cfRule>
    <cfRule type="expression" dxfId="1784" priority="1860">
      <formula>AND(BX16&gt;=5,FM16&lt;&gt;GetEquPower(BE16,BR16, DM16, FW16))</formula>
    </cfRule>
  </conditionalFormatting>
  <conditionalFormatting sqref="FN16">
    <cfRule type="expression" dxfId="1783" priority="1861">
      <formula>AND(BX16&gt;=6,FN16&lt;&gt;0, GetEquPower(BE16,BR16, DN16, FW16)=0)</formula>
    </cfRule>
    <cfRule type="expression" dxfId="1782" priority="1862">
      <formula>AND(BX16&gt;=6,FN16&lt;&gt;GetEquPower(BE16,BR16, DN16, FW16))</formula>
    </cfRule>
  </conditionalFormatting>
  <conditionalFormatting sqref="F17">
    <cfRule type="expression" dxfId="1781" priority="1709">
      <formula>F17&lt;&gt;RIGHT(SUBSTITUTE(TRIM(E17),".",""),LEN(F17))</formula>
    </cfRule>
  </conditionalFormatting>
  <conditionalFormatting sqref="BS17">
    <cfRule type="expression" dxfId="1780" priority="1708">
      <formula>AND(J17&gt;=1,BS17&lt;1)</formula>
    </cfRule>
  </conditionalFormatting>
  <conditionalFormatting sqref="BT17">
    <cfRule type="expression" dxfId="1779" priority="1707">
      <formula>AND(J17&gt;=2,BT17&lt;1)</formula>
    </cfRule>
  </conditionalFormatting>
  <conditionalFormatting sqref="BU17">
    <cfRule type="expression" dxfId="1778" priority="1705">
      <formula>AND(J17&gt;=3,BU17&lt;1)</formula>
    </cfRule>
  </conditionalFormatting>
  <conditionalFormatting sqref="BV17">
    <cfRule type="expression" dxfId="1777" priority="1704">
      <formula>AND(J17&gt;=4,BV17&lt;1)</formula>
    </cfRule>
  </conditionalFormatting>
  <conditionalFormatting sqref="BW17">
    <cfRule type="expression" dxfId="1776" priority="1706">
      <formula>AND(J17&gt;=5,BW17&lt;1)</formula>
    </cfRule>
  </conditionalFormatting>
  <conditionalFormatting sqref="BX17">
    <cfRule type="expression" dxfId="1775" priority="1703">
      <formula>AND(J17&gt;=6,BX17&lt;1)</formula>
    </cfRule>
  </conditionalFormatting>
  <conditionalFormatting sqref="IC17">
    <cfRule type="expression" dxfId="1774" priority="1782">
      <formula>AND($S17 = TRUE, $IC17&lt;&gt;OptionsUnitCode)</formula>
    </cfRule>
  </conditionalFormatting>
  <conditionalFormatting sqref="B17:II17">
    <cfRule type="containsErrors" dxfId="1773" priority="1702">
      <formula>ISERROR(B17)</formula>
    </cfRule>
  </conditionalFormatting>
  <conditionalFormatting sqref="DP17">
    <cfRule type="expression" dxfId="1772" priority="1710">
      <formula>AND(BS17&gt;=1,DP17&lt;&gt;0, GetEquPower(AZ17,BM17, BZ17, FR17)=0)</formula>
    </cfRule>
    <cfRule type="expression" dxfId="1771" priority="1711">
      <formula>AND(BS17&gt;=1,DP17&lt;&gt;GetEquPower(AZ17,BM17, BZ17, FR17))</formula>
    </cfRule>
  </conditionalFormatting>
  <conditionalFormatting sqref="DQ17">
    <cfRule type="expression" dxfId="1770" priority="1712">
      <formula>AND(BS17&gt;=2,DQ17&lt;&gt;0, GetEquPower(AZ17,BM17, CA17, FR17)=0)</formula>
    </cfRule>
    <cfRule type="expression" dxfId="1769" priority="1713">
      <formula>AND(BS17&gt;=2,DQ17&lt;&gt;GetEquPower(AZ17,BM17, CA17, FR17))</formula>
    </cfRule>
  </conditionalFormatting>
  <conditionalFormatting sqref="DR17">
    <cfRule type="expression" dxfId="1768" priority="1714">
      <formula>AND(BS17&gt;=3,DR17&lt;&gt;0, GetEquPower(AZ17,BM17, CB17, FR17)=0)</formula>
    </cfRule>
    <cfRule type="expression" dxfId="1767" priority="1715">
      <formula>AND(BS17&gt;=3,DR17&lt;&gt;GetEquPower(AZ17,BM17, CB17, FR17))</formula>
    </cfRule>
  </conditionalFormatting>
  <conditionalFormatting sqref="DS17">
    <cfRule type="expression" dxfId="1766" priority="1746">
      <formula>AND(BS17&gt;=4,DS17&lt;&gt;0, GetEquPower(AZ17,BM17, CC17, FR17)=0)</formula>
    </cfRule>
    <cfRule type="expression" dxfId="1765" priority="1747">
      <formula>AND(BS17&gt;=4, DS17&lt;&gt;GetEquPower(AZ17,BM17, CC17, FR17))</formula>
    </cfRule>
  </conditionalFormatting>
  <conditionalFormatting sqref="DT17">
    <cfRule type="expression" dxfId="1764" priority="1758">
      <formula>AND(BS17&gt;=5,DT17&lt;&gt;0, GetEquPower(AZ17,BM17, CD17, FR17)=0)</formula>
    </cfRule>
    <cfRule type="expression" dxfId="1763" priority="1759">
      <formula>AND(BS17&gt;=5, DT17&lt;&gt;GetEquPower(AZ17,BM17, CD17, FR17))</formula>
    </cfRule>
  </conditionalFormatting>
  <conditionalFormatting sqref="DU17">
    <cfRule type="expression" dxfId="1762" priority="1760">
      <formula>AND(BS17&gt;=6,DU17&lt;&gt;0, GetEquPower(AZ17,BM17, CE17, FR17)=0)</formula>
    </cfRule>
    <cfRule type="expression" dxfId="1761" priority="1761">
      <formula>AND(BS17&gt;=6, DU17&lt;&gt;GetEquPower(AZ17,BM17, CE17, FR17))</formula>
    </cfRule>
  </conditionalFormatting>
  <conditionalFormatting sqref="DY17">
    <cfRule type="expression" dxfId="1760" priority="1716">
      <formula>AND(BT17&gt;=1,DY17&lt;&gt;0, GetEquPower(BA17,BN17, CG17, FS17)=0)</formula>
    </cfRule>
    <cfRule type="expression" dxfId="1759" priority="1717">
      <formula>AND(BT17&gt;=1,DY17&lt;&gt;GetEquPower(BA17,BN17, CG17, FS17))</formula>
    </cfRule>
  </conditionalFormatting>
  <conditionalFormatting sqref="DZ17">
    <cfRule type="expression" dxfId="1758" priority="1718">
      <formula>AND(BT17&gt;=2,DZ17&lt;&gt;0, GetEquPower(BA17,BN17, CH17, FS17)=0)</formula>
    </cfRule>
    <cfRule type="expression" dxfId="1757" priority="1719">
      <formula>AND(BT17&gt;=2,DZ17&lt;&gt;GetEquPower(BA17,BN17, CH17, FS17))</formula>
    </cfRule>
  </conditionalFormatting>
  <conditionalFormatting sqref="EA17">
    <cfRule type="expression" dxfId="1756" priority="1720">
      <formula>AND(BT17&gt;=3,EA17&lt;&gt;0, GetEquPower(BA17,BN17, CI17, FS17)=0)</formula>
    </cfRule>
    <cfRule type="expression" dxfId="1755" priority="1721">
      <formula>AND(BT17&gt;=3,EA17&lt;&gt;GetEquPower(BA17,BN17, CI17, FS17))</formula>
    </cfRule>
  </conditionalFormatting>
  <conditionalFormatting sqref="EB17">
    <cfRule type="expression" dxfId="1754" priority="1748">
      <formula>AND(BT17&gt;=4,EB17&lt;&gt;0, GetEquPower(BA17,BN17, CJ17, FS17)=0)</formula>
    </cfRule>
    <cfRule type="expression" dxfId="1753" priority="1749">
      <formula>AND(BT17&gt;=4,EB17&lt;&gt;GetEquPower(BA17,BN17, CJ17, FS17))</formula>
    </cfRule>
  </conditionalFormatting>
  <conditionalFormatting sqref="EC17">
    <cfRule type="expression" dxfId="1752" priority="1762">
      <formula>AND(BT17&gt;=5,EC17&lt;&gt;0, GetEquPower(BA17,BN17, CK17, FS17)=0)</formula>
    </cfRule>
    <cfRule type="expression" dxfId="1751" priority="1763">
      <formula>AND(BT17&gt;=5,EC17&lt;&gt;GetEquPower(BA17,BN17, CK17, FS17))</formula>
    </cfRule>
  </conditionalFormatting>
  <conditionalFormatting sqref="ED17">
    <cfRule type="expression" dxfId="1750" priority="1764">
      <formula>AND(BT17&gt;=6,ED17&lt;&gt;0, GetEquPower(BA17,BN17, CL17, FS17)=0)</formula>
    </cfRule>
    <cfRule type="expression" dxfId="1749" priority="1765">
      <formula>AND(BT17&gt;=6,ED17&lt;&gt;GetEquPower(BA17,BN17, CL17, FS17))</formula>
    </cfRule>
  </conditionalFormatting>
  <conditionalFormatting sqref="EH17">
    <cfRule type="expression" dxfId="1748" priority="1722">
      <formula>AND(BU17&gt;=1,EH17&lt;&gt;0, GetEquPower(BB17,BO17, CN17, FT17)=0)</formula>
    </cfRule>
    <cfRule type="expression" dxfId="1747" priority="1723">
      <formula>AND(BU17&gt;=1,EH17&lt;&gt;GetEquPower(BB17,BO17, CN17, FT17))</formula>
    </cfRule>
  </conditionalFormatting>
  <conditionalFormatting sqref="EI17">
    <cfRule type="expression" dxfId="1746" priority="1724">
      <formula>AND(BU17&gt;=2,EI17&lt;&gt;0, GetEquPower(BB17,BO17, CO17, FT17)=0)</formula>
    </cfRule>
    <cfRule type="expression" dxfId="1745" priority="1725">
      <formula xml:space="preserve"> AND(BU17&gt;=2,EI17&lt;&gt;GetEquPower(BB17,BO17, CO17, FT17))</formula>
    </cfRule>
  </conditionalFormatting>
  <conditionalFormatting sqref="EJ17">
    <cfRule type="expression" dxfId="1744" priority="1726">
      <formula>AND(BU17&gt;=3,EJ17&lt;&gt;0, GetEquPower(BB17,BO17, CP17, FT17)=0)</formula>
    </cfRule>
    <cfRule type="expression" dxfId="1743" priority="1727">
      <formula xml:space="preserve"> AND(BU17&gt;=3,EJ17&lt;&gt;GetEquPower(BB17,BO17, CP17, FT17))</formula>
    </cfRule>
  </conditionalFormatting>
  <conditionalFormatting sqref="EK17">
    <cfRule type="expression" dxfId="1742" priority="1750">
      <formula>AND(BU17&gt;=4,EK17&lt;&gt;0, GetEquPower(BB17,BO17, CQ17, FT17)=0)</formula>
    </cfRule>
    <cfRule type="expression" dxfId="1741" priority="1751">
      <formula xml:space="preserve"> AND(BU17&gt;=4,EK17&lt;&gt;GetEquPower(BB17,BO17, CQ17, FT17))</formula>
    </cfRule>
  </conditionalFormatting>
  <conditionalFormatting sqref="EL17">
    <cfRule type="expression" dxfId="1740" priority="1766">
      <formula>AND(BU17&gt;=5,EL17&lt;&gt;0, GetEquPower(BB17,BO17, CR17, FT17)=0)</formula>
    </cfRule>
    <cfRule type="expression" dxfId="1739" priority="1767">
      <formula xml:space="preserve"> AND(BU17&gt;=5,EL17&lt;&gt;GetEquPower(BB17,BO17, CR17, FT17))</formula>
    </cfRule>
  </conditionalFormatting>
  <conditionalFormatting sqref="EM17">
    <cfRule type="expression" dxfId="1738" priority="1768">
      <formula>AND(BU17&gt;=6,EM17&lt;&gt;0, GetEquPower(BB17,BO17, CS17, FT17)=0)</formula>
    </cfRule>
    <cfRule type="expression" dxfId="1737" priority="1769">
      <formula xml:space="preserve"> AND(BU17&gt;=6,EM17&lt;&gt;GetEquPower(BB17,BO17, CS17, FT17))</formula>
    </cfRule>
  </conditionalFormatting>
  <conditionalFormatting sqref="EQ17">
    <cfRule type="expression" dxfId="1736" priority="1728">
      <formula>AND(BV17&gt;=1,EQ17&lt;&gt;0, GetEquPower(BC17,BP17, CU17, FU17)=0)</formula>
    </cfRule>
    <cfRule type="expression" dxfId="1735" priority="1729">
      <formula>AND(BV17&gt;=1,EQ17&lt;&gt;GetEquPower(BC17,BP17, CU17, FU17))</formula>
    </cfRule>
  </conditionalFormatting>
  <conditionalFormatting sqref="ER17">
    <cfRule type="expression" dxfId="1734" priority="1730">
      <formula>AND(BV17&gt;=2,ER17&lt;&gt;0, GetEquPower(BC17,BP17, CV17, FU17)=0)</formula>
    </cfRule>
    <cfRule type="expression" dxfId="1733" priority="1731">
      <formula>AND(BV17&gt;=2,ER17&lt;&gt;GetEquPower(BC17,BP17, CV17, FU17))</formula>
    </cfRule>
  </conditionalFormatting>
  <conditionalFormatting sqref="ES17">
    <cfRule type="expression" dxfId="1732" priority="1732">
      <formula>AND(BV17&gt;=3,ES17&lt;&gt;0, GetEquPower(BC17,BP17, CW17, FU17)=0)</formula>
    </cfRule>
    <cfRule type="expression" dxfId="1731" priority="1733">
      <formula>AND(BV17&gt;=3,ES17&lt;&gt;GetEquPower(BC17,BP17, CW17, FU17))</formula>
    </cfRule>
  </conditionalFormatting>
  <conditionalFormatting sqref="ET17">
    <cfRule type="expression" dxfId="1730" priority="1752">
      <formula>AND(BV17&gt;=4,ET17&lt;&gt;0, GetEquPower(BC17,BP17, CX17, FU17)=0)</formula>
    </cfRule>
    <cfRule type="expression" dxfId="1729" priority="1753">
      <formula>AND(BV17&gt;=4,ET17&lt;&gt;GetEquPower(BC17,BP17, CX17, FU17))</formula>
    </cfRule>
  </conditionalFormatting>
  <conditionalFormatting sqref="EU17">
    <cfRule type="expression" dxfId="1728" priority="1770">
      <formula>AND(BV17&gt;=5,EU17&lt;&gt;0, GetEquPower(BC17,BP17, CY17, FU17)=0)</formula>
    </cfRule>
    <cfRule type="expression" dxfId="1727" priority="1771">
      <formula>AND(BV17&gt;=5,EU17&lt;&gt;GetEquPower(BC17,BP17, CY17, FU17))</formula>
    </cfRule>
  </conditionalFormatting>
  <conditionalFormatting sqref="EV17">
    <cfRule type="expression" dxfId="1726" priority="1772">
      <formula>AND(BV17&gt;=6,EV17&lt;&gt;0, GetEquPower(BC17,BP17, CZ17, FU17)=0)</formula>
    </cfRule>
    <cfRule type="expression" dxfId="1725" priority="1773">
      <formula>AND(BV17&gt;=6,EV17&lt;&gt;GetEquPower(BC17,BP17, CZ17, FU17))</formula>
    </cfRule>
  </conditionalFormatting>
  <conditionalFormatting sqref="EZ17">
    <cfRule type="expression" dxfId="1724" priority="1734">
      <formula>AND(BW17&gt;=1,EZ17&lt;&gt;0, GetEquPower(BD17,BQ17, DB17, FV17)=0)</formula>
    </cfRule>
    <cfRule type="expression" dxfId="1723" priority="1735">
      <formula>AND(BW17&gt;=1,EZ17&lt;&gt;GetEquPower(BD17,BQ17, DB17, FV17))</formula>
    </cfRule>
  </conditionalFormatting>
  <conditionalFormatting sqref="FA17">
    <cfRule type="expression" dxfId="1722" priority="1736">
      <formula>AND(BW17&gt;=2,FA17&lt;&gt;0, GetEquPower(BD17,BQ17, DC17, FV17)=0)</formula>
    </cfRule>
    <cfRule type="expression" dxfId="1721" priority="1737">
      <formula>AND(BW17&gt;=2,FA17&lt;&gt;GetEquPower(BD17,BQ17, DC17, FV17))</formula>
    </cfRule>
  </conditionalFormatting>
  <conditionalFormatting sqref="FB17">
    <cfRule type="expression" dxfId="1720" priority="1738">
      <formula>AND(BW17&gt;=3,FB17&lt;&gt;0, GetEquPower(BD17,BQ17, DD17, FV17)=0)</formula>
    </cfRule>
    <cfRule type="expression" dxfId="1719" priority="1739">
      <formula>AND(BW17&gt;=3,FB17&lt;&gt;GetEquPower(BD17,BQ17, DD17, FV17))</formula>
    </cfRule>
  </conditionalFormatting>
  <conditionalFormatting sqref="FC17">
    <cfRule type="expression" dxfId="1718" priority="1754">
      <formula>AND(BW17&gt;=4,FC17&lt;&gt;0, GetEquPower(BD17,BQ17, DE17, FV17)=0)</formula>
    </cfRule>
    <cfRule type="expression" dxfId="1717" priority="1755">
      <formula>AND(BW17&gt;=4,FC17&lt;&gt;GetEquPower(BD17,BQ17, DE17, FV17))</formula>
    </cfRule>
  </conditionalFormatting>
  <conditionalFormatting sqref="FD17">
    <cfRule type="expression" dxfId="1716" priority="1774">
      <formula>AND(BW17&gt;=5,FD17&lt;&gt;0, GetEquPower(BD17,BQ17, DF17, FV17)=0)</formula>
    </cfRule>
    <cfRule type="expression" dxfId="1715" priority="1775">
      <formula>AND(BW17&gt;=5,FD17&lt;&gt;GetEquPower(BD17,BQ17, DF17, FV17))</formula>
    </cfRule>
  </conditionalFormatting>
  <conditionalFormatting sqref="FE17">
    <cfRule type="expression" dxfId="1714" priority="1776">
      <formula>AND(BW17&gt;=6,FE17&lt;&gt;0, GetEquPower(BD17,BQ17, DG17, FV17)=0)</formula>
    </cfRule>
    <cfRule type="expression" dxfId="1713" priority="1777">
      <formula>AND(BW17&gt;=6,FE17&lt;&gt;GetEquPower(BD17,BQ17, DG17, FV17))</formula>
    </cfRule>
  </conditionalFormatting>
  <conditionalFormatting sqref="FI17">
    <cfRule type="expression" dxfId="1712" priority="1740">
      <formula>AND(BX17&gt;=1,FI17&lt;&gt;0, GetEquPower(BE17,BR17, DI17, FW17)=0)</formula>
    </cfRule>
    <cfRule type="expression" dxfId="1711" priority="1741">
      <formula>AND(BX17&gt;=1,FI17&lt;&gt;GetEquPower(BE17,BR17, DI17, FW17))</formula>
    </cfRule>
  </conditionalFormatting>
  <conditionalFormatting sqref="FJ17">
    <cfRule type="expression" dxfId="1710" priority="1742">
      <formula>AND(BX17&gt;=2,FJ17&lt;&gt;0, GetEquPower(BE17,BR17, DJ17, FW17)=0)</formula>
    </cfRule>
    <cfRule type="expression" dxfId="1709" priority="1743">
      <formula>AND(BX17&gt;=2,FJ17&lt;&gt;GetEquPower(BE17,BR17, DJ17, FW17))</formula>
    </cfRule>
  </conditionalFormatting>
  <conditionalFormatting sqref="FK17">
    <cfRule type="expression" dxfId="1708" priority="1744">
      <formula>AND(BX17&gt;=3,FK17&lt;&gt;0, GetEquPower(BE17,BR17, DK17, FW17)=0)</formula>
    </cfRule>
    <cfRule type="expression" dxfId="1707" priority="1745">
      <formula>AND(BX17&gt;=3,FK17&lt;&gt;GetEquPower(BE17,BR17, DK17, FW17))</formula>
    </cfRule>
  </conditionalFormatting>
  <conditionalFormatting sqref="FL17">
    <cfRule type="expression" dxfId="1706" priority="1756">
      <formula>AND(BX17&gt;=4,FL17&lt;&gt;0, GetEquPower(BE17,BR17, DL17, FW17)=0)</formula>
    </cfRule>
    <cfRule type="expression" dxfId="1705" priority="1757">
      <formula>AND(BX17&gt;=4,FL17&lt;&gt;GetEquPower(BE17,BR17, DL17, FW17))</formula>
    </cfRule>
  </conditionalFormatting>
  <conditionalFormatting sqref="FM17">
    <cfRule type="expression" dxfId="1704" priority="1778">
      <formula>AND(BX17&gt;=5,FM17&lt;&gt;0, GetEquPower(BE17,BR17, DM17, FW17)=0)</formula>
    </cfRule>
    <cfRule type="expression" dxfId="1703" priority="1779">
      <formula>AND(BX17&gt;=5,FM17&lt;&gt;GetEquPower(BE17,BR17, DM17, FW17))</formula>
    </cfRule>
  </conditionalFormatting>
  <conditionalFormatting sqref="FN17">
    <cfRule type="expression" dxfId="1702" priority="1780">
      <formula>AND(BX17&gt;=6,FN17&lt;&gt;0, GetEquPower(BE17,BR17, DN17, FW17)=0)</formula>
    </cfRule>
    <cfRule type="expression" dxfId="1701" priority="1781">
      <formula>AND(BX17&gt;=6,FN17&lt;&gt;GetEquPower(BE17,BR17, DN17, FW17))</formula>
    </cfRule>
  </conditionalFormatting>
  <conditionalFormatting sqref="F18">
    <cfRule type="expression" dxfId="1700" priority="1628">
      <formula>F18&lt;&gt;RIGHT(SUBSTITUTE(TRIM(E18),".",""),LEN(F18))</formula>
    </cfRule>
  </conditionalFormatting>
  <conditionalFormatting sqref="BS18">
    <cfRule type="expression" dxfId="1699" priority="1627">
      <formula>AND(J18&gt;=1,BS18&lt;1)</formula>
    </cfRule>
  </conditionalFormatting>
  <conditionalFormatting sqref="BT18">
    <cfRule type="expression" dxfId="1698" priority="1626">
      <formula>AND(J18&gt;=2,BT18&lt;1)</formula>
    </cfRule>
  </conditionalFormatting>
  <conditionalFormatting sqref="BU18">
    <cfRule type="expression" dxfId="1697" priority="1624">
      <formula>AND(J18&gt;=3,BU18&lt;1)</formula>
    </cfRule>
  </conditionalFormatting>
  <conditionalFormatting sqref="BV18">
    <cfRule type="expression" dxfId="1696" priority="1623">
      <formula>AND(J18&gt;=4,BV18&lt;1)</formula>
    </cfRule>
  </conditionalFormatting>
  <conditionalFormatting sqref="BW18">
    <cfRule type="expression" dxfId="1695" priority="1625">
      <formula>AND(J18&gt;=5,BW18&lt;1)</formula>
    </cfRule>
  </conditionalFormatting>
  <conditionalFormatting sqref="BX18">
    <cfRule type="expression" dxfId="1694" priority="1622">
      <formula>AND(J18&gt;=6,BX18&lt;1)</formula>
    </cfRule>
  </conditionalFormatting>
  <conditionalFormatting sqref="IC18">
    <cfRule type="expression" dxfId="1693" priority="1701">
      <formula>AND($S18 = TRUE, $IC18&lt;&gt;OptionsUnitCode)</formula>
    </cfRule>
  </conditionalFormatting>
  <conditionalFormatting sqref="B18:II18">
    <cfRule type="containsErrors" dxfId="1692" priority="1621">
      <formula>ISERROR(B18)</formula>
    </cfRule>
  </conditionalFormatting>
  <conditionalFormatting sqref="DP18">
    <cfRule type="expression" dxfId="1691" priority="1629">
      <formula>AND(BS18&gt;=1,DP18&lt;&gt;0, GetEquPower(AZ18,BM18, BZ18, FR18)=0)</formula>
    </cfRule>
    <cfRule type="expression" dxfId="1690" priority="1630">
      <formula>AND(BS18&gt;=1,DP18&lt;&gt;GetEquPower(AZ18,BM18, BZ18, FR18))</formula>
    </cfRule>
  </conditionalFormatting>
  <conditionalFormatting sqref="DQ18">
    <cfRule type="expression" dxfId="1689" priority="1631">
      <formula>AND(BS18&gt;=2,DQ18&lt;&gt;0, GetEquPower(AZ18,BM18, CA18, FR18)=0)</formula>
    </cfRule>
    <cfRule type="expression" dxfId="1688" priority="1632">
      <formula>AND(BS18&gt;=2,DQ18&lt;&gt;GetEquPower(AZ18,BM18, CA18, FR18))</formula>
    </cfRule>
  </conditionalFormatting>
  <conditionalFormatting sqref="DR18">
    <cfRule type="expression" dxfId="1687" priority="1633">
      <formula>AND(BS18&gt;=3,DR18&lt;&gt;0, GetEquPower(AZ18,BM18, CB18, FR18)=0)</formula>
    </cfRule>
    <cfRule type="expression" dxfId="1686" priority="1634">
      <formula>AND(BS18&gt;=3,DR18&lt;&gt;GetEquPower(AZ18,BM18, CB18, FR18))</formula>
    </cfRule>
  </conditionalFormatting>
  <conditionalFormatting sqref="DS18">
    <cfRule type="expression" dxfId="1685" priority="1665">
      <formula>AND(BS18&gt;=4,DS18&lt;&gt;0, GetEquPower(AZ18,BM18, CC18, FR18)=0)</formula>
    </cfRule>
    <cfRule type="expression" dxfId="1684" priority="1666">
      <formula>AND(BS18&gt;=4, DS18&lt;&gt;GetEquPower(AZ18,BM18, CC18, FR18))</formula>
    </cfRule>
  </conditionalFormatting>
  <conditionalFormatting sqref="DT18">
    <cfRule type="expression" dxfId="1683" priority="1677">
      <formula>AND(BS18&gt;=5,DT18&lt;&gt;0, GetEquPower(AZ18,BM18, CD18, FR18)=0)</formula>
    </cfRule>
    <cfRule type="expression" dxfId="1682" priority="1678">
      <formula>AND(BS18&gt;=5, DT18&lt;&gt;GetEquPower(AZ18,BM18, CD18, FR18))</formula>
    </cfRule>
  </conditionalFormatting>
  <conditionalFormatting sqref="DU18">
    <cfRule type="expression" dxfId="1681" priority="1679">
      <formula>AND(BS18&gt;=6,DU18&lt;&gt;0, GetEquPower(AZ18,BM18, CE18, FR18)=0)</formula>
    </cfRule>
    <cfRule type="expression" dxfId="1680" priority="1680">
      <formula>AND(BS18&gt;=6, DU18&lt;&gt;GetEquPower(AZ18,BM18, CE18, FR18))</formula>
    </cfRule>
  </conditionalFormatting>
  <conditionalFormatting sqref="DY18">
    <cfRule type="expression" dxfId="1679" priority="1635">
      <formula>AND(BT18&gt;=1,DY18&lt;&gt;0, GetEquPower(BA18,BN18, CG18, FS18)=0)</formula>
    </cfRule>
    <cfRule type="expression" dxfId="1678" priority="1636">
      <formula>AND(BT18&gt;=1,DY18&lt;&gt;GetEquPower(BA18,BN18, CG18, FS18))</formula>
    </cfRule>
  </conditionalFormatting>
  <conditionalFormatting sqref="DZ18">
    <cfRule type="expression" dxfId="1677" priority="1637">
      <formula>AND(BT18&gt;=2,DZ18&lt;&gt;0, GetEquPower(BA18,BN18, CH18, FS18)=0)</formula>
    </cfRule>
    <cfRule type="expression" dxfId="1676" priority="1638">
      <formula>AND(BT18&gt;=2,DZ18&lt;&gt;GetEquPower(BA18,BN18, CH18, FS18))</formula>
    </cfRule>
  </conditionalFormatting>
  <conditionalFormatting sqref="EA18">
    <cfRule type="expression" dxfId="1675" priority="1639">
      <formula>AND(BT18&gt;=3,EA18&lt;&gt;0, GetEquPower(BA18,BN18, CI18, FS18)=0)</formula>
    </cfRule>
    <cfRule type="expression" dxfId="1674" priority="1640">
      <formula>AND(BT18&gt;=3,EA18&lt;&gt;GetEquPower(BA18,BN18, CI18, FS18))</formula>
    </cfRule>
  </conditionalFormatting>
  <conditionalFormatting sqref="EB18">
    <cfRule type="expression" dxfId="1673" priority="1667">
      <formula>AND(BT18&gt;=4,EB18&lt;&gt;0, GetEquPower(BA18,BN18, CJ18, FS18)=0)</formula>
    </cfRule>
    <cfRule type="expression" dxfId="1672" priority="1668">
      <formula>AND(BT18&gt;=4,EB18&lt;&gt;GetEquPower(BA18,BN18, CJ18, FS18))</formula>
    </cfRule>
  </conditionalFormatting>
  <conditionalFormatting sqref="EC18">
    <cfRule type="expression" dxfId="1671" priority="1681">
      <formula>AND(BT18&gt;=5,EC18&lt;&gt;0, GetEquPower(BA18,BN18, CK18, FS18)=0)</formula>
    </cfRule>
    <cfRule type="expression" dxfId="1670" priority="1682">
      <formula>AND(BT18&gt;=5,EC18&lt;&gt;GetEquPower(BA18,BN18, CK18, FS18))</formula>
    </cfRule>
  </conditionalFormatting>
  <conditionalFormatting sqref="ED18">
    <cfRule type="expression" dxfId="1669" priority="1683">
      <formula>AND(BT18&gt;=6,ED18&lt;&gt;0, GetEquPower(BA18,BN18, CL18, FS18)=0)</formula>
    </cfRule>
    <cfRule type="expression" dxfId="1668" priority="1684">
      <formula>AND(BT18&gt;=6,ED18&lt;&gt;GetEquPower(BA18,BN18, CL18, FS18))</formula>
    </cfRule>
  </conditionalFormatting>
  <conditionalFormatting sqref="EH18">
    <cfRule type="expression" dxfId="1667" priority="1641">
      <formula>AND(BU18&gt;=1,EH18&lt;&gt;0, GetEquPower(BB18,BO18, CN18, FT18)=0)</formula>
    </cfRule>
    <cfRule type="expression" dxfId="1666" priority="1642">
      <formula>AND(BU18&gt;=1,EH18&lt;&gt;GetEquPower(BB18,BO18, CN18, FT18))</formula>
    </cfRule>
  </conditionalFormatting>
  <conditionalFormatting sqref="EI18">
    <cfRule type="expression" dxfId="1665" priority="1643">
      <formula>AND(BU18&gt;=2,EI18&lt;&gt;0, GetEquPower(BB18,BO18, CO18, FT18)=0)</formula>
    </cfRule>
    <cfRule type="expression" dxfId="1664" priority="1644">
      <formula xml:space="preserve"> AND(BU18&gt;=2,EI18&lt;&gt;GetEquPower(BB18,BO18, CO18, FT18))</formula>
    </cfRule>
  </conditionalFormatting>
  <conditionalFormatting sqref="EJ18">
    <cfRule type="expression" dxfId="1663" priority="1645">
      <formula>AND(BU18&gt;=3,EJ18&lt;&gt;0, GetEquPower(BB18,BO18, CP18, FT18)=0)</formula>
    </cfRule>
    <cfRule type="expression" dxfId="1662" priority="1646">
      <formula xml:space="preserve"> AND(BU18&gt;=3,EJ18&lt;&gt;GetEquPower(BB18,BO18, CP18, FT18))</formula>
    </cfRule>
  </conditionalFormatting>
  <conditionalFormatting sqref="EK18">
    <cfRule type="expression" dxfId="1661" priority="1669">
      <formula>AND(BU18&gt;=4,EK18&lt;&gt;0, GetEquPower(BB18,BO18, CQ18, FT18)=0)</formula>
    </cfRule>
    <cfRule type="expression" dxfId="1660" priority="1670">
      <formula xml:space="preserve"> AND(BU18&gt;=4,EK18&lt;&gt;GetEquPower(BB18,BO18, CQ18, FT18))</formula>
    </cfRule>
  </conditionalFormatting>
  <conditionalFormatting sqref="EL18">
    <cfRule type="expression" dxfId="1659" priority="1685">
      <formula>AND(BU18&gt;=5,EL18&lt;&gt;0, GetEquPower(BB18,BO18, CR18, FT18)=0)</formula>
    </cfRule>
    <cfRule type="expression" dxfId="1658" priority="1686">
      <formula xml:space="preserve"> AND(BU18&gt;=5,EL18&lt;&gt;GetEquPower(BB18,BO18, CR18, FT18))</formula>
    </cfRule>
  </conditionalFormatting>
  <conditionalFormatting sqref="EM18">
    <cfRule type="expression" dxfId="1657" priority="1687">
      <formula>AND(BU18&gt;=6,EM18&lt;&gt;0, GetEquPower(BB18,BO18, CS18, FT18)=0)</formula>
    </cfRule>
    <cfRule type="expression" dxfId="1656" priority="1688">
      <formula xml:space="preserve"> AND(BU18&gt;=6,EM18&lt;&gt;GetEquPower(BB18,BO18, CS18, FT18))</formula>
    </cfRule>
  </conditionalFormatting>
  <conditionalFormatting sqref="EQ18">
    <cfRule type="expression" dxfId="1655" priority="1647">
      <formula>AND(BV18&gt;=1,EQ18&lt;&gt;0, GetEquPower(BC18,BP18, CU18, FU18)=0)</formula>
    </cfRule>
    <cfRule type="expression" dxfId="1654" priority="1648">
      <formula>AND(BV18&gt;=1,EQ18&lt;&gt;GetEquPower(BC18,BP18, CU18, FU18))</formula>
    </cfRule>
  </conditionalFormatting>
  <conditionalFormatting sqref="ER18">
    <cfRule type="expression" dxfId="1653" priority="1649">
      <formula>AND(BV18&gt;=2,ER18&lt;&gt;0, GetEquPower(BC18,BP18, CV18, FU18)=0)</formula>
    </cfRule>
    <cfRule type="expression" dxfId="1652" priority="1650">
      <formula>AND(BV18&gt;=2,ER18&lt;&gt;GetEquPower(BC18,BP18, CV18, FU18))</formula>
    </cfRule>
  </conditionalFormatting>
  <conditionalFormatting sqref="ES18">
    <cfRule type="expression" dxfId="1651" priority="1651">
      <formula>AND(BV18&gt;=3,ES18&lt;&gt;0, GetEquPower(BC18,BP18, CW18, FU18)=0)</formula>
    </cfRule>
    <cfRule type="expression" dxfId="1650" priority="1652">
      <formula>AND(BV18&gt;=3,ES18&lt;&gt;GetEquPower(BC18,BP18, CW18, FU18))</formula>
    </cfRule>
  </conditionalFormatting>
  <conditionalFormatting sqref="ET18">
    <cfRule type="expression" dxfId="1649" priority="1671">
      <formula>AND(BV18&gt;=4,ET18&lt;&gt;0, GetEquPower(BC18,BP18, CX18, FU18)=0)</formula>
    </cfRule>
    <cfRule type="expression" dxfId="1648" priority="1672">
      <formula>AND(BV18&gt;=4,ET18&lt;&gt;GetEquPower(BC18,BP18, CX18, FU18))</formula>
    </cfRule>
  </conditionalFormatting>
  <conditionalFormatting sqref="EU18">
    <cfRule type="expression" dxfId="1647" priority="1689">
      <formula>AND(BV18&gt;=5,EU18&lt;&gt;0, GetEquPower(BC18,BP18, CY18, FU18)=0)</formula>
    </cfRule>
    <cfRule type="expression" dxfId="1646" priority="1690">
      <formula>AND(BV18&gt;=5,EU18&lt;&gt;GetEquPower(BC18,BP18, CY18, FU18))</formula>
    </cfRule>
  </conditionalFormatting>
  <conditionalFormatting sqref="EV18">
    <cfRule type="expression" dxfId="1645" priority="1691">
      <formula>AND(BV18&gt;=6,EV18&lt;&gt;0, GetEquPower(BC18,BP18, CZ18, FU18)=0)</formula>
    </cfRule>
    <cfRule type="expression" dxfId="1644" priority="1692">
      <formula>AND(BV18&gt;=6,EV18&lt;&gt;GetEquPower(BC18,BP18, CZ18, FU18))</formula>
    </cfRule>
  </conditionalFormatting>
  <conditionalFormatting sqref="EZ18">
    <cfRule type="expression" dxfId="1643" priority="1653">
      <formula>AND(BW18&gt;=1,EZ18&lt;&gt;0, GetEquPower(BD18,BQ18, DB18, FV18)=0)</formula>
    </cfRule>
    <cfRule type="expression" dxfId="1642" priority="1654">
      <formula>AND(BW18&gt;=1,EZ18&lt;&gt;GetEquPower(BD18,BQ18, DB18, FV18))</formula>
    </cfRule>
  </conditionalFormatting>
  <conditionalFormatting sqref="FA18">
    <cfRule type="expression" dxfId="1641" priority="1655">
      <formula>AND(BW18&gt;=2,FA18&lt;&gt;0, GetEquPower(BD18,BQ18, DC18, FV18)=0)</formula>
    </cfRule>
    <cfRule type="expression" dxfId="1640" priority="1656">
      <formula>AND(BW18&gt;=2,FA18&lt;&gt;GetEquPower(BD18,BQ18, DC18, FV18))</formula>
    </cfRule>
  </conditionalFormatting>
  <conditionalFormatting sqref="FB18">
    <cfRule type="expression" dxfId="1639" priority="1657">
      <formula>AND(BW18&gt;=3,FB18&lt;&gt;0, GetEquPower(BD18,BQ18, DD18, FV18)=0)</formula>
    </cfRule>
    <cfRule type="expression" dxfId="1638" priority="1658">
      <formula>AND(BW18&gt;=3,FB18&lt;&gt;GetEquPower(BD18,BQ18, DD18, FV18))</formula>
    </cfRule>
  </conditionalFormatting>
  <conditionalFormatting sqref="FC18">
    <cfRule type="expression" dxfId="1637" priority="1673">
      <formula>AND(BW18&gt;=4,FC18&lt;&gt;0, GetEquPower(BD18,BQ18, DE18, FV18)=0)</formula>
    </cfRule>
    <cfRule type="expression" dxfId="1636" priority="1674">
      <formula>AND(BW18&gt;=4,FC18&lt;&gt;GetEquPower(BD18,BQ18, DE18, FV18))</formula>
    </cfRule>
  </conditionalFormatting>
  <conditionalFormatting sqref="FD18">
    <cfRule type="expression" dxfId="1635" priority="1693">
      <formula>AND(BW18&gt;=5,FD18&lt;&gt;0, GetEquPower(BD18,BQ18, DF18, FV18)=0)</formula>
    </cfRule>
    <cfRule type="expression" dxfId="1634" priority="1694">
      <formula>AND(BW18&gt;=5,FD18&lt;&gt;GetEquPower(BD18,BQ18, DF18, FV18))</formula>
    </cfRule>
  </conditionalFormatting>
  <conditionalFormatting sqref="FE18">
    <cfRule type="expression" dxfId="1633" priority="1695">
      <formula>AND(BW18&gt;=6,FE18&lt;&gt;0, GetEquPower(BD18,BQ18, DG18, FV18)=0)</formula>
    </cfRule>
    <cfRule type="expression" dxfId="1632" priority="1696">
      <formula>AND(BW18&gt;=6,FE18&lt;&gt;GetEquPower(BD18,BQ18, DG18, FV18))</formula>
    </cfRule>
  </conditionalFormatting>
  <conditionalFormatting sqref="FI18">
    <cfRule type="expression" dxfId="1631" priority="1659">
      <formula>AND(BX18&gt;=1,FI18&lt;&gt;0, GetEquPower(BE18,BR18, DI18, FW18)=0)</formula>
    </cfRule>
    <cfRule type="expression" dxfId="1630" priority="1660">
      <formula>AND(BX18&gt;=1,FI18&lt;&gt;GetEquPower(BE18,BR18, DI18, FW18))</formula>
    </cfRule>
  </conditionalFormatting>
  <conditionalFormatting sqref="FJ18">
    <cfRule type="expression" dxfId="1629" priority="1661">
      <formula>AND(BX18&gt;=2,FJ18&lt;&gt;0, GetEquPower(BE18,BR18, DJ18, FW18)=0)</formula>
    </cfRule>
    <cfRule type="expression" dxfId="1628" priority="1662">
      <formula>AND(BX18&gt;=2,FJ18&lt;&gt;GetEquPower(BE18,BR18, DJ18, FW18))</formula>
    </cfRule>
  </conditionalFormatting>
  <conditionalFormatting sqref="FK18">
    <cfRule type="expression" dxfId="1627" priority="1663">
      <formula>AND(BX18&gt;=3,FK18&lt;&gt;0, GetEquPower(BE18,BR18, DK18, FW18)=0)</formula>
    </cfRule>
    <cfRule type="expression" dxfId="1626" priority="1664">
      <formula>AND(BX18&gt;=3,FK18&lt;&gt;GetEquPower(BE18,BR18, DK18, FW18))</formula>
    </cfRule>
  </conditionalFormatting>
  <conditionalFormatting sqref="FL18">
    <cfRule type="expression" dxfId="1625" priority="1675">
      <formula>AND(BX18&gt;=4,FL18&lt;&gt;0, GetEquPower(BE18,BR18, DL18, FW18)=0)</formula>
    </cfRule>
    <cfRule type="expression" dxfId="1624" priority="1676">
      <formula>AND(BX18&gt;=4,FL18&lt;&gt;GetEquPower(BE18,BR18, DL18, FW18))</formula>
    </cfRule>
  </conditionalFormatting>
  <conditionalFormatting sqref="FM18">
    <cfRule type="expression" dxfId="1623" priority="1697">
      <formula>AND(BX18&gt;=5,FM18&lt;&gt;0, GetEquPower(BE18,BR18, DM18, FW18)=0)</formula>
    </cfRule>
    <cfRule type="expression" dxfId="1622" priority="1698">
      <formula>AND(BX18&gt;=5,FM18&lt;&gt;GetEquPower(BE18,BR18, DM18, FW18))</formula>
    </cfRule>
  </conditionalFormatting>
  <conditionalFormatting sqref="FN18">
    <cfRule type="expression" dxfId="1621" priority="1699">
      <formula>AND(BX18&gt;=6,FN18&lt;&gt;0, GetEquPower(BE18,BR18, DN18, FW18)=0)</formula>
    </cfRule>
    <cfRule type="expression" dxfId="1620" priority="1700">
      <formula>AND(BX18&gt;=6,FN18&lt;&gt;GetEquPower(BE18,BR18, DN18, FW18))</formula>
    </cfRule>
  </conditionalFormatting>
  <conditionalFormatting sqref="F19">
    <cfRule type="expression" dxfId="1619" priority="1547">
      <formula>F19&lt;&gt;RIGHT(SUBSTITUTE(TRIM(E19),".",""),LEN(F19))</formula>
    </cfRule>
  </conditionalFormatting>
  <conditionalFormatting sqref="BS19">
    <cfRule type="expression" dxfId="1618" priority="1546">
      <formula>AND(J19&gt;=1,BS19&lt;1)</formula>
    </cfRule>
  </conditionalFormatting>
  <conditionalFormatting sqref="BT19">
    <cfRule type="expression" dxfId="1617" priority="1545">
      <formula>AND(J19&gt;=2,BT19&lt;1)</formula>
    </cfRule>
  </conditionalFormatting>
  <conditionalFormatting sqref="BU19">
    <cfRule type="expression" dxfId="1616" priority="1543">
      <formula>AND(J19&gt;=3,BU19&lt;1)</formula>
    </cfRule>
  </conditionalFormatting>
  <conditionalFormatting sqref="BV19">
    <cfRule type="expression" dxfId="1615" priority="1542">
      <formula>AND(J19&gt;=4,BV19&lt;1)</formula>
    </cfRule>
  </conditionalFormatting>
  <conditionalFormatting sqref="BW19">
    <cfRule type="expression" dxfId="1614" priority="1544">
      <formula>AND(J19&gt;=5,BW19&lt;1)</formula>
    </cfRule>
  </conditionalFormatting>
  <conditionalFormatting sqref="BX19">
    <cfRule type="expression" dxfId="1613" priority="1541">
      <formula>AND(J19&gt;=6,BX19&lt;1)</formula>
    </cfRule>
  </conditionalFormatting>
  <conditionalFormatting sqref="IC19">
    <cfRule type="expression" dxfId="1612" priority="1620">
      <formula>AND($S19 = TRUE, $IC19&lt;&gt;OptionsUnitCode)</formula>
    </cfRule>
  </conditionalFormatting>
  <conditionalFormatting sqref="B19:II19">
    <cfRule type="containsErrors" dxfId="1611" priority="1540">
      <formula>ISERROR(B19)</formula>
    </cfRule>
  </conditionalFormatting>
  <conditionalFormatting sqref="DP19">
    <cfRule type="expression" dxfId="1610" priority="1548">
      <formula>AND(BS19&gt;=1,DP19&lt;&gt;0, GetEquPower(AZ19,BM19, BZ19, FR19)=0)</formula>
    </cfRule>
    <cfRule type="expression" dxfId="1609" priority="1549">
      <formula>AND(BS19&gt;=1,DP19&lt;&gt;GetEquPower(AZ19,BM19, BZ19, FR19))</formula>
    </cfRule>
  </conditionalFormatting>
  <conditionalFormatting sqref="DQ19">
    <cfRule type="expression" dxfId="1608" priority="1550">
      <formula>AND(BS19&gt;=2,DQ19&lt;&gt;0, GetEquPower(AZ19,BM19, CA19, FR19)=0)</formula>
    </cfRule>
    <cfRule type="expression" dxfId="1607" priority="1551">
      <formula>AND(BS19&gt;=2,DQ19&lt;&gt;GetEquPower(AZ19,BM19, CA19, FR19))</formula>
    </cfRule>
  </conditionalFormatting>
  <conditionalFormatting sqref="DR19">
    <cfRule type="expression" dxfId="1606" priority="1552">
      <formula>AND(BS19&gt;=3,DR19&lt;&gt;0, GetEquPower(AZ19,BM19, CB19, FR19)=0)</formula>
    </cfRule>
    <cfRule type="expression" dxfId="1605" priority="1553">
      <formula>AND(BS19&gt;=3,DR19&lt;&gt;GetEquPower(AZ19,BM19, CB19, FR19))</formula>
    </cfRule>
  </conditionalFormatting>
  <conditionalFormatting sqref="DS19">
    <cfRule type="expression" dxfId="1604" priority="1584">
      <formula>AND(BS19&gt;=4,DS19&lt;&gt;0, GetEquPower(AZ19,BM19, CC19, FR19)=0)</formula>
    </cfRule>
    <cfRule type="expression" dxfId="1603" priority="1585">
      <formula>AND(BS19&gt;=4, DS19&lt;&gt;GetEquPower(AZ19,BM19, CC19, FR19))</formula>
    </cfRule>
  </conditionalFormatting>
  <conditionalFormatting sqref="DT19">
    <cfRule type="expression" dxfId="1602" priority="1596">
      <formula>AND(BS19&gt;=5,DT19&lt;&gt;0, GetEquPower(AZ19,BM19, CD19, FR19)=0)</formula>
    </cfRule>
    <cfRule type="expression" dxfId="1601" priority="1597">
      <formula>AND(BS19&gt;=5, DT19&lt;&gt;GetEquPower(AZ19,BM19, CD19, FR19))</formula>
    </cfRule>
  </conditionalFormatting>
  <conditionalFormatting sqref="DU19">
    <cfRule type="expression" dxfId="1600" priority="1598">
      <formula>AND(BS19&gt;=6,DU19&lt;&gt;0, GetEquPower(AZ19,BM19, CE19, FR19)=0)</formula>
    </cfRule>
    <cfRule type="expression" dxfId="1599" priority="1599">
      <formula>AND(BS19&gt;=6, DU19&lt;&gt;GetEquPower(AZ19,BM19, CE19, FR19))</formula>
    </cfRule>
  </conditionalFormatting>
  <conditionalFormatting sqref="DY19">
    <cfRule type="expression" dxfId="1598" priority="1554">
      <formula>AND(BT19&gt;=1,DY19&lt;&gt;0, GetEquPower(BA19,BN19, CG19, FS19)=0)</formula>
    </cfRule>
    <cfRule type="expression" dxfId="1597" priority="1555">
      <formula>AND(BT19&gt;=1,DY19&lt;&gt;GetEquPower(BA19,BN19, CG19, FS19))</formula>
    </cfRule>
  </conditionalFormatting>
  <conditionalFormatting sqref="DZ19">
    <cfRule type="expression" dxfId="1596" priority="1556">
      <formula>AND(BT19&gt;=2,DZ19&lt;&gt;0, GetEquPower(BA19,BN19, CH19, FS19)=0)</formula>
    </cfRule>
    <cfRule type="expression" dxfId="1595" priority="1557">
      <formula>AND(BT19&gt;=2,DZ19&lt;&gt;GetEquPower(BA19,BN19, CH19, FS19))</formula>
    </cfRule>
  </conditionalFormatting>
  <conditionalFormatting sqref="EA19">
    <cfRule type="expression" dxfId="1594" priority="1558">
      <formula>AND(BT19&gt;=3,EA19&lt;&gt;0, GetEquPower(BA19,BN19, CI19, FS19)=0)</formula>
    </cfRule>
    <cfRule type="expression" dxfId="1593" priority="1559">
      <formula>AND(BT19&gt;=3,EA19&lt;&gt;GetEquPower(BA19,BN19, CI19, FS19))</formula>
    </cfRule>
  </conditionalFormatting>
  <conditionalFormatting sqref="EB19">
    <cfRule type="expression" dxfId="1592" priority="1586">
      <formula>AND(BT19&gt;=4,EB19&lt;&gt;0, GetEquPower(BA19,BN19, CJ19, FS19)=0)</formula>
    </cfRule>
    <cfRule type="expression" dxfId="1591" priority="1587">
      <formula>AND(BT19&gt;=4,EB19&lt;&gt;GetEquPower(BA19,BN19, CJ19, FS19))</formula>
    </cfRule>
  </conditionalFormatting>
  <conditionalFormatting sqref="EC19">
    <cfRule type="expression" dxfId="1590" priority="1600">
      <formula>AND(BT19&gt;=5,EC19&lt;&gt;0, GetEquPower(BA19,BN19, CK19, FS19)=0)</formula>
    </cfRule>
    <cfRule type="expression" dxfId="1589" priority="1601">
      <formula>AND(BT19&gt;=5,EC19&lt;&gt;GetEquPower(BA19,BN19, CK19, FS19))</formula>
    </cfRule>
  </conditionalFormatting>
  <conditionalFormatting sqref="ED19">
    <cfRule type="expression" dxfId="1588" priority="1602">
      <formula>AND(BT19&gt;=6,ED19&lt;&gt;0, GetEquPower(BA19,BN19, CL19, FS19)=0)</formula>
    </cfRule>
    <cfRule type="expression" dxfId="1587" priority="1603">
      <formula>AND(BT19&gt;=6,ED19&lt;&gt;GetEquPower(BA19,BN19, CL19, FS19))</formula>
    </cfRule>
  </conditionalFormatting>
  <conditionalFormatting sqref="EH19">
    <cfRule type="expression" dxfId="1586" priority="1560">
      <formula>AND(BU19&gt;=1,EH19&lt;&gt;0, GetEquPower(BB19,BO19, CN19, FT19)=0)</formula>
    </cfRule>
    <cfRule type="expression" dxfId="1585" priority="1561">
      <formula>AND(BU19&gt;=1,EH19&lt;&gt;GetEquPower(BB19,BO19, CN19, FT19))</formula>
    </cfRule>
  </conditionalFormatting>
  <conditionalFormatting sqref="EI19">
    <cfRule type="expression" dxfId="1584" priority="1562">
      <formula>AND(BU19&gt;=2,EI19&lt;&gt;0, GetEquPower(BB19,BO19, CO19, FT19)=0)</formula>
    </cfRule>
    <cfRule type="expression" dxfId="1583" priority="1563">
      <formula xml:space="preserve"> AND(BU19&gt;=2,EI19&lt;&gt;GetEquPower(BB19,BO19, CO19, FT19))</formula>
    </cfRule>
  </conditionalFormatting>
  <conditionalFormatting sqref="EJ19">
    <cfRule type="expression" dxfId="1582" priority="1564">
      <formula>AND(BU19&gt;=3,EJ19&lt;&gt;0, GetEquPower(BB19,BO19, CP19, FT19)=0)</formula>
    </cfRule>
    <cfRule type="expression" dxfId="1581" priority="1565">
      <formula xml:space="preserve"> AND(BU19&gt;=3,EJ19&lt;&gt;GetEquPower(BB19,BO19, CP19, FT19))</formula>
    </cfRule>
  </conditionalFormatting>
  <conditionalFormatting sqref="EK19">
    <cfRule type="expression" dxfId="1580" priority="1588">
      <formula>AND(BU19&gt;=4,EK19&lt;&gt;0, GetEquPower(BB19,BO19, CQ19, FT19)=0)</formula>
    </cfRule>
    <cfRule type="expression" dxfId="1579" priority="1589">
      <formula xml:space="preserve"> AND(BU19&gt;=4,EK19&lt;&gt;GetEquPower(BB19,BO19, CQ19, FT19))</formula>
    </cfRule>
  </conditionalFormatting>
  <conditionalFormatting sqref="EL19">
    <cfRule type="expression" dxfId="1578" priority="1604">
      <formula>AND(BU19&gt;=5,EL19&lt;&gt;0, GetEquPower(BB19,BO19, CR19, FT19)=0)</formula>
    </cfRule>
    <cfRule type="expression" dxfId="1577" priority="1605">
      <formula xml:space="preserve"> AND(BU19&gt;=5,EL19&lt;&gt;GetEquPower(BB19,BO19, CR19, FT19))</formula>
    </cfRule>
  </conditionalFormatting>
  <conditionalFormatting sqref="EM19">
    <cfRule type="expression" dxfId="1576" priority="1606">
      <formula>AND(BU19&gt;=6,EM19&lt;&gt;0, GetEquPower(BB19,BO19, CS19, FT19)=0)</formula>
    </cfRule>
    <cfRule type="expression" dxfId="1575" priority="1607">
      <formula xml:space="preserve"> AND(BU19&gt;=6,EM19&lt;&gt;GetEquPower(BB19,BO19, CS19, FT19))</formula>
    </cfRule>
  </conditionalFormatting>
  <conditionalFormatting sqref="EQ19">
    <cfRule type="expression" dxfId="1574" priority="1566">
      <formula>AND(BV19&gt;=1,EQ19&lt;&gt;0, GetEquPower(BC19,BP19, CU19, FU19)=0)</formula>
    </cfRule>
    <cfRule type="expression" dxfId="1573" priority="1567">
      <formula>AND(BV19&gt;=1,EQ19&lt;&gt;GetEquPower(BC19,BP19, CU19, FU19))</formula>
    </cfRule>
  </conditionalFormatting>
  <conditionalFormatting sqref="ER19">
    <cfRule type="expression" dxfId="1572" priority="1568">
      <formula>AND(BV19&gt;=2,ER19&lt;&gt;0, GetEquPower(BC19,BP19, CV19, FU19)=0)</formula>
    </cfRule>
    <cfRule type="expression" dxfId="1571" priority="1569">
      <formula>AND(BV19&gt;=2,ER19&lt;&gt;GetEquPower(BC19,BP19, CV19, FU19))</formula>
    </cfRule>
  </conditionalFormatting>
  <conditionalFormatting sqref="ES19">
    <cfRule type="expression" dxfId="1570" priority="1570">
      <formula>AND(BV19&gt;=3,ES19&lt;&gt;0, GetEquPower(BC19,BP19, CW19, FU19)=0)</formula>
    </cfRule>
    <cfRule type="expression" dxfId="1569" priority="1571">
      <formula>AND(BV19&gt;=3,ES19&lt;&gt;GetEquPower(BC19,BP19, CW19, FU19))</formula>
    </cfRule>
  </conditionalFormatting>
  <conditionalFormatting sqref="ET19">
    <cfRule type="expression" dxfId="1568" priority="1590">
      <formula>AND(BV19&gt;=4,ET19&lt;&gt;0, GetEquPower(BC19,BP19, CX19, FU19)=0)</formula>
    </cfRule>
    <cfRule type="expression" dxfId="1567" priority="1591">
      <formula>AND(BV19&gt;=4,ET19&lt;&gt;GetEquPower(BC19,BP19, CX19, FU19))</formula>
    </cfRule>
  </conditionalFormatting>
  <conditionalFormatting sqref="EU19">
    <cfRule type="expression" dxfId="1566" priority="1608">
      <formula>AND(BV19&gt;=5,EU19&lt;&gt;0, GetEquPower(BC19,BP19, CY19, FU19)=0)</formula>
    </cfRule>
    <cfRule type="expression" dxfId="1565" priority="1609">
      <formula>AND(BV19&gt;=5,EU19&lt;&gt;GetEquPower(BC19,BP19, CY19, FU19))</formula>
    </cfRule>
  </conditionalFormatting>
  <conditionalFormatting sqref="EV19">
    <cfRule type="expression" dxfId="1564" priority="1610">
      <formula>AND(BV19&gt;=6,EV19&lt;&gt;0, GetEquPower(BC19,BP19, CZ19, FU19)=0)</formula>
    </cfRule>
    <cfRule type="expression" dxfId="1563" priority="1611">
      <formula>AND(BV19&gt;=6,EV19&lt;&gt;GetEquPower(BC19,BP19, CZ19, FU19))</formula>
    </cfRule>
  </conditionalFormatting>
  <conditionalFormatting sqref="EZ19">
    <cfRule type="expression" dxfId="1562" priority="1572">
      <formula>AND(BW19&gt;=1,EZ19&lt;&gt;0, GetEquPower(BD19,BQ19, DB19, FV19)=0)</formula>
    </cfRule>
    <cfRule type="expression" dxfId="1561" priority="1573">
      <formula>AND(BW19&gt;=1,EZ19&lt;&gt;GetEquPower(BD19,BQ19, DB19, FV19))</formula>
    </cfRule>
  </conditionalFormatting>
  <conditionalFormatting sqref="FA19">
    <cfRule type="expression" dxfId="1560" priority="1574">
      <formula>AND(BW19&gt;=2,FA19&lt;&gt;0, GetEquPower(BD19,BQ19, DC19, FV19)=0)</formula>
    </cfRule>
    <cfRule type="expression" dxfId="1559" priority="1575">
      <formula>AND(BW19&gt;=2,FA19&lt;&gt;GetEquPower(BD19,BQ19, DC19, FV19))</formula>
    </cfRule>
  </conditionalFormatting>
  <conditionalFormatting sqref="FB19">
    <cfRule type="expression" dxfId="1558" priority="1576">
      <formula>AND(BW19&gt;=3,FB19&lt;&gt;0, GetEquPower(BD19,BQ19, DD19, FV19)=0)</formula>
    </cfRule>
    <cfRule type="expression" dxfId="1557" priority="1577">
      <formula>AND(BW19&gt;=3,FB19&lt;&gt;GetEquPower(BD19,BQ19, DD19, FV19))</formula>
    </cfRule>
  </conditionalFormatting>
  <conditionalFormatting sqref="FC19">
    <cfRule type="expression" dxfId="1556" priority="1592">
      <formula>AND(BW19&gt;=4,FC19&lt;&gt;0, GetEquPower(BD19,BQ19, DE19, FV19)=0)</formula>
    </cfRule>
    <cfRule type="expression" dxfId="1555" priority="1593">
      <formula>AND(BW19&gt;=4,FC19&lt;&gt;GetEquPower(BD19,BQ19, DE19, FV19))</formula>
    </cfRule>
  </conditionalFormatting>
  <conditionalFormatting sqref="FD19">
    <cfRule type="expression" dxfId="1554" priority="1612">
      <formula>AND(BW19&gt;=5,FD19&lt;&gt;0, GetEquPower(BD19,BQ19, DF19, FV19)=0)</formula>
    </cfRule>
    <cfRule type="expression" dxfId="1553" priority="1613">
      <formula>AND(BW19&gt;=5,FD19&lt;&gt;GetEquPower(BD19,BQ19, DF19, FV19))</formula>
    </cfRule>
  </conditionalFormatting>
  <conditionalFormatting sqref="FE19">
    <cfRule type="expression" dxfId="1552" priority="1614">
      <formula>AND(BW19&gt;=6,FE19&lt;&gt;0, GetEquPower(BD19,BQ19, DG19, FV19)=0)</formula>
    </cfRule>
    <cfRule type="expression" dxfId="1551" priority="1615">
      <formula>AND(BW19&gt;=6,FE19&lt;&gt;GetEquPower(BD19,BQ19, DG19, FV19))</formula>
    </cfRule>
  </conditionalFormatting>
  <conditionalFormatting sqref="FI19">
    <cfRule type="expression" dxfId="1550" priority="1578">
      <formula>AND(BX19&gt;=1,FI19&lt;&gt;0, GetEquPower(BE19,BR19, DI19, FW19)=0)</formula>
    </cfRule>
    <cfRule type="expression" dxfId="1549" priority="1579">
      <formula>AND(BX19&gt;=1,FI19&lt;&gt;GetEquPower(BE19,BR19, DI19, FW19))</formula>
    </cfRule>
  </conditionalFormatting>
  <conditionalFormatting sqref="FJ19">
    <cfRule type="expression" dxfId="1548" priority="1580">
      <formula>AND(BX19&gt;=2,FJ19&lt;&gt;0, GetEquPower(BE19,BR19, DJ19, FW19)=0)</formula>
    </cfRule>
    <cfRule type="expression" dxfId="1547" priority="1581">
      <formula>AND(BX19&gt;=2,FJ19&lt;&gt;GetEquPower(BE19,BR19, DJ19, FW19))</formula>
    </cfRule>
  </conditionalFormatting>
  <conditionalFormatting sqref="FK19">
    <cfRule type="expression" dxfId="1546" priority="1582">
      <formula>AND(BX19&gt;=3,FK19&lt;&gt;0, GetEquPower(BE19,BR19, DK19, FW19)=0)</formula>
    </cfRule>
    <cfRule type="expression" dxfId="1545" priority="1583">
      <formula>AND(BX19&gt;=3,FK19&lt;&gt;GetEquPower(BE19,BR19, DK19, FW19))</formula>
    </cfRule>
  </conditionalFormatting>
  <conditionalFormatting sqref="FL19">
    <cfRule type="expression" dxfId="1544" priority="1594">
      <formula>AND(BX19&gt;=4,FL19&lt;&gt;0, GetEquPower(BE19,BR19, DL19, FW19)=0)</formula>
    </cfRule>
    <cfRule type="expression" dxfId="1543" priority="1595">
      <formula>AND(BX19&gt;=4,FL19&lt;&gt;GetEquPower(BE19,BR19, DL19, FW19))</formula>
    </cfRule>
  </conditionalFormatting>
  <conditionalFormatting sqref="FM19">
    <cfRule type="expression" dxfId="1542" priority="1616">
      <formula>AND(BX19&gt;=5,FM19&lt;&gt;0, GetEquPower(BE19,BR19, DM19, FW19)=0)</formula>
    </cfRule>
    <cfRule type="expression" dxfId="1541" priority="1617">
      <formula>AND(BX19&gt;=5,FM19&lt;&gt;GetEquPower(BE19,BR19, DM19, FW19))</formula>
    </cfRule>
  </conditionalFormatting>
  <conditionalFormatting sqref="FN19">
    <cfRule type="expression" dxfId="1540" priority="1618">
      <formula>AND(BX19&gt;=6,FN19&lt;&gt;0, GetEquPower(BE19,BR19, DN19, FW19)=0)</formula>
    </cfRule>
    <cfRule type="expression" dxfId="1539" priority="1619">
      <formula>AND(BX19&gt;=6,FN19&lt;&gt;GetEquPower(BE19,BR19, DN19, FW19))</formula>
    </cfRule>
  </conditionalFormatting>
  <conditionalFormatting sqref="F20">
    <cfRule type="expression" dxfId="1538" priority="1466">
      <formula>F20&lt;&gt;RIGHT(SUBSTITUTE(TRIM(E20),".",""),LEN(F20))</formula>
    </cfRule>
  </conditionalFormatting>
  <conditionalFormatting sqref="BS20">
    <cfRule type="expression" dxfId="1537" priority="1465">
      <formula>AND(J20&gt;=1,BS20&lt;1)</formula>
    </cfRule>
  </conditionalFormatting>
  <conditionalFormatting sqref="BT20">
    <cfRule type="expression" dxfId="1536" priority="1464">
      <formula>AND(J20&gt;=2,BT20&lt;1)</formula>
    </cfRule>
  </conditionalFormatting>
  <conditionalFormatting sqref="BU20">
    <cfRule type="expression" dxfId="1535" priority="1462">
      <formula>AND(J20&gt;=3,BU20&lt;1)</formula>
    </cfRule>
  </conditionalFormatting>
  <conditionalFormatting sqref="BV20">
    <cfRule type="expression" dxfId="1534" priority="1461">
      <formula>AND(J20&gt;=4,BV20&lt;1)</formula>
    </cfRule>
  </conditionalFormatting>
  <conditionalFormatting sqref="BW20">
    <cfRule type="expression" dxfId="1533" priority="1463">
      <formula>AND(J20&gt;=5,BW20&lt;1)</formula>
    </cfRule>
  </conditionalFormatting>
  <conditionalFormatting sqref="BX20">
    <cfRule type="expression" dxfId="1532" priority="1460">
      <formula>AND(J20&gt;=6,BX20&lt;1)</formula>
    </cfRule>
  </conditionalFormatting>
  <conditionalFormatting sqref="IC20">
    <cfRule type="expression" dxfId="1531" priority="1539">
      <formula>AND($S20 = TRUE, $IC20&lt;&gt;OptionsUnitCode)</formula>
    </cfRule>
  </conditionalFormatting>
  <conditionalFormatting sqref="B20:II20">
    <cfRule type="containsErrors" dxfId="1530" priority="1459">
      <formula>ISERROR(B20)</formula>
    </cfRule>
  </conditionalFormatting>
  <conditionalFormatting sqref="DP20">
    <cfRule type="expression" dxfId="1529" priority="1467">
      <formula>AND(BS20&gt;=1,DP20&lt;&gt;0, GetEquPower(AZ20,BM20, BZ20, FR20)=0)</formula>
    </cfRule>
    <cfRule type="expression" dxfId="1528" priority="1468">
      <formula>AND(BS20&gt;=1,DP20&lt;&gt;GetEquPower(AZ20,BM20, BZ20, FR20))</formula>
    </cfRule>
  </conditionalFormatting>
  <conditionalFormatting sqref="DQ20">
    <cfRule type="expression" dxfId="1527" priority="1469">
      <formula>AND(BS20&gt;=2,DQ20&lt;&gt;0, GetEquPower(AZ20,BM20, CA20, FR20)=0)</formula>
    </cfRule>
    <cfRule type="expression" dxfId="1526" priority="1470">
      <formula>AND(BS20&gt;=2,DQ20&lt;&gt;GetEquPower(AZ20,BM20, CA20, FR20))</formula>
    </cfRule>
  </conditionalFormatting>
  <conditionalFormatting sqref="DR20">
    <cfRule type="expression" dxfId="1525" priority="1471">
      <formula>AND(BS20&gt;=3,DR20&lt;&gt;0, GetEquPower(AZ20,BM20, CB20, FR20)=0)</formula>
    </cfRule>
    <cfRule type="expression" dxfId="1524" priority="1472">
      <formula>AND(BS20&gt;=3,DR20&lt;&gt;GetEquPower(AZ20,BM20, CB20, FR20))</formula>
    </cfRule>
  </conditionalFormatting>
  <conditionalFormatting sqref="DS20">
    <cfRule type="expression" dxfId="1523" priority="1503">
      <formula>AND(BS20&gt;=4,DS20&lt;&gt;0, GetEquPower(AZ20,BM20, CC20, FR20)=0)</formula>
    </cfRule>
    <cfRule type="expression" dxfId="1522" priority="1504">
      <formula>AND(BS20&gt;=4, DS20&lt;&gt;GetEquPower(AZ20,BM20, CC20, FR20))</formula>
    </cfRule>
  </conditionalFormatting>
  <conditionalFormatting sqref="DT20">
    <cfRule type="expression" dxfId="1521" priority="1515">
      <formula>AND(BS20&gt;=5,DT20&lt;&gt;0, GetEquPower(AZ20,BM20, CD20, FR20)=0)</formula>
    </cfRule>
    <cfRule type="expression" dxfId="1520" priority="1516">
      <formula>AND(BS20&gt;=5, DT20&lt;&gt;GetEquPower(AZ20,BM20, CD20, FR20))</formula>
    </cfRule>
  </conditionalFormatting>
  <conditionalFormatting sqref="DU20">
    <cfRule type="expression" dxfId="1519" priority="1517">
      <formula>AND(BS20&gt;=6,DU20&lt;&gt;0, GetEquPower(AZ20,BM20, CE20, FR20)=0)</formula>
    </cfRule>
    <cfRule type="expression" dxfId="1518" priority="1518">
      <formula>AND(BS20&gt;=6, DU20&lt;&gt;GetEquPower(AZ20,BM20, CE20, FR20))</formula>
    </cfRule>
  </conditionalFormatting>
  <conditionalFormatting sqref="DY20">
    <cfRule type="expression" dxfId="1517" priority="1473">
      <formula>AND(BT20&gt;=1,DY20&lt;&gt;0, GetEquPower(BA20,BN20, CG20, FS20)=0)</formula>
    </cfRule>
    <cfRule type="expression" dxfId="1516" priority="1474">
      <formula>AND(BT20&gt;=1,DY20&lt;&gt;GetEquPower(BA20,BN20, CG20, FS20))</formula>
    </cfRule>
  </conditionalFormatting>
  <conditionalFormatting sqref="DZ20">
    <cfRule type="expression" dxfId="1515" priority="1475">
      <formula>AND(BT20&gt;=2,DZ20&lt;&gt;0, GetEquPower(BA20,BN20, CH20, FS20)=0)</formula>
    </cfRule>
    <cfRule type="expression" dxfId="1514" priority="1476">
      <formula>AND(BT20&gt;=2,DZ20&lt;&gt;GetEquPower(BA20,BN20, CH20, FS20))</formula>
    </cfRule>
  </conditionalFormatting>
  <conditionalFormatting sqref="EA20">
    <cfRule type="expression" dxfId="1513" priority="1477">
      <formula>AND(BT20&gt;=3,EA20&lt;&gt;0, GetEquPower(BA20,BN20, CI20, FS20)=0)</formula>
    </cfRule>
    <cfRule type="expression" dxfId="1512" priority="1478">
      <formula>AND(BT20&gt;=3,EA20&lt;&gt;GetEquPower(BA20,BN20, CI20, FS20))</formula>
    </cfRule>
  </conditionalFormatting>
  <conditionalFormatting sqref="EB20">
    <cfRule type="expression" dxfId="1511" priority="1505">
      <formula>AND(BT20&gt;=4,EB20&lt;&gt;0, GetEquPower(BA20,BN20, CJ20, FS20)=0)</formula>
    </cfRule>
    <cfRule type="expression" dxfId="1510" priority="1506">
      <formula>AND(BT20&gt;=4,EB20&lt;&gt;GetEquPower(BA20,BN20, CJ20, FS20))</formula>
    </cfRule>
  </conditionalFormatting>
  <conditionalFormatting sqref="EC20">
    <cfRule type="expression" dxfId="1509" priority="1519">
      <formula>AND(BT20&gt;=5,EC20&lt;&gt;0, GetEquPower(BA20,BN20, CK20, FS20)=0)</formula>
    </cfRule>
    <cfRule type="expression" dxfId="1508" priority="1520">
      <formula>AND(BT20&gt;=5,EC20&lt;&gt;GetEquPower(BA20,BN20, CK20, FS20))</formula>
    </cfRule>
  </conditionalFormatting>
  <conditionalFormatting sqref="ED20">
    <cfRule type="expression" dxfId="1507" priority="1521">
      <formula>AND(BT20&gt;=6,ED20&lt;&gt;0, GetEquPower(BA20,BN20, CL20, FS20)=0)</formula>
    </cfRule>
    <cfRule type="expression" dxfId="1506" priority="1522">
      <formula>AND(BT20&gt;=6,ED20&lt;&gt;GetEquPower(BA20,BN20, CL20, FS20))</formula>
    </cfRule>
  </conditionalFormatting>
  <conditionalFormatting sqref="EH20">
    <cfRule type="expression" dxfId="1505" priority="1479">
      <formula>AND(BU20&gt;=1,EH20&lt;&gt;0, GetEquPower(BB20,BO20, CN20, FT20)=0)</formula>
    </cfRule>
    <cfRule type="expression" dxfId="1504" priority="1480">
      <formula>AND(BU20&gt;=1,EH20&lt;&gt;GetEquPower(BB20,BO20, CN20, FT20))</formula>
    </cfRule>
  </conditionalFormatting>
  <conditionalFormatting sqref="EI20">
    <cfRule type="expression" dxfId="1503" priority="1481">
      <formula>AND(BU20&gt;=2,EI20&lt;&gt;0, GetEquPower(BB20,BO20, CO20, FT20)=0)</formula>
    </cfRule>
    <cfRule type="expression" dxfId="1502" priority="1482">
      <formula xml:space="preserve"> AND(BU20&gt;=2,EI20&lt;&gt;GetEquPower(BB20,BO20, CO20, FT20))</formula>
    </cfRule>
  </conditionalFormatting>
  <conditionalFormatting sqref="EJ20">
    <cfRule type="expression" dxfId="1501" priority="1483">
      <formula>AND(BU20&gt;=3,EJ20&lt;&gt;0, GetEquPower(BB20,BO20, CP20, FT20)=0)</formula>
    </cfRule>
    <cfRule type="expression" dxfId="1500" priority="1484">
      <formula xml:space="preserve"> AND(BU20&gt;=3,EJ20&lt;&gt;GetEquPower(BB20,BO20, CP20, FT20))</formula>
    </cfRule>
  </conditionalFormatting>
  <conditionalFormatting sqref="EK20">
    <cfRule type="expression" dxfId="1499" priority="1507">
      <formula>AND(BU20&gt;=4,EK20&lt;&gt;0, GetEquPower(BB20,BO20, CQ20, FT20)=0)</formula>
    </cfRule>
    <cfRule type="expression" dxfId="1498" priority="1508">
      <formula xml:space="preserve"> AND(BU20&gt;=4,EK20&lt;&gt;GetEquPower(BB20,BO20, CQ20, FT20))</formula>
    </cfRule>
  </conditionalFormatting>
  <conditionalFormatting sqref="EL20">
    <cfRule type="expression" dxfId="1497" priority="1523">
      <formula>AND(BU20&gt;=5,EL20&lt;&gt;0, GetEquPower(BB20,BO20, CR20, FT20)=0)</formula>
    </cfRule>
    <cfRule type="expression" dxfId="1496" priority="1524">
      <formula xml:space="preserve"> AND(BU20&gt;=5,EL20&lt;&gt;GetEquPower(BB20,BO20, CR20, FT20))</formula>
    </cfRule>
  </conditionalFormatting>
  <conditionalFormatting sqref="EM20">
    <cfRule type="expression" dxfId="1495" priority="1525">
      <formula>AND(BU20&gt;=6,EM20&lt;&gt;0, GetEquPower(BB20,BO20, CS20, FT20)=0)</formula>
    </cfRule>
    <cfRule type="expression" dxfId="1494" priority="1526">
      <formula xml:space="preserve"> AND(BU20&gt;=6,EM20&lt;&gt;GetEquPower(BB20,BO20, CS20, FT20))</formula>
    </cfRule>
  </conditionalFormatting>
  <conditionalFormatting sqref="EQ20">
    <cfRule type="expression" dxfId="1493" priority="1485">
      <formula>AND(BV20&gt;=1,EQ20&lt;&gt;0, GetEquPower(BC20,BP20, CU20, FU20)=0)</formula>
    </cfRule>
    <cfRule type="expression" dxfId="1492" priority="1486">
      <formula>AND(BV20&gt;=1,EQ20&lt;&gt;GetEquPower(BC20,BP20, CU20, FU20))</formula>
    </cfRule>
  </conditionalFormatting>
  <conditionalFormatting sqref="ER20">
    <cfRule type="expression" dxfId="1491" priority="1487">
      <formula>AND(BV20&gt;=2,ER20&lt;&gt;0, GetEquPower(BC20,BP20, CV20, FU20)=0)</formula>
    </cfRule>
    <cfRule type="expression" dxfId="1490" priority="1488">
      <formula>AND(BV20&gt;=2,ER20&lt;&gt;GetEquPower(BC20,BP20, CV20, FU20))</formula>
    </cfRule>
  </conditionalFormatting>
  <conditionalFormatting sqref="ES20">
    <cfRule type="expression" dxfId="1489" priority="1489">
      <formula>AND(BV20&gt;=3,ES20&lt;&gt;0, GetEquPower(BC20,BP20, CW20, FU20)=0)</formula>
    </cfRule>
    <cfRule type="expression" dxfId="1488" priority="1490">
      <formula>AND(BV20&gt;=3,ES20&lt;&gt;GetEquPower(BC20,BP20, CW20, FU20))</formula>
    </cfRule>
  </conditionalFormatting>
  <conditionalFormatting sqref="ET20">
    <cfRule type="expression" dxfId="1487" priority="1509">
      <formula>AND(BV20&gt;=4,ET20&lt;&gt;0, GetEquPower(BC20,BP20, CX20, FU20)=0)</formula>
    </cfRule>
    <cfRule type="expression" dxfId="1486" priority="1510">
      <formula>AND(BV20&gt;=4,ET20&lt;&gt;GetEquPower(BC20,BP20, CX20, FU20))</formula>
    </cfRule>
  </conditionalFormatting>
  <conditionalFormatting sqref="EU20">
    <cfRule type="expression" dxfId="1485" priority="1527">
      <formula>AND(BV20&gt;=5,EU20&lt;&gt;0, GetEquPower(BC20,BP20, CY20, FU20)=0)</formula>
    </cfRule>
    <cfRule type="expression" dxfId="1484" priority="1528">
      <formula>AND(BV20&gt;=5,EU20&lt;&gt;GetEquPower(BC20,BP20, CY20, FU20))</formula>
    </cfRule>
  </conditionalFormatting>
  <conditionalFormatting sqref="EV20">
    <cfRule type="expression" dxfId="1483" priority="1529">
      <formula>AND(BV20&gt;=6,EV20&lt;&gt;0, GetEquPower(BC20,BP20, CZ20, FU20)=0)</formula>
    </cfRule>
    <cfRule type="expression" dxfId="1482" priority="1530">
      <formula>AND(BV20&gt;=6,EV20&lt;&gt;GetEquPower(BC20,BP20, CZ20, FU20))</formula>
    </cfRule>
  </conditionalFormatting>
  <conditionalFormatting sqref="EZ20">
    <cfRule type="expression" dxfId="1481" priority="1491">
      <formula>AND(BW20&gt;=1,EZ20&lt;&gt;0, GetEquPower(BD20,BQ20, DB20, FV20)=0)</formula>
    </cfRule>
    <cfRule type="expression" dxfId="1480" priority="1492">
      <formula>AND(BW20&gt;=1,EZ20&lt;&gt;GetEquPower(BD20,BQ20, DB20, FV20))</formula>
    </cfRule>
  </conditionalFormatting>
  <conditionalFormatting sqref="FA20">
    <cfRule type="expression" dxfId="1479" priority="1493">
      <formula>AND(BW20&gt;=2,FA20&lt;&gt;0, GetEquPower(BD20,BQ20, DC20, FV20)=0)</formula>
    </cfRule>
    <cfRule type="expression" dxfId="1478" priority="1494">
      <formula>AND(BW20&gt;=2,FA20&lt;&gt;GetEquPower(BD20,BQ20, DC20, FV20))</formula>
    </cfRule>
  </conditionalFormatting>
  <conditionalFormatting sqref="FB20">
    <cfRule type="expression" dxfId="1477" priority="1495">
      <formula>AND(BW20&gt;=3,FB20&lt;&gt;0, GetEquPower(BD20,BQ20, DD20, FV20)=0)</formula>
    </cfRule>
    <cfRule type="expression" dxfId="1476" priority="1496">
      <formula>AND(BW20&gt;=3,FB20&lt;&gt;GetEquPower(BD20,BQ20, DD20, FV20))</formula>
    </cfRule>
  </conditionalFormatting>
  <conditionalFormatting sqref="FC20">
    <cfRule type="expression" dxfId="1475" priority="1511">
      <formula>AND(BW20&gt;=4,FC20&lt;&gt;0, GetEquPower(BD20,BQ20, DE20, FV20)=0)</formula>
    </cfRule>
    <cfRule type="expression" dxfId="1474" priority="1512">
      <formula>AND(BW20&gt;=4,FC20&lt;&gt;GetEquPower(BD20,BQ20, DE20, FV20))</formula>
    </cfRule>
  </conditionalFormatting>
  <conditionalFormatting sqref="FD20">
    <cfRule type="expression" dxfId="1473" priority="1531">
      <formula>AND(BW20&gt;=5,FD20&lt;&gt;0, GetEquPower(BD20,BQ20, DF20, FV20)=0)</formula>
    </cfRule>
    <cfRule type="expression" dxfId="1472" priority="1532">
      <formula>AND(BW20&gt;=5,FD20&lt;&gt;GetEquPower(BD20,BQ20, DF20, FV20))</formula>
    </cfRule>
  </conditionalFormatting>
  <conditionalFormatting sqref="FE20">
    <cfRule type="expression" dxfId="1471" priority="1533">
      <formula>AND(BW20&gt;=6,FE20&lt;&gt;0, GetEquPower(BD20,BQ20, DG20, FV20)=0)</formula>
    </cfRule>
    <cfRule type="expression" dxfId="1470" priority="1534">
      <formula>AND(BW20&gt;=6,FE20&lt;&gt;GetEquPower(BD20,BQ20, DG20, FV20))</formula>
    </cfRule>
  </conditionalFormatting>
  <conditionalFormatting sqref="FI20">
    <cfRule type="expression" dxfId="1469" priority="1497">
      <formula>AND(BX20&gt;=1,FI20&lt;&gt;0, GetEquPower(BE20,BR20, DI20, FW20)=0)</formula>
    </cfRule>
    <cfRule type="expression" dxfId="1468" priority="1498">
      <formula>AND(BX20&gt;=1,FI20&lt;&gt;GetEquPower(BE20,BR20, DI20, FW20))</formula>
    </cfRule>
  </conditionalFormatting>
  <conditionalFormatting sqref="FJ20">
    <cfRule type="expression" dxfId="1467" priority="1499">
      <formula>AND(BX20&gt;=2,FJ20&lt;&gt;0, GetEquPower(BE20,BR20, DJ20, FW20)=0)</formula>
    </cfRule>
    <cfRule type="expression" dxfId="1466" priority="1500">
      <formula>AND(BX20&gt;=2,FJ20&lt;&gt;GetEquPower(BE20,BR20, DJ20, FW20))</formula>
    </cfRule>
  </conditionalFormatting>
  <conditionalFormatting sqref="FK20">
    <cfRule type="expression" dxfId="1465" priority="1501">
      <formula>AND(BX20&gt;=3,FK20&lt;&gt;0, GetEquPower(BE20,BR20, DK20, FW20)=0)</formula>
    </cfRule>
    <cfRule type="expression" dxfId="1464" priority="1502">
      <formula>AND(BX20&gt;=3,FK20&lt;&gt;GetEquPower(BE20,BR20, DK20, FW20))</formula>
    </cfRule>
  </conditionalFormatting>
  <conditionalFormatting sqref="FL20">
    <cfRule type="expression" dxfId="1463" priority="1513">
      <formula>AND(BX20&gt;=4,FL20&lt;&gt;0, GetEquPower(BE20,BR20, DL20, FW20)=0)</formula>
    </cfRule>
    <cfRule type="expression" dxfId="1462" priority="1514">
      <formula>AND(BX20&gt;=4,FL20&lt;&gt;GetEquPower(BE20,BR20, DL20, FW20))</formula>
    </cfRule>
  </conditionalFormatting>
  <conditionalFormatting sqref="FM20">
    <cfRule type="expression" dxfId="1461" priority="1535">
      <formula>AND(BX20&gt;=5,FM20&lt;&gt;0, GetEquPower(BE20,BR20, DM20, FW20)=0)</formula>
    </cfRule>
    <cfRule type="expression" dxfId="1460" priority="1536">
      <formula>AND(BX20&gt;=5,FM20&lt;&gt;GetEquPower(BE20,BR20, DM20, FW20))</formula>
    </cfRule>
  </conditionalFormatting>
  <conditionalFormatting sqref="FN20">
    <cfRule type="expression" dxfId="1459" priority="1537">
      <formula>AND(BX20&gt;=6,FN20&lt;&gt;0, GetEquPower(BE20,BR20, DN20, FW20)=0)</formula>
    </cfRule>
    <cfRule type="expression" dxfId="1458" priority="1538">
      <formula>AND(BX20&gt;=6,FN20&lt;&gt;GetEquPower(BE20,BR20, DN20, FW20))</formula>
    </cfRule>
  </conditionalFormatting>
  <conditionalFormatting sqref="F21">
    <cfRule type="expression" dxfId="1457" priority="1385">
      <formula>F21&lt;&gt;RIGHT(SUBSTITUTE(TRIM(E21),".",""),LEN(F21))</formula>
    </cfRule>
  </conditionalFormatting>
  <conditionalFormatting sqref="BS21">
    <cfRule type="expression" dxfId="1456" priority="1384">
      <formula>AND(J21&gt;=1,BS21&lt;1)</formula>
    </cfRule>
  </conditionalFormatting>
  <conditionalFormatting sqref="BT21">
    <cfRule type="expression" dxfId="1455" priority="1383">
      <formula>AND(J21&gt;=2,BT21&lt;1)</formula>
    </cfRule>
  </conditionalFormatting>
  <conditionalFormatting sqref="BU21">
    <cfRule type="expression" dxfId="1454" priority="1381">
      <formula>AND(J21&gt;=3,BU21&lt;1)</formula>
    </cfRule>
  </conditionalFormatting>
  <conditionalFormatting sqref="BV21">
    <cfRule type="expression" dxfId="1453" priority="1380">
      <formula>AND(J21&gt;=4,BV21&lt;1)</formula>
    </cfRule>
  </conditionalFormatting>
  <conditionalFormatting sqref="BW21">
    <cfRule type="expression" dxfId="1452" priority="1382">
      <formula>AND(J21&gt;=5,BW21&lt;1)</formula>
    </cfRule>
  </conditionalFormatting>
  <conditionalFormatting sqref="BX21">
    <cfRule type="expression" dxfId="1451" priority="1379">
      <formula>AND(J21&gt;=6,BX21&lt;1)</formula>
    </cfRule>
  </conditionalFormatting>
  <conditionalFormatting sqref="IC21">
    <cfRule type="expression" dxfId="1450" priority="1458">
      <formula>AND($S21 = TRUE, $IC21&lt;&gt;OptionsUnitCode)</formula>
    </cfRule>
  </conditionalFormatting>
  <conditionalFormatting sqref="B21:II21">
    <cfRule type="containsErrors" dxfId="1449" priority="1378">
      <formula>ISERROR(B21)</formula>
    </cfRule>
  </conditionalFormatting>
  <conditionalFormatting sqref="DP21">
    <cfRule type="expression" dxfId="1448" priority="1386">
      <formula>AND(BS21&gt;=1,DP21&lt;&gt;0, GetEquPower(AZ21,BM21, BZ21, FR21)=0)</formula>
    </cfRule>
    <cfRule type="expression" dxfId="1447" priority="1387">
      <formula>AND(BS21&gt;=1,DP21&lt;&gt;GetEquPower(AZ21,BM21, BZ21, FR21))</formula>
    </cfRule>
  </conditionalFormatting>
  <conditionalFormatting sqref="DQ21">
    <cfRule type="expression" dxfId="1446" priority="1388">
      <formula>AND(BS21&gt;=2,DQ21&lt;&gt;0, GetEquPower(AZ21,BM21, CA21, FR21)=0)</formula>
    </cfRule>
    <cfRule type="expression" dxfId="1445" priority="1389">
      <formula>AND(BS21&gt;=2,DQ21&lt;&gt;GetEquPower(AZ21,BM21, CA21, FR21))</formula>
    </cfRule>
  </conditionalFormatting>
  <conditionalFormatting sqref="DR21">
    <cfRule type="expression" dxfId="1444" priority="1390">
      <formula>AND(BS21&gt;=3,DR21&lt;&gt;0, GetEquPower(AZ21,BM21, CB21, FR21)=0)</formula>
    </cfRule>
    <cfRule type="expression" dxfId="1443" priority="1391">
      <formula>AND(BS21&gt;=3,DR21&lt;&gt;GetEquPower(AZ21,BM21, CB21, FR21))</formula>
    </cfRule>
  </conditionalFormatting>
  <conditionalFormatting sqref="DS21">
    <cfRule type="expression" dxfId="1442" priority="1422">
      <formula>AND(BS21&gt;=4,DS21&lt;&gt;0, GetEquPower(AZ21,BM21, CC21, FR21)=0)</formula>
    </cfRule>
    <cfRule type="expression" dxfId="1441" priority="1423">
      <formula>AND(BS21&gt;=4, DS21&lt;&gt;GetEquPower(AZ21,BM21, CC21, FR21))</formula>
    </cfRule>
  </conditionalFormatting>
  <conditionalFormatting sqref="DT21">
    <cfRule type="expression" dxfId="1440" priority="1434">
      <formula>AND(BS21&gt;=5,DT21&lt;&gt;0, GetEquPower(AZ21,BM21, CD21, FR21)=0)</formula>
    </cfRule>
    <cfRule type="expression" dxfId="1439" priority="1435">
      <formula>AND(BS21&gt;=5, DT21&lt;&gt;GetEquPower(AZ21,BM21, CD21, FR21))</formula>
    </cfRule>
  </conditionalFormatting>
  <conditionalFormatting sqref="DU21">
    <cfRule type="expression" dxfId="1438" priority="1436">
      <formula>AND(BS21&gt;=6,DU21&lt;&gt;0, GetEquPower(AZ21,BM21, CE21, FR21)=0)</formula>
    </cfRule>
    <cfRule type="expression" dxfId="1437" priority="1437">
      <formula>AND(BS21&gt;=6, DU21&lt;&gt;GetEquPower(AZ21,BM21, CE21, FR21))</formula>
    </cfRule>
  </conditionalFormatting>
  <conditionalFormatting sqref="DY21">
    <cfRule type="expression" dxfId="1436" priority="1392">
      <formula>AND(BT21&gt;=1,DY21&lt;&gt;0, GetEquPower(BA21,BN21, CG21, FS21)=0)</formula>
    </cfRule>
    <cfRule type="expression" dxfId="1435" priority="1393">
      <formula>AND(BT21&gt;=1,DY21&lt;&gt;GetEquPower(BA21,BN21, CG21, FS21))</formula>
    </cfRule>
  </conditionalFormatting>
  <conditionalFormatting sqref="DZ21">
    <cfRule type="expression" dxfId="1434" priority="1394">
      <formula>AND(BT21&gt;=2,DZ21&lt;&gt;0, GetEquPower(BA21,BN21, CH21, FS21)=0)</formula>
    </cfRule>
    <cfRule type="expression" dxfId="1433" priority="1395">
      <formula>AND(BT21&gt;=2,DZ21&lt;&gt;GetEquPower(BA21,BN21, CH21, FS21))</formula>
    </cfRule>
  </conditionalFormatting>
  <conditionalFormatting sqref="EA21">
    <cfRule type="expression" dxfId="1432" priority="1396">
      <formula>AND(BT21&gt;=3,EA21&lt;&gt;0, GetEquPower(BA21,BN21, CI21, FS21)=0)</formula>
    </cfRule>
    <cfRule type="expression" dxfId="1431" priority="1397">
      <formula>AND(BT21&gt;=3,EA21&lt;&gt;GetEquPower(BA21,BN21, CI21, FS21))</formula>
    </cfRule>
  </conditionalFormatting>
  <conditionalFormatting sqref="EB21">
    <cfRule type="expression" dxfId="1430" priority="1424">
      <formula>AND(BT21&gt;=4,EB21&lt;&gt;0, GetEquPower(BA21,BN21, CJ21, FS21)=0)</formula>
    </cfRule>
    <cfRule type="expression" dxfId="1429" priority="1425">
      <formula>AND(BT21&gt;=4,EB21&lt;&gt;GetEquPower(BA21,BN21, CJ21, FS21))</formula>
    </cfRule>
  </conditionalFormatting>
  <conditionalFormatting sqref="EC21">
    <cfRule type="expression" dxfId="1428" priority="1438">
      <formula>AND(BT21&gt;=5,EC21&lt;&gt;0, GetEquPower(BA21,BN21, CK21, FS21)=0)</formula>
    </cfRule>
    <cfRule type="expression" dxfId="1427" priority="1439">
      <formula>AND(BT21&gt;=5,EC21&lt;&gt;GetEquPower(BA21,BN21, CK21, FS21))</formula>
    </cfRule>
  </conditionalFormatting>
  <conditionalFormatting sqref="ED21">
    <cfRule type="expression" dxfId="1426" priority="1440">
      <formula>AND(BT21&gt;=6,ED21&lt;&gt;0, GetEquPower(BA21,BN21, CL21, FS21)=0)</formula>
    </cfRule>
    <cfRule type="expression" dxfId="1425" priority="1441">
      <formula>AND(BT21&gt;=6,ED21&lt;&gt;GetEquPower(BA21,BN21, CL21, FS21))</formula>
    </cfRule>
  </conditionalFormatting>
  <conditionalFormatting sqref="EH21">
    <cfRule type="expression" dxfId="1424" priority="1398">
      <formula>AND(BU21&gt;=1,EH21&lt;&gt;0, GetEquPower(BB21,BO21, CN21, FT21)=0)</formula>
    </cfRule>
    <cfRule type="expression" dxfId="1423" priority="1399">
      <formula>AND(BU21&gt;=1,EH21&lt;&gt;GetEquPower(BB21,BO21, CN21, FT21))</formula>
    </cfRule>
  </conditionalFormatting>
  <conditionalFormatting sqref="EI21">
    <cfRule type="expression" dxfId="1422" priority="1400">
      <formula>AND(BU21&gt;=2,EI21&lt;&gt;0, GetEquPower(BB21,BO21, CO21, FT21)=0)</formula>
    </cfRule>
    <cfRule type="expression" dxfId="1421" priority="1401">
      <formula xml:space="preserve"> AND(BU21&gt;=2,EI21&lt;&gt;GetEquPower(BB21,BO21, CO21, FT21))</formula>
    </cfRule>
  </conditionalFormatting>
  <conditionalFormatting sqref="EJ21">
    <cfRule type="expression" dxfId="1420" priority="1402">
      <formula>AND(BU21&gt;=3,EJ21&lt;&gt;0, GetEquPower(BB21,BO21, CP21, FT21)=0)</formula>
    </cfRule>
    <cfRule type="expression" dxfId="1419" priority="1403">
      <formula xml:space="preserve"> AND(BU21&gt;=3,EJ21&lt;&gt;GetEquPower(BB21,BO21, CP21, FT21))</formula>
    </cfRule>
  </conditionalFormatting>
  <conditionalFormatting sqref="EK21">
    <cfRule type="expression" dxfId="1418" priority="1426">
      <formula>AND(BU21&gt;=4,EK21&lt;&gt;0, GetEquPower(BB21,BO21, CQ21, FT21)=0)</formula>
    </cfRule>
    <cfRule type="expression" dxfId="1417" priority="1427">
      <formula xml:space="preserve"> AND(BU21&gt;=4,EK21&lt;&gt;GetEquPower(BB21,BO21, CQ21, FT21))</formula>
    </cfRule>
  </conditionalFormatting>
  <conditionalFormatting sqref="EL21">
    <cfRule type="expression" dxfId="1416" priority="1442">
      <formula>AND(BU21&gt;=5,EL21&lt;&gt;0, GetEquPower(BB21,BO21, CR21, FT21)=0)</formula>
    </cfRule>
    <cfRule type="expression" dxfId="1415" priority="1443">
      <formula xml:space="preserve"> AND(BU21&gt;=5,EL21&lt;&gt;GetEquPower(BB21,BO21, CR21, FT21))</formula>
    </cfRule>
  </conditionalFormatting>
  <conditionalFormatting sqref="EM21">
    <cfRule type="expression" dxfId="1414" priority="1444">
      <formula>AND(BU21&gt;=6,EM21&lt;&gt;0, GetEquPower(BB21,BO21, CS21, FT21)=0)</formula>
    </cfRule>
    <cfRule type="expression" dxfId="1413" priority="1445">
      <formula xml:space="preserve"> AND(BU21&gt;=6,EM21&lt;&gt;GetEquPower(BB21,BO21, CS21, FT21))</formula>
    </cfRule>
  </conditionalFormatting>
  <conditionalFormatting sqref="EQ21">
    <cfRule type="expression" dxfId="1412" priority="1404">
      <formula>AND(BV21&gt;=1,EQ21&lt;&gt;0, GetEquPower(BC21,BP21, CU21, FU21)=0)</formula>
    </cfRule>
    <cfRule type="expression" dxfId="1411" priority="1405">
      <formula>AND(BV21&gt;=1,EQ21&lt;&gt;GetEquPower(BC21,BP21, CU21, FU21))</formula>
    </cfRule>
  </conditionalFormatting>
  <conditionalFormatting sqref="ER21">
    <cfRule type="expression" dxfId="1410" priority="1406">
      <formula>AND(BV21&gt;=2,ER21&lt;&gt;0, GetEquPower(BC21,BP21, CV21, FU21)=0)</formula>
    </cfRule>
    <cfRule type="expression" dxfId="1409" priority="1407">
      <formula>AND(BV21&gt;=2,ER21&lt;&gt;GetEquPower(BC21,BP21, CV21, FU21))</formula>
    </cfRule>
  </conditionalFormatting>
  <conditionalFormatting sqref="ES21">
    <cfRule type="expression" dxfId="1408" priority="1408">
      <formula>AND(BV21&gt;=3,ES21&lt;&gt;0, GetEquPower(BC21,BP21, CW21, FU21)=0)</formula>
    </cfRule>
    <cfRule type="expression" dxfId="1407" priority="1409">
      <formula>AND(BV21&gt;=3,ES21&lt;&gt;GetEquPower(BC21,BP21, CW21, FU21))</formula>
    </cfRule>
  </conditionalFormatting>
  <conditionalFormatting sqref="ET21">
    <cfRule type="expression" dxfId="1406" priority="1428">
      <formula>AND(BV21&gt;=4,ET21&lt;&gt;0, GetEquPower(BC21,BP21, CX21, FU21)=0)</formula>
    </cfRule>
    <cfRule type="expression" dxfId="1405" priority="1429">
      <formula>AND(BV21&gt;=4,ET21&lt;&gt;GetEquPower(BC21,BP21, CX21, FU21))</formula>
    </cfRule>
  </conditionalFormatting>
  <conditionalFormatting sqref="EU21">
    <cfRule type="expression" dxfId="1404" priority="1446">
      <formula>AND(BV21&gt;=5,EU21&lt;&gt;0, GetEquPower(BC21,BP21, CY21, FU21)=0)</formula>
    </cfRule>
    <cfRule type="expression" dxfId="1403" priority="1447">
      <formula>AND(BV21&gt;=5,EU21&lt;&gt;GetEquPower(BC21,BP21, CY21, FU21))</formula>
    </cfRule>
  </conditionalFormatting>
  <conditionalFormatting sqref="EV21">
    <cfRule type="expression" dxfId="1402" priority="1448">
      <formula>AND(BV21&gt;=6,EV21&lt;&gt;0, GetEquPower(BC21,BP21, CZ21, FU21)=0)</formula>
    </cfRule>
    <cfRule type="expression" dxfId="1401" priority="1449">
      <formula>AND(BV21&gt;=6,EV21&lt;&gt;GetEquPower(BC21,BP21, CZ21, FU21))</formula>
    </cfRule>
  </conditionalFormatting>
  <conditionalFormatting sqref="EZ21">
    <cfRule type="expression" dxfId="1400" priority="1410">
      <formula>AND(BW21&gt;=1,EZ21&lt;&gt;0, GetEquPower(BD21,BQ21, DB21, FV21)=0)</formula>
    </cfRule>
    <cfRule type="expression" dxfId="1399" priority="1411">
      <formula>AND(BW21&gt;=1,EZ21&lt;&gt;GetEquPower(BD21,BQ21, DB21, FV21))</formula>
    </cfRule>
  </conditionalFormatting>
  <conditionalFormatting sqref="FA21">
    <cfRule type="expression" dxfId="1398" priority="1412">
      <formula>AND(BW21&gt;=2,FA21&lt;&gt;0, GetEquPower(BD21,BQ21, DC21, FV21)=0)</formula>
    </cfRule>
    <cfRule type="expression" dxfId="1397" priority="1413">
      <formula>AND(BW21&gt;=2,FA21&lt;&gt;GetEquPower(BD21,BQ21, DC21, FV21))</formula>
    </cfRule>
  </conditionalFormatting>
  <conditionalFormatting sqref="FB21">
    <cfRule type="expression" dxfId="1396" priority="1414">
      <formula>AND(BW21&gt;=3,FB21&lt;&gt;0, GetEquPower(BD21,BQ21, DD21, FV21)=0)</formula>
    </cfRule>
    <cfRule type="expression" dxfId="1395" priority="1415">
      <formula>AND(BW21&gt;=3,FB21&lt;&gt;GetEquPower(BD21,BQ21, DD21, FV21))</formula>
    </cfRule>
  </conditionalFormatting>
  <conditionalFormatting sqref="FC21">
    <cfRule type="expression" dxfId="1394" priority="1430">
      <formula>AND(BW21&gt;=4,FC21&lt;&gt;0, GetEquPower(BD21,BQ21, DE21, FV21)=0)</formula>
    </cfRule>
    <cfRule type="expression" dxfId="1393" priority="1431">
      <formula>AND(BW21&gt;=4,FC21&lt;&gt;GetEquPower(BD21,BQ21, DE21, FV21))</formula>
    </cfRule>
  </conditionalFormatting>
  <conditionalFormatting sqref="FD21">
    <cfRule type="expression" dxfId="1392" priority="1450">
      <formula>AND(BW21&gt;=5,FD21&lt;&gt;0, GetEquPower(BD21,BQ21, DF21, FV21)=0)</formula>
    </cfRule>
    <cfRule type="expression" dxfId="1391" priority="1451">
      <formula>AND(BW21&gt;=5,FD21&lt;&gt;GetEquPower(BD21,BQ21, DF21, FV21))</formula>
    </cfRule>
  </conditionalFormatting>
  <conditionalFormatting sqref="FE21">
    <cfRule type="expression" dxfId="1390" priority="1452">
      <formula>AND(BW21&gt;=6,FE21&lt;&gt;0, GetEquPower(BD21,BQ21, DG21, FV21)=0)</formula>
    </cfRule>
    <cfRule type="expression" dxfId="1389" priority="1453">
      <formula>AND(BW21&gt;=6,FE21&lt;&gt;GetEquPower(BD21,BQ21, DG21, FV21))</formula>
    </cfRule>
  </conditionalFormatting>
  <conditionalFormatting sqref="FI21">
    <cfRule type="expression" dxfId="1388" priority="1416">
      <formula>AND(BX21&gt;=1,FI21&lt;&gt;0, GetEquPower(BE21,BR21, DI21, FW21)=0)</formula>
    </cfRule>
    <cfRule type="expression" dxfId="1387" priority="1417">
      <formula>AND(BX21&gt;=1,FI21&lt;&gt;GetEquPower(BE21,BR21, DI21, FW21))</formula>
    </cfRule>
  </conditionalFormatting>
  <conditionalFormatting sqref="FJ21">
    <cfRule type="expression" dxfId="1386" priority="1418">
      <formula>AND(BX21&gt;=2,FJ21&lt;&gt;0, GetEquPower(BE21,BR21, DJ21, FW21)=0)</formula>
    </cfRule>
    <cfRule type="expression" dxfId="1385" priority="1419">
      <formula>AND(BX21&gt;=2,FJ21&lt;&gt;GetEquPower(BE21,BR21, DJ21, FW21))</formula>
    </cfRule>
  </conditionalFormatting>
  <conditionalFormatting sqref="FK21">
    <cfRule type="expression" dxfId="1384" priority="1420">
      <formula>AND(BX21&gt;=3,FK21&lt;&gt;0, GetEquPower(BE21,BR21, DK21, FW21)=0)</formula>
    </cfRule>
    <cfRule type="expression" dxfId="1383" priority="1421">
      <formula>AND(BX21&gt;=3,FK21&lt;&gt;GetEquPower(BE21,BR21, DK21, FW21))</formula>
    </cfRule>
  </conditionalFormatting>
  <conditionalFormatting sqref="FL21">
    <cfRule type="expression" dxfId="1382" priority="1432">
      <formula>AND(BX21&gt;=4,FL21&lt;&gt;0, GetEquPower(BE21,BR21, DL21, FW21)=0)</formula>
    </cfRule>
    <cfRule type="expression" dxfId="1381" priority="1433">
      <formula>AND(BX21&gt;=4,FL21&lt;&gt;GetEquPower(BE21,BR21, DL21, FW21))</formula>
    </cfRule>
  </conditionalFormatting>
  <conditionalFormatting sqref="FM21">
    <cfRule type="expression" dxfId="1380" priority="1454">
      <formula>AND(BX21&gt;=5,FM21&lt;&gt;0, GetEquPower(BE21,BR21, DM21, FW21)=0)</formula>
    </cfRule>
    <cfRule type="expression" dxfId="1379" priority="1455">
      <formula>AND(BX21&gt;=5,FM21&lt;&gt;GetEquPower(BE21,BR21, DM21, FW21))</formula>
    </cfRule>
  </conditionalFormatting>
  <conditionalFormatting sqref="FN21">
    <cfRule type="expression" dxfId="1378" priority="1456">
      <formula>AND(BX21&gt;=6,FN21&lt;&gt;0, GetEquPower(BE21,BR21, DN21, FW21)=0)</formula>
    </cfRule>
    <cfRule type="expression" dxfId="1377" priority="1457">
      <formula>AND(BX21&gt;=6,FN21&lt;&gt;GetEquPower(BE21,BR21, DN21, FW21))</formula>
    </cfRule>
  </conditionalFormatting>
  <conditionalFormatting sqref="F22">
    <cfRule type="expression" dxfId="1376" priority="1304">
      <formula>F22&lt;&gt;RIGHT(SUBSTITUTE(TRIM(E22),".",""),LEN(F22))</formula>
    </cfRule>
  </conditionalFormatting>
  <conditionalFormatting sqref="BS22">
    <cfRule type="expression" dxfId="1375" priority="1303">
      <formula>AND(J22&gt;=1,BS22&lt;1)</formula>
    </cfRule>
  </conditionalFormatting>
  <conditionalFormatting sqref="BT22">
    <cfRule type="expression" dxfId="1374" priority="1302">
      <formula>AND(J22&gt;=2,BT22&lt;1)</formula>
    </cfRule>
  </conditionalFormatting>
  <conditionalFormatting sqref="BU22">
    <cfRule type="expression" dxfId="1373" priority="1300">
      <formula>AND(J22&gt;=3,BU22&lt;1)</formula>
    </cfRule>
  </conditionalFormatting>
  <conditionalFormatting sqref="BV22">
    <cfRule type="expression" dxfId="1372" priority="1299">
      <formula>AND(J22&gt;=4,BV22&lt;1)</formula>
    </cfRule>
  </conditionalFormatting>
  <conditionalFormatting sqref="BW22">
    <cfRule type="expression" dxfId="1371" priority="1301">
      <formula>AND(J22&gt;=5,BW22&lt;1)</formula>
    </cfRule>
  </conditionalFormatting>
  <conditionalFormatting sqref="BX22">
    <cfRule type="expression" dxfId="1370" priority="1298">
      <formula>AND(J22&gt;=6,BX22&lt;1)</formula>
    </cfRule>
  </conditionalFormatting>
  <conditionalFormatting sqref="IC22">
    <cfRule type="expression" dxfId="1369" priority="1377">
      <formula>AND($S22 = TRUE, $IC22&lt;&gt;OptionsUnitCode)</formula>
    </cfRule>
  </conditionalFormatting>
  <conditionalFormatting sqref="B22:II22">
    <cfRule type="containsErrors" dxfId="1368" priority="1297">
      <formula>ISERROR(B22)</formula>
    </cfRule>
  </conditionalFormatting>
  <conditionalFormatting sqref="DP22">
    <cfRule type="expression" dxfId="1367" priority="1305">
      <formula>AND(BS22&gt;=1,DP22&lt;&gt;0, GetEquPower(AZ22,BM22, BZ22, FR22)=0)</formula>
    </cfRule>
    <cfRule type="expression" dxfId="1366" priority="1306">
      <formula>AND(BS22&gt;=1,DP22&lt;&gt;GetEquPower(AZ22,BM22, BZ22, FR22))</formula>
    </cfRule>
  </conditionalFormatting>
  <conditionalFormatting sqref="DQ22">
    <cfRule type="expression" dxfId="1365" priority="1307">
      <formula>AND(BS22&gt;=2,DQ22&lt;&gt;0, GetEquPower(AZ22,BM22, CA22, FR22)=0)</formula>
    </cfRule>
    <cfRule type="expression" dxfId="1364" priority="1308">
      <formula>AND(BS22&gt;=2,DQ22&lt;&gt;GetEquPower(AZ22,BM22, CA22, FR22))</formula>
    </cfRule>
  </conditionalFormatting>
  <conditionalFormatting sqref="DR22">
    <cfRule type="expression" dxfId="1363" priority="1309">
      <formula>AND(BS22&gt;=3,DR22&lt;&gt;0, GetEquPower(AZ22,BM22, CB22, FR22)=0)</formula>
    </cfRule>
    <cfRule type="expression" dxfId="1362" priority="1310">
      <formula>AND(BS22&gt;=3,DR22&lt;&gt;GetEquPower(AZ22,BM22, CB22, FR22))</formula>
    </cfRule>
  </conditionalFormatting>
  <conditionalFormatting sqref="DS22">
    <cfRule type="expression" dxfId="1361" priority="1341">
      <formula>AND(BS22&gt;=4,DS22&lt;&gt;0, GetEquPower(AZ22,BM22, CC22, FR22)=0)</formula>
    </cfRule>
    <cfRule type="expression" dxfId="1360" priority="1342">
      <formula>AND(BS22&gt;=4, DS22&lt;&gt;GetEquPower(AZ22,BM22, CC22, FR22))</formula>
    </cfRule>
  </conditionalFormatting>
  <conditionalFormatting sqref="DT22">
    <cfRule type="expression" dxfId="1359" priority="1353">
      <formula>AND(BS22&gt;=5,DT22&lt;&gt;0, GetEquPower(AZ22,BM22, CD22, FR22)=0)</formula>
    </cfRule>
    <cfRule type="expression" dxfId="1358" priority="1354">
      <formula>AND(BS22&gt;=5, DT22&lt;&gt;GetEquPower(AZ22,BM22, CD22, FR22))</formula>
    </cfRule>
  </conditionalFormatting>
  <conditionalFormatting sqref="DU22">
    <cfRule type="expression" dxfId="1357" priority="1355">
      <formula>AND(BS22&gt;=6,DU22&lt;&gt;0, GetEquPower(AZ22,BM22, CE22, FR22)=0)</formula>
    </cfRule>
    <cfRule type="expression" dxfId="1356" priority="1356">
      <formula>AND(BS22&gt;=6, DU22&lt;&gt;GetEquPower(AZ22,BM22, CE22, FR22))</formula>
    </cfRule>
  </conditionalFormatting>
  <conditionalFormatting sqref="DY22">
    <cfRule type="expression" dxfId="1355" priority="1311">
      <formula>AND(BT22&gt;=1,DY22&lt;&gt;0, GetEquPower(BA22,BN22, CG22, FS22)=0)</formula>
    </cfRule>
    <cfRule type="expression" dxfId="1354" priority="1312">
      <formula>AND(BT22&gt;=1,DY22&lt;&gt;GetEquPower(BA22,BN22, CG22, FS22))</formula>
    </cfRule>
  </conditionalFormatting>
  <conditionalFormatting sqref="DZ22">
    <cfRule type="expression" dxfId="1353" priority="1313">
      <formula>AND(BT22&gt;=2,DZ22&lt;&gt;0, GetEquPower(BA22,BN22, CH22, FS22)=0)</formula>
    </cfRule>
    <cfRule type="expression" dxfId="1352" priority="1314">
      <formula>AND(BT22&gt;=2,DZ22&lt;&gt;GetEquPower(BA22,BN22, CH22, FS22))</formula>
    </cfRule>
  </conditionalFormatting>
  <conditionalFormatting sqref="EA22">
    <cfRule type="expression" dxfId="1351" priority="1315">
      <formula>AND(BT22&gt;=3,EA22&lt;&gt;0, GetEquPower(BA22,BN22, CI22, FS22)=0)</formula>
    </cfRule>
    <cfRule type="expression" dxfId="1350" priority="1316">
      <formula>AND(BT22&gt;=3,EA22&lt;&gt;GetEquPower(BA22,BN22, CI22, FS22))</formula>
    </cfRule>
  </conditionalFormatting>
  <conditionalFormatting sqref="EB22">
    <cfRule type="expression" dxfId="1349" priority="1343">
      <formula>AND(BT22&gt;=4,EB22&lt;&gt;0, GetEquPower(BA22,BN22, CJ22, FS22)=0)</formula>
    </cfRule>
    <cfRule type="expression" dxfId="1348" priority="1344">
      <formula>AND(BT22&gt;=4,EB22&lt;&gt;GetEquPower(BA22,BN22, CJ22, FS22))</formula>
    </cfRule>
  </conditionalFormatting>
  <conditionalFormatting sqref="EC22">
    <cfRule type="expression" dxfId="1347" priority="1357">
      <formula>AND(BT22&gt;=5,EC22&lt;&gt;0, GetEquPower(BA22,BN22, CK22, FS22)=0)</formula>
    </cfRule>
    <cfRule type="expression" dxfId="1346" priority="1358">
      <formula>AND(BT22&gt;=5,EC22&lt;&gt;GetEquPower(BA22,BN22, CK22, FS22))</formula>
    </cfRule>
  </conditionalFormatting>
  <conditionalFormatting sqref="ED22">
    <cfRule type="expression" dxfId="1345" priority="1359">
      <formula>AND(BT22&gt;=6,ED22&lt;&gt;0, GetEquPower(BA22,BN22, CL22, FS22)=0)</formula>
    </cfRule>
    <cfRule type="expression" dxfId="1344" priority="1360">
      <formula>AND(BT22&gt;=6,ED22&lt;&gt;GetEquPower(BA22,BN22, CL22, FS22))</formula>
    </cfRule>
  </conditionalFormatting>
  <conditionalFormatting sqref="EH22">
    <cfRule type="expression" dxfId="1343" priority="1317">
      <formula>AND(BU22&gt;=1,EH22&lt;&gt;0, GetEquPower(BB22,BO22, CN22, FT22)=0)</formula>
    </cfRule>
    <cfRule type="expression" dxfId="1342" priority="1318">
      <formula>AND(BU22&gt;=1,EH22&lt;&gt;GetEquPower(BB22,BO22, CN22, FT22))</formula>
    </cfRule>
  </conditionalFormatting>
  <conditionalFormatting sqref="EI22">
    <cfRule type="expression" dxfId="1341" priority="1319">
      <formula>AND(BU22&gt;=2,EI22&lt;&gt;0, GetEquPower(BB22,BO22, CO22, FT22)=0)</formula>
    </cfRule>
    <cfRule type="expression" dxfId="1340" priority="1320">
      <formula xml:space="preserve"> AND(BU22&gt;=2,EI22&lt;&gt;GetEquPower(BB22,BO22, CO22, FT22))</formula>
    </cfRule>
  </conditionalFormatting>
  <conditionalFormatting sqref="EJ22">
    <cfRule type="expression" dxfId="1339" priority="1321">
      <formula>AND(BU22&gt;=3,EJ22&lt;&gt;0, GetEquPower(BB22,BO22, CP22, FT22)=0)</formula>
    </cfRule>
    <cfRule type="expression" dxfId="1338" priority="1322">
      <formula xml:space="preserve"> AND(BU22&gt;=3,EJ22&lt;&gt;GetEquPower(BB22,BO22, CP22, FT22))</formula>
    </cfRule>
  </conditionalFormatting>
  <conditionalFormatting sqref="EK22">
    <cfRule type="expression" dxfId="1337" priority="1345">
      <formula>AND(BU22&gt;=4,EK22&lt;&gt;0, GetEquPower(BB22,BO22, CQ22, FT22)=0)</formula>
    </cfRule>
    <cfRule type="expression" dxfId="1336" priority="1346">
      <formula xml:space="preserve"> AND(BU22&gt;=4,EK22&lt;&gt;GetEquPower(BB22,BO22, CQ22, FT22))</formula>
    </cfRule>
  </conditionalFormatting>
  <conditionalFormatting sqref="EL22">
    <cfRule type="expression" dxfId="1335" priority="1361">
      <formula>AND(BU22&gt;=5,EL22&lt;&gt;0, GetEquPower(BB22,BO22, CR22, FT22)=0)</formula>
    </cfRule>
    <cfRule type="expression" dxfId="1334" priority="1362">
      <formula xml:space="preserve"> AND(BU22&gt;=5,EL22&lt;&gt;GetEquPower(BB22,BO22, CR22, FT22))</formula>
    </cfRule>
  </conditionalFormatting>
  <conditionalFormatting sqref="EM22">
    <cfRule type="expression" dxfId="1333" priority="1363">
      <formula>AND(BU22&gt;=6,EM22&lt;&gt;0, GetEquPower(BB22,BO22, CS22, FT22)=0)</formula>
    </cfRule>
    <cfRule type="expression" dxfId="1332" priority="1364">
      <formula xml:space="preserve"> AND(BU22&gt;=6,EM22&lt;&gt;GetEquPower(BB22,BO22, CS22, FT22))</formula>
    </cfRule>
  </conditionalFormatting>
  <conditionalFormatting sqref="EQ22">
    <cfRule type="expression" dxfId="1331" priority="1323">
      <formula>AND(BV22&gt;=1,EQ22&lt;&gt;0, GetEquPower(BC22,BP22, CU22, FU22)=0)</formula>
    </cfRule>
    <cfRule type="expression" dxfId="1330" priority="1324">
      <formula>AND(BV22&gt;=1,EQ22&lt;&gt;GetEquPower(BC22,BP22, CU22, FU22))</formula>
    </cfRule>
  </conditionalFormatting>
  <conditionalFormatting sqref="ER22">
    <cfRule type="expression" dxfId="1329" priority="1325">
      <formula>AND(BV22&gt;=2,ER22&lt;&gt;0, GetEquPower(BC22,BP22, CV22, FU22)=0)</formula>
    </cfRule>
    <cfRule type="expression" dxfId="1328" priority="1326">
      <formula>AND(BV22&gt;=2,ER22&lt;&gt;GetEquPower(BC22,BP22, CV22, FU22))</formula>
    </cfRule>
  </conditionalFormatting>
  <conditionalFormatting sqref="ES22">
    <cfRule type="expression" dxfId="1327" priority="1327">
      <formula>AND(BV22&gt;=3,ES22&lt;&gt;0, GetEquPower(BC22,BP22, CW22, FU22)=0)</formula>
    </cfRule>
    <cfRule type="expression" dxfId="1326" priority="1328">
      <formula>AND(BV22&gt;=3,ES22&lt;&gt;GetEquPower(BC22,BP22, CW22, FU22))</formula>
    </cfRule>
  </conditionalFormatting>
  <conditionalFormatting sqref="ET22">
    <cfRule type="expression" dxfId="1325" priority="1347">
      <formula>AND(BV22&gt;=4,ET22&lt;&gt;0, GetEquPower(BC22,BP22, CX22, FU22)=0)</formula>
    </cfRule>
    <cfRule type="expression" dxfId="1324" priority="1348">
      <formula>AND(BV22&gt;=4,ET22&lt;&gt;GetEquPower(BC22,BP22, CX22, FU22))</formula>
    </cfRule>
  </conditionalFormatting>
  <conditionalFormatting sqref="EU22">
    <cfRule type="expression" dxfId="1323" priority="1365">
      <formula>AND(BV22&gt;=5,EU22&lt;&gt;0, GetEquPower(BC22,BP22, CY22, FU22)=0)</formula>
    </cfRule>
    <cfRule type="expression" dxfId="1322" priority="1366">
      <formula>AND(BV22&gt;=5,EU22&lt;&gt;GetEquPower(BC22,BP22, CY22, FU22))</formula>
    </cfRule>
  </conditionalFormatting>
  <conditionalFormatting sqref="EV22">
    <cfRule type="expression" dxfId="1321" priority="1367">
      <formula>AND(BV22&gt;=6,EV22&lt;&gt;0, GetEquPower(BC22,BP22, CZ22, FU22)=0)</formula>
    </cfRule>
    <cfRule type="expression" dxfId="1320" priority="1368">
      <formula>AND(BV22&gt;=6,EV22&lt;&gt;GetEquPower(BC22,BP22, CZ22, FU22))</formula>
    </cfRule>
  </conditionalFormatting>
  <conditionalFormatting sqref="EZ22">
    <cfRule type="expression" dxfId="1319" priority="1329">
      <formula>AND(BW22&gt;=1,EZ22&lt;&gt;0, GetEquPower(BD22,BQ22, DB22, FV22)=0)</formula>
    </cfRule>
    <cfRule type="expression" dxfId="1318" priority="1330">
      <formula>AND(BW22&gt;=1,EZ22&lt;&gt;GetEquPower(BD22,BQ22, DB22, FV22))</formula>
    </cfRule>
  </conditionalFormatting>
  <conditionalFormatting sqref="FA22">
    <cfRule type="expression" dxfId="1317" priority="1331">
      <formula>AND(BW22&gt;=2,FA22&lt;&gt;0, GetEquPower(BD22,BQ22, DC22, FV22)=0)</formula>
    </cfRule>
    <cfRule type="expression" dxfId="1316" priority="1332">
      <formula>AND(BW22&gt;=2,FA22&lt;&gt;GetEquPower(BD22,BQ22, DC22, FV22))</formula>
    </cfRule>
  </conditionalFormatting>
  <conditionalFormatting sqref="FB22">
    <cfRule type="expression" dxfId="1315" priority="1333">
      <formula>AND(BW22&gt;=3,FB22&lt;&gt;0, GetEquPower(BD22,BQ22, DD22, FV22)=0)</formula>
    </cfRule>
    <cfRule type="expression" dxfId="1314" priority="1334">
      <formula>AND(BW22&gt;=3,FB22&lt;&gt;GetEquPower(BD22,BQ22, DD22, FV22))</formula>
    </cfRule>
  </conditionalFormatting>
  <conditionalFormatting sqref="FC22">
    <cfRule type="expression" dxfId="1313" priority="1349">
      <formula>AND(BW22&gt;=4,FC22&lt;&gt;0, GetEquPower(BD22,BQ22, DE22, FV22)=0)</formula>
    </cfRule>
    <cfRule type="expression" dxfId="1312" priority="1350">
      <formula>AND(BW22&gt;=4,FC22&lt;&gt;GetEquPower(BD22,BQ22, DE22, FV22))</formula>
    </cfRule>
  </conditionalFormatting>
  <conditionalFormatting sqref="FD22">
    <cfRule type="expression" dxfId="1311" priority="1369">
      <formula>AND(BW22&gt;=5,FD22&lt;&gt;0, GetEquPower(BD22,BQ22, DF22, FV22)=0)</formula>
    </cfRule>
    <cfRule type="expression" dxfId="1310" priority="1370">
      <formula>AND(BW22&gt;=5,FD22&lt;&gt;GetEquPower(BD22,BQ22, DF22, FV22))</formula>
    </cfRule>
  </conditionalFormatting>
  <conditionalFormatting sqref="FE22">
    <cfRule type="expression" dxfId="1309" priority="1371">
      <formula>AND(BW22&gt;=6,FE22&lt;&gt;0, GetEquPower(BD22,BQ22, DG22, FV22)=0)</formula>
    </cfRule>
    <cfRule type="expression" dxfId="1308" priority="1372">
      <formula>AND(BW22&gt;=6,FE22&lt;&gt;GetEquPower(BD22,BQ22, DG22, FV22))</formula>
    </cfRule>
  </conditionalFormatting>
  <conditionalFormatting sqref="FI22">
    <cfRule type="expression" dxfId="1307" priority="1335">
      <formula>AND(BX22&gt;=1,FI22&lt;&gt;0, GetEquPower(BE22,BR22, DI22, FW22)=0)</formula>
    </cfRule>
    <cfRule type="expression" dxfId="1306" priority="1336">
      <formula>AND(BX22&gt;=1,FI22&lt;&gt;GetEquPower(BE22,BR22, DI22, FW22))</formula>
    </cfRule>
  </conditionalFormatting>
  <conditionalFormatting sqref="FJ22">
    <cfRule type="expression" dxfId="1305" priority="1337">
      <formula>AND(BX22&gt;=2,FJ22&lt;&gt;0, GetEquPower(BE22,BR22, DJ22, FW22)=0)</formula>
    </cfRule>
    <cfRule type="expression" dxfId="1304" priority="1338">
      <formula>AND(BX22&gt;=2,FJ22&lt;&gt;GetEquPower(BE22,BR22, DJ22, FW22))</formula>
    </cfRule>
  </conditionalFormatting>
  <conditionalFormatting sqref="FK22">
    <cfRule type="expression" dxfId="1303" priority="1339">
      <formula>AND(BX22&gt;=3,FK22&lt;&gt;0, GetEquPower(BE22,BR22, DK22, FW22)=0)</formula>
    </cfRule>
    <cfRule type="expression" dxfId="1302" priority="1340">
      <formula>AND(BX22&gt;=3,FK22&lt;&gt;GetEquPower(BE22,BR22, DK22, FW22))</formula>
    </cfRule>
  </conditionalFormatting>
  <conditionalFormatting sqref="FL22">
    <cfRule type="expression" dxfId="1301" priority="1351">
      <formula>AND(BX22&gt;=4,FL22&lt;&gt;0, GetEquPower(BE22,BR22, DL22, FW22)=0)</formula>
    </cfRule>
    <cfRule type="expression" dxfId="1300" priority="1352">
      <formula>AND(BX22&gt;=4,FL22&lt;&gt;GetEquPower(BE22,BR22, DL22, FW22))</formula>
    </cfRule>
  </conditionalFormatting>
  <conditionalFormatting sqref="FM22">
    <cfRule type="expression" dxfId="1299" priority="1373">
      <formula>AND(BX22&gt;=5,FM22&lt;&gt;0, GetEquPower(BE22,BR22, DM22, FW22)=0)</formula>
    </cfRule>
    <cfRule type="expression" dxfId="1298" priority="1374">
      <formula>AND(BX22&gt;=5,FM22&lt;&gt;GetEquPower(BE22,BR22, DM22, FW22))</formula>
    </cfRule>
  </conditionalFormatting>
  <conditionalFormatting sqref="FN22">
    <cfRule type="expression" dxfId="1297" priority="1375">
      <formula>AND(BX22&gt;=6,FN22&lt;&gt;0, GetEquPower(BE22,BR22, DN22, FW22)=0)</formula>
    </cfRule>
    <cfRule type="expression" dxfId="1296" priority="1376">
      <formula>AND(BX22&gt;=6,FN22&lt;&gt;GetEquPower(BE22,BR22, DN22, FW22))</formula>
    </cfRule>
  </conditionalFormatting>
  <conditionalFormatting sqref="F23">
    <cfRule type="expression" dxfId="1295" priority="1223">
      <formula>F23&lt;&gt;RIGHT(SUBSTITUTE(TRIM(E23),".",""),LEN(F23))</formula>
    </cfRule>
  </conditionalFormatting>
  <conditionalFormatting sqref="BS23">
    <cfRule type="expression" dxfId="1294" priority="1222">
      <formula>AND(J23&gt;=1,BS23&lt;1)</formula>
    </cfRule>
  </conditionalFormatting>
  <conditionalFormatting sqref="BT23">
    <cfRule type="expression" dxfId="1293" priority="1221">
      <formula>AND(J23&gt;=2,BT23&lt;1)</formula>
    </cfRule>
  </conditionalFormatting>
  <conditionalFormatting sqref="BU23">
    <cfRule type="expression" dxfId="1292" priority="1219">
      <formula>AND(J23&gt;=3,BU23&lt;1)</formula>
    </cfRule>
  </conditionalFormatting>
  <conditionalFormatting sqref="BV23">
    <cfRule type="expression" dxfId="1291" priority="1218">
      <formula>AND(J23&gt;=4,BV23&lt;1)</formula>
    </cfRule>
  </conditionalFormatting>
  <conditionalFormatting sqref="BW23">
    <cfRule type="expression" dxfId="1290" priority="1220">
      <formula>AND(J23&gt;=5,BW23&lt;1)</formula>
    </cfRule>
  </conditionalFormatting>
  <conditionalFormatting sqref="BX23">
    <cfRule type="expression" dxfId="1289" priority="1217">
      <formula>AND(J23&gt;=6,BX23&lt;1)</formula>
    </cfRule>
  </conditionalFormatting>
  <conditionalFormatting sqref="IC23">
    <cfRule type="expression" dxfId="1288" priority="1296">
      <formula>AND($S23 = TRUE, $IC23&lt;&gt;OptionsUnitCode)</formula>
    </cfRule>
  </conditionalFormatting>
  <conditionalFormatting sqref="B23:II23">
    <cfRule type="containsErrors" dxfId="1287" priority="1216">
      <formula>ISERROR(B23)</formula>
    </cfRule>
  </conditionalFormatting>
  <conditionalFormatting sqref="DP23">
    <cfRule type="expression" dxfId="1286" priority="1224">
      <formula>AND(BS23&gt;=1,DP23&lt;&gt;0, GetEquPower(AZ23,BM23, BZ23, FR23)=0)</formula>
    </cfRule>
    <cfRule type="expression" dxfId="1285" priority="1225">
      <formula>AND(BS23&gt;=1,DP23&lt;&gt;GetEquPower(AZ23,BM23, BZ23, FR23))</formula>
    </cfRule>
  </conditionalFormatting>
  <conditionalFormatting sqref="DQ23">
    <cfRule type="expression" dxfId="1284" priority="1226">
      <formula>AND(BS23&gt;=2,DQ23&lt;&gt;0, GetEquPower(AZ23,BM23, CA23, FR23)=0)</formula>
    </cfRule>
    <cfRule type="expression" dxfId="1283" priority="1227">
      <formula>AND(BS23&gt;=2,DQ23&lt;&gt;GetEquPower(AZ23,BM23, CA23, FR23))</formula>
    </cfRule>
  </conditionalFormatting>
  <conditionalFormatting sqref="DR23">
    <cfRule type="expression" dxfId="1282" priority="1228">
      <formula>AND(BS23&gt;=3,DR23&lt;&gt;0, GetEquPower(AZ23,BM23, CB23, FR23)=0)</formula>
    </cfRule>
    <cfRule type="expression" dxfId="1281" priority="1229">
      <formula>AND(BS23&gt;=3,DR23&lt;&gt;GetEquPower(AZ23,BM23, CB23, FR23))</formula>
    </cfRule>
  </conditionalFormatting>
  <conditionalFormatting sqref="DS23">
    <cfRule type="expression" dxfId="1280" priority="1260">
      <formula>AND(BS23&gt;=4,DS23&lt;&gt;0, GetEquPower(AZ23,BM23, CC23, FR23)=0)</formula>
    </cfRule>
    <cfRule type="expression" dxfId="1279" priority="1261">
      <formula>AND(BS23&gt;=4, DS23&lt;&gt;GetEquPower(AZ23,BM23, CC23, FR23))</formula>
    </cfRule>
  </conditionalFormatting>
  <conditionalFormatting sqref="DT23">
    <cfRule type="expression" dxfId="1278" priority="1272">
      <formula>AND(BS23&gt;=5,DT23&lt;&gt;0, GetEquPower(AZ23,BM23, CD23, FR23)=0)</formula>
    </cfRule>
    <cfRule type="expression" dxfId="1277" priority="1273">
      <formula>AND(BS23&gt;=5, DT23&lt;&gt;GetEquPower(AZ23,BM23, CD23, FR23))</formula>
    </cfRule>
  </conditionalFormatting>
  <conditionalFormatting sqref="DU23">
    <cfRule type="expression" dxfId="1276" priority="1274">
      <formula>AND(BS23&gt;=6,DU23&lt;&gt;0, GetEquPower(AZ23,BM23, CE23, FR23)=0)</formula>
    </cfRule>
    <cfRule type="expression" dxfId="1275" priority="1275">
      <formula>AND(BS23&gt;=6, DU23&lt;&gt;GetEquPower(AZ23,BM23, CE23, FR23))</formula>
    </cfRule>
  </conditionalFormatting>
  <conditionalFormatting sqref="DY23">
    <cfRule type="expression" dxfId="1274" priority="1230">
      <formula>AND(BT23&gt;=1,DY23&lt;&gt;0, GetEquPower(BA23,BN23, CG23, FS23)=0)</formula>
    </cfRule>
    <cfRule type="expression" dxfId="1273" priority="1231">
      <formula>AND(BT23&gt;=1,DY23&lt;&gt;GetEquPower(BA23,BN23, CG23, FS23))</formula>
    </cfRule>
  </conditionalFormatting>
  <conditionalFormatting sqref="DZ23">
    <cfRule type="expression" dxfId="1272" priority="1232">
      <formula>AND(BT23&gt;=2,DZ23&lt;&gt;0, GetEquPower(BA23,BN23, CH23, FS23)=0)</formula>
    </cfRule>
    <cfRule type="expression" dxfId="1271" priority="1233">
      <formula>AND(BT23&gt;=2,DZ23&lt;&gt;GetEquPower(BA23,BN23, CH23, FS23))</formula>
    </cfRule>
  </conditionalFormatting>
  <conditionalFormatting sqref="EA23">
    <cfRule type="expression" dxfId="1270" priority="1234">
      <formula>AND(BT23&gt;=3,EA23&lt;&gt;0, GetEquPower(BA23,BN23, CI23, FS23)=0)</formula>
    </cfRule>
    <cfRule type="expression" dxfId="1269" priority="1235">
      <formula>AND(BT23&gt;=3,EA23&lt;&gt;GetEquPower(BA23,BN23, CI23, FS23))</formula>
    </cfRule>
  </conditionalFormatting>
  <conditionalFormatting sqref="EB23">
    <cfRule type="expression" dxfId="1268" priority="1262">
      <formula>AND(BT23&gt;=4,EB23&lt;&gt;0, GetEquPower(BA23,BN23, CJ23, FS23)=0)</formula>
    </cfRule>
    <cfRule type="expression" dxfId="1267" priority="1263">
      <formula>AND(BT23&gt;=4,EB23&lt;&gt;GetEquPower(BA23,BN23, CJ23, FS23))</formula>
    </cfRule>
  </conditionalFormatting>
  <conditionalFormatting sqref="EC23">
    <cfRule type="expression" dxfId="1266" priority="1276">
      <formula>AND(BT23&gt;=5,EC23&lt;&gt;0, GetEquPower(BA23,BN23, CK23, FS23)=0)</formula>
    </cfRule>
    <cfRule type="expression" dxfId="1265" priority="1277">
      <formula>AND(BT23&gt;=5,EC23&lt;&gt;GetEquPower(BA23,BN23, CK23, FS23))</formula>
    </cfRule>
  </conditionalFormatting>
  <conditionalFormatting sqref="ED23">
    <cfRule type="expression" dxfId="1264" priority="1278">
      <formula>AND(BT23&gt;=6,ED23&lt;&gt;0, GetEquPower(BA23,BN23, CL23, FS23)=0)</formula>
    </cfRule>
    <cfRule type="expression" dxfId="1263" priority="1279">
      <formula>AND(BT23&gt;=6,ED23&lt;&gt;GetEquPower(BA23,BN23, CL23, FS23))</formula>
    </cfRule>
  </conditionalFormatting>
  <conditionalFormatting sqref="EH23">
    <cfRule type="expression" dxfId="1262" priority="1236">
      <formula>AND(BU23&gt;=1,EH23&lt;&gt;0, GetEquPower(BB23,BO23, CN23, FT23)=0)</formula>
    </cfRule>
    <cfRule type="expression" dxfId="1261" priority="1237">
      <formula>AND(BU23&gt;=1,EH23&lt;&gt;GetEquPower(BB23,BO23, CN23, FT23))</formula>
    </cfRule>
  </conditionalFormatting>
  <conditionalFormatting sqref="EI23">
    <cfRule type="expression" dxfId="1260" priority="1238">
      <formula>AND(BU23&gt;=2,EI23&lt;&gt;0, GetEquPower(BB23,BO23, CO23, FT23)=0)</formula>
    </cfRule>
    <cfRule type="expression" dxfId="1259" priority="1239">
      <formula xml:space="preserve"> AND(BU23&gt;=2,EI23&lt;&gt;GetEquPower(BB23,BO23, CO23, FT23))</formula>
    </cfRule>
  </conditionalFormatting>
  <conditionalFormatting sqref="EJ23">
    <cfRule type="expression" dxfId="1258" priority="1240">
      <formula>AND(BU23&gt;=3,EJ23&lt;&gt;0, GetEquPower(BB23,BO23, CP23, FT23)=0)</formula>
    </cfRule>
    <cfRule type="expression" dxfId="1257" priority="1241">
      <formula xml:space="preserve"> AND(BU23&gt;=3,EJ23&lt;&gt;GetEquPower(BB23,BO23, CP23, FT23))</formula>
    </cfRule>
  </conditionalFormatting>
  <conditionalFormatting sqref="EK23">
    <cfRule type="expression" dxfId="1256" priority="1264">
      <formula>AND(BU23&gt;=4,EK23&lt;&gt;0, GetEquPower(BB23,BO23, CQ23, FT23)=0)</formula>
    </cfRule>
    <cfRule type="expression" dxfId="1255" priority="1265">
      <formula xml:space="preserve"> AND(BU23&gt;=4,EK23&lt;&gt;GetEquPower(BB23,BO23, CQ23, FT23))</formula>
    </cfRule>
  </conditionalFormatting>
  <conditionalFormatting sqref="EL23">
    <cfRule type="expression" dxfId="1254" priority="1280">
      <formula>AND(BU23&gt;=5,EL23&lt;&gt;0, GetEquPower(BB23,BO23, CR23, FT23)=0)</formula>
    </cfRule>
    <cfRule type="expression" dxfId="1253" priority="1281">
      <formula xml:space="preserve"> AND(BU23&gt;=5,EL23&lt;&gt;GetEquPower(BB23,BO23, CR23, FT23))</formula>
    </cfRule>
  </conditionalFormatting>
  <conditionalFormatting sqref="EM23">
    <cfRule type="expression" dxfId="1252" priority="1282">
      <formula>AND(BU23&gt;=6,EM23&lt;&gt;0, GetEquPower(BB23,BO23, CS23, FT23)=0)</formula>
    </cfRule>
    <cfRule type="expression" dxfId="1251" priority="1283">
      <formula xml:space="preserve"> AND(BU23&gt;=6,EM23&lt;&gt;GetEquPower(BB23,BO23, CS23, FT23))</formula>
    </cfRule>
  </conditionalFormatting>
  <conditionalFormatting sqref="EQ23">
    <cfRule type="expression" dxfId="1250" priority="1242">
      <formula>AND(BV23&gt;=1,EQ23&lt;&gt;0, GetEquPower(BC23,BP23, CU23, FU23)=0)</formula>
    </cfRule>
    <cfRule type="expression" dxfId="1249" priority="1243">
      <formula>AND(BV23&gt;=1,EQ23&lt;&gt;GetEquPower(BC23,BP23, CU23, FU23))</formula>
    </cfRule>
  </conditionalFormatting>
  <conditionalFormatting sqref="ER23">
    <cfRule type="expression" dxfId="1248" priority="1244">
      <formula>AND(BV23&gt;=2,ER23&lt;&gt;0, GetEquPower(BC23,BP23, CV23, FU23)=0)</formula>
    </cfRule>
    <cfRule type="expression" dxfId="1247" priority="1245">
      <formula>AND(BV23&gt;=2,ER23&lt;&gt;GetEquPower(BC23,BP23, CV23, FU23))</formula>
    </cfRule>
  </conditionalFormatting>
  <conditionalFormatting sqref="ES23">
    <cfRule type="expression" dxfId="1246" priority="1246">
      <formula>AND(BV23&gt;=3,ES23&lt;&gt;0, GetEquPower(BC23,BP23, CW23, FU23)=0)</formula>
    </cfRule>
    <cfRule type="expression" dxfId="1245" priority="1247">
      <formula>AND(BV23&gt;=3,ES23&lt;&gt;GetEquPower(BC23,BP23, CW23, FU23))</formula>
    </cfRule>
  </conditionalFormatting>
  <conditionalFormatting sqref="ET23">
    <cfRule type="expression" dxfId="1244" priority="1266">
      <formula>AND(BV23&gt;=4,ET23&lt;&gt;0, GetEquPower(BC23,BP23, CX23, FU23)=0)</formula>
    </cfRule>
    <cfRule type="expression" dxfId="1243" priority="1267">
      <formula>AND(BV23&gt;=4,ET23&lt;&gt;GetEquPower(BC23,BP23, CX23, FU23))</formula>
    </cfRule>
  </conditionalFormatting>
  <conditionalFormatting sqref="EU23">
    <cfRule type="expression" dxfId="1242" priority="1284">
      <formula>AND(BV23&gt;=5,EU23&lt;&gt;0, GetEquPower(BC23,BP23, CY23, FU23)=0)</formula>
    </cfRule>
    <cfRule type="expression" dxfId="1241" priority="1285">
      <formula>AND(BV23&gt;=5,EU23&lt;&gt;GetEquPower(BC23,BP23, CY23, FU23))</formula>
    </cfRule>
  </conditionalFormatting>
  <conditionalFormatting sqref="EV23">
    <cfRule type="expression" dxfId="1240" priority="1286">
      <formula>AND(BV23&gt;=6,EV23&lt;&gt;0, GetEquPower(BC23,BP23, CZ23, FU23)=0)</formula>
    </cfRule>
    <cfRule type="expression" dxfId="1239" priority="1287">
      <formula>AND(BV23&gt;=6,EV23&lt;&gt;GetEquPower(BC23,BP23, CZ23, FU23))</formula>
    </cfRule>
  </conditionalFormatting>
  <conditionalFormatting sqref="EZ23">
    <cfRule type="expression" dxfId="1238" priority="1248">
      <formula>AND(BW23&gt;=1,EZ23&lt;&gt;0, GetEquPower(BD23,BQ23, DB23, FV23)=0)</formula>
    </cfRule>
    <cfRule type="expression" dxfId="1237" priority="1249">
      <formula>AND(BW23&gt;=1,EZ23&lt;&gt;GetEquPower(BD23,BQ23, DB23, FV23))</formula>
    </cfRule>
  </conditionalFormatting>
  <conditionalFormatting sqref="FA23">
    <cfRule type="expression" dxfId="1236" priority="1250">
      <formula>AND(BW23&gt;=2,FA23&lt;&gt;0, GetEquPower(BD23,BQ23, DC23, FV23)=0)</formula>
    </cfRule>
    <cfRule type="expression" dxfId="1235" priority="1251">
      <formula>AND(BW23&gt;=2,FA23&lt;&gt;GetEquPower(BD23,BQ23, DC23, FV23))</formula>
    </cfRule>
  </conditionalFormatting>
  <conditionalFormatting sqref="FB23">
    <cfRule type="expression" dxfId="1234" priority="1252">
      <formula>AND(BW23&gt;=3,FB23&lt;&gt;0, GetEquPower(BD23,BQ23, DD23, FV23)=0)</formula>
    </cfRule>
    <cfRule type="expression" dxfId="1233" priority="1253">
      <formula>AND(BW23&gt;=3,FB23&lt;&gt;GetEquPower(BD23,BQ23, DD23, FV23))</formula>
    </cfRule>
  </conditionalFormatting>
  <conditionalFormatting sqref="FC23">
    <cfRule type="expression" dxfId="1232" priority="1268">
      <formula>AND(BW23&gt;=4,FC23&lt;&gt;0, GetEquPower(BD23,BQ23, DE23, FV23)=0)</formula>
    </cfRule>
    <cfRule type="expression" dxfId="1231" priority="1269">
      <formula>AND(BW23&gt;=4,FC23&lt;&gt;GetEquPower(BD23,BQ23, DE23, FV23))</formula>
    </cfRule>
  </conditionalFormatting>
  <conditionalFormatting sqref="FD23">
    <cfRule type="expression" dxfId="1230" priority="1288">
      <formula>AND(BW23&gt;=5,FD23&lt;&gt;0, GetEquPower(BD23,BQ23, DF23, FV23)=0)</formula>
    </cfRule>
    <cfRule type="expression" dxfId="1229" priority="1289">
      <formula>AND(BW23&gt;=5,FD23&lt;&gt;GetEquPower(BD23,BQ23, DF23, FV23))</formula>
    </cfRule>
  </conditionalFormatting>
  <conditionalFormatting sqref="FE23">
    <cfRule type="expression" dxfId="1228" priority="1290">
      <formula>AND(BW23&gt;=6,FE23&lt;&gt;0, GetEquPower(BD23,BQ23, DG23, FV23)=0)</formula>
    </cfRule>
    <cfRule type="expression" dxfId="1227" priority="1291">
      <formula>AND(BW23&gt;=6,FE23&lt;&gt;GetEquPower(BD23,BQ23, DG23, FV23))</formula>
    </cfRule>
  </conditionalFormatting>
  <conditionalFormatting sqref="FI23">
    <cfRule type="expression" dxfId="1226" priority="1254">
      <formula>AND(BX23&gt;=1,FI23&lt;&gt;0, GetEquPower(BE23,BR23, DI23, FW23)=0)</formula>
    </cfRule>
    <cfRule type="expression" dxfId="1225" priority="1255">
      <formula>AND(BX23&gt;=1,FI23&lt;&gt;GetEquPower(BE23,BR23, DI23, FW23))</formula>
    </cfRule>
  </conditionalFormatting>
  <conditionalFormatting sqref="FJ23">
    <cfRule type="expression" dxfId="1224" priority="1256">
      <formula>AND(BX23&gt;=2,FJ23&lt;&gt;0, GetEquPower(BE23,BR23, DJ23, FW23)=0)</formula>
    </cfRule>
    <cfRule type="expression" dxfId="1223" priority="1257">
      <formula>AND(BX23&gt;=2,FJ23&lt;&gt;GetEquPower(BE23,BR23, DJ23, FW23))</formula>
    </cfRule>
  </conditionalFormatting>
  <conditionalFormatting sqref="FK23">
    <cfRule type="expression" dxfId="1222" priority="1258">
      <formula>AND(BX23&gt;=3,FK23&lt;&gt;0, GetEquPower(BE23,BR23, DK23, FW23)=0)</formula>
    </cfRule>
    <cfRule type="expression" dxfId="1221" priority="1259">
      <formula>AND(BX23&gt;=3,FK23&lt;&gt;GetEquPower(BE23,BR23, DK23, FW23))</formula>
    </cfRule>
  </conditionalFormatting>
  <conditionalFormatting sqref="FL23">
    <cfRule type="expression" dxfId="1220" priority="1270">
      <formula>AND(BX23&gt;=4,FL23&lt;&gt;0, GetEquPower(BE23,BR23, DL23, FW23)=0)</formula>
    </cfRule>
    <cfRule type="expression" dxfId="1219" priority="1271">
      <formula>AND(BX23&gt;=4,FL23&lt;&gt;GetEquPower(BE23,BR23, DL23, FW23))</formula>
    </cfRule>
  </conditionalFormatting>
  <conditionalFormatting sqref="FM23">
    <cfRule type="expression" dxfId="1218" priority="1292">
      <formula>AND(BX23&gt;=5,FM23&lt;&gt;0, GetEquPower(BE23,BR23, DM23, FW23)=0)</formula>
    </cfRule>
    <cfRule type="expression" dxfId="1217" priority="1293">
      <formula>AND(BX23&gt;=5,FM23&lt;&gt;GetEquPower(BE23,BR23, DM23, FW23))</formula>
    </cfRule>
  </conditionalFormatting>
  <conditionalFormatting sqref="FN23">
    <cfRule type="expression" dxfId="1216" priority="1294">
      <formula>AND(BX23&gt;=6,FN23&lt;&gt;0, GetEquPower(BE23,BR23, DN23, FW23)=0)</formula>
    </cfRule>
    <cfRule type="expression" dxfId="1215" priority="1295">
      <formula>AND(BX23&gt;=6,FN23&lt;&gt;GetEquPower(BE23,BR23, DN23, FW23))</formula>
    </cfRule>
  </conditionalFormatting>
  <conditionalFormatting sqref="F24">
    <cfRule type="expression" dxfId="1214" priority="1142">
      <formula>F24&lt;&gt;RIGHT(SUBSTITUTE(TRIM(E24),".",""),LEN(F24))</formula>
    </cfRule>
  </conditionalFormatting>
  <conditionalFormatting sqref="BS24">
    <cfRule type="expression" dxfId="1213" priority="1141">
      <formula>AND(J24&gt;=1,BS24&lt;1)</formula>
    </cfRule>
  </conditionalFormatting>
  <conditionalFormatting sqref="BT24">
    <cfRule type="expression" dxfId="1212" priority="1140">
      <formula>AND(J24&gt;=2,BT24&lt;1)</formula>
    </cfRule>
  </conditionalFormatting>
  <conditionalFormatting sqref="BU24">
    <cfRule type="expression" dxfId="1211" priority="1138">
      <formula>AND(J24&gt;=3,BU24&lt;1)</formula>
    </cfRule>
  </conditionalFormatting>
  <conditionalFormatting sqref="BV24">
    <cfRule type="expression" dxfId="1210" priority="1137">
      <formula>AND(J24&gt;=4,BV24&lt;1)</formula>
    </cfRule>
  </conditionalFormatting>
  <conditionalFormatting sqref="BW24">
    <cfRule type="expression" dxfId="1209" priority="1139">
      <formula>AND(J24&gt;=5,BW24&lt;1)</formula>
    </cfRule>
  </conditionalFormatting>
  <conditionalFormatting sqref="BX24">
    <cfRule type="expression" dxfId="1208" priority="1136">
      <formula>AND(J24&gt;=6,BX24&lt;1)</formula>
    </cfRule>
  </conditionalFormatting>
  <conditionalFormatting sqref="IC24">
    <cfRule type="expression" dxfId="1207" priority="1215">
      <formula>AND($S24 = TRUE, $IC24&lt;&gt;OptionsUnitCode)</formula>
    </cfRule>
  </conditionalFormatting>
  <conditionalFormatting sqref="B24:II24">
    <cfRule type="containsErrors" dxfId="1206" priority="1135">
      <formula>ISERROR(B24)</formula>
    </cfRule>
  </conditionalFormatting>
  <conditionalFormatting sqref="DP24">
    <cfRule type="expression" dxfId="1205" priority="1143">
      <formula>AND(BS24&gt;=1,DP24&lt;&gt;0, GetEquPower(AZ24,BM24, BZ24, FR24)=0)</formula>
    </cfRule>
    <cfRule type="expression" dxfId="1204" priority="1144">
      <formula>AND(BS24&gt;=1,DP24&lt;&gt;GetEquPower(AZ24,BM24, BZ24, FR24))</formula>
    </cfRule>
  </conditionalFormatting>
  <conditionalFormatting sqref="DQ24">
    <cfRule type="expression" dxfId="1203" priority="1145">
      <formula>AND(BS24&gt;=2,DQ24&lt;&gt;0, GetEquPower(AZ24,BM24, CA24, FR24)=0)</formula>
    </cfRule>
    <cfRule type="expression" dxfId="1202" priority="1146">
      <formula>AND(BS24&gt;=2,DQ24&lt;&gt;GetEquPower(AZ24,BM24, CA24, FR24))</formula>
    </cfRule>
  </conditionalFormatting>
  <conditionalFormatting sqref="DR24">
    <cfRule type="expression" dxfId="1201" priority="1147">
      <formula>AND(BS24&gt;=3,DR24&lt;&gt;0, GetEquPower(AZ24,BM24, CB24, FR24)=0)</formula>
    </cfRule>
    <cfRule type="expression" dxfId="1200" priority="1148">
      <formula>AND(BS24&gt;=3,DR24&lt;&gt;GetEquPower(AZ24,BM24, CB24, FR24))</formula>
    </cfRule>
  </conditionalFormatting>
  <conditionalFormatting sqref="DS24">
    <cfRule type="expression" dxfId="1199" priority="1179">
      <formula>AND(BS24&gt;=4,DS24&lt;&gt;0, GetEquPower(AZ24,BM24, CC24, FR24)=0)</formula>
    </cfRule>
    <cfRule type="expression" dxfId="1198" priority="1180">
      <formula>AND(BS24&gt;=4, DS24&lt;&gt;GetEquPower(AZ24,BM24, CC24, FR24))</formula>
    </cfRule>
  </conditionalFormatting>
  <conditionalFormatting sqref="DT24">
    <cfRule type="expression" dxfId="1197" priority="1191">
      <formula>AND(BS24&gt;=5,DT24&lt;&gt;0, GetEquPower(AZ24,BM24, CD24, FR24)=0)</formula>
    </cfRule>
    <cfRule type="expression" dxfId="1196" priority="1192">
      <formula>AND(BS24&gt;=5, DT24&lt;&gt;GetEquPower(AZ24,BM24, CD24, FR24))</formula>
    </cfRule>
  </conditionalFormatting>
  <conditionalFormatting sqref="DU24">
    <cfRule type="expression" dxfId="1195" priority="1193">
      <formula>AND(BS24&gt;=6,DU24&lt;&gt;0, GetEquPower(AZ24,BM24, CE24, FR24)=0)</formula>
    </cfRule>
    <cfRule type="expression" dxfId="1194" priority="1194">
      <formula>AND(BS24&gt;=6, DU24&lt;&gt;GetEquPower(AZ24,BM24, CE24, FR24))</formula>
    </cfRule>
  </conditionalFormatting>
  <conditionalFormatting sqref="DY24">
    <cfRule type="expression" dxfId="1193" priority="1149">
      <formula>AND(BT24&gt;=1,DY24&lt;&gt;0, GetEquPower(BA24,BN24, CG24, FS24)=0)</formula>
    </cfRule>
    <cfRule type="expression" dxfId="1192" priority="1150">
      <formula>AND(BT24&gt;=1,DY24&lt;&gt;GetEquPower(BA24,BN24, CG24, FS24))</formula>
    </cfRule>
  </conditionalFormatting>
  <conditionalFormatting sqref="DZ24">
    <cfRule type="expression" dxfId="1191" priority="1151">
      <formula>AND(BT24&gt;=2,DZ24&lt;&gt;0, GetEquPower(BA24,BN24, CH24, FS24)=0)</formula>
    </cfRule>
    <cfRule type="expression" dxfId="1190" priority="1152">
      <formula>AND(BT24&gt;=2,DZ24&lt;&gt;GetEquPower(BA24,BN24, CH24, FS24))</formula>
    </cfRule>
  </conditionalFormatting>
  <conditionalFormatting sqref="EA24">
    <cfRule type="expression" dxfId="1189" priority="1153">
      <formula>AND(BT24&gt;=3,EA24&lt;&gt;0, GetEquPower(BA24,BN24, CI24, FS24)=0)</formula>
    </cfRule>
    <cfRule type="expression" dxfId="1188" priority="1154">
      <formula>AND(BT24&gt;=3,EA24&lt;&gt;GetEquPower(BA24,BN24, CI24, FS24))</formula>
    </cfRule>
  </conditionalFormatting>
  <conditionalFormatting sqref="EB24">
    <cfRule type="expression" dxfId="1187" priority="1181">
      <formula>AND(BT24&gt;=4,EB24&lt;&gt;0, GetEquPower(BA24,BN24, CJ24, FS24)=0)</formula>
    </cfRule>
    <cfRule type="expression" dxfId="1186" priority="1182">
      <formula>AND(BT24&gt;=4,EB24&lt;&gt;GetEquPower(BA24,BN24, CJ24, FS24))</formula>
    </cfRule>
  </conditionalFormatting>
  <conditionalFormatting sqref="EC24">
    <cfRule type="expression" dxfId="1185" priority="1195">
      <formula>AND(BT24&gt;=5,EC24&lt;&gt;0, GetEquPower(BA24,BN24, CK24, FS24)=0)</formula>
    </cfRule>
    <cfRule type="expression" dxfId="1184" priority="1196">
      <formula>AND(BT24&gt;=5,EC24&lt;&gt;GetEquPower(BA24,BN24, CK24, FS24))</formula>
    </cfRule>
  </conditionalFormatting>
  <conditionalFormatting sqref="ED24">
    <cfRule type="expression" dxfId="1183" priority="1197">
      <formula>AND(BT24&gt;=6,ED24&lt;&gt;0, GetEquPower(BA24,BN24, CL24, FS24)=0)</formula>
    </cfRule>
    <cfRule type="expression" dxfId="1182" priority="1198">
      <formula>AND(BT24&gt;=6,ED24&lt;&gt;GetEquPower(BA24,BN24, CL24, FS24))</formula>
    </cfRule>
  </conditionalFormatting>
  <conditionalFormatting sqref="EH24">
    <cfRule type="expression" dxfId="1181" priority="1155">
      <formula>AND(BU24&gt;=1,EH24&lt;&gt;0, GetEquPower(BB24,BO24, CN24, FT24)=0)</formula>
    </cfRule>
    <cfRule type="expression" dxfId="1180" priority="1156">
      <formula>AND(BU24&gt;=1,EH24&lt;&gt;GetEquPower(BB24,BO24, CN24, FT24))</formula>
    </cfRule>
  </conditionalFormatting>
  <conditionalFormatting sqref="EI24">
    <cfRule type="expression" dxfId="1179" priority="1157">
      <formula>AND(BU24&gt;=2,EI24&lt;&gt;0, GetEquPower(BB24,BO24, CO24, FT24)=0)</formula>
    </cfRule>
    <cfRule type="expression" dxfId="1178" priority="1158">
      <formula xml:space="preserve"> AND(BU24&gt;=2,EI24&lt;&gt;GetEquPower(BB24,BO24, CO24, FT24))</formula>
    </cfRule>
  </conditionalFormatting>
  <conditionalFormatting sqref="EJ24">
    <cfRule type="expression" dxfId="1177" priority="1159">
      <formula>AND(BU24&gt;=3,EJ24&lt;&gt;0, GetEquPower(BB24,BO24, CP24, FT24)=0)</formula>
    </cfRule>
    <cfRule type="expression" dxfId="1176" priority="1160">
      <formula xml:space="preserve"> AND(BU24&gt;=3,EJ24&lt;&gt;GetEquPower(BB24,BO24, CP24, FT24))</formula>
    </cfRule>
  </conditionalFormatting>
  <conditionalFormatting sqref="EK24">
    <cfRule type="expression" dxfId="1175" priority="1183">
      <formula>AND(BU24&gt;=4,EK24&lt;&gt;0, GetEquPower(BB24,BO24, CQ24, FT24)=0)</formula>
    </cfRule>
    <cfRule type="expression" dxfId="1174" priority="1184">
      <formula xml:space="preserve"> AND(BU24&gt;=4,EK24&lt;&gt;GetEquPower(BB24,BO24, CQ24, FT24))</formula>
    </cfRule>
  </conditionalFormatting>
  <conditionalFormatting sqref="EL24">
    <cfRule type="expression" dxfId="1173" priority="1199">
      <formula>AND(BU24&gt;=5,EL24&lt;&gt;0, GetEquPower(BB24,BO24, CR24, FT24)=0)</formula>
    </cfRule>
    <cfRule type="expression" dxfId="1172" priority="1200">
      <formula xml:space="preserve"> AND(BU24&gt;=5,EL24&lt;&gt;GetEquPower(BB24,BO24, CR24, FT24))</formula>
    </cfRule>
  </conditionalFormatting>
  <conditionalFormatting sqref="EM24">
    <cfRule type="expression" dxfId="1171" priority="1201">
      <formula>AND(BU24&gt;=6,EM24&lt;&gt;0, GetEquPower(BB24,BO24, CS24, FT24)=0)</formula>
    </cfRule>
    <cfRule type="expression" dxfId="1170" priority="1202">
      <formula xml:space="preserve"> AND(BU24&gt;=6,EM24&lt;&gt;GetEquPower(BB24,BO24, CS24, FT24))</formula>
    </cfRule>
  </conditionalFormatting>
  <conditionalFormatting sqref="EQ24">
    <cfRule type="expression" dxfId="1169" priority="1161">
      <formula>AND(BV24&gt;=1,EQ24&lt;&gt;0, GetEquPower(BC24,BP24, CU24, FU24)=0)</formula>
    </cfRule>
    <cfRule type="expression" dxfId="1168" priority="1162">
      <formula>AND(BV24&gt;=1,EQ24&lt;&gt;GetEquPower(BC24,BP24, CU24, FU24))</formula>
    </cfRule>
  </conditionalFormatting>
  <conditionalFormatting sqref="ER24">
    <cfRule type="expression" dxfId="1167" priority="1163">
      <formula>AND(BV24&gt;=2,ER24&lt;&gt;0, GetEquPower(BC24,BP24, CV24, FU24)=0)</formula>
    </cfRule>
    <cfRule type="expression" dxfId="1166" priority="1164">
      <formula>AND(BV24&gt;=2,ER24&lt;&gt;GetEquPower(BC24,BP24, CV24, FU24))</formula>
    </cfRule>
  </conditionalFormatting>
  <conditionalFormatting sqref="ES24">
    <cfRule type="expression" dxfId="1165" priority="1165">
      <formula>AND(BV24&gt;=3,ES24&lt;&gt;0, GetEquPower(BC24,BP24, CW24, FU24)=0)</formula>
    </cfRule>
    <cfRule type="expression" dxfId="1164" priority="1166">
      <formula>AND(BV24&gt;=3,ES24&lt;&gt;GetEquPower(BC24,BP24, CW24, FU24))</formula>
    </cfRule>
  </conditionalFormatting>
  <conditionalFormatting sqref="ET24">
    <cfRule type="expression" dxfId="1163" priority="1185">
      <formula>AND(BV24&gt;=4,ET24&lt;&gt;0, GetEquPower(BC24,BP24, CX24, FU24)=0)</formula>
    </cfRule>
    <cfRule type="expression" dxfId="1162" priority="1186">
      <formula>AND(BV24&gt;=4,ET24&lt;&gt;GetEquPower(BC24,BP24, CX24, FU24))</formula>
    </cfRule>
  </conditionalFormatting>
  <conditionalFormatting sqref="EU24">
    <cfRule type="expression" dxfId="1161" priority="1203">
      <formula>AND(BV24&gt;=5,EU24&lt;&gt;0, GetEquPower(BC24,BP24, CY24, FU24)=0)</formula>
    </cfRule>
    <cfRule type="expression" dxfId="1160" priority="1204">
      <formula>AND(BV24&gt;=5,EU24&lt;&gt;GetEquPower(BC24,BP24, CY24, FU24))</formula>
    </cfRule>
  </conditionalFormatting>
  <conditionalFormatting sqref="EV24">
    <cfRule type="expression" dxfId="1159" priority="1205">
      <formula>AND(BV24&gt;=6,EV24&lt;&gt;0, GetEquPower(BC24,BP24, CZ24, FU24)=0)</formula>
    </cfRule>
    <cfRule type="expression" dxfId="1158" priority="1206">
      <formula>AND(BV24&gt;=6,EV24&lt;&gt;GetEquPower(BC24,BP24, CZ24, FU24))</formula>
    </cfRule>
  </conditionalFormatting>
  <conditionalFormatting sqref="EZ24">
    <cfRule type="expression" dxfId="1157" priority="1167">
      <formula>AND(BW24&gt;=1,EZ24&lt;&gt;0, GetEquPower(BD24,BQ24, DB24, FV24)=0)</formula>
    </cfRule>
    <cfRule type="expression" dxfId="1156" priority="1168">
      <formula>AND(BW24&gt;=1,EZ24&lt;&gt;GetEquPower(BD24,BQ24, DB24, FV24))</formula>
    </cfRule>
  </conditionalFormatting>
  <conditionalFormatting sqref="FA24">
    <cfRule type="expression" dxfId="1155" priority="1169">
      <formula>AND(BW24&gt;=2,FA24&lt;&gt;0, GetEquPower(BD24,BQ24, DC24, FV24)=0)</formula>
    </cfRule>
    <cfRule type="expression" dxfId="1154" priority="1170">
      <formula>AND(BW24&gt;=2,FA24&lt;&gt;GetEquPower(BD24,BQ24, DC24, FV24))</formula>
    </cfRule>
  </conditionalFormatting>
  <conditionalFormatting sqref="FB24">
    <cfRule type="expression" dxfId="1153" priority="1171">
      <formula>AND(BW24&gt;=3,FB24&lt;&gt;0, GetEquPower(BD24,BQ24, DD24, FV24)=0)</formula>
    </cfRule>
    <cfRule type="expression" dxfId="1152" priority="1172">
      <formula>AND(BW24&gt;=3,FB24&lt;&gt;GetEquPower(BD24,BQ24, DD24, FV24))</formula>
    </cfRule>
  </conditionalFormatting>
  <conditionalFormatting sqref="FC24">
    <cfRule type="expression" dxfId="1151" priority="1187">
      <formula>AND(BW24&gt;=4,FC24&lt;&gt;0, GetEquPower(BD24,BQ24, DE24, FV24)=0)</formula>
    </cfRule>
    <cfRule type="expression" dxfId="1150" priority="1188">
      <formula>AND(BW24&gt;=4,FC24&lt;&gt;GetEquPower(BD24,BQ24, DE24, FV24))</formula>
    </cfRule>
  </conditionalFormatting>
  <conditionalFormatting sqref="FD24">
    <cfRule type="expression" dxfId="1149" priority="1207">
      <formula>AND(BW24&gt;=5,FD24&lt;&gt;0, GetEquPower(BD24,BQ24, DF24, FV24)=0)</formula>
    </cfRule>
    <cfRule type="expression" dxfId="1148" priority="1208">
      <formula>AND(BW24&gt;=5,FD24&lt;&gt;GetEquPower(BD24,BQ24, DF24, FV24))</formula>
    </cfRule>
  </conditionalFormatting>
  <conditionalFormatting sqref="FE24">
    <cfRule type="expression" dxfId="1147" priority="1209">
      <formula>AND(BW24&gt;=6,FE24&lt;&gt;0, GetEquPower(BD24,BQ24, DG24, FV24)=0)</formula>
    </cfRule>
    <cfRule type="expression" dxfId="1146" priority="1210">
      <formula>AND(BW24&gt;=6,FE24&lt;&gt;GetEquPower(BD24,BQ24, DG24, FV24))</formula>
    </cfRule>
  </conditionalFormatting>
  <conditionalFormatting sqref="FI24">
    <cfRule type="expression" dxfId="1145" priority="1173">
      <formula>AND(BX24&gt;=1,FI24&lt;&gt;0, GetEquPower(BE24,BR24, DI24, FW24)=0)</formula>
    </cfRule>
    <cfRule type="expression" dxfId="1144" priority="1174">
      <formula>AND(BX24&gt;=1,FI24&lt;&gt;GetEquPower(BE24,BR24, DI24, FW24))</formula>
    </cfRule>
  </conditionalFormatting>
  <conditionalFormatting sqref="FJ24">
    <cfRule type="expression" dxfId="1143" priority="1175">
      <formula>AND(BX24&gt;=2,FJ24&lt;&gt;0, GetEquPower(BE24,BR24, DJ24, FW24)=0)</formula>
    </cfRule>
    <cfRule type="expression" dxfId="1142" priority="1176">
      <formula>AND(BX24&gt;=2,FJ24&lt;&gt;GetEquPower(BE24,BR24, DJ24, FW24))</formula>
    </cfRule>
  </conditionalFormatting>
  <conditionalFormatting sqref="FK24">
    <cfRule type="expression" dxfId="1141" priority="1177">
      <formula>AND(BX24&gt;=3,FK24&lt;&gt;0, GetEquPower(BE24,BR24, DK24, FW24)=0)</formula>
    </cfRule>
    <cfRule type="expression" dxfId="1140" priority="1178">
      <formula>AND(BX24&gt;=3,FK24&lt;&gt;GetEquPower(BE24,BR24, DK24, FW24))</formula>
    </cfRule>
  </conditionalFormatting>
  <conditionalFormatting sqref="FL24">
    <cfRule type="expression" dxfId="1139" priority="1189">
      <formula>AND(BX24&gt;=4,FL24&lt;&gt;0, GetEquPower(BE24,BR24, DL24, FW24)=0)</formula>
    </cfRule>
    <cfRule type="expression" dxfId="1138" priority="1190">
      <formula>AND(BX24&gt;=4,FL24&lt;&gt;GetEquPower(BE24,BR24, DL24, FW24))</formula>
    </cfRule>
  </conditionalFormatting>
  <conditionalFormatting sqref="FM24">
    <cfRule type="expression" dxfId="1137" priority="1211">
      <formula>AND(BX24&gt;=5,FM24&lt;&gt;0, GetEquPower(BE24,BR24, DM24, FW24)=0)</formula>
    </cfRule>
    <cfRule type="expression" dxfId="1136" priority="1212">
      <formula>AND(BX24&gt;=5,FM24&lt;&gt;GetEquPower(BE24,BR24, DM24, FW24))</formula>
    </cfRule>
  </conditionalFormatting>
  <conditionalFormatting sqref="FN24">
    <cfRule type="expression" dxfId="1135" priority="1213">
      <formula>AND(BX24&gt;=6,FN24&lt;&gt;0, GetEquPower(BE24,BR24, DN24, FW24)=0)</formula>
    </cfRule>
    <cfRule type="expression" dxfId="1134" priority="1214">
      <formula>AND(BX24&gt;=6,FN24&lt;&gt;GetEquPower(BE24,BR24, DN24, FW24))</formula>
    </cfRule>
  </conditionalFormatting>
  <conditionalFormatting sqref="F25">
    <cfRule type="expression" dxfId="1133" priority="1061">
      <formula>F25&lt;&gt;RIGHT(SUBSTITUTE(TRIM(E25),".",""),LEN(F25))</formula>
    </cfRule>
  </conditionalFormatting>
  <conditionalFormatting sqref="BS25">
    <cfRule type="expression" dxfId="1132" priority="1060">
      <formula>AND(J25&gt;=1,BS25&lt;1)</formula>
    </cfRule>
  </conditionalFormatting>
  <conditionalFormatting sqref="BT25">
    <cfRule type="expression" dxfId="1131" priority="1059">
      <formula>AND(J25&gt;=2,BT25&lt;1)</formula>
    </cfRule>
  </conditionalFormatting>
  <conditionalFormatting sqref="BU25">
    <cfRule type="expression" dxfId="1130" priority="1057">
      <formula>AND(J25&gt;=3,BU25&lt;1)</formula>
    </cfRule>
  </conditionalFormatting>
  <conditionalFormatting sqref="BV25">
    <cfRule type="expression" dxfId="1129" priority="1056">
      <formula>AND(J25&gt;=4,BV25&lt;1)</formula>
    </cfRule>
  </conditionalFormatting>
  <conditionalFormatting sqref="BW25">
    <cfRule type="expression" dxfId="1128" priority="1058">
      <formula>AND(J25&gt;=5,BW25&lt;1)</formula>
    </cfRule>
  </conditionalFormatting>
  <conditionalFormatting sqref="BX25">
    <cfRule type="expression" dxfId="1127" priority="1055">
      <formula>AND(J25&gt;=6,BX25&lt;1)</formula>
    </cfRule>
  </conditionalFormatting>
  <conditionalFormatting sqref="IC25">
    <cfRule type="expression" dxfId="1126" priority="1134">
      <formula>AND($S25 = TRUE, $IC25&lt;&gt;OptionsUnitCode)</formula>
    </cfRule>
  </conditionalFormatting>
  <conditionalFormatting sqref="B25:II25">
    <cfRule type="containsErrors" dxfId="1125" priority="1054">
      <formula>ISERROR(B25)</formula>
    </cfRule>
  </conditionalFormatting>
  <conditionalFormatting sqref="DP25">
    <cfRule type="expression" dxfId="1124" priority="1062">
      <formula>AND(BS25&gt;=1,DP25&lt;&gt;0, GetEquPower(AZ25,BM25, BZ25, FR25)=0)</formula>
    </cfRule>
    <cfRule type="expression" dxfId="1123" priority="1063">
      <formula>AND(BS25&gt;=1,DP25&lt;&gt;GetEquPower(AZ25,BM25, BZ25, FR25))</formula>
    </cfRule>
  </conditionalFormatting>
  <conditionalFormatting sqref="DQ25">
    <cfRule type="expression" dxfId="1122" priority="1064">
      <formula>AND(BS25&gt;=2,DQ25&lt;&gt;0, GetEquPower(AZ25,BM25, CA25, FR25)=0)</formula>
    </cfRule>
    <cfRule type="expression" dxfId="1121" priority="1065">
      <formula>AND(BS25&gt;=2,DQ25&lt;&gt;GetEquPower(AZ25,BM25, CA25, FR25))</formula>
    </cfRule>
  </conditionalFormatting>
  <conditionalFormatting sqref="DR25">
    <cfRule type="expression" dxfId="1120" priority="1066">
      <formula>AND(BS25&gt;=3,DR25&lt;&gt;0, GetEquPower(AZ25,BM25, CB25, FR25)=0)</formula>
    </cfRule>
    <cfRule type="expression" dxfId="1119" priority="1067">
      <formula>AND(BS25&gt;=3,DR25&lt;&gt;GetEquPower(AZ25,BM25, CB25, FR25))</formula>
    </cfRule>
  </conditionalFormatting>
  <conditionalFormatting sqref="DS25">
    <cfRule type="expression" dxfId="1118" priority="1098">
      <formula>AND(BS25&gt;=4,DS25&lt;&gt;0, GetEquPower(AZ25,BM25, CC25, FR25)=0)</formula>
    </cfRule>
    <cfRule type="expression" dxfId="1117" priority="1099">
      <formula>AND(BS25&gt;=4, DS25&lt;&gt;GetEquPower(AZ25,BM25, CC25, FR25))</formula>
    </cfRule>
  </conditionalFormatting>
  <conditionalFormatting sqref="DT25">
    <cfRule type="expression" dxfId="1116" priority="1110">
      <formula>AND(BS25&gt;=5,DT25&lt;&gt;0, GetEquPower(AZ25,BM25, CD25, FR25)=0)</formula>
    </cfRule>
    <cfRule type="expression" dxfId="1115" priority="1111">
      <formula>AND(BS25&gt;=5, DT25&lt;&gt;GetEquPower(AZ25,BM25, CD25, FR25))</formula>
    </cfRule>
  </conditionalFormatting>
  <conditionalFormatting sqref="DU25">
    <cfRule type="expression" dxfId="1114" priority="1112">
      <formula>AND(BS25&gt;=6,DU25&lt;&gt;0, GetEquPower(AZ25,BM25, CE25, FR25)=0)</formula>
    </cfRule>
    <cfRule type="expression" dxfId="1113" priority="1113">
      <formula>AND(BS25&gt;=6, DU25&lt;&gt;GetEquPower(AZ25,BM25, CE25, FR25))</formula>
    </cfRule>
  </conditionalFormatting>
  <conditionalFormatting sqref="DY25">
    <cfRule type="expression" dxfId="1112" priority="1068">
      <formula>AND(BT25&gt;=1,DY25&lt;&gt;0, GetEquPower(BA25,BN25, CG25, FS25)=0)</formula>
    </cfRule>
    <cfRule type="expression" dxfId="1111" priority="1069">
      <formula>AND(BT25&gt;=1,DY25&lt;&gt;GetEquPower(BA25,BN25, CG25, FS25))</formula>
    </cfRule>
  </conditionalFormatting>
  <conditionalFormatting sqref="DZ25">
    <cfRule type="expression" dxfId="1110" priority="1070">
      <formula>AND(BT25&gt;=2,DZ25&lt;&gt;0, GetEquPower(BA25,BN25, CH25, FS25)=0)</formula>
    </cfRule>
    <cfRule type="expression" dxfId="1109" priority="1071">
      <formula>AND(BT25&gt;=2,DZ25&lt;&gt;GetEquPower(BA25,BN25, CH25, FS25))</formula>
    </cfRule>
  </conditionalFormatting>
  <conditionalFormatting sqref="EA25">
    <cfRule type="expression" dxfId="1108" priority="1072">
      <formula>AND(BT25&gt;=3,EA25&lt;&gt;0, GetEquPower(BA25,BN25, CI25, FS25)=0)</formula>
    </cfRule>
    <cfRule type="expression" dxfId="1107" priority="1073">
      <formula>AND(BT25&gt;=3,EA25&lt;&gt;GetEquPower(BA25,BN25, CI25, FS25))</formula>
    </cfRule>
  </conditionalFormatting>
  <conditionalFormatting sqref="EB25">
    <cfRule type="expression" dxfId="1106" priority="1100">
      <formula>AND(BT25&gt;=4,EB25&lt;&gt;0, GetEquPower(BA25,BN25, CJ25, FS25)=0)</formula>
    </cfRule>
    <cfRule type="expression" dxfId="1105" priority="1101">
      <formula>AND(BT25&gt;=4,EB25&lt;&gt;GetEquPower(BA25,BN25, CJ25, FS25))</formula>
    </cfRule>
  </conditionalFormatting>
  <conditionalFormatting sqref="EC25">
    <cfRule type="expression" dxfId="1104" priority="1114">
      <formula>AND(BT25&gt;=5,EC25&lt;&gt;0, GetEquPower(BA25,BN25, CK25, FS25)=0)</formula>
    </cfRule>
    <cfRule type="expression" dxfId="1103" priority="1115">
      <formula>AND(BT25&gt;=5,EC25&lt;&gt;GetEquPower(BA25,BN25, CK25, FS25))</formula>
    </cfRule>
  </conditionalFormatting>
  <conditionalFormatting sqref="ED25">
    <cfRule type="expression" dxfId="1102" priority="1116">
      <formula>AND(BT25&gt;=6,ED25&lt;&gt;0, GetEquPower(BA25,BN25, CL25, FS25)=0)</formula>
    </cfRule>
    <cfRule type="expression" dxfId="1101" priority="1117">
      <formula>AND(BT25&gt;=6,ED25&lt;&gt;GetEquPower(BA25,BN25, CL25, FS25))</formula>
    </cfRule>
  </conditionalFormatting>
  <conditionalFormatting sqref="EH25">
    <cfRule type="expression" dxfId="1100" priority="1074">
      <formula>AND(BU25&gt;=1,EH25&lt;&gt;0, GetEquPower(BB25,BO25, CN25, FT25)=0)</formula>
    </cfRule>
    <cfRule type="expression" dxfId="1099" priority="1075">
      <formula>AND(BU25&gt;=1,EH25&lt;&gt;GetEquPower(BB25,BO25, CN25, FT25))</formula>
    </cfRule>
  </conditionalFormatting>
  <conditionalFormatting sqref="EI25">
    <cfRule type="expression" dxfId="1098" priority="1076">
      <formula>AND(BU25&gt;=2,EI25&lt;&gt;0, GetEquPower(BB25,BO25, CO25, FT25)=0)</formula>
    </cfRule>
    <cfRule type="expression" dxfId="1097" priority="1077">
      <formula xml:space="preserve"> AND(BU25&gt;=2,EI25&lt;&gt;GetEquPower(BB25,BO25, CO25, FT25))</formula>
    </cfRule>
  </conditionalFormatting>
  <conditionalFormatting sqref="EJ25">
    <cfRule type="expression" dxfId="1096" priority="1078">
      <formula>AND(BU25&gt;=3,EJ25&lt;&gt;0, GetEquPower(BB25,BO25, CP25, FT25)=0)</formula>
    </cfRule>
    <cfRule type="expression" dxfId="1095" priority="1079">
      <formula xml:space="preserve"> AND(BU25&gt;=3,EJ25&lt;&gt;GetEquPower(BB25,BO25, CP25, FT25))</formula>
    </cfRule>
  </conditionalFormatting>
  <conditionalFormatting sqref="EK25">
    <cfRule type="expression" dxfId="1094" priority="1102">
      <formula>AND(BU25&gt;=4,EK25&lt;&gt;0, GetEquPower(BB25,BO25, CQ25, FT25)=0)</formula>
    </cfRule>
    <cfRule type="expression" dxfId="1093" priority="1103">
      <formula xml:space="preserve"> AND(BU25&gt;=4,EK25&lt;&gt;GetEquPower(BB25,BO25, CQ25, FT25))</formula>
    </cfRule>
  </conditionalFormatting>
  <conditionalFormatting sqref="EL25">
    <cfRule type="expression" dxfId="1092" priority="1118">
      <formula>AND(BU25&gt;=5,EL25&lt;&gt;0, GetEquPower(BB25,BO25, CR25, FT25)=0)</formula>
    </cfRule>
    <cfRule type="expression" dxfId="1091" priority="1119">
      <formula xml:space="preserve"> AND(BU25&gt;=5,EL25&lt;&gt;GetEquPower(BB25,BO25, CR25, FT25))</formula>
    </cfRule>
  </conditionalFormatting>
  <conditionalFormatting sqref="EM25">
    <cfRule type="expression" dxfId="1090" priority="1120">
      <formula>AND(BU25&gt;=6,EM25&lt;&gt;0, GetEquPower(BB25,BO25, CS25, FT25)=0)</formula>
    </cfRule>
    <cfRule type="expression" dxfId="1089" priority="1121">
      <formula xml:space="preserve"> AND(BU25&gt;=6,EM25&lt;&gt;GetEquPower(BB25,BO25, CS25, FT25))</formula>
    </cfRule>
  </conditionalFormatting>
  <conditionalFormatting sqref="EQ25">
    <cfRule type="expression" dxfId="1088" priority="1080">
      <formula>AND(BV25&gt;=1,EQ25&lt;&gt;0, GetEquPower(BC25,BP25, CU25, FU25)=0)</formula>
    </cfRule>
    <cfRule type="expression" dxfId="1087" priority="1081">
      <formula>AND(BV25&gt;=1,EQ25&lt;&gt;GetEquPower(BC25,BP25, CU25, FU25))</formula>
    </cfRule>
  </conditionalFormatting>
  <conditionalFormatting sqref="ER25">
    <cfRule type="expression" dxfId="1086" priority="1082">
      <formula>AND(BV25&gt;=2,ER25&lt;&gt;0, GetEquPower(BC25,BP25, CV25, FU25)=0)</formula>
    </cfRule>
    <cfRule type="expression" dxfId="1085" priority="1083">
      <formula>AND(BV25&gt;=2,ER25&lt;&gt;GetEquPower(BC25,BP25, CV25, FU25))</formula>
    </cfRule>
  </conditionalFormatting>
  <conditionalFormatting sqref="ES25">
    <cfRule type="expression" dxfId="1084" priority="1084">
      <formula>AND(BV25&gt;=3,ES25&lt;&gt;0, GetEquPower(BC25,BP25, CW25, FU25)=0)</formula>
    </cfRule>
    <cfRule type="expression" dxfId="1083" priority="1085">
      <formula>AND(BV25&gt;=3,ES25&lt;&gt;GetEquPower(BC25,BP25, CW25, FU25))</formula>
    </cfRule>
  </conditionalFormatting>
  <conditionalFormatting sqref="ET25">
    <cfRule type="expression" dxfId="1082" priority="1104">
      <formula>AND(BV25&gt;=4,ET25&lt;&gt;0, GetEquPower(BC25,BP25, CX25, FU25)=0)</formula>
    </cfRule>
    <cfRule type="expression" dxfId="1081" priority="1105">
      <formula>AND(BV25&gt;=4,ET25&lt;&gt;GetEquPower(BC25,BP25, CX25, FU25))</formula>
    </cfRule>
  </conditionalFormatting>
  <conditionalFormatting sqref="EU25">
    <cfRule type="expression" dxfId="1080" priority="1122">
      <formula>AND(BV25&gt;=5,EU25&lt;&gt;0, GetEquPower(BC25,BP25, CY25, FU25)=0)</formula>
    </cfRule>
    <cfRule type="expression" dxfId="1079" priority="1123">
      <formula>AND(BV25&gt;=5,EU25&lt;&gt;GetEquPower(BC25,BP25, CY25, FU25))</formula>
    </cfRule>
  </conditionalFormatting>
  <conditionalFormatting sqref="EV25">
    <cfRule type="expression" dxfId="1078" priority="1124">
      <formula>AND(BV25&gt;=6,EV25&lt;&gt;0, GetEquPower(BC25,BP25, CZ25, FU25)=0)</formula>
    </cfRule>
    <cfRule type="expression" dxfId="1077" priority="1125">
      <formula>AND(BV25&gt;=6,EV25&lt;&gt;GetEquPower(BC25,BP25, CZ25, FU25))</formula>
    </cfRule>
  </conditionalFormatting>
  <conditionalFormatting sqref="EZ25">
    <cfRule type="expression" dxfId="1076" priority="1086">
      <formula>AND(BW25&gt;=1,EZ25&lt;&gt;0, GetEquPower(BD25,BQ25, DB25, FV25)=0)</formula>
    </cfRule>
    <cfRule type="expression" dxfId="1075" priority="1087">
      <formula>AND(BW25&gt;=1,EZ25&lt;&gt;GetEquPower(BD25,BQ25, DB25, FV25))</formula>
    </cfRule>
  </conditionalFormatting>
  <conditionalFormatting sqref="FA25">
    <cfRule type="expression" dxfId="1074" priority="1088">
      <formula>AND(BW25&gt;=2,FA25&lt;&gt;0, GetEquPower(BD25,BQ25, DC25, FV25)=0)</formula>
    </cfRule>
    <cfRule type="expression" dxfId="1073" priority="1089">
      <formula>AND(BW25&gt;=2,FA25&lt;&gt;GetEquPower(BD25,BQ25, DC25, FV25))</formula>
    </cfRule>
  </conditionalFormatting>
  <conditionalFormatting sqref="FB25">
    <cfRule type="expression" dxfId="1072" priority="1090">
      <formula>AND(BW25&gt;=3,FB25&lt;&gt;0, GetEquPower(BD25,BQ25, DD25, FV25)=0)</formula>
    </cfRule>
    <cfRule type="expression" dxfId="1071" priority="1091">
      <formula>AND(BW25&gt;=3,FB25&lt;&gt;GetEquPower(BD25,BQ25, DD25, FV25))</formula>
    </cfRule>
  </conditionalFormatting>
  <conditionalFormatting sqref="FC25">
    <cfRule type="expression" dxfId="1070" priority="1106">
      <formula>AND(BW25&gt;=4,FC25&lt;&gt;0, GetEquPower(BD25,BQ25, DE25, FV25)=0)</formula>
    </cfRule>
    <cfRule type="expression" dxfId="1069" priority="1107">
      <formula>AND(BW25&gt;=4,FC25&lt;&gt;GetEquPower(BD25,BQ25, DE25, FV25))</formula>
    </cfRule>
  </conditionalFormatting>
  <conditionalFormatting sqref="FD25">
    <cfRule type="expression" dxfId="1068" priority="1126">
      <formula>AND(BW25&gt;=5,FD25&lt;&gt;0, GetEquPower(BD25,BQ25, DF25, FV25)=0)</formula>
    </cfRule>
    <cfRule type="expression" dxfId="1067" priority="1127">
      <formula>AND(BW25&gt;=5,FD25&lt;&gt;GetEquPower(BD25,BQ25, DF25, FV25))</formula>
    </cfRule>
  </conditionalFormatting>
  <conditionalFormatting sqref="FE25">
    <cfRule type="expression" dxfId="1066" priority="1128">
      <formula>AND(BW25&gt;=6,FE25&lt;&gt;0, GetEquPower(BD25,BQ25, DG25, FV25)=0)</formula>
    </cfRule>
    <cfRule type="expression" dxfId="1065" priority="1129">
      <formula>AND(BW25&gt;=6,FE25&lt;&gt;GetEquPower(BD25,BQ25, DG25, FV25))</formula>
    </cfRule>
  </conditionalFormatting>
  <conditionalFormatting sqref="FI25">
    <cfRule type="expression" dxfId="1064" priority="1092">
      <formula>AND(BX25&gt;=1,FI25&lt;&gt;0, GetEquPower(BE25,BR25, DI25, FW25)=0)</formula>
    </cfRule>
    <cfRule type="expression" dxfId="1063" priority="1093">
      <formula>AND(BX25&gt;=1,FI25&lt;&gt;GetEquPower(BE25,BR25, DI25, FW25))</formula>
    </cfRule>
  </conditionalFormatting>
  <conditionalFormatting sqref="FJ25">
    <cfRule type="expression" dxfId="1062" priority="1094">
      <formula>AND(BX25&gt;=2,FJ25&lt;&gt;0, GetEquPower(BE25,BR25, DJ25, FW25)=0)</formula>
    </cfRule>
    <cfRule type="expression" dxfId="1061" priority="1095">
      <formula>AND(BX25&gt;=2,FJ25&lt;&gt;GetEquPower(BE25,BR25, DJ25, FW25))</formula>
    </cfRule>
  </conditionalFormatting>
  <conditionalFormatting sqref="FK25">
    <cfRule type="expression" dxfId="1060" priority="1096">
      <formula>AND(BX25&gt;=3,FK25&lt;&gt;0, GetEquPower(BE25,BR25, DK25, FW25)=0)</formula>
    </cfRule>
    <cfRule type="expression" dxfId="1059" priority="1097">
      <formula>AND(BX25&gt;=3,FK25&lt;&gt;GetEquPower(BE25,BR25, DK25, FW25))</formula>
    </cfRule>
  </conditionalFormatting>
  <conditionalFormatting sqref="FL25">
    <cfRule type="expression" dxfId="1058" priority="1108">
      <formula>AND(BX25&gt;=4,FL25&lt;&gt;0, GetEquPower(BE25,BR25, DL25, FW25)=0)</formula>
    </cfRule>
    <cfRule type="expression" dxfId="1057" priority="1109">
      <formula>AND(BX25&gt;=4,FL25&lt;&gt;GetEquPower(BE25,BR25, DL25, FW25))</formula>
    </cfRule>
  </conditionalFormatting>
  <conditionalFormatting sqref="FM25">
    <cfRule type="expression" dxfId="1056" priority="1130">
      <formula>AND(BX25&gt;=5,FM25&lt;&gt;0, GetEquPower(BE25,BR25, DM25, FW25)=0)</formula>
    </cfRule>
    <cfRule type="expression" dxfId="1055" priority="1131">
      <formula>AND(BX25&gt;=5,FM25&lt;&gt;GetEquPower(BE25,BR25, DM25, FW25))</formula>
    </cfRule>
  </conditionalFormatting>
  <conditionalFormatting sqref="FN25">
    <cfRule type="expression" dxfId="1054" priority="1132">
      <formula>AND(BX25&gt;=6,FN25&lt;&gt;0, GetEquPower(BE25,BR25, DN25, FW25)=0)</formula>
    </cfRule>
    <cfRule type="expression" dxfId="1053" priority="1133">
      <formula>AND(BX25&gt;=6,FN25&lt;&gt;GetEquPower(BE25,BR25, DN25, FW25))</formula>
    </cfRule>
  </conditionalFormatting>
  <conditionalFormatting sqref="F26">
    <cfRule type="expression" dxfId="1052" priority="980">
      <formula>F26&lt;&gt;RIGHT(SUBSTITUTE(TRIM(E26),".",""),LEN(F26))</formula>
    </cfRule>
  </conditionalFormatting>
  <conditionalFormatting sqref="BS26">
    <cfRule type="expression" dxfId="1051" priority="979">
      <formula>AND(J26&gt;=1,BS26&lt;1)</formula>
    </cfRule>
  </conditionalFormatting>
  <conditionalFormatting sqref="BT26">
    <cfRule type="expression" dxfId="1050" priority="978">
      <formula>AND(J26&gt;=2,BT26&lt;1)</formula>
    </cfRule>
  </conditionalFormatting>
  <conditionalFormatting sqref="BU26">
    <cfRule type="expression" dxfId="1049" priority="976">
      <formula>AND(J26&gt;=3,BU26&lt;1)</formula>
    </cfRule>
  </conditionalFormatting>
  <conditionalFormatting sqref="BV26">
    <cfRule type="expression" dxfId="1048" priority="975">
      <formula>AND(J26&gt;=4,BV26&lt;1)</formula>
    </cfRule>
  </conditionalFormatting>
  <conditionalFormatting sqref="BW26">
    <cfRule type="expression" dxfId="1047" priority="977">
      <formula>AND(J26&gt;=5,BW26&lt;1)</formula>
    </cfRule>
  </conditionalFormatting>
  <conditionalFormatting sqref="BX26">
    <cfRule type="expression" dxfId="1046" priority="974">
      <formula>AND(J26&gt;=6,BX26&lt;1)</formula>
    </cfRule>
  </conditionalFormatting>
  <conditionalFormatting sqref="IC26">
    <cfRule type="expression" dxfId="1045" priority="1053">
      <formula>AND($S26 = TRUE, $IC26&lt;&gt;OptionsUnitCode)</formula>
    </cfRule>
  </conditionalFormatting>
  <conditionalFormatting sqref="B26:II26">
    <cfRule type="containsErrors" dxfId="1044" priority="973">
      <formula>ISERROR(B26)</formula>
    </cfRule>
  </conditionalFormatting>
  <conditionalFormatting sqref="DP26">
    <cfRule type="expression" dxfId="1043" priority="981">
      <formula>AND(BS26&gt;=1,DP26&lt;&gt;0, GetEquPower(AZ26,BM26, BZ26, FR26)=0)</formula>
    </cfRule>
    <cfRule type="expression" dxfId="1042" priority="982">
      <formula>AND(BS26&gt;=1,DP26&lt;&gt;GetEquPower(AZ26,BM26, BZ26, FR26))</formula>
    </cfRule>
  </conditionalFormatting>
  <conditionalFormatting sqref="DQ26">
    <cfRule type="expression" dxfId="1041" priority="983">
      <formula>AND(BS26&gt;=2,DQ26&lt;&gt;0, GetEquPower(AZ26,BM26, CA26, FR26)=0)</formula>
    </cfRule>
    <cfRule type="expression" dxfId="1040" priority="984">
      <formula>AND(BS26&gt;=2,DQ26&lt;&gt;GetEquPower(AZ26,BM26, CA26, FR26))</formula>
    </cfRule>
  </conditionalFormatting>
  <conditionalFormatting sqref="DR26">
    <cfRule type="expression" dxfId="1039" priority="985">
      <formula>AND(BS26&gt;=3,DR26&lt;&gt;0, GetEquPower(AZ26,BM26, CB26, FR26)=0)</formula>
    </cfRule>
    <cfRule type="expression" dxfId="1038" priority="986">
      <formula>AND(BS26&gt;=3,DR26&lt;&gt;GetEquPower(AZ26,BM26, CB26, FR26))</formula>
    </cfRule>
  </conditionalFormatting>
  <conditionalFormatting sqref="DS26">
    <cfRule type="expression" dxfId="1037" priority="1017">
      <formula>AND(BS26&gt;=4,DS26&lt;&gt;0, GetEquPower(AZ26,BM26, CC26, FR26)=0)</formula>
    </cfRule>
    <cfRule type="expression" dxfId="1036" priority="1018">
      <formula>AND(BS26&gt;=4, DS26&lt;&gt;GetEquPower(AZ26,BM26, CC26, FR26))</formula>
    </cfRule>
  </conditionalFormatting>
  <conditionalFormatting sqref="DT26">
    <cfRule type="expression" dxfId="1035" priority="1029">
      <formula>AND(BS26&gt;=5,DT26&lt;&gt;0, GetEquPower(AZ26,BM26, CD26, FR26)=0)</formula>
    </cfRule>
    <cfRule type="expression" dxfId="1034" priority="1030">
      <formula>AND(BS26&gt;=5, DT26&lt;&gt;GetEquPower(AZ26,BM26, CD26, FR26))</formula>
    </cfRule>
  </conditionalFormatting>
  <conditionalFormatting sqref="DU26">
    <cfRule type="expression" dxfId="1033" priority="1031">
      <formula>AND(BS26&gt;=6,DU26&lt;&gt;0, GetEquPower(AZ26,BM26, CE26, FR26)=0)</formula>
    </cfRule>
    <cfRule type="expression" dxfId="1032" priority="1032">
      <formula>AND(BS26&gt;=6, DU26&lt;&gt;GetEquPower(AZ26,BM26, CE26, FR26))</formula>
    </cfRule>
  </conditionalFormatting>
  <conditionalFormatting sqref="DY26">
    <cfRule type="expression" dxfId="1031" priority="987">
      <formula>AND(BT26&gt;=1,DY26&lt;&gt;0, GetEquPower(BA26,BN26, CG26, FS26)=0)</formula>
    </cfRule>
    <cfRule type="expression" dxfId="1030" priority="988">
      <formula>AND(BT26&gt;=1,DY26&lt;&gt;GetEquPower(BA26,BN26, CG26, FS26))</formula>
    </cfRule>
  </conditionalFormatting>
  <conditionalFormatting sqref="DZ26">
    <cfRule type="expression" dxfId="1029" priority="989">
      <formula>AND(BT26&gt;=2,DZ26&lt;&gt;0, GetEquPower(BA26,BN26, CH26, FS26)=0)</formula>
    </cfRule>
    <cfRule type="expression" dxfId="1028" priority="990">
      <formula>AND(BT26&gt;=2,DZ26&lt;&gt;GetEquPower(BA26,BN26, CH26, FS26))</formula>
    </cfRule>
  </conditionalFormatting>
  <conditionalFormatting sqref="EA26">
    <cfRule type="expression" dxfId="1027" priority="991">
      <formula>AND(BT26&gt;=3,EA26&lt;&gt;0, GetEquPower(BA26,BN26, CI26, FS26)=0)</formula>
    </cfRule>
    <cfRule type="expression" dxfId="1026" priority="992">
      <formula>AND(BT26&gt;=3,EA26&lt;&gt;GetEquPower(BA26,BN26, CI26, FS26))</formula>
    </cfRule>
  </conditionalFormatting>
  <conditionalFormatting sqref="EB26">
    <cfRule type="expression" dxfId="1025" priority="1019">
      <formula>AND(BT26&gt;=4,EB26&lt;&gt;0, GetEquPower(BA26,BN26, CJ26, FS26)=0)</formula>
    </cfRule>
    <cfRule type="expression" dxfId="1024" priority="1020">
      <formula>AND(BT26&gt;=4,EB26&lt;&gt;GetEquPower(BA26,BN26, CJ26, FS26))</formula>
    </cfRule>
  </conditionalFormatting>
  <conditionalFormatting sqref="EC26">
    <cfRule type="expression" dxfId="1023" priority="1033">
      <formula>AND(BT26&gt;=5,EC26&lt;&gt;0, GetEquPower(BA26,BN26, CK26, FS26)=0)</formula>
    </cfRule>
    <cfRule type="expression" dxfId="1022" priority="1034">
      <formula>AND(BT26&gt;=5,EC26&lt;&gt;GetEquPower(BA26,BN26, CK26, FS26))</formula>
    </cfRule>
  </conditionalFormatting>
  <conditionalFormatting sqref="ED26">
    <cfRule type="expression" dxfId="1021" priority="1035">
      <formula>AND(BT26&gt;=6,ED26&lt;&gt;0, GetEquPower(BA26,BN26, CL26, FS26)=0)</formula>
    </cfRule>
    <cfRule type="expression" dxfId="1020" priority="1036">
      <formula>AND(BT26&gt;=6,ED26&lt;&gt;GetEquPower(BA26,BN26, CL26, FS26))</formula>
    </cfRule>
  </conditionalFormatting>
  <conditionalFormatting sqref="EH26">
    <cfRule type="expression" dxfId="1019" priority="993">
      <formula>AND(BU26&gt;=1,EH26&lt;&gt;0, GetEquPower(BB26,BO26, CN26, FT26)=0)</formula>
    </cfRule>
    <cfRule type="expression" dxfId="1018" priority="994">
      <formula>AND(BU26&gt;=1,EH26&lt;&gt;GetEquPower(BB26,BO26, CN26, FT26))</formula>
    </cfRule>
  </conditionalFormatting>
  <conditionalFormatting sqref="EI26">
    <cfRule type="expression" dxfId="1017" priority="995">
      <formula>AND(BU26&gt;=2,EI26&lt;&gt;0, GetEquPower(BB26,BO26, CO26, FT26)=0)</formula>
    </cfRule>
    <cfRule type="expression" dxfId="1016" priority="996">
      <formula xml:space="preserve"> AND(BU26&gt;=2,EI26&lt;&gt;GetEquPower(BB26,BO26, CO26, FT26))</formula>
    </cfRule>
  </conditionalFormatting>
  <conditionalFormatting sqref="EJ26">
    <cfRule type="expression" dxfId="1015" priority="997">
      <formula>AND(BU26&gt;=3,EJ26&lt;&gt;0, GetEquPower(BB26,BO26, CP26, FT26)=0)</formula>
    </cfRule>
    <cfRule type="expression" dxfId="1014" priority="998">
      <formula xml:space="preserve"> AND(BU26&gt;=3,EJ26&lt;&gt;GetEquPower(BB26,BO26, CP26, FT26))</formula>
    </cfRule>
  </conditionalFormatting>
  <conditionalFormatting sqref="EK26">
    <cfRule type="expression" dxfId="1013" priority="1021">
      <formula>AND(BU26&gt;=4,EK26&lt;&gt;0, GetEquPower(BB26,BO26, CQ26, FT26)=0)</formula>
    </cfRule>
    <cfRule type="expression" dxfId="1012" priority="1022">
      <formula xml:space="preserve"> AND(BU26&gt;=4,EK26&lt;&gt;GetEquPower(BB26,BO26, CQ26, FT26))</formula>
    </cfRule>
  </conditionalFormatting>
  <conditionalFormatting sqref="EL26">
    <cfRule type="expression" dxfId="1011" priority="1037">
      <formula>AND(BU26&gt;=5,EL26&lt;&gt;0, GetEquPower(BB26,BO26, CR26, FT26)=0)</formula>
    </cfRule>
    <cfRule type="expression" dxfId="1010" priority="1038">
      <formula xml:space="preserve"> AND(BU26&gt;=5,EL26&lt;&gt;GetEquPower(BB26,BO26, CR26, FT26))</formula>
    </cfRule>
  </conditionalFormatting>
  <conditionalFormatting sqref="EM26">
    <cfRule type="expression" dxfId="1009" priority="1039">
      <formula>AND(BU26&gt;=6,EM26&lt;&gt;0, GetEquPower(BB26,BO26, CS26, FT26)=0)</formula>
    </cfRule>
    <cfRule type="expression" dxfId="1008" priority="1040">
      <formula xml:space="preserve"> AND(BU26&gt;=6,EM26&lt;&gt;GetEquPower(BB26,BO26, CS26, FT26))</formula>
    </cfRule>
  </conditionalFormatting>
  <conditionalFormatting sqref="EQ26">
    <cfRule type="expression" dxfId="1007" priority="999">
      <formula>AND(BV26&gt;=1,EQ26&lt;&gt;0, GetEquPower(BC26,BP26, CU26, FU26)=0)</formula>
    </cfRule>
    <cfRule type="expression" dxfId="1006" priority="1000">
      <formula>AND(BV26&gt;=1,EQ26&lt;&gt;GetEquPower(BC26,BP26, CU26, FU26))</formula>
    </cfRule>
  </conditionalFormatting>
  <conditionalFormatting sqref="ER26">
    <cfRule type="expression" dxfId="1005" priority="1001">
      <formula>AND(BV26&gt;=2,ER26&lt;&gt;0, GetEquPower(BC26,BP26, CV26, FU26)=0)</formula>
    </cfRule>
    <cfRule type="expression" dxfId="1004" priority="1002">
      <formula>AND(BV26&gt;=2,ER26&lt;&gt;GetEquPower(BC26,BP26, CV26, FU26))</formula>
    </cfRule>
  </conditionalFormatting>
  <conditionalFormatting sqref="ES26">
    <cfRule type="expression" dxfId="1003" priority="1003">
      <formula>AND(BV26&gt;=3,ES26&lt;&gt;0, GetEquPower(BC26,BP26, CW26, FU26)=0)</formula>
    </cfRule>
    <cfRule type="expression" dxfId="1002" priority="1004">
      <formula>AND(BV26&gt;=3,ES26&lt;&gt;GetEquPower(BC26,BP26, CW26, FU26))</formula>
    </cfRule>
  </conditionalFormatting>
  <conditionalFormatting sqref="ET26">
    <cfRule type="expression" dxfId="1001" priority="1023">
      <formula>AND(BV26&gt;=4,ET26&lt;&gt;0, GetEquPower(BC26,BP26, CX26, FU26)=0)</formula>
    </cfRule>
    <cfRule type="expression" dxfId="1000" priority="1024">
      <formula>AND(BV26&gt;=4,ET26&lt;&gt;GetEquPower(BC26,BP26, CX26, FU26))</formula>
    </cfRule>
  </conditionalFormatting>
  <conditionalFormatting sqref="EU26">
    <cfRule type="expression" dxfId="999" priority="1041">
      <formula>AND(BV26&gt;=5,EU26&lt;&gt;0, GetEquPower(BC26,BP26, CY26, FU26)=0)</formula>
    </cfRule>
    <cfRule type="expression" dxfId="998" priority="1042">
      <formula>AND(BV26&gt;=5,EU26&lt;&gt;GetEquPower(BC26,BP26, CY26, FU26))</formula>
    </cfRule>
  </conditionalFormatting>
  <conditionalFormatting sqref="EV26">
    <cfRule type="expression" dxfId="997" priority="1043">
      <formula>AND(BV26&gt;=6,EV26&lt;&gt;0, GetEquPower(BC26,BP26, CZ26, FU26)=0)</formula>
    </cfRule>
    <cfRule type="expression" dxfId="996" priority="1044">
      <formula>AND(BV26&gt;=6,EV26&lt;&gt;GetEquPower(BC26,BP26, CZ26, FU26))</formula>
    </cfRule>
  </conditionalFormatting>
  <conditionalFormatting sqref="EZ26">
    <cfRule type="expression" dxfId="995" priority="1005">
      <formula>AND(BW26&gt;=1,EZ26&lt;&gt;0, GetEquPower(BD26,BQ26, DB26, FV26)=0)</formula>
    </cfRule>
    <cfRule type="expression" dxfId="994" priority="1006">
      <formula>AND(BW26&gt;=1,EZ26&lt;&gt;GetEquPower(BD26,BQ26, DB26, FV26))</formula>
    </cfRule>
  </conditionalFormatting>
  <conditionalFormatting sqref="FA26">
    <cfRule type="expression" dxfId="993" priority="1007">
      <formula>AND(BW26&gt;=2,FA26&lt;&gt;0, GetEquPower(BD26,BQ26, DC26, FV26)=0)</formula>
    </cfRule>
    <cfRule type="expression" dxfId="992" priority="1008">
      <formula>AND(BW26&gt;=2,FA26&lt;&gt;GetEquPower(BD26,BQ26, DC26, FV26))</formula>
    </cfRule>
  </conditionalFormatting>
  <conditionalFormatting sqref="FB26">
    <cfRule type="expression" dxfId="991" priority="1009">
      <formula>AND(BW26&gt;=3,FB26&lt;&gt;0, GetEquPower(BD26,BQ26, DD26, FV26)=0)</formula>
    </cfRule>
    <cfRule type="expression" dxfId="990" priority="1010">
      <formula>AND(BW26&gt;=3,FB26&lt;&gt;GetEquPower(BD26,BQ26, DD26, FV26))</formula>
    </cfRule>
  </conditionalFormatting>
  <conditionalFormatting sqref="FC26">
    <cfRule type="expression" dxfId="989" priority="1025">
      <formula>AND(BW26&gt;=4,FC26&lt;&gt;0, GetEquPower(BD26,BQ26, DE26, FV26)=0)</formula>
    </cfRule>
    <cfRule type="expression" dxfId="988" priority="1026">
      <formula>AND(BW26&gt;=4,FC26&lt;&gt;GetEquPower(BD26,BQ26, DE26, FV26))</formula>
    </cfRule>
  </conditionalFormatting>
  <conditionalFormatting sqref="FD26">
    <cfRule type="expression" dxfId="987" priority="1045">
      <formula>AND(BW26&gt;=5,FD26&lt;&gt;0, GetEquPower(BD26,BQ26, DF26, FV26)=0)</formula>
    </cfRule>
    <cfRule type="expression" dxfId="986" priority="1046">
      <formula>AND(BW26&gt;=5,FD26&lt;&gt;GetEquPower(BD26,BQ26, DF26, FV26))</formula>
    </cfRule>
  </conditionalFormatting>
  <conditionalFormatting sqref="FE26">
    <cfRule type="expression" dxfId="985" priority="1047">
      <formula>AND(BW26&gt;=6,FE26&lt;&gt;0, GetEquPower(BD26,BQ26, DG26, FV26)=0)</formula>
    </cfRule>
    <cfRule type="expression" dxfId="984" priority="1048">
      <formula>AND(BW26&gt;=6,FE26&lt;&gt;GetEquPower(BD26,BQ26, DG26, FV26))</formula>
    </cfRule>
  </conditionalFormatting>
  <conditionalFormatting sqref="FI26">
    <cfRule type="expression" dxfId="983" priority="1011">
      <formula>AND(BX26&gt;=1,FI26&lt;&gt;0, GetEquPower(BE26,BR26, DI26, FW26)=0)</formula>
    </cfRule>
    <cfRule type="expression" dxfId="982" priority="1012">
      <formula>AND(BX26&gt;=1,FI26&lt;&gt;GetEquPower(BE26,BR26, DI26, FW26))</formula>
    </cfRule>
  </conditionalFormatting>
  <conditionalFormatting sqref="FJ26">
    <cfRule type="expression" dxfId="981" priority="1013">
      <formula>AND(BX26&gt;=2,FJ26&lt;&gt;0, GetEquPower(BE26,BR26, DJ26, FW26)=0)</formula>
    </cfRule>
    <cfRule type="expression" dxfId="980" priority="1014">
      <formula>AND(BX26&gt;=2,FJ26&lt;&gt;GetEquPower(BE26,BR26, DJ26, FW26))</formula>
    </cfRule>
  </conditionalFormatting>
  <conditionalFormatting sqref="FK26">
    <cfRule type="expression" dxfId="979" priority="1015">
      <formula>AND(BX26&gt;=3,FK26&lt;&gt;0, GetEquPower(BE26,BR26, DK26, FW26)=0)</formula>
    </cfRule>
    <cfRule type="expression" dxfId="978" priority="1016">
      <formula>AND(BX26&gt;=3,FK26&lt;&gt;GetEquPower(BE26,BR26, DK26, FW26))</formula>
    </cfRule>
  </conditionalFormatting>
  <conditionalFormatting sqref="FL26">
    <cfRule type="expression" dxfId="977" priority="1027">
      <formula>AND(BX26&gt;=4,FL26&lt;&gt;0, GetEquPower(BE26,BR26, DL26, FW26)=0)</formula>
    </cfRule>
    <cfRule type="expression" dxfId="976" priority="1028">
      <formula>AND(BX26&gt;=4,FL26&lt;&gt;GetEquPower(BE26,BR26, DL26, FW26))</formula>
    </cfRule>
  </conditionalFormatting>
  <conditionalFormatting sqref="FM26">
    <cfRule type="expression" dxfId="975" priority="1049">
      <formula>AND(BX26&gt;=5,FM26&lt;&gt;0, GetEquPower(BE26,BR26, DM26, FW26)=0)</formula>
    </cfRule>
    <cfRule type="expression" dxfId="974" priority="1050">
      <formula>AND(BX26&gt;=5,FM26&lt;&gt;GetEquPower(BE26,BR26, DM26, FW26))</formula>
    </cfRule>
  </conditionalFormatting>
  <conditionalFormatting sqref="FN26">
    <cfRule type="expression" dxfId="973" priority="1051">
      <formula>AND(BX26&gt;=6,FN26&lt;&gt;0, GetEquPower(BE26,BR26, DN26, FW26)=0)</formula>
    </cfRule>
    <cfRule type="expression" dxfId="972" priority="1052">
      <formula>AND(BX26&gt;=6,FN26&lt;&gt;GetEquPower(BE26,BR26, DN26, FW26))</formula>
    </cfRule>
  </conditionalFormatting>
  <conditionalFormatting sqref="F27">
    <cfRule type="expression" dxfId="971" priority="899">
      <formula>F27&lt;&gt;RIGHT(SUBSTITUTE(TRIM(E27),".",""),LEN(F27))</formula>
    </cfRule>
  </conditionalFormatting>
  <conditionalFormatting sqref="BS27">
    <cfRule type="expression" dxfId="970" priority="898">
      <formula>AND(J27&gt;=1,BS27&lt;1)</formula>
    </cfRule>
  </conditionalFormatting>
  <conditionalFormatting sqref="BT27">
    <cfRule type="expression" dxfId="969" priority="897">
      <formula>AND(J27&gt;=2,BT27&lt;1)</formula>
    </cfRule>
  </conditionalFormatting>
  <conditionalFormatting sqref="BU27">
    <cfRule type="expression" dxfId="968" priority="895">
      <formula>AND(J27&gt;=3,BU27&lt;1)</formula>
    </cfRule>
  </conditionalFormatting>
  <conditionalFormatting sqref="BV27">
    <cfRule type="expression" dxfId="967" priority="894">
      <formula>AND(J27&gt;=4,BV27&lt;1)</formula>
    </cfRule>
  </conditionalFormatting>
  <conditionalFormatting sqref="BW27">
    <cfRule type="expression" dxfId="966" priority="896">
      <formula>AND(J27&gt;=5,BW27&lt;1)</formula>
    </cfRule>
  </conditionalFormatting>
  <conditionalFormatting sqref="BX27">
    <cfRule type="expression" dxfId="965" priority="893">
      <formula>AND(J27&gt;=6,BX27&lt;1)</formula>
    </cfRule>
  </conditionalFormatting>
  <conditionalFormatting sqref="IC27">
    <cfRule type="expression" dxfId="964" priority="972">
      <formula>AND($S27 = TRUE, $IC27&lt;&gt;OptionsUnitCode)</formula>
    </cfRule>
  </conditionalFormatting>
  <conditionalFormatting sqref="B27:II27">
    <cfRule type="containsErrors" dxfId="963" priority="892">
      <formula>ISERROR(B27)</formula>
    </cfRule>
  </conditionalFormatting>
  <conditionalFormatting sqref="DP27">
    <cfRule type="expression" dxfId="962" priority="900">
      <formula>AND(BS27&gt;=1,DP27&lt;&gt;0, GetEquPower(AZ27,BM27, BZ27, FR27)=0)</formula>
    </cfRule>
    <cfRule type="expression" dxfId="961" priority="901">
      <formula>AND(BS27&gt;=1,DP27&lt;&gt;GetEquPower(AZ27,BM27, BZ27, FR27))</formula>
    </cfRule>
  </conditionalFormatting>
  <conditionalFormatting sqref="DQ27">
    <cfRule type="expression" dxfId="960" priority="902">
      <formula>AND(BS27&gt;=2,DQ27&lt;&gt;0, GetEquPower(AZ27,BM27, CA27, FR27)=0)</formula>
    </cfRule>
    <cfRule type="expression" dxfId="959" priority="903">
      <formula>AND(BS27&gt;=2,DQ27&lt;&gt;GetEquPower(AZ27,BM27, CA27, FR27))</formula>
    </cfRule>
  </conditionalFormatting>
  <conditionalFormatting sqref="DR27">
    <cfRule type="expression" dxfId="958" priority="904">
      <formula>AND(BS27&gt;=3,DR27&lt;&gt;0, GetEquPower(AZ27,BM27, CB27, FR27)=0)</formula>
    </cfRule>
    <cfRule type="expression" dxfId="957" priority="905">
      <formula>AND(BS27&gt;=3,DR27&lt;&gt;GetEquPower(AZ27,BM27, CB27, FR27))</formula>
    </cfRule>
  </conditionalFormatting>
  <conditionalFormatting sqref="DS27">
    <cfRule type="expression" dxfId="956" priority="936">
      <formula>AND(BS27&gt;=4,DS27&lt;&gt;0, GetEquPower(AZ27,BM27, CC27, FR27)=0)</formula>
    </cfRule>
    <cfRule type="expression" dxfId="955" priority="937">
      <formula>AND(BS27&gt;=4, DS27&lt;&gt;GetEquPower(AZ27,BM27, CC27, FR27))</formula>
    </cfRule>
  </conditionalFormatting>
  <conditionalFormatting sqref="DT27">
    <cfRule type="expression" dxfId="954" priority="948">
      <formula>AND(BS27&gt;=5,DT27&lt;&gt;0, GetEquPower(AZ27,BM27, CD27, FR27)=0)</formula>
    </cfRule>
    <cfRule type="expression" dxfId="953" priority="949">
      <formula>AND(BS27&gt;=5, DT27&lt;&gt;GetEquPower(AZ27,BM27, CD27, FR27))</formula>
    </cfRule>
  </conditionalFormatting>
  <conditionalFormatting sqref="DU27">
    <cfRule type="expression" dxfId="952" priority="950">
      <formula>AND(BS27&gt;=6,DU27&lt;&gt;0, GetEquPower(AZ27,BM27, CE27, FR27)=0)</formula>
    </cfRule>
    <cfRule type="expression" dxfId="951" priority="951">
      <formula>AND(BS27&gt;=6, DU27&lt;&gt;GetEquPower(AZ27,BM27, CE27, FR27))</formula>
    </cfRule>
  </conditionalFormatting>
  <conditionalFormatting sqref="DY27">
    <cfRule type="expression" dxfId="950" priority="906">
      <formula>AND(BT27&gt;=1,DY27&lt;&gt;0, GetEquPower(BA27,BN27, CG27, FS27)=0)</formula>
    </cfRule>
    <cfRule type="expression" dxfId="949" priority="907">
      <formula>AND(BT27&gt;=1,DY27&lt;&gt;GetEquPower(BA27,BN27, CG27, FS27))</formula>
    </cfRule>
  </conditionalFormatting>
  <conditionalFormatting sqref="DZ27">
    <cfRule type="expression" dxfId="948" priority="908">
      <formula>AND(BT27&gt;=2,DZ27&lt;&gt;0, GetEquPower(BA27,BN27, CH27, FS27)=0)</formula>
    </cfRule>
    <cfRule type="expression" dxfId="947" priority="909">
      <formula>AND(BT27&gt;=2,DZ27&lt;&gt;GetEquPower(BA27,BN27, CH27, FS27))</formula>
    </cfRule>
  </conditionalFormatting>
  <conditionalFormatting sqref="EA27">
    <cfRule type="expression" dxfId="946" priority="910">
      <formula>AND(BT27&gt;=3,EA27&lt;&gt;0, GetEquPower(BA27,BN27, CI27, FS27)=0)</formula>
    </cfRule>
    <cfRule type="expression" dxfId="945" priority="911">
      <formula>AND(BT27&gt;=3,EA27&lt;&gt;GetEquPower(BA27,BN27, CI27, FS27))</formula>
    </cfRule>
  </conditionalFormatting>
  <conditionalFormatting sqref="EB27">
    <cfRule type="expression" dxfId="944" priority="938">
      <formula>AND(BT27&gt;=4,EB27&lt;&gt;0, GetEquPower(BA27,BN27, CJ27, FS27)=0)</formula>
    </cfRule>
    <cfRule type="expression" dxfId="943" priority="939">
      <formula>AND(BT27&gt;=4,EB27&lt;&gt;GetEquPower(BA27,BN27, CJ27, FS27))</formula>
    </cfRule>
  </conditionalFormatting>
  <conditionalFormatting sqref="EC27">
    <cfRule type="expression" dxfId="942" priority="952">
      <formula>AND(BT27&gt;=5,EC27&lt;&gt;0, GetEquPower(BA27,BN27, CK27, FS27)=0)</formula>
    </cfRule>
    <cfRule type="expression" dxfId="941" priority="953">
      <formula>AND(BT27&gt;=5,EC27&lt;&gt;GetEquPower(BA27,BN27, CK27, FS27))</formula>
    </cfRule>
  </conditionalFormatting>
  <conditionalFormatting sqref="ED27">
    <cfRule type="expression" dxfId="940" priority="954">
      <formula>AND(BT27&gt;=6,ED27&lt;&gt;0, GetEquPower(BA27,BN27, CL27, FS27)=0)</formula>
    </cfRule>
    <cfRule type="expression" dxfId="939" priority="955">
      <formula>AND(BT27&gt;=6,ED27&lt;&gt;GetEquPower(BA27,BN27, CL27, FS27))</formula>
    </cfRule>
  </conditionalFormatting>
  <conditionalFormatting sqref="EH27">
    <cfRule type="expression" dxfId="938" priority="912">
      <formula>AND(BU27&gt;=1,EH27&lt;&gt;0, GetEquPower(BB27,BO27, CN27, FT27)=0)</formula>
    </cfRule>
    <cfRule type="expression" dxfId="937" priority="913">
      <formula>AND(BU27&gt;=1,EH27&lt;&gt;GetEquPower(BB27,BO27, CN27, FT27))</formula>
    </cfRule>
  </conditionalFormatting>
  <conditionalFormatting sqref="EI27">
    <cfRule type="expression" dxfId="936" priority="914">
      <formula>AND(BU27&gt;=2,EI27&lt;&gt;0, GetEquPower(BB27,BO27, CO27, FT27)=0)</formula>
    </cfRule>
    <cfRule type="expression" dxfId="935" priority="915">
      <formula xml:space="preserve"> AND(BU27&gt;=2,EI27&lt;&gt;GetEquPower(BB27,BO27, CO27, FT27))</formula>
    </cfRule>
  </conditionalFormatting>
  <conditionalFormatting sqref="EJ27">
    <cfRule type="expression" dxfId="934" priority="916">
      <formula>AND(BU27&gt;=3,EJ27&lt;&gt;0, GetEquPower(BB27,BO27, CP27, FT27)=0)</formula>
    </cfRule>
    <cfRule type="expression" dxfId="933" priority="917">
      <formula xml:space="preserve"> AND(BU27&gt;=3,EJ27&lt;&gt;GetEquPower(BB27,BO27, CP27, FT27))</formula>
    </cfRule>
  </conditionalFormatting>
  <conditionalFormatting sqref="EK27">
    <cfRule type="expression" dxfId="932" priority="940">
      <formula>AND(BU27&gt;=4,EK27&lt;&gt;0, GetEquPower(BB27,BO27, CQ27, FT27)=0)</formula>
    </cfRule>
    <cfRule type="expression" dxfId="931" priority="941">
      <formula xml:space="preserve"> AND(BU27&gt;=4,EK27&lt;&gt;GetEquPower(BB27,BO27, CQ27, FT27))</formula>
    </cfRule>
  </conditionalFormatting>
  <conditionalFormatting sqref="EL27">
    <cfRule type="expression" dxfId="930" priority="956">
      <formula>AND(BU27&gt;=5,EL27&lt;&gt;0, GetEquPower(BB27,BO27, CR27, FT27)=0)</formula>
    </cfRule>
    <cfRule type="expression" dxfId="929" priority="957">
      <formula xml:space="preserve"> AND(BU27&gt;=5,EL27&lt;&gt;GetEquPower(BB27,BO27, CR27, FT27))</formula>
    </cfRule>
  </conditionalFormatting>
  <conditionalFormatting sqref="EM27">
    <cfRule type="expression" dxfId="928" priority="958">
      <formula>AND(BU27&gt;=6,EM27&lt;&gt;0, GetEquPower(BB27,BO27, CS27, FT27)=0)</formula>
    </cfRule>
    <cfRule type="expression" dxfId="927" priority="959">
      <formula xml:space="preserve"> AND(BU27&gt;=6,EM27&lt;&gt;GetEquPower(BB27,BO27, CS27, FT27))</formula>
    </cfRule>
  </conditionalFormatting>
  <conditionalFormatting sqref="EQ27">
    <cfRule type="expression" dxfId="926" priority="918">
      <formula>AND(BV27&gt;=1,EQ27&lt;&gt;0, GetEquPower(BC27,BP27, CU27, FU27)=0)</formula>
    </cfRule>
    <cfRule type="expression" dxfId="925" priority="919">
      <formula>AND(BV27&gt;=1,EQ27&lt;&gt;GetEquPower(BC27,BP27, CU27, FU27))</formula>
    </cfRule>
  </conditionalFormatting>
  <conditionalFormatting sqref="ER27">
    <cfRule type="expression" dxfId="924" priority="920">
      <formula>AND(BV27&gt;=2,ER27&lt;&gt;0, GetEquPower(BC27,BP27, CV27, FU27)=0)</formula>
    </cfRule>
    <cfRule type="expression" dxfId="923" priority="921">
      <formula>AND(BV27&gt;=2,ER27&lt;&gt;GetEquPower(BC27,BP27, CV27, FU27))</formula>
    </cfRule>
  </conditionalFormatting>
  <conditionalFormatting sqref="ES27">
    <cfRule type="expression" dxfId="922" priority="922">
      <formula>AND(BV27&gt;=3,ES27&lt;&gt;0, GetEquPower(BC27,BP27, CW27, FU27)=0)</formula>
    </cfRule>
    <cfRule type="expression" dxfId="921" priority="923">
      <formula>AND(BV27&gt;=3,ES27&lt;&gt;GetEquPower(BC27,BP27, CW27, FU27))</formula>
    </cfRule>
  </conditionalFormatting>
  <conditionalFormatting sqref="ET27">
    <cfRule type="expression" dxfId="920" priority="942">
      <formula>AND(BV27&gt;=4,ET27&lt;&gt;0, GetEquPower(BC27,BP27, CX27, FU27)=0)</formula>
    </cfRule>
    <cfRule type="expression" dxfId="919" priority="943">
      <formula>AND(BV27&gt;=4,ET27&lt;&gt;GetEquPower(BC27,BP27, CX27, FU27))</formula>
    </cfRule>
  </conditionalFormatting>
  <conditionalFormatting sqref="EU27">
    <cfRule type="expression" dxfId="918" priority="960">
      <formula>AND(BV27&gt;=5,EU27&lt;&gt;0, GetEquPower(BC27,BP27, CY27, FU27)=0)</formula>
    </cfRule>
    <cfRule type="expression" dxfId="917" priority="961">
      <formula>AND(BV27&gt;=5,EU27&lt;&gt;GetEquPower(BC27,BP27, CY27, FU27))</formula>
    </cfRule>
  </conditionalFormatting>
  <conditionalFormatting sqref="EV27">
    <cfRule type="expression" dxfId="916" priority="962">
      <formula>AND(BV27&gt;=6,EV27&lt;&gt;0, GetEquPower(BC27,BP27, CZ27, FU27)=0)</formula>
    </cfRule>
    <cfRule type="expression" dxfId="915" priority="963">
      <formula>AND(BV27&gt;=6,EV27&lt;&gt;GetEquPower(BC27,BP27, CZ27, FU27))</formula>
    </cfRule>
  </conditionalFormatting>
  <conditionalFormatting sqref="EZ27">
    <cfRule type="expression" dxfId="914" priority="924">
      <formula>AND(BW27&gt;=1,EZ27&lt;&gt;0, GetEquPower(BD27,BQ27, DB27, FV27)=0)</formula>
    </cfRule>
    <cfRule type="expression" dxfId="913" priority="925">
      <formula>AND(BW27&gt;=1,EZ27&lt;&gt;GetEquPower(BD27,BQ27, DB27, FV27))</formula>
    </cfRule>
  </conditionalFormatting>
  <conditionalFormatting sqref="FA27">
    <cfRule type="expression" dxfId="912" priority="926">
      <formula>AND(BW27&gt;=2,FA27&lt;&gt;0, GetEquPower(BD27,BQ27, DC27, FV27)=0)</formula>
    </cfRule>
    <cfRule type="expression" dxfId="911" priority="927">
      <formula>AND(BW27&gt;=2,FA27&lt;&gt;GetEquPower(BD27,BQ27, DC27, FV27))</formula>
    </cfRule>
  </conditionalFormatting>
  <conditionalFormatting sqref="FB27">
    <cfRule type="expression" dxfId="910" priority="928">
      <formula>AND(BW27&gt;=3,FB27&lt;&gt;0, GetEquPower(BD27,BQ27, DD27, FV27)=0)</formula>
    </cfRule>
    <cfRule type="expression" dxfId="909" priority="929">
      <formula>AND(BW27&gt;=3,FB27&lt;&gt;GetEquPower(BD27,BQ27, DD27, FV27))</formula>
    </cfRule>
  </conditionalFormatting>
  <conditionalFormatting sqref="FC27">
    <cfRule type="expression" dxfId="908" priority="944">
      <formula>AND(BW27&gt;=4,FC27&lt;&gt;0, GetEquPower(BD27,BQ27, DE27, FV27)=0)</formula>
    </cfRule>
    <cfRule type="expression" dxfId="907" priority="945">
      <formula>AND(BW27&gt;=4,FC27&lt;&gt;GetEquPower(BD27,BQ27, DE27, FV27))</formula>
    </cfRule>
  </conditionalFormatting>
  <conditionalFormatting sqref="FD27">
    <cfRule type="expression" dxfId="906" priority="964">
      <formula>AND(BW27&gt;=5,FD27&lt;&gt;0, GetEquPower(BD27,BQ27, DF27, FV27)=0)</formula>
    </cfRule>
    <cfRule type="expression" dxfId="905" priority="965">
      <formula>AND(BW27&gt;=5,FD27&lt;&gt;GetEquPower(BD27,BQ27, DF27, FV27))</formula>
    </cfRule>
  </conditionalFormatting>
  <conditionalFormatting sqref="FE27">
    <cfRule type="expression" dxfId="904" priority="966">
      <formula>AND(BW27&gt;=6,FE27&lt;&gt;0, GetEquPower(BD27,BQ27, DG27, FV27)=0)</formula>
    </cfRule>
    <cfRule type="expression" dxfId="903" priority="967">
      <formula>AND(BW27&gt;=6,FE27&lt;&gt;GetEquPower(BD27,BQ27, DG27, FV27))</formula>
    </cfRule>
  </conditionalFormatting>
  <conditionalFormatting sqref="FI27">
    <cfRule type="expression" dxfId="902" priority="930">
      <formula>AND(BX27&gt;=1,FI27&lt;&gt;0, GetEquPower(BE27,BR27, DI27, FW27)=0)</formula>
    </cfRule>
    <cfRule type="expression" dxfId="901" priority="931">
      <formula>AND(BX27&gt;=1,FI27&lt;&gt;GetEquPower(BE27,BR27, DI27, FW27))</formula>
    </cfRule>
  </conditionalFormatting>
  <conditionalFormatting sqref="FJ27">
    <cfRule type="expression" dxfId="900" priority="932">
      <formula>AND(BX27&gt;=2,FJ27&lt;&gt;0, GetEquPower(BE27,BR27, DJ27, FW27)=0)</formula>
    </cfRule>
    <cfRule type="expression" dxfId="899" priority="933">
      <formula>AND(BX27&gt;=2,FJ27&lt;&gt;GetEquPower(BE27,BR27, DJ27, FW27))</formula>
    </cfRule>
  </conditionalFormatting>
  <conditionalFormatting sqref="FK27">
    <cfRule type="expression" dxfId="898" priority="934">
      <formula>AND(BX27&gt;=3,FK27&lt;&gt;0, GetEquPower(BE27,BR27, DK27, FW27)=0)</formula>
    </cfRule>
    <cfRule type="expression" dxfId="897" priority="935">
      <formula>AND(BX27&gt;=3,FK27&lt;&gt;GetEquPower(BE27,BR27, DK27, FW27))</formula>
    </cfRule>
  </conditionalFormatting>
  <conditionalFormatting sqref="FL27">
    <cfRule type="expression" dxfId="896" priority="946">
      <formula>AND(BX27&gt;=4,FL27&lt;&gt;0, GetEquPower(BE27,BR27, DL27, FW27)=0)</formula>
    </cfRule>
    <cfRule type="expression" dxfId="895" priority="947">
      <formula>AND(BX27&gt;=4,FL27&lt;&gt;GetEquPower(BE27,BR27, DL27, FW27))</formula>
    </cfRule>
  </conditionalFormatting>
  <conditionalFormatting sqref="FM27">
    <cfRule type="expression" dxfId="894" priority="968">
      <formula>AND(BX27&gt;=5,FM27&lt;&gt;0, GetEquPower(BE27,BR27, DM27, FW27)=0)</formula>
    </cfRule>
    <cfRule type="expression" dxfId="893" priority="969">
      <formula>AND(BX27&gt;=5,FM27&lt;&gt;GetEquPower(BE27,BR27, DM27, FW27))</formula>
    </cfRule>
  </conditionalFormatting>
  <conditionalFormatting sqref="FN27">
    <cfRule type="expression" dxfId="892" priority="970">
      <formula>AND(BX27&gt;=6,FN27&lt;&gt;0, GetEquPower(BE27,BR27, DN27, FW27)=0)</formula>
    </cfRule>
    <cfRule type="expression" dxfId="891" priority="971">
      <formula>AND(BX27&gt;=6,FN27&lt;&gt;GetEquPower(BE27,BR27, DN27, FW27))</formula>
    </cfRule>
  </conditionalFormatting>
  <conditionalFormatting sqref="F28">
    <cfRule type="expression" dxfId="890" priority="818">
      <formula>F28&lt;&gt;RIGHT(SUBSTITUTE(TRIM(E28),".",""),LEN(F28))</formula>
    </cfRule>
  </conditionalFormatting>
  <conditionalFormatting sqref="BS28">
    <cfRule type="expression" dxfId="889" priority="817">
      <formula>AND(J28&gt;=1,BS28&lt;1)</formula>
    </cfRule>
  </conditionalFormatting>
  <conditionalFormatting sqref="BT28">
    <cfRule type="expression" dxfId="888" priority="816">
      <formula>AND(J28&gt;=2,BT28&lt;1)</formula>
    </cfRule>
  </conditionalFormatting>
  <conditionalFormatting sqref="BU28">
    <cfRule type="expression" dxfId="887" priority="814">
      <formula>AND(J28&gt;=3,BU28&lt;1)</formula>
    </cfRule>
  </conditionalFormatting>
  <conditionalFormatting sqref="BV28">
    <cfRule type="expression" dxfId="886" priority="813">
      <formula>AND(J28&gt;=4,BV28&lt;1)</formula>
    </cfRule>
  </conditionalFormatting>
  <conditionalFormatting sqref="BW28">
    <cfRule type="expression" dxfId="885" priority="815">
      <formula>AND(J28&gt;=5,BW28&lt;1)</formula>
    </cfRule>
  </conditionalFormatting>
  <conditionalFormatting sqref="BX28">
    <cfRule type="expression" dxfId="884" priority="812">
      <formula>AND(J28&gt;=6,BX28&lt;1)</formula>
    </cfRule>
  </conditionalFormatting>
  <conditionalFormatting sqref="IC28">
    <cfRule type="expression" dxfId="883" priority="891">
      <formula>AND($S28 = TRUE, $IC28&lt;&gt;OptionsUnitCode)</formula>
    </cfRule>
  </conditionalFormatting>
  <conditionalFormatting sqref="B28:II28">
    <cfRule type="containsErrors" dxfId="882" priority="811">
      <formula>ISERROR(B28)</formula>
    </cfRule>
  </conditionalFormatting>
  <conditionalFormatting sqref="DP28">
    <cfRule type="expression" dxfId="881" priority="819">
      <formula>AND(BS28&gt;=1,DP28&lt;&gt;0, GetEquPower(AZ28,BM28, BZ28, FR28)=0)</formula>
    </cfRule>
    <cfRule type="expression" dxfId="880" priority="820">
      <formula>AND(BS28&gt;=1,DP28&lt;&gt;GetEquPower(AZ28,BM28, BZ28, FR28))</formula>
    </cfRule>
  </conditionalFormatting>
  <conditionalFormatting sqref="DQ28">
    <cfRule type="expression" dxfId="879" priority="821">
      <formula>AND(BS28&gt;=2,DQ28&lt;&gt;0, GetEquPower(AZ28,BM28, CA28, FR28)=0)</formula>
    </cfRule>
    <cfRule type="expression" dxfId="878" priority="822">
      <formula>AND(BS28&gt;=2,DQ28&lt;&gt;GetEquPower(AZ28,BM28, CA28, FR28))</formula>
    </cfRule>
  </conditionalFormatting>
  <conditionalFormatting sqref="DR28">
    <cfRule type="expression" dxfId="877" priority="823">
      <formula>AND(BS28&gt;=3,DR28&lt;&gt;0, GetEquPower(AZ28,BM28, CB28, FR28)=0)</formula>
    </cfRule>
    <cfRule type="expression" dxfId="876" priority="824">
      <formula>AND(BS28&gt;=3,DR28&lt;&gt;GetEquPower(AZ28,BM28, CB28, FR28))</formula>
    </cfRule>
  </conditionalFormatting>
  <conditionalFormatting sqref="DS28">
    <cfRule type="expression" dxfId="875" priority="855">
      <formula>AND(BS28&gt;=4,DS28&lt;&gt;0, GetEquPower(AZ28,BM28, CC28, FR28)=0)</formula>
    </cfRule>
    <cfRule type="expression" dxfId="874" priority="856">
      <formula>AND(BS28&gt;=4, DS28&lt;&gt;GetEquPower(AZ28,BM28, CC28, FR28))</formula>
    </cfRule>
  </conditionalFormatting>
  <conditionalFormatting sqref="DT28">
    <cfRule type="expression" dxfId="873" priority="867">
      <formula>AND(BS28&gt;=5,DT28&lt;&gt;0, GetEquPower(AZ28,BM28, CD28, FR28)=0)</formula>
    </cfRule>
    <cfRule type="expression" dxfId="872" priority="868">
      <formula>AND(BS28&gt;=5, DT28&lt;&gt;GetEquPower(AZ28,BM28, CD28, FR28))</formula>
    </cfRule>
  </conditionalFormatting>
  <conditionalFormatting sqref="DU28">
    <cfRule type="expression" dxfId="871" priority="869">
      <formula>AND(BS28&gt;=6,DU28&lt;&gt;0, GetEquPower(AZ28,BM28, CE28, FR28)=0)</formula>
    </cfRule>
    <cfRule type="expression" dxfId="870" priority="870">
      <formula>AND(BS28&gt;=6, DU28&lt;&gt;GetEquPower(AZ28,BM28, CE28, FR28))</formula>
    </cfRule>
  </conditionalFormatting>
  <conditionalFormatting sqref="DY28">
    <cfRule type="expression" dxfId="869" priority="825">
      <formula>AND(BT28&gt;=1,DY28&lt;&gt;0, GetEquPower(BA28,BN28, CG28, FS28)=0)</formula>
    </cfRule>
    <cfRule type="expression" dxfId="868" priority="826">
      <formula>AND(BT28&gt;=1,DY28&lt;&gt;GetEquPower(BA28,BN28, CG28, FS28))</formula>
    </cfRule>
  </conditionalFormatting>
  <conditionalFormatting sqref="DZ28">
    <cfRule type="expression" dxfId="867" priority="827">
      <formula>AND(BT28&gt;=2,DZ28&lt;&gt;0, GetEquPower(BA28,BN28, CH28, FS28)=0)</formula>
    </cfRule>
    <cfRule type="expression" dxfId="866" priority="828">
      <formula>AND(BT28&gt;=2,DZ28&lt;&gt;GetEquPower(BA28,BN28, CH28, FS28))</formula>
    </cfRule>
  </conditionalFormatting>
  <conditionalFormatting sqref="EA28">
    <cfRule type="expression" dxfId="865" priority="829">
      <formula>AND(BT28&gt;=3,EA28&lt;&gt;0, GetEquPower(BA28,BN28, CI28, FS28)=0)</formula>
    </cfRule>
    <cfRule type="expression" dxfId="864" priority="830">
      <formula>AND(BT28&gt;=3,EA28&lt;&gt;GetEquPower(BA28,BN28, CI28, FS28))</formula>
    </cfRule>
  </conditionalFormatting>
  <conditionalFormatting sqref="EB28">
    <cfRule type="expression" dxfId="863" priority="857">
      <formula>AND(BT28&gt;=4,EB28&lt;&gt;0, GetEquPower(BA28,BN28, CJ28, FS28)=0)</formula>
    </cfRule>
    <cfRule type="expression" dxfId="862" priority="858">
      <formula>AND(BT28&gt;=4,EB28&lt;&gt;GetEquPower(BA28,BN28, CJ28, FS28))</formula>
    </cfRule>
  </conditionalFormatting>
  <conditionalFormatting sqref="EC28">
    <cfRule type="expression" dxfId="861" priority="871">
      <formula>AND(BT28&gt;=5,EC28&lt;&gt;0, GetEquPower(BA28,BN28, CK28, FS28)=0)</formula>
    </cfRule>
    <cfRule type="expression" dxfId="860" priority="872">
      <formula>AND(BT28&gt;=5,EC28&lt;&gt;GetEquPower(BA28,BN28, CK28, FS28))</formula>
    </cfRule>
  </conditionalFormatting>
  <conditionalFormatting sqref="ED28">
    <cfRule type="expression" dxfId="859" priority="873">
      <formula>AND(BT28&gt;=6,ED28&lt;&gt;0, GetEquPower(BA28,BN28, CL28, FS28)=0)</formula>
    </cfRule>
    <cfRule type="expression" dxfId="858" priority="874">
      <formula>AND(BT28&gt;=6,ED28&lt;&gt;GetEquPower(BA28,BN28, CL28, FS28))</formula>
    </cfRule>
  </conditionalFormatting>
  <conditionalFormatting sqref="EH28">
    <cfRule type="expression" dxfId="857" priority="831">
      <formula>AND(BU28&gt;=1,EH28&lt;&gt;0, GetEquPower(BB28,BO28, CN28, FT28)=0)</formula>
    </cfRule>
    <cfRule type="expression" dxfId="856" priority="832">
      <formula>AND(BU28&gt;=1,EH28&lt;&gt;GetEquPower(BB28,BO28, CN28, FT28))</formula>
    </cfRule>
  </conditionalFormatting>
  <conditionalFormatting sqref="EI28">
    <cfRule type="expression" dxfId="855" priority="833">
      <formula>AND(BU28&gt;=2,EI28&lt;&gt;0, GetEquPower(BB28,BO28, CO28, FT28)=0)</formula>
    </cfRule>
    <cfRule type="expression" dxfId="854" priority="834">
      <formula xml:space="preserve"> AND(BU28&gt;=2,EI28&lt;&gt;GetEquPower(BB28,BO28, CO28, FT28))</formula>
    </cfRule>
  </conditionalFormatting>
  <conditionalFormatting sqref="EJ28">
    <cfRule type="expression" dxfId="853" priority="835">
      <formula>AND(BU28&gt;=3,EJ28&lt;&gt;0, GetEquPower(BB28,BO28, CP28, FT28)=0)</formula>
    </cfRule>
    <cfRule type="expression" dxfId="852" priority="836">
      <formula xml:space="preserve"> AND(BU28&gt;=3,EJ28&lt;&gt;GetEquPower(BB28,BO28, CP28, FT28))</formula>
    </cfRule>
  </conditionalFormatting>
  <conditionalFormatting sqref="EK28">
    <cfRule type="expression" dxfId="851" priority="859">
      <formula>AND(BU28&gt;=4,EK28&lt;&gt;0, GetEquPower(BB28,BO28, CQ28, FT28)=0)</formula>
    </cfRule>
    <cfRule type="expression" dxfId="850" priority="860">
      <formula xml:space="preserve"> AND(BU28&gt;=4,EK28&lt;&gt;GetEquPower(BB28,BO28, CQ28, FT28))</formula>
    </cfRule>
  </conditionalFormatting>
  <conditionalFormatting sqref="EL28">
    <cfRule type="expression" dxfId="849" priority="875">
      <formula>AND(BU28&gt;=5,EL28&lt;&gt;0, GetEquPower(BB28,BO28, CR28, FT28)=0)</formula>
    </cfRule>
    <cfRule type="expression" dxfId="848" priority="876">
      <formula xml:space="preserve"> AND(BU28&gt;=5,EL28&lt;&gt;GetEquPower(BB28,BO28, CR28, FT28))</formula>
    </cfRule>
  </conditionalFormatting>
  <conditionalFormatting sqref="EM28">
    <cfRule type="expression" dxfId="847" priority="877">
      <formula>AND(BU28&gt;=6,EM28&lt;&gt;0, GetEquPower(BB28,BO28, CS28, FT28)=0)</formula>
    </cfRule>
    <cfRule type="expression" dxfId="846" priority="878">
      <formula xml:space="preserve"> AND(BU28&gt;=6,EM28&lt;&gt;GetEquPower(BB28,BO28, CS28, FT28))</formula>
    </cfRule>
  </conditionalFormatting>
  <conditionalFormatting sqref="EQ28">
    <cfRule type="expression" dxfId="845" priority="837">
      <formula>AND(BV28&gt;=1,EQ28&lt;&gt;0, GetEquPower(BC28,BP28, CU28, FU28)=0)</formula>
    </cfRule>
    <cfRule type="expression" dxfId="844" priority="838">
      <formula>AND(BV28&gt;=1,EQ28&lt;&gt;GetEquPower(BC28,BP28, CU28, FU28))</formula>
    </cfRule>
  </conditionalFormatting>
  <conditionalFormatting sqref="ER28">
    <cfRule type="expression" dxfId="843" priority="839">
      <formula>AND(BV28&gt;=2,ER28&lt;&gt;0, GetEquPower(BC28,BP28, CV28, FU28)=0)</formula>
    </cfRule>
    <cfRule type="expression" dxfId="842" priority="840">
      <formula>AND(BV28&gt;=2,ER28&lt;&gt;GetEquPower(BC28,BP28, CV28, FU28))</formula>
    </cfRule>
  </conditionalFormatting>
  <conditionalFormatting sqref="ES28">
    <cfRule type="expression" dxfId="841" priority="841">
      <formula>AND(BV28&gt;=3,ES28&lt;&gt;0, GetEquPower(BC28,BP28, CW28, FU28)=0)</formula>
    </cfRule>
    <cfRule type="expression" dxfId="840" priority="842">
      <formula>AND(BV28&gt;=3,ES28&lt;&gt;GetEquPower(BC28,BP28, CW28, FU28))</formula>
    </cfRule>
  </conditionalFormatting>
  <conditionalFormatting sqref="ET28">
    <cfRule type="expression" dxfId="839" priority="861">
      <formula>AND(BV28&gt;=4,ET28&lt;&gt;0, GetEquPower(BC28,BP28, CX28, FU28)=0)</formula>
    </cfRule>
    <cfRule type="expression" dxfId="838" priority="862">
      <formula>AND(BV28&gt;=4,ET28&lt;&gt;GetEquPower(BC28,BP28, CX28, FU28))</formula>
    </cfRule>
  </conditionalFormatting>
  <conditionalFormatting sqref="EU28">
    <cfRule type="expression" dxfId="837" priority="879">
      <formula>AND(BV28&gt;=5,EU28&lt;&gt;0, GetEquPower(BC28,BP28, CY28, FU28)=0)</formula>
    </cfRule>
    <cfRule type="expression" dxfId="836" priority="880">
      <formula>AND(BV28&gt;=5,EU28&lt;&gt;GetEquPower(BC28,BP28, CY28, FU28))</formula>
    </cfRule>
  </conditionalFormatting>
  <conditionalFormatting sqref="EV28">
    <cfRule type="expression" dxfId="835" priority="881">
      <formula>AND(BV28&gt;=6,EV28&lt;&gt;0, GetEquPower(BC28,BP28, CZ28, FU28)=0)</formula>
    </cfRule>
    <cfRule type="expression" dxfId="834" priority="882">
      <formula>AND(BV28&gt;=6,EV28&lt;&gt;GetEquPower(BC28,BP28, CZ28, FU28))</formula>
    </cfRule>
  </conditionalFormatting>
  <conditionalFormatting sqref="EZ28">
    <cfRule type="expression" dxfId="833" priority="843">
      <formula>AND(BW28&gt;=1,EZ28&lt;&gt;0, GetEquPower(BD28,BQ28, DB28, FV28)=0)</formula>
    </cfRule>
    <cfRule type="expression" dxfId="832" priority="844">
      <formula>AND(BW28&gt;=1,EZ28&lt;&gt;GetEquPower(BD28,BQ28, DB28, FV28))</formula>
    </cfRule>
  </conditionalFormatting>
  <conditionalFormatting sqref="FA28">
    <cfRule type="expression" dxfId="831" priority="845">
      <formula>AND(BW28&gt;=2,FA28&lt;&gt;0, GetEquPower(BD28,BQ28, DC28, FV28)=0)</formula>
    </cfRule>
    <cfRule type="expression" dxfId="830" priority="846">
      <formula>AND(BW28&gt;=2,FA28&lt;&gt;GetEquPower(BD28,BQ28, DC28, FV28))</formula>
    </cfRule>
  </conditionalFormatting>
  <conditionalFormatting sqref="FB28">
    <cfRule type="expression" dxfId="829" priority="847">
      <formula>AND(BW28&gt;=3,FB28&lt;&gt;0, GetEquPower(BD28,BQ28, DD28, FV28)=0)</formula>
    </cfRule>
    <cfRule type="expression" dxfId="828" priority="848">
      <formula>AND(BW28&gt;=3,FB28&lt;&gt;GetEquPower(BD28,BQ28, DD28, FV28))</formula>
    </cfRule>
  </conditionalFormatting>
  <conditionalFormatting sqref="FC28">
    <cfRule type="expression" dxfId="827" priority="863">
      <formula>AND(BW28&gt;=4,FC28&lt;&gt;0, GetEquPower(BD28,BQ28, DE28, FV28)=0)</formula>
    </cfRule>
    <cfRule type="expression" dxfId="826" priority="864">
      <formula>AND(BW28&gt;=4,FC28&lt;&gt;GetEquPower(BD28,BQ28, DE28, FV28))</formula>
    </cfRule>
  </conditionalFormatting>
  <conditionalFormatting sqref="FD28">
    <cfRule type="expression" dxfId="825" priority="883">
      <formula>AND(BW28&gt;=5,FD28&lt;&gt;0, GetEquPower(BD28,BQ28, DF28, FV28)=0)</formula>
    </cfRule>
    <cfRule type="expression" dxfId="824" priority="884">
      <formula>AND(BW28&gt;=5,FD28&lt;&gt;GetEquPower(BD28,BQ28, DF28, FV28))</formula>
    </cfRule>
  </conditionalFormatting>
  <conditionalFormatting sqref="FE28">
    <cfRule type="expression" dxfId="823" priority="885">
      <formula>AND(BW28&gt;=6,FE28&lt;&gt;0, GetEquPower(BD28,BQ28, DG28, FV28)=0)</formula>
    </cfRule>
    <cfRule type="expression" dxfId="822" priority="886">
      <formula>AND(BW28&gt;=6,FE28&lt;&gt;GetEquPower(BD28,BQ28, DG28, FV28))</formula>
    </cfRule>
  </conditionalFormatting>
  <conditionalFormatting sqref="FI28">
    <cfRule type="expression" dxfId="821" priority="849">
      <formula>AND(BX28&gt;=1,FI28&lt;&gt;0, GetEquPower(BE28,BR28, DI28, FW28)=0)</formula>
    </cfRule>
    <cfRule type="expression" dxfId="820" priority="850">
      <formula>AND(BX28&gt;=1,FI28&lt;&gt;GetEquPower(BE28,BR28, DI28, FW28))</formula>
    </cfRule>
  </conditionalFormatting>
  <conditionalFormatting sqref="FJ28">
    <cfRule type="expression" dxfId="819" priority="851">
      <formula>AND(BX28&gt;=2,FJ28&lt;&gt;0, GetEquPower(BE28,BR28, DJ28, FW28)=0)</formula>
    </cfRule>
    <cfRule type="expression" dxfId="818" priority="852">
      <formula>AND(BX28&gt;=2,FJ28&lt;&gt;GetEquPower(BE28,BR28, DJ28, FW28))</formula>
    </cfRule>
  </conditionalFormatting>
  <conditionalFormatting sqref="FK28">
    <cfRule type="expression" dxfId="817" priority="853">
      <formula>AND(BX28&gt;=3,FK28&lt;&gt;0, GetEquPower(BE28,BR28, DK28, FW28)=0)</formula>
    </cfRule>
    <cfRule type="expression" dxfId="816" priority="854">
      <formula>AND(BX28&gt;=3,FK28&lt;&gt;GetEquPower(BE28,BR28, DK28, FW28))</formula>
    </cfRule>
  </conditionalFormatting>
  <conditionalFormatting sqref="FL28">
    <cfRule type="expression" dxfId="815" priority="865">
      <formula>AND(BX28&gt;=4,FL28&lt;&gt;0, GetEquPower(BE28,BR28, DL28, FW28)=0)</formula>
    </cfRule>
    <cfRule type="expression" dxfId="814" priority="866">
      <formula>AND(BX28&gt;=4,FL28&lt;&gt;GetEquPower(BE28,BR28, DL28, FW28))</formula>
    </cfRule>
  </conditionalFormatting>
  <conditionalFormatting sqref="FM28">
    <cfRule type="expression" dxfId="813" priority="887">
      <formula>AND(BX28&gt;=5,FM28&lt;&gt;0, GetEquPower(BE28,BR28, DM28, FW28)=0)</formula>
    </cfRule>
    <cfRule type="expression" dxfId="812" priority="888">
      <formula>AND(BX28&gt;=5,FM28&lt;&gt;GetEquPower(BE28,BR28, DM28, FW28))</formula>
    </cfRule>
  </conditionalFormatting>
  <conditionalFormatting sqref="FN28">
    <cfRule type="expression" dxfId="811" priority="889">
      <formula>AND(BX28&gt;=6,FN28&lt;&gt;0, GetEquPower(BE28,BR28, DN28, FW28)=0)</formula>
    </cfRule>
    <cfRule type="expression" dxfId="810" priority="890">
      <formula>AND(BX28&gt;=6,FN28&lt;&gt;GetEquPower(BE28,BR28, DN28, FW28))</formula>
    </cfRule>
  </conditionalFormatting>
  <conditionalFormatting sqref="F29">
    <cfRule type="expression" dxfId="809" priority="737">
      <formula>F29&lt;&gt;RIGHT(SUBSTITUTE(TRIM(E29),".",""),LEN(F29))</formula>
    </cfRule>
  </conditionalFormatting>
  <conditionalFormatting sqref="BS29">
    <cfRule type="expression" dxfId="808" priority="736">
      <formula>AND(J29&gt;=1,BS29&lt;1)</formula>
    </cfRule>
  </conditionalFormatting>
  <conditionalFormatting sqref="BT29">
    <cfRule type="expression" dxfId="807" priority="735">
      <formula>AND(J29&gt;=2,BT29&lt;1)</formula>
    </cfRule>
  </conditionalFormatting>
  <conditionalFormatting sqref="BU29">
    <cfRule type="expression" dxfId="806" priority="733">
      <formula>AND(J29&gt;=3,BU29&lt;1)</formula>
    </cfRule>
  </conditionalFormatting>
  <conditionalFormatting sqref="BV29">
    <cfRule type="expression" dxfId="805" priority="732">
      <formula>AND(J29&gt;=4,BV29&lt;1)</formula>
    </cfRule>
  </conditionalFormatting>
  <conditionalFormatting sqref="BW29">
    <cfRule type="expression" dxfId="804" priority="734">
      <formula>AND(J29&gt;=5,BW29&lt;1)</formula>
    </cfRule>
  </conditionalFormatting>
  <conditionalFormatting sqref="BX29">
    <cfRule type="expression" dxfId="803" priority="731">
      <formula>AND(J29&gt;=6,BX29&lt;1)</formula>
    </cfRule>
  </conditionalFormatting>
  <conditionalFormatting sqref="IC29">
    <cfRule type="expression" dxfId="802" priority="810">
      <formula>AND($S29 = TRUE, $IC29&lt;&gt;OptionsUnitCode)</formula>
    </cfRule>
  </conditionalFormatting>
  <conditionalFormatting sqref="B29:II29">
    <cfRule type="containsErrors" dxfId="801" priority="730">
      <formula>ISERROR(B29)</formula>
    </cfRule>
  </conditionalFormatting>
  <conditionalFormatting sqref="DP29">
    <cfRule type="expression" dxfId="800" priority="738">
      <formula>AND(BS29&gt;=1,DP29&lt;&gt;0, GetEquPower(AZ29,BM29, BZ29, FR29)=0)</formula>
    </cfRule>
    <cfRule type="expression" dxfId="799" priority="739">
      <formula>AND(BS29&gt;=1,DP29&lt;&gt;GetEquPower(AZ29,BM29, BZ29, FR29))</formula>
    </cfRule>
  </conditionalFormatting>
  <conditionalFormatting sqref="DQ29">
    <cfRule type="expression" dxfId="798" priority="740">
      <formula>AND(BS29&gt;=2,DQ29&lt;&gt;0, GetEquPower(AZ29,BM29, CA29, FR29)=0)</formula>
    </cfRule>
    <cfRule type="expression" dxfId="797" priority="741">
      <formula>AND(BS29&gt;=2,DQ29&lt;&gt;GetEquPower(AZ29,BM29, CA29, FR29))</formula>
    </cfRule>
  </conditionalFormatting>
  <conditionalFormatting sqref="DR29">
    <cfRule type="expression" dxfId="796" priority="742">
      <formula>AND(BS29&gt;=3,DR29&lt;&gt;0, GetEquPower(AZ29,BM29, CB29, FR29)=0)</formula>
    </cfRule>
    <cfRule type="expression" dxfId="795" priority="743">
      <formula>AND(BS29&gt;=3,DR29&lt;&gt;GetEquPower(AZ29,BM29, CB29, FR29))</formula>
    </cfRule>
  </conditionalFormatting>
  <conditionalFormatting sqref="DS29">
    <cfRule type="expression" dxfId="794" priority="774">
      <formula>AND(BS29&gt;=4,DS29&lt;&gt;0, GetEquPower(AZ29,BM29, CC29, FR29)=0)</formula>
    </cfRule>
    <cfRule type="expression" dxfId="793" priority="775">
      <formula>AND(BS29&gt;=4, DS29&lt;&gt;GetEquPower(AZ29,BM29, CC29, FR29))</formula>
    </cfRule>
  </conditionalFormatting>
  <conditionalFormatting sqref="DT29">
    <cfRule type="expression" dxfId="792" priority="786">
      <formula>AND(BS29&gt;=5,DT29&lt;&gt;0, GetEquPower(AZ29,BM29, CD29, FR29)=0)</formula>
    </cfRule>
    <cfRule type="expression" dxfId="791" priority="787">
      <formula>AND(BS29&gt;=5, DT29&lt;&gt;GetEquPower(AZ29,BM29, CD29, FR29))</formula>
    </cfRule>
  </conditionalFormatting>
  <conditionalFormatting sqref="DU29">
    <cfRule type="expression" dxfId="790" priority="788">
      <formula>AND(BS29&gt;=6,DU29&lt;&gt;0, GetEquPower(AZ29,BM29, CE29, FR29)=0)</formula>
    </cfRule>
    <cfRule type="expression" dxfId="789" priority="789">
      <formula>AND(BS29&gt;=6, DU29&lt;&gt;GetEquPower(AZ29,BM29, CE29, FR29))</formula>
    </cfRule>
  </conditionalFormatting>
  <conditionalFormatting sqref="DY29">
    <cfRule type="expression" dxfId="788" priority="744">
      <formula>AND(BT29&gt;=1,DY29&lt;&gt;0, GetEquPower(BA29,BN29, CG29, FS29)=0)</formula>
    </cfRule>
    <cfRule type="expression" dxfId="787" priority="745">
      <formula>AND(BT29&gt;=1,DY29&lt;&gt;GetEquPower(BA29,BN29, CG29, FS29))</formula>
    </cfRule>
  </conditionalFormatting>
  <conditionalFormatting sqref="DZ29">
    <cfRule type="expression" dxfId="786" priority="746">
      <formula>AND(BT29&gt;=2,DZ29&lt;&gt;0, GetEquPower(BA29,BN29, CH29, FS29)=0)</formula>
    </cfRule>
    <cfRule type="expression" dxfId="785" priority="747">
      <formula>AND(BT29&gt;=2,DZ29&lt;&gt;GetEquPower(BA29,BN29, CH29, FS29))</formula>
    </cfRule>
  </conditionalFormatting>
  <conditionalFormatting sqref="EA29">
    <cfRule type="expression" dxfId="784" priority="748">
      <formula>AND(BT29&gt;=3,EA29&lt;&gt;0, GetEquPower(BA29,BN29, CI29, FS29)=0)</formula>
    </cfRule>
    <cfRule type="expression" dxfId="783" priority="749">
      <formula>AND(BT29&gt;=3,EA29&lt;&gt;GetEquPower(BA29,BN29, CI29, FS29))</formula>
    </cfRule>
  </conditionalFormatting>
  <conditionalFormatting sqref="EB29">
    <cfRule type="expression" dxfId="782" priority="776">
      <formula>AND(BT29&gt;=4,EB29&lt;&gt;0, GetEquPower(BA29,BN29, CJ29, FS29)=0)</formula>
    </cfRule>
    <cfRule type="expression" dxfId="781" priority="777">
      <formula>AND(BT29&gt;=4,EB29&lt;&gt;GetEquPower(BA29,BN29, CJ29, FS29))</formula>
    </cfRule>
  </conditionalFormatting>
  <conditionalFormatting sqref="EC29">
    <cfRule type="expression" dxfId="780" priority="790">
      <formula>AND(BT29&gt;=5,EC29&lt;&gt;0, GetEquPower(BA29,BN29, CK29, FS29)=0)</formula>
    </cfRule>
    <cfRule type="expression" dxfId="779" priority="791">
      <formula>AND(BT29&gt;=5,EC29&lt;&gt;GetEquPower(BA29,BN29, CK29, FS29))</formula>
    </cfRule>
  </conditionalFormatting>
  <conditionalFormatting sqref="ED29">
    <cfRule type="expression" dxfId="778" priority="792">
      <formula>AND(BT29&gt;=6,ED29&lt;&gt;0, GetEquPower(BA29,BN29, CL29, FS29)=0)</formula>
    </cfRule>
    <cfRule type="expression" dxfId="777" priority="793">
      <formula>AND(BT29&gt;=6,ED29&lt;&gt;GetEquPower(BA29,BN29, CL29, FS29))</formula>
    </cfRule>
  </conditionalFormatting>
  <conditionalFormatting sqref="EH29">
    <cfRule type="expression" dxfId="776" priority="750">
      <formula>AND(BU29&gt;=1,EH29&lt;&gt;0, GetEquPower(BB29,BO29, CN29, FT29)=0)</formula>
    </cfRule>
    <cfRule type="expression" dxfId="775" priority="751">
      <formula>AND(BU29&gt;=1,EH29&lt;&gt;GetEquPower(BB29,BO29, CN29, FT29))</formula>
    </cfRule>
  </conditionalFormatting>
  <conditionalFormatting sqref="EI29">
    <cfRule type="expression" dxfId="774" priority="752">
      <formula>AND(BU29&gt;=2,EI29&lt;&gt;0, GetEquPower(BB29,BO29, CO29, FT29)=0)</formula>
    </cfRule>
    <cfRule type="expression" dxfId="773" priority="753">
      <formula xml:space="preserve"> AND(BU29&gt;=2,EI29&lt;&gt;GetEquPower(BB29,BO29, CO29, FT29))</formula>
    </cfRule>
  </conditionalFormatting>
  <conditionalFormatting sqref="EJ29">
    <cfRule type="expression" dxfId="772" priority="754">
      <formula>AND(BU29&gt;=3,EJ29&lt;&gt;0, GetEquPower(BB29,BO29, CP29, FT29)=0)</formula>
    </cfRule>
    <cfRule type="expression" dxfId="771" priority="755">
      <formula xml:space="preserve"> AND(BU29&gt;=3,EJ29&lt;&gt;GetEquPower(BB29,BO29, CP29, FT29))</formula>
    </cfRule>
  </conditionalFormatting>
  <conditionalFormatting sqref="EK29">
    <cfRule type="expression" dxfId="770" priority="778">
      <formula>AND(BU29&gt;=4,EK29&lt;&gt;0, GetEquPower(BB29,BO29, CQ29, FT29)=0)</formula>
    </cfRule>
    <cfRule type="expression" dxfId="769" priority="779">
      <formula xml:space="preserve"> AND(BU29&gt;=4,EK29&lt;&gt;GetEquPower(BB29,BO29, CQ29, FT29))</formula>
    </cfRule>
  </conditionalFormatting>
  <conditionalFormatting sqref="EL29">
    <cfRule type="expression" dxfId="768" priority="794">
      <formula>AND(BU29&gt;=5,EL29&lt;&gt;0, GetEquPower(BB29,BO29, CR29, FT29)=0)</formula>
    </cfRule>
    <cfRule type="expression" dxfId="767" priority="795">
      <formula xml:space="preserve"> AND(BU29&gt;=5,EL29&lt;&gt;GetEquPower(BB29,BO29, CR29, FT29))</formula>
    </cfRule>
  </conditionalFormatting>
  <conditionalFormatting sqref="EM29">
    <cfRule type="expression" dxfId="766" priority="796">
      <formula>AND(BU29&gt;=6,EM29&lt;&gt;0, GetEquPower(BB29,BO29, CS29, FT29)=0)</formula>
    </cfRule>
    <cfRule type="expression" dxfId="765" priority="797">
      <formula xml:space="preserve"> AND(BU29&gt;=6,EM29&lt;&gt;GetEquPower(BB29,BO29, CS29, FT29))</formula>
    </cfRule>
  </conditionalFormatting>
  <conditionalFormatting sqref="EQ29">
    <cfRule type="expression" dxfId="764" priority="756">
      <formula>AND(BV29&gt;=1,EQ29&lt;&gt;0, GetEquPower(BC29,BP29, CU29, FU29)=0)</formula>
    </cfRule>
    <cfRule type="expression" dxfId="763" priority="757">
      <formula>AND(BV29&gt;=1,EQ29&lt;&gt;GetEquPower(BC29,BP29, CU29, FU29))</formula>
    </cfRule>
  </conditionalFormatting>
  <conditionalFormatting sqref="ER29">
    <cfRule type="expression" dxfId="762" priority="758">
      <formula>AND(BV29&gt;=2,ER29&lt;&gt;0, GetEquPower(BC29,BP29, CV29, FU29)=0)</formula>
    </cfRule>
    <cfRule type="expression" dxfId="761" priority="759">
      <formula>AND(BV29&gt;=2,ER29&lt;&gt;GetEquPower(BC29,BP29, CV29, FU29))</formula>
    </cfRule>
  </conditionalFormatting>
  <conditionalFormatting sqref="ES29">
    <cfRule type="expression" dxfId="760" priority="760">
      <formula>AND(BV29&gt;=3,ES29&lt;&gt;0, GetEquPower(BC29,BP29, CW29, FU29)=0)</formula>
    </cfRule>
    <cfRule type="expression" dxfId="759" priority="761">
      <formula>AND(BV29&gt;=3,ES29&lt;&gt;GetEquPower(BC29,BP29, CW29, FU29))</formula>
    </cfRule>
  </conditionalFormatting>
  <conditionalFormatting sqref="ET29">
    <cfRule type="expression" dxfId="758" priority="780">
      <formula>AND(BV29&gt;=4,ET29&lt;&gt;0, GetEquPower(BC29,BP29, CX29, FU29)=0)</formula>
    </cfRule>
    <cfRule type="expression" dxfId="757" priority="781">
      <formula>AND(BV29&gt;=4,ET29&lt;&gt;GetEquPower(BC29,BP29, CX29, FU29))</formula>
    </cfRule>
  </conditionalFormatting>
  <conditionalFormatting sqref="EU29">
    <cfRule type="expression" dxfId="756" priority="798">
      <formula>AND(BV29&gt;=5,EU29&lt;&gt;0, GetEquPower(BC29,BP29, CY29, FU29)=0)</formula>
    </cfRule>
    <cfRule type="expression" dxfId="755" priority="799">
      <formula>AND(BV29&gt;=5,EU29&lt;&gt;GetEquPower(BC29,BP29, CY29, FU29))</formula>
    </cfRule>
  </conditionalFormatting>
  <conditionalFormatting sqref="EV29">
    <cfRule type="expression" dxfId="754" priority="800">
      <formula>AND(BV29&gt;=6,EV29&lt;&gt;0, GetEquPower(BC29,BP29, CZ29, FU29)=0)</formula>
    </cfRule>
    <cfRule type="expression" dxfId="753" priority="801">
      <formula>AND(BV29&gt;=6,EV29&lt;&gt;GetEquPower(BC29,BP29, CZ29, FU29))</formula>
    </cfRule>
  </conditionalFormatting>
  <conditionalFormatting sqref="EZ29">
    <cfRule type="expression" dxfId="752" priority="762">
      <formula>AND(BW29&gt;=1,EZ29&lt;&gt;0, GetEquPower(BD29,BQ29, DB29, FV29)=0)</formula>
    </cfRule>
    <cfRule type="expression" dxfId="751" priority="763">
      <formula>AND(BW29&gt;=1,EZ29&lt;&gt;GetEquPower(BD29,BQ29, DB29, FV29))</formula>
    </cfRule>
  </conditionalFormatting>
  <conditionalFormatting sqref="FA29">
    <cfRule type="expression" dxfId="750" priority="764">
      <formula>AND(BW29&gt;=2,FA29&lt;&gt;0, GetEquPower(BD29,BQ29, DC29, FV29)=0)</formula>
    </cfRule>
    <cfRule type="expression" dxfId="749" priority="765">
      <formula>AND(BW29&gt;=2,FA29&lt;&gt;GetEquPower(BD29,BQ29, DC29, FV29))</formula>
    </cfRule>
  </conditionalFormatting>
  <conditionalFormatting sqref="FB29">
    <cfRule type="expression" dxfId="748" priority="766">
      <formula>AND(BW29&gt;=3,FB29&lt;&gt;0, GetEquPower(BD29,BQ29, DD29, FV29)=0)</formula>
    </cfRule>
    <cfRule type="expression" dxfId="747" priority="767">
      <formula>AND(BW29&gt;=3,FB29&lt;&gt;GetEquPower(BD29,BQ29, DD29, FV29))</formula>
    </cfRule>
  </conditionalFormatting>
  <conditionalFormatting sqref="FC29">
    <cfRule type="expression" dxfId="746" priority="782">
      <formula>AND(BW29&gt;=4,FC29&lt;&gt;0, GetEquPower(BD29,BQ29, DE29, FV29)=0)</formula>
    </cfRule>
    <cfRule type="expression" dxfId="745" priority="783">
      <formula>AND(BW29&gt;=4,FC29&lt;&gt;GetEquPower(BD29,BQ29, DE29, FV29))</formula>
    </cfRule>
  </conditionalFormatting>
  <conditionalFormatting sqref="FD29">
    <cfRule type="expression" dxfId="744" priority="802">
      <formula>AND(BW29&gt;=5,FD29&lt;&gt;0, GetEquPower(BD29,BQ29, DF29, FV29)=0)</formula>
    </cfRule>
    <cfRule type="expression" dxfId="743" priority="803">
      <formula>AND(BW29&gt;=5,FD29&lt;&gt;GetEquPower(BD29,BQ29, DF29, FV29))</formula>
    </cfRule>
  </conditionalFormatting>
  <conditionalFormatting sqref="FE29">
    <cfRule type="expression" dxfId="742" priority="804">
      <formula>AND(BW29&gt;=6,FE29&lt;&gt;0, GetEquPower(BD29,BQ29, DG29, FV29)=0)</formula>
    </cfRule>
    <cfRule type="expression" dxfId="741" priority="805">
      <formula>AND(BW29&gt;=6,FE29&lt;&gt;GetEquPower(BD29,BQ29, DG29, FV29))</formula>
    </cfRule>
  </conditionalFormatting>
  <conditionalFormatting sqref="FI29">
    <cfRule type="expression" dxfId="740" priority="768">
      <formula>AND(BX29&gt;=1,FI29&lt;&gt;0, GetEquPower(BE29,BR29, DI29, FW29)=0)</formula>
    </cfRule>
    <cfRule type="expression" dxfId="739" priority="769">
      <formula>AND(BX29&gt;=1,FI29&lt;&gt;GetEquPower(BE29,BR29, DI29, FW29))</formula>
    </cfRule>
  </conditionalFormatting>
  <conditionalFormatting sqref="FJ29">
    <cfRule type="expression" dxfId="738" priority="770">
      <formula>AND(BX29&gt;=2,FJ29&lt;&gt;0, GetEquPower(BE29,BR29, DJ29, FW29)=0)</formula>
    </cfRule>
    <cfRule type="expression" dxfId="737" priority="771">
      <formula>AND(BX29&gt;=2,FJ29&lt;&gt;GetEquPower(BE29,BR29, DJ29, FW29))</formula>
    </cfRule>
  </conditionalFormatting>
  <conditionalFormatting sqref="FK29">
    <cfRule type="expression" dxfId="736" priority="772">
      <formula>AND(BX29&gt;=3,FK29&lt;&gt;0, GetEquPower(BE29,BR29, DK29, FW29)=0)</formula>
    </cfRule>
    <cfRule type="expression" dxfId="735" priority="773">
      <formula>AND(BX29&gt;=3,FK29&lt;&gt;GetEquPower(BE29,BR29, DK29, FW29))</formula>
    </cfRule>
  </conditionalFormatting>
  <conditionalFormatting sqref="FL29">
    <cfRule type="expression" dxfId="734" priority="784">
      <formula>AND(BX29&gt;=4,FL29&lt;&gt;0, GetEquPower(BE29,BR29, DL29, FW29)=0)</formula>
    </cfRule>
    <cfRule type="expression" dxfId="733" priority="785">
      <formula>AND(BX29&gt;=4,FL29&lt;&gt;GetEquPower(BE29,BR29, DL29, FW29))</formula>
    </cfRule>
  </conditionalFormatting>
  <conditionalFormatting sqref="FM29">
    <cfRule type="expression" dxfId="732" priority="806">
      <formula>AND(BX29&gt;=5,FM29&lt;&gt;0, GetEquPower(BE29,BR29, DM29, FW29)=0)</formula>
    </cfRule>
    <cfRule type="expression" dxfId="731" priority="807">
      <formula>AND(BX29&gt;=5,FM29&lt;&gt;GetEquPower(BE29,BR29, DM29, FW29))</formula>
    </cfRule>
  </conditionalFormatting>
  <conditionalFormatting sqref="FN29">
    <cfRule type="expression" dxfId="730" priority="808">
      <formula>AND(BX29&gt;=6,FN29&lt;&gt;0, GetEquPower(BE29,BR29, DN29, FW29)=0)</formula>
    </cfRule>
    <cfRule type="expression" dxfId="729" priority="809">
      <formula>AND(BX29&gt;=6,FN29&lt;&gt;GetEquPower(BE29,BR29, DN29, FW29))</formula>
    </cfRule>
  </conditionalFormatting>
  <conditionalFormatting sqref="F30">
    <cfRule type="expression" dxfId="728" priority="656">
      <formula>F30&lt;&gt;RIGHT(SUBSTITUTE(TRIM(E30),".",""),LEN(F30))</formula>
    </cfRule>
  </conditionalFormatting>
  <conditionalFormatting sqref="BS30">
    <cfRule type="expression" dxfId="727" priority="655">
      <formula>AND(J30&gt;=1,BS30&lt;1)</formula>
    </cfRule>
  </conditionalFormatting>
  <conditionalFormatting sqref="BT30">
    <cfRule type="expression" dxfId="726" priority="654">
      <formula>AND(J30&gt;=2,BT30&lt;1)</formula>
    </cfRule>
  </conditionalFormatting>
  <conditionalFormatting sqref="BU30">
    <cfRule type="expression" dxfId="725" priority="652">
      <formula>AND(J30&gt;=3,BU30&lt;1)</formula>
    </cfRule>
  </conditionalFormatting>
  <conditionalFormatting sqref="BV30">
    <cfRule type="expression" dxfId="724" priority="651">
      <formula>AND(J30&gt;=4,BV30&lt;1)</formula>
    </cfRule>
  </conditionalFormatting>
  <conditionalFormatting sqref="BW30">
    <cfRule type="expression" dxfId="723" priority="653">
      <formula>AND(J30&gt;=5,BW30&lt;1)</formula>
    </cfRule>
  </conditionalFormatting>
  <conditionalFormatting sqref="BX30">
    <cfRule type="expression" dxfId="722" priority="650">
      <formula>AND(J30&gt;=6,BX30&lt;1)</formula>
    </cfRule>
  </conditionalFormatting>
  <conditionalFormatting sqref="IC30">
    <cfRule type="expression" dxfId="721" priority="729">
      <formula>AND($S30 = TRUE, $IC30&lt;&gt;OptionsUnitCode)</formula>
    </cfRule>
  </conditionalFormatting>
  <conditionalFormatting sqref="B30:II30">
    <cfRule type="containsErrors" dxfId="720" priority="649">
      <formula>ISERROR(B30)</formula>
    </cfRule>
  </conditionalFormatting>
  <conditionalFormatting sqref="DP30">
    <cfRule type="expression" dxfId="719" priority="657">
      <formula>AND(BS30&gt;=1,DP30&lt;&gt;0, GetEquPower(AZ30,BM30, BZ30, FR30)=0)</formula>
    </cfRule>
    <cfRule type="expression" dxfId="718" priority="658">
      <formula>AND(BS30&gt;=1,DP30&lt;&gt;GetEquPower(AZ30,BM30, BZ30, FR30))</formula>
    </cfRule>
  </conditionalFormatting>
  <conditionalFormatting sqref="DQ30">
    <cfRule type="expression" dxfId="717" priority="659">
      <formula>AND(BS30&gt;=2,DQ30&lt;&gt;0, GetEquPower(AZ30,BM30, CA30, FR30)=0)</formula>
    </cfRule>
    <cfRule type="expression" dxfId="716" priority="660">
      <formula>AND(BS30&gt;=2,DQ30&lt;&gt;GetEquPower(AZ30,BM30, CA30, FR30))</formula>
    </cfRule>
  </conditionalFormatting>
  <conditionalFormatting sqref="DR30">
    <cfRule type="expression" dxfId="715" priority="661">
      <formula>AND(BS30&gt;=3,DR30&lt;&gt;0, GetEquPower(AZ30,BM30, CB30, FR30)=0)</formula>
    </cfRule>
    <cfRule type="expression" dxfId="714" priority="662">
      <formula>AND(BS30&gt;=3,DR30&lt;&gt;GetEquPower(AZ30,BM30, CB30, FR30))</formula>
    </cfRule>
  </conditionalFormatting>
  <conditionalFormatting sqref="DS30">
    <cfRule type="expression" dxfId="713" priority="693">
      <formula>AND(BS30&gt;=4,DS30&lt;&gt;0, GetEquPower(AZ30,BM30, CC30, FR30)=0)</formula>
    </cfRule>
    <cfRule type="expression" dxfId="712" priority="694">
      <formula>AND(BS30&gt;=4, DS30&lt;&gt;GetEquPower(AZ30,BM30, CC30, FR30))</formula>
    </cfRule>
  </conditionalFormatting>
  <conditionalFormatting sqref="DT30">
    <cfRule type="expression" dxfId="711" priority="705">
      <formula>AND(BS30&gt;=5,DT30&lt;&gt;0, GetEquPower(AZ30,BM30, CD30, FR30)=0)</formula>
    </cfRule>
    <cfRule type="expression" dxfId="710" priority="706">
      <formula>AND(BS30&gt;=5, DT30&lt;&gt;GetEquPower(AZ30,BM30, CD30, FR30))</formula>
    </cfRule>
  </conditionalFormatting>
  <conditionalFormatting sqref="DU30">
    <cfRule type="expression" dxfId="709" priority="707">
      <formula>AND(BS30&gt;=6,DU30&lt;&gt;0, GetEquPower(AZ30,BM30, CE30, FR30)=0)</formula>
    </cfRule>
    <cfRule type="expression" dxfId="708" priority="708">
      <formula>AND(BS30&gt;=6, DU30&lt;&gt;GetEquPower(AZ30,BM30, CE30, FR30))</formula>
    </cfRule>
  </conditionalFormatting>
  <conditionalFormatting sqref="DY30">
    <cfRule type="expression" dxfId="707" priority="663">
      <formula>AND(BT30&gt;=1,DY30&lt;&gt;0, GetEquPower(BA30,BN30, CG30, FS30)=0)</formula>
    </cfRule>
    <cfRule type="expression" dxfId="706" priority="664">
      <formula>AND(BT30&gt;=1,DY30&lt;&gt;GetEquPower(BA30,BN30, CG30, FS30))</formula>
    </cfRule>
  </conditionalFormatting>
  <conditionalFormatting sqref="DZ30">
    <cfRule type="expression" dxfId="705" priority="665">
      <formula>AND(BT30&gt;=2,DZ30&lt;&gt;0, GetEquPower(BA30,BN30, CH30, FS30)=0)</formula>
    </cfRule>
    <cfRule type="expression" dxfId="704" priority="666">
      <formula>AND(BT30&gt;=2,DZ30&lt;&gt;GetEquPower(BA30,BN30, CH30, FS30))</formula>
    </cfRule>
  </conditionalFormatting>
  <conditionalFormatting sqref="EA30">
    <cfRule type="expression" dxfId="703" priority="667">
      <formula>AND(BT30&gt;=3,EA30&lt;&gt;0, GetEquPower(BA30,BN30, CI30, FS30)=0)</formula>
    </cfRule>
    <cfRule type="expression" dxfId="702" priority="668">
      <formula>AND(BT30&gt;=3,EA30&lt;&gt;GetEquPower(BA30,BN30, CI30, FS30))</formula>
    </cfRule>
  </conditionalFormatting>
  <conditionalFormatting sqref="EB30">
    <cfRule type="expression" dxfId="701" priority="695">
      <formula>AND(BT30&gt;=4,EB30&lt;&gt;0, GetEquPower(BA30,BN30, CJ30, FS30)=0)</formula>
    </cfRule>
    <cfRule type="expression" dxfId="700" priority="696">
      <formula>AND(BT30&gt;=4,EB30&lt;&gt;GetEquPower(BA30,BN30, CJ30, FS30))</formula>
    </cfRule>
  </conditionalFormatting>
  <conditionalFormatting sqref="EC30">
    <cfRule type="expression" dxfId="699" priority="709">
      <formula>AND(BT30&gt;=5,EC30&lt;&gt;0, GetEquPower(BA30,BN30, CK30, FS30)=0)</formula>
    </cfRule>
    <cfRule type="expression" dxfId="698" priority="710">
      <formula>AND(BT30&gt;=5,EC30&lt;&gt;GetEquPower(BA30,BN30, CK30, FS30))</formula>
    </cfRule>
  </conditionalFormatting>
  <conditionalFormatting sqref="ED30">
    <cfRule type="expression" dxfId="697" priority="711">
      <formula>AND(BT30&gt;=6,ED30&lt;&gt;0, GetEquPower(BA30,BN30, CL30, FS30)=0)</formula>
    </cfRule>
    <cfRule type="expression" dxfId="696" priority="712">
      <formula>AND(BT30&gt;=6,ED30&lt;&gt;GetEquPower(BA30,BN30, CL30, FS30))</formula>
    </cfRule>
  </conditionalFormatting>
  <conditionalFormatting sqref="EH30">
    <cfRule type="expression" dxfId="695" priority="669">
      <formula>AND(BU30&gt;=1,EH30&lt;&gt;0, GetEquPower(BB30,BO30, CN30, FT30)=0)</formula>
    </cfRule>
    <cfRule type="expression" dxfId="694" priority="670">
      <formula>AND(BU30&gt;=1,EH30&lt;&gt;GetEquPower(BB30,BO30, CN30, FT30))</formula>
    </cfRule>
  </conditionalFormatting>
  <conditionalFormatting sqref="EI30">
    <cfRule type="expression" dxfId="693" priority="671">
      <formula>AND(BU30&gt;=2,EI30&lt;&gt;0, GetEquPower(BB30,BO30, CO30, FT30)=0)</formula>
    </cfRule>
    <cfRule type="expression" dxfId="692" priority="672">
      <formula xml:space="preserve"> AND(BU30&gt;=2,EI30&lt;&gt;GetEquPower(BB30,BO30, CO30, FT30))</formula>
    </cfRule>
  </conditionalFormatting>
  <conditionalFormatting sqref="EJ30">
    <cfRule type="expression" dxfId="691" priority="673">
      <formula>AND(BU30&gt;=3,EJ30&lt;&gt;0, GetEquPower(BB30,BO30, CP30, FT30)=0)</formula>
    </cfRule>
    <cfRule type="expression" dxfId="690" priority="674">
      <formula xml:space="preserve"> AND(BU30&gt;=3,EJ30&lt;&gt;GetEquPower(BB30,BO30, CP30, FT30))</formula>
    </cfRule>
  </conditionalFormatting>
  <conditionalFormatting sqref="EK30">
    <cfRule type="expression" dxfId="689" priority="697">
      <formula>AND(BU30&gt;=4,EK30&lt;&gt;0, GetEquPower(BB30,BO30, CQ30, FT30)=0)</formula>
    </cfRule>
    <cfRule type="expression" dxfId="688" priority="698">
      <formula xml:space="preserve"> AND(BU30&gt;=4,EK30&lt;&gt;GetEquPower(BB30,BO30, CQ30, FT30))</formula>
    </cfRule>
  </conditionalFormatting>
  <conditionalFormatting sqref="EL30">
    <cfRule type="expression" dxfId="687" priority="713">
      <formula>AND(BU30&gt;=5,EL30&lt;&gt;0, GetEquPower(BB30,BO30, CR30, FT30)=0)</formula>
    </cfRule>
    <cfRule type="expression" dxfId="686" priority="714">
      <formula xml:space="preserve"> AND(BU30&gt;=5,EL30&lt;&gt;GetEquPower(BB30,BO30, CR30, FT30))</formula>
    </cfRule>
  </conditionalFormatting>
  <conditionalFormatting sqref="EM30">
    <cfRule type="expression" dxfId="685" priority="715">
      <formula>AND(BU30&gt;=6,EM30&lt;&gt;0, GetEquPower(BB30,BO30, CS30, FT30)=0)</formula>
    </cfRule>
    <cfRule type="expression" dxfId="684" priority="716">
      <formula xml:space="preserve"> AND(BU30&gt;=6,EM30&lt;&gt;GetEquPower(BB30,BO30, CS30, FT30))</formula>
    </cfRule>
  </conditionalFormatting>
  <conditionalFormatting sqref="EQ30">
    <cfRule type="expression" dxfId="683" priority="675">
      <formula>AND(BV30&gt;=1,EQ30&lt;&gt;0, GetEquPower(BC30,BP30, CU30, FU30)=0)</formula>
    </cfRule>
    <cfRule type="expression" dxfId="682" priority="676">
      <formula>AND(BV30&gt;=1,EQ30&lt;&gt;GetEquPower(BC30,BP30, CU30, FU30))</formula>
    </cfRule>
  </conditionalFormatting>
  <conditionalFormatting sqref="ER30">
    <cfRule type="expression" dxfId="681" priority="677">
      <formula>AND(BV30&gt;=2,ER30&lt;&gt;0, GetEquPower(BC30,BP30, CV30, FU30)=0)</formula>
    </cfRule>
    <cfRule type="expression" dxfId="680" priority="678">
      <formula>AND(BV30&gt;=2,ER30&lt;&gt;GetEquPower(BC30,BP30, CV30, FU30))</formula>
    </cfRule>
  </conditionalFormatting>
  <conditionalFormatting sqref="ES30">
    <cfRule type="expression" dxfId="679" priority="679">
      <formula>AND(BV30&gt;=3,ES30&lt;&gt;0, GetEquPower(BC30,BP30, CW30, FU30)=0)</formula>
    </cfRule>
    <cfRule type="expression" dxfId="678" priority="680">
      <formula>AND(BV30&gt;=3,ES30&lt;&gt;GetEquPower(BC30,BP30, CW30, FU30))</formula>
    </cfRule>
  </conditionalFormatting>
  <conditionalFormatting sqref="ET30">
    <cfRule type="expression" dxfId="677" priority="699">
      <formula>AND(BV30&gt;=4,ET30&lt;&gt;0, GetEquPower(BC30,BP30, CX30, FU30)=0)</formula>
    </cfRule>
    <cfRule type="expression" dxfId="676" priority="700">
      <formula>AND(BV30&gt;=4,ET30&lt;&gt;GetEquPower(BC30,BP30, CX30, FU30))</formula>
    </cfRule>
  </conditionalFormatting>
  <conditionalFormatting sqref="EU30">
    <cfRule type="expression" dxfId="675" priority="717">
      <formula>AND(BV30&gt;=5,EU30&lt;&gt;0, GetEquPower(BC30,BP30, CY30, FU30)=0)</formula>
    </cfRule>
    <cfRule type="expression" dxfId="674" priority="718">
      <formula>AND(BV30&gt;=5,EU30&lt;&gt;GetEquPower(BC30,BP30, CY30, FU30))</formula>
    </cfRule>
  </conditionalFormatting>
  <conditionalFormatting sqref="EV30">
    <cfRule type="expression" dxfId="673" priority="719">
      <formula>AND(BV30&gt;=6,EV30&lt;&gt;0, GetEquPower(BC30,BP30, CZ30, FU30)=0)</formula>
    </cfRule>
    <cfRule type="expression" dxfId="672" priority="720">
      <formula>AND(BV30&gt;=6,EV30&lt;&gt;GetEquPower(BC30,BP30, CZ30, FU30))</formula>
    </cfRule>
  </conditionalFormatting>
  <conditionalFormatting sqref="EZ30">
    <cfRule type="expression" dxfId="671" priority="681">
      <formula>AND(BW30&gt;=1,EZ30&lt;&gt;0, GetEquPower(BD30,BQ30, DB30, FV30)=0)</formula>
    </cfRule>
    <cfRule type="expression" dxfId="670" priority="682">
      <formula>AND(BW30&gt;=1,EZ30&lt;&gt;GetEquPower(BD30,BQ30, DB30, FV30))</formula>
    </cfRule>
  </conditionalFormatting>
  <conditionalFormatting sqref="FA30">
    <cfRule type="expression" dxfId="669" priority="683">
      <formula>AND(BW30&gt;=2,FA30&lt;&gt;0, GetEquPower(BD30,BQ30, DC30, FV30)=0)</formula>
    </cfRule>
    <cfRule type="expression" dxfId="668" priority="684">
      <formula>AND(BW30&gt;=2,FA30&lt;&gt;GetEquPower(BD30,BQ30, DC30, FV30))</formula>
    </cfRule>
  </conditionalFormatting>
  <conditionalFormatting sqref="FB30">
    <cfRule type="expression" dxfId="667" priority="685">
      <formula>AND(BW30&gt;=3,FB30&lt;&gt;0, GetEquPower(BD30,BQ30, DD30, FV30)=0)</formula>
    </cfRule>
    <cfRule type="expression" dxfId="666" priority="686">
      <formula>AND(BW30&gt;=3,FB30&lt;&gt;GetEquPower(BD30,BQ30, DD30, FV30))</formula>
    </cfRule>
  </conditionalFormatting>
  <conditionalFormatting sqref="FC30">
    <cfRule type="expression" dxfId="665" priority="701">
      <formula>AND(BW30&gt;=4,FC30&lt;&gt;0, GetEquPower(BD30,BQ30, DE30, FV30)=0)</formula>
    </cfRule>
    <cfRule type="expression" dxfId="664" priority="702">
      <formula>AND(BW30&gt;=4,FC30&lt;&gt;GetEquPower(BD30,BQ30, DE30, FV30))</formula>
    </cfRule>
  </conditionalFormatting>
  <conditionalFormatting sqref="FD30">
    <cfRule type="expression" dxfId="663" priority="721">
      <formula>AND(BW30&gt;=5,FD30&lt;&gt;0, GetEquPower(BD30,BQ30, DF30, FV30)=0)</formula>
    </cfRule>
    <cfRule type="expression" dxfId="662" priority="722">
      <formula>AND(BW30&gt;=5,FD30&lt;&gt;GetEquPower(BD30,BQ30, DF30, FV30))</formula>
    </cfRule>
  </conditionalFormatting>
  <conditionalFormatting sqref="FE30">
    <cfRule type="expression" dxfId="661" priority="723">
      <formula>AND(BW30&gt;=6,FE30&lt;&gt;0, GetEquPower(BD30,BQ30, DG30, FV30)=0)</formula>
    </cfRule>
    <cfRule type="expression" dxfId="660" priority="724">
      <formula>AND(BW30&gt;=6,FE30&lt;&gt;GetEquPower(BD30,BQ30, DG30, FV30))</formula>
    </cfRule>
  </conditionalFormatting>
  <conditionalFormatting sqref="FI30">
    <cfRule type="expression" dxfId="659" priority="687">
      <formula>AND(BX30&gt;=1,FI30&lt;&gt;0, GetEquPower(BE30,BR30, DI30, FW30)=0)</formula>
    </cfRule>
    <cfRule type="expression" dxfId="658" priority="688">
      <formula>AND(BX30&gt;=1,FI30&lt;&gt;GetEquPower(BE30,BR30, DI30, FW30))</formula>
    </cfRule>
  </conditionalFormatting>
  <conditionalFormatting sqref="FJ30">
    <cfRule type="expression" dxfId="657" priority="689">
      <formula>AND(BX30&gt;=2,FJ30&lt;&gt;0, GetEquPower(BE30,BR30, DJ30, FW30)=0)</formula>
    </cfRule>
    <cfRule type="expression" dxfId="656" priority="690">
      <formula>AND(BX30&gt;=2,FJ30&lt;&gt;GetEquPower(BE30,BR30, DJ30, FW30))</formula>
    </cfRule>
  </conditionalFormatting>
  <conditionalFormatting sqref="FK30">
    <cfRule type="expression" dxfId="655" priority="691">
      <formula>AND(BX30&gt;=3,FK30&lt;&gt;0, GetEquPower(BE30,BR30, DK30, FW30)=0)</formula>
    </cfRule>
    <cfRule type="expression" dxfId="654" priority="692">
      <formula>AND(BX30&gt;=3,FK30&lt;&gt;GetEquPower(BE30,BR30, DK30, FW30))</formula>
    </cfRule>
  </conditionalFormatting>
  <conditionalFormatting sqref="FL30">
    <cfRule type="expression" dxfId="653" priority="703">
      <formula>AND(BX30&gt;=4,FL30&lt;&gt;0, GetEquPower(BE30,BR30, DL30, FW30)=0)</formula>
    </cfRule>
    <cfRule type="expression" dxfId="652" priority="704">
      <formula>AND(BX30&gt;=4,FL30&lt;&gt;GetEquPower(BE30,BR30, DL30, FW30))</formula>
    </cfRule>
  </conditionalFormatting>
  <conditionalFormatting sqref="FM30">
    <cfRule type="expression" dxfId="651" priority="725">
      <formula>AND(BX30&gt;=5,FM30&lt;&gt;0, GetEquPower(BE30,BR30, DM30, FW30)=0)</formula>
    </cfRule>
    <cfRule type="expression" dxfId="650" priority="726">
      <formula>AND(BX30&gt;=5,FM30&lt;&gt;GetEquPower(BE30,BR30, DM30, FW30))</formula>
    </cfRule>
  </conditionalFormatting>
  <conditionalFormatting sqref="FN30">
    <cfRule type="expression" dxfId="649" priority="727">
      <formula>AND(BX30&gt;=6,FN30&lt;&gt;0, GetEquPower(BE30,BR30, DN30, FW30)=0)</formula>
    </cfRule>
    <cfRule type="expression" dxfId="648" priority="728">
      <formula>AND(BX30&gt;=6,FN30&lt;&gt;GetEquPower(BE30,BR30, DN30, FW30))</formula>
    </cfRule>
  </conditionalFormatting>
  <conditionalFormatting sqref="F31">
    <cfRule type="expression" dxfId="647" priority="575">
      <formula>F31&lt;&gt;RIGHT(SUBSTITUTE(TRIM(E31),".",""),LEN(F31))</formula>
    </cfRule>
  </conditionalFormatting>
  <conditionalFormatting sqref="BS31">
    <cfRule type="expression" dxfId="646" priority="574">
      <formula>AND(J31&gt;=1,BS31&lt;1)</formula>
    </cfRule>
  </conditionalFormatting>
  <conditionalFormatting sqref="BT31">
    <cfRule type="expression" dxfId="645" priority="573">
      <formula>AND(J31&gt;=2,BT31&lt;1)</formula>
    </cfRule>
  </conditionalFormatting>
  <conditionalFormatting sqref="BU31">
    <cfRule type="expression" dxfId="644" priority="571">
      <formula>AND(J31&gt;=3,BU31&lt;1)</formula>
    </cfRule>
  </conditionalFormatting>
  <conditionalFormatting sqref="BV31">
    <cfRule type="expression" dxfId="643" priority="570">
      <formula>AND(J31&gt;=4,BV31&lt;1)</formula>
    </cfRule>
  </conditionalFormatting>
  <conditionalFormatting sqref="BW31">
    <cfRule type="expression" dxfId="642" priority="572">
      <formula>AND(J31&gt;=5,BW31&lt;1)</formula>
    </cfRule>
  </conditionalFormatting>
  <conditionalFormatting sqref="BX31">
    <cfRule type="expression" dxfId="641" priority="569">
      <formula>AND(J31&gt;=6,BX31&lt;1)</formula>
    </cfRule>
  </conditionalFormatting>
  <conditionalFormatting sqref="IC31">
    <cfRule type="expression" dxfId="640" priority="648">
      <formula>AND($S31 = TRUE, $IC31&lt;&gt;OptionsUnitCode)</formula>
    </cfRule>
  </conditionalFormatting>
  <conditionalFormatting sqref="B31:II31">
    <cfRule type="containsErrors" dxfId="639" priority="568">
      <formula>ISERROR(B31)</formula>
    </cfRule>
  </conditionalFormatting>
  <conditionalFormatting sqref="DP31">
    <cfRule type="expression" dxfId="638" priority="576">
      <formula>AND(BS31&gt;=1,DP31&lt;&gt;0, GetEquPower(AZ31,BM31, BZ31, FR31)=0)</formula>
    </cfRule>
    <cfRule type="expression" dxfId="637" priority="577">
      <formula>AND(BS31&gt;=1,DP31&lt;&gt;GetEquPower(AZ31,BM31, BZ31, FR31))</formula>
    </cfRule>
  </conditionalFormatting>
  <conditionalFormatting sqref="DQ31">
    <cfRule type="expression" dxfId="636" priority="578">
      <formula>AND(BS31&gt;=2,DQ31&lt;&gt;0, GetEquPower(AZ31,BM31, CA31, FR31)=0)</formula>
    </cfRule>
    <cfRule type="expression" dxfId="635" priority="579">
      <formula>AND(BS31&gt;=2,DQ31&lt;&gt;GetEquPower(AZ31,BM31, CA31, FR31))</formula>
    </cfRule>
  </conditionalFormatting>
  <conditionalFormatting sqref="DR31">
    <cfRule type="expression" dxfId="634" priority="580">
      <formula>AND(BS31&gt;=3,DR31&lt;&gt;0, GetEquPower(AZ31,BM31, CB31, FR31)=0)</formula>
    </cfRule>
    <cfRule type="expression" dxfId="633" priority="581">
      <formula>AND(BS31&gt;=3,DR31&lt;&gt;GetEquPower(AZ31,BM31, CB31, FR31))</formula>
    </cfRule>
  </conditionalFormatting>
  <conditionalFormatting sqref="DS31">
    <cfRule type="expression" dxfId="632" priority="612">
      <formula>AND(BS31&gt;=4,DS31&lt;&gt;0, GetEquPower(AZ31,BM31, CC31, FR31)=0)</formula>
    </cfRule>
    <cfRule type="expression" dxfId="631" priority="613">
      <formula>AND(BS31&gt;=4, DS31&lt;&gt;GetEquPower(AZ31,BM31, CC31, FR31))</formula>
    </cfRule>
  </conditionalFormatting>
  <conditionalFormatting sqref="DT31">
    <cfRule type="expression" dxfId="630" priority="624">
      <formula>AND(BS31&gt;=5,DT31&lt;&gt;0, GetEquPower(AZ31,BM31, CD31, FR31)=0)</formula>
    </cfRule>
    <cfRule type="expression" dxfId="629" priority="625">
      <formula>AND(BS31&gt;=5, DT31&lt;&gt;GetEquPower(AZ31,BM31, CD31, FR31))</formula>
    </cfRule>
  </conditionalFormatting>
  <conditionalFormatting sqref="DU31">
    <cfRule type="expression" dxfId="628" priority="626">
      <formula>AND(BS31&gt;=6,DU31&lt;&gt;0, GetEquPower(AZ31,BM31, CE31, FR31)=0)</formula>
    </cfRule>
    <cfRule type="expression" dxfId="627" priority="627">
      <formula>AND(BS31&gt;=6, DU31&lt;&gt;GetEquPower(AZ31,BM31, CE31, FR31))</formula>
    </cfRule>
  </conditionalFormatting>
  <conditionalFormatting sqref="DY31">
    <cfRule type="expression" dxfId="626" priority="582">
      <formula>AND(BT31&gt;=1,DY31&lt;&gt;0, GetEquPower(BA31,BN31, CG31, FS31)=0)</formula>
    </cfRule>
    <cfRule type="expression" dxfId="625" priority="583">
      <formula>AND(BT31&gt;=1,DY31&lt;&gt;GetEquPower(BA31,BN31, CG31, FS31))</formula>
    </cfRule>
  </conditionalFormatting>
  <conditionalFormatting sqref="DZ31">
    <cfRule type="expression" dxfId="624" priority="584">
      <formula>AND(BT31&gt;=2,DZ31&lt;&gt;0, GetEquPower(BA31,BN31, CH31, FS31)=0)</formula>
    </cfRule>
    <cfRule type="expression" dxfId="623" priority="585">
      <formula>AND(BT31&gt;=2,DZ31&lt;&gt;GetEquPower(BA31,BN31, CH31, FS31))</formula>
    </cfRule>
  </conditionalFormatting>
  <conditionalFormatting sqref="EA31">
    <cfRule type="expression" dxfId="622" priority="586">
      <formula>AND(BT31&gt;=3,EA31&lt;&gt;0, GetEquPower(BA31,BN31, CI31, FS31)=0)</formula>
    </cfRule>
    <cfRule type="expression" dxfId="621" priority="587">
      <formula>AND(BT31&gt;=3,EA31&lt;&gt;GetEquPower(BA31,BN31, CI31, FS31))</formula>
    </cfRule>
  </conditionalFormatting>
  <conditionalFormatting sqref="EB31">
    <cfRule type="expression" dxfId="620" priority="614">
      <formula>AND(BT31&gt;=4,EB31&lt;&gt;0, GetEquPower(BA31,BN31, CJ31, FS31)=0)</formula>
    </cfRule>
    <cfRule type="expression" dxfId="619" priority="615">
      <formula>AND(BT31&gt;=4,EB31&lt;&gt;GetEquPower(BA31,BN31, CJ31, FS31))</formula>
    </cfRule>
  </conditionalFormatting>
  <conditionalFormatting sqref="EC31">
    <cfRule type="expression" dxfId="618" priority="628">
      <formula>AND(BT31&gt;=5,EC31&lt;&gt;0, GetEquPower(BA31,BN31, CK31, FS31)=0)</formula>
    </cfRule>
    <cfRule type="expression" dxfId="617" priority="629">
      <formula>AND(BT31&gt;=5,EC31&lt;&gt;GetEquPower(BA31,BN31, CK31, FS31))</formula>
    </cfRule>
  </conditionalFormatting>
  <conditionalFormatting sqref="ED31">
    <cfRule type="expression" dxfId="616" priority="630">
      <formula>AND(BT31&gt;=6,ED31&lt;&gt;0, GetEquPower(BA31,BN31, CL31, FS31)=0)</formula>
    </cfRule>
    <cfRule type="expression" dxfId="615" priority="631">
      <formula>AND(BT31&gt;=6,ED31&lt;&gt;GetEquPower(BA31,BN31, CL31, FS31))</formula>
    </cfRule>
  </conditionalFormatting>
  <conditionalFormatting sqref="EH31">
    <cfRule type="expression" dxfId="614" priority="588">
      <formula>AND(BU31&gt;=1,EH31&lt;&gt;0, GetEquPower(BB31,BO31, CN31, FT31)=0)</formula>
    </cfRule>
    <cfRule type="expression" dxfId="613" priority="589">
      <formula>AND(BU31&gt;=1,EH31&lt;&gt;GetEquPower(BB31,BO31, CN31, FT31))</formula>
    </cfRule>
  </conditionalFormatting>
  <conditionalFormatting sqref="EI31">
    <cfRule type="expression" dxfId="612" priority="590">
      <formula>AND(BU31&gt;=2,EI31&lt;&gt;0, GetEquPower(BB31,BO31, CO31, FT31)=0)</formula>
    </cfRule>
    <cfRule type="expression" dxfId="611" priority="591">
      <formula xml:space="preserve"> AND(BU31&gt;=2,EI31&lt;&gt;GetEquPower(BB31,BO31, CO31, FT31))</formula>
    </cfRule>
  </conditionalFormatting>
  <conditionalFormatting sqref="EJ31">
    <cfRule type="expression" dxfId="610" priority="592">
      <formula>AND(BU31&gt;=3,EJ31&lt;&gt;0, GetEquPower(BB31,BO31, CP31, FT31)=0)</formula>
    </cfRule>
    <cfRule type="expression" dxfId="609" priority="593">
      <formula xml:space="preserve"> AND(BU31&gt;=3,EJ31&lt;&gt;GetEquPower(BB31,BO31, CP31, FT31))</formula>
    </cfRule>
  </conditionalFormatting>
  <conditionalFormatting sqref="EK31">
    <cfRule type="expression" dxfId="608" priority="616">
      <formula>AND(BU31&gt;=4,EK31&lt;&gt;0, GetEquPower(BB31,BO31, CQ31, FT31)=0)</formula>
    </cfRule>
    <cfRule type="expression" dxfId="607" priority="617">
      <formula xml:space="preserve"> AND(BU31&gt;=4,EK31&lt;&gt;GetEquPower(BB31,BO31, CQ31, FT31))</formula>
    </cfRule>
  </conditionalFormatting>
  <conditionalFormatting sqref="EL31">
    <cfRule type="expression" dxfId="606" priority="632">
      <formula>AND(BU31&gt;=5,EL31&lt;&gt;0, GetEquPower(BB31,BO31, CR31, FT31)=0)</formula>
    </cfRule>
    <cfRule type="expression" dxfId="605" priority="633">
      <formula xml:space="preserve"> AND(BU31&gt;=5,EL31&lt;&gt;GetEquPower(BB31,BO31, CR31, FT31))</formula>
    </cfRule>
  </conditionalFormatting>
  <conditionalFormatting sqref="EM31">
    <cfRule type="expression" dxfId="604" priority="634">
      <formula>AND(BU31&gt;=6,EM31&lt;&gt;0, GetEquPower(BB31,BO31, CS31, FT31)=0)</formula>
    </cfRule>
    <cfRule type="expression" dxfId="603" priority="635">
      <formula xml:space="preserve"> AND(BU31&gt;=6,EM31&lt;&gt;GetEquPower(BB31,BO31, CS31, FT31))</formula>
    </cfRule>
  </conditionalFormatting>
  <conditionalFormatting sqref="EQ31">
    <cfRule type="expression" dxfId="602" priority="594">
      <formula>AND(BV31&gt;=1,EQ31&lt;&gt;0, GetEquPower(BC31,BP31, CU31, FU31)=0)</formula>
    </cfRule>
    <cfRule type="expression" dxfId="601" priority="595">
      <formula>AND(BV31&gt;=1,EQ31&lt;&gt;GetEquPower(BC31,BP31, CU31, FU31))</formula>
    </cfRule>
  </conditionalFormatting>
  <conditionalFormatting sqref="ER31">
    <cfRule type="expression" dxfId="600" priority="596">
      <formula>AND(BV31&gt;=2,ER31&lt;&gt;0, GetEquPower(BC31,BP31, CV31, FU31)=0)</formula>
    </cfRule>
    <cfRule type="expression" dxfId="599" priority="597">
      <formula>AND(BV31&gt;=2,ER31&lt;&gt;GetEquPower(BC31,BP31, CV31, FU31))</formula>
    </cfRule>
  </conditionalFormatting>
  <conditionalFormatting sqref="ES31">
    <cfRule type="expression" dxfId="598" priority="598">
      <formula>AND(BV31&gt;=3,ES31&lt;&gt;0, GetEquPower(BC31,BP31, CW31, FU31)=0)</formula>
    </cfRule>
    <cfRule type="expression" dxfId="597" priority="599">
      <formula>AND(BV31&gt;=3,ES31&lt;&gt;GetEquPower(BC31,BP31, CW31, FU31))</formula>
    </cfRule>
  </conditionalFormatting>
  <conditionalFormatting sqref="ET31">
    <cfRule type="expression" dxfId="596" priority="618">
      <formula>AND(BV31&gt;=4,ET31&lt;&gt;0, GetEquPower(BC31,BP31, CX31, FU31)=0)</formula>
    </cfRule>
    <cfRule type="expression" dxfId="595" priority="619">
      <formula>AND(BV31&gt;=4,ET31&lt;&gt;GetEquPower(BC31,BP31, CX31, FU31))</formula>
    </cfRule>
  </conditionalFormatting>
  <conditionalFormatting sqref="EU31">
    <cfRule type="expression" dxfId="594" priority="636">
      <formula>AND(BV31&gt;=5,EU31&lt;&gt;0, GetEquPower(BC31,BP31, CY31, FU31)=0)</formula>
    </cfRule>
    <cfRule type="expression" dxfId="593" priority="637">
      <formula>AND(BV31&gt;=5,EU31&lt;&gt;GetEquPower(BC31,BP31, CY31, FU31))</formula>
    </cfRule>
  </conditionalFormatting>
  <conditionalFormatting sqref="EV31">
    <cfRule type="expression" dxfId="592" priority="638">
      <formula>AND(BV31&gt;=6,EV31&lt;&gt;0, GetEquPower(BC31,BP31, CZ31, FU31)=0)</formula>
    </cfRule>
    <cfRule type="expression" dxfId="591" priority="639">
      <formula>AND(BV31&gt;=6,EV31&lt;&gt;GetEquPower(BC31,BP31, CZ31, FU31))</formula>
    </cfRule>
  </conditionalFormatting>
  <conditionalFormatting sqref="EZ31">
    <cfRule type="expression" dxfId="590" priority="600">
      <formula>AND(BW31&gt;=1,EZ31&lt;&gt;0, GetEquPower(BD31,BQ31, DB31, FV31)=0)</formula>
    </cfRule>
    <cfRule type="expression" dxfId="589" priority="601">
      <formula>AND(BW31&gt;=1,EZ31&lt;&gt;GetEquPower(BD31,BQ31, DB31, FV31))</formula>
    </cfRule>
  </conditionalFormatting>
  <conditionalFormatting sqref="FA31">
    <cfRule type="expression" dxfId="588" priority="602">
      <formula>AND(BW31&gt;=2,FA31&lt;&gt;0, GetEquPower(BD31,BQ31, DC31, FV31)=0)</formula>
    </cfRule>
    <cfRule type="expression" dxfId="587" priority="603">
      <formula>AND(BW31&gt;=2,FA31&lt;&gt;GetEquPower(BD31,BQ31, DC31, FV31))</formula>
    </cfRule>
  </conditionalFormatting>
  <conditionalFormatting sqref="FB31">
    <cfRule type="expression" dxfId="586" priority="604">
      <formula>AND(BW31&gt;=3,FB31&lt;&gt;0, GetEquPower(BD31,BQ31, DD31, FV31)=0)</formula>
    </cfRule>
    <cfRule type="expression" dxfId="585" priority="605">
      <formula>AND(BW31&gt;=3,FB31&lt;&gt;GetEquPower(BD31,BQ31, DD31, FV31))</formula>
    </cfRule>
  </conditionalFormatting>
  <conditionalFormatting sqref="FC31">
    <cfRule type="expression" dxfId="584" priority="620">
      <formula>AND(BW31&gt;=4,FC31&lt;&gt;0, GetEquPower(BD31,BQ31, DE31, FV31)=0)</formula>
    </cfRule>
    <cfRule type="expression" dxfId="583" priority="621">
      <formula>AND(BW31&gt;=4,FC31&lt;&gt;GetEquPower(BD31,BQ31, DE31, FV31))</formula>
    </cfRule>
  </conditionalFormatting>
  <conditionalFormatting sqref="FD31">
    <cfRule type="expression" dxfId="582" priority="640">
      <formula>AND(BW31&gt;=5,FD31&lt;&gt;0, GetEquPower(BD31,BQ31, DF31, FV31)=0)</formula>
    </cfRule>
    <cfRule type="expression" dxfId="581" priority="641">
      <formula>AND(BW31&gt;=5,FD31&lt;&gt;GetEquPower(BD31,BQ31, DF31, FV31))</formula>
    </cfRule>
  </conditionalFormatting>
  <conditionalFormatting sqref="FE31">
    <cfRule type="expression" dxfId="580" priority="642">
      <formula>AND(BW31&gt;=6,FE31&lt;&gt;0, GetEquPower(BD31,BQ31, DG31, FV31)=0)</formula>
    </cfRule>
    <cfRule type="expression" dxfId="579" priority="643">
      <formula>AND(BW31&gt;=6,FE31&lt;&gt;GetEquPower(BD31,BQ31, DG31, FV31))</formula>
    </cfRule>
  </conditionalFormatting>
  <conditionalFormatting sqref="FI31">
    <cfRule type="expression" dxfId="578" priority="606">
      <formula>AND(BX31&gt;=1,FI31&lt;&gt;0, GetEquPower(BE31,BR31, DI31, FW31)=0)</formula>
    </cfRule>
    <cfRule type="expression" dxfId="577" priority="607">
      <formula>AND(BX31&gt;=1,FI31&lt;&gt;GetEquPower(BE31,BR31, DI31, FW31))</formula>
    </cfRule>
  </conditionalFormatting>
  <conditionalFormatting sqref="FJ31">
    <cfRule type="expression" dxfId="576" priority="608">
      <formula>AND(BX31&gt;=2,FJ31&lt;&gt;0, GetEquPower(BE31,BR31, DJ31, FW31)=0)</formula>
    </cfRule>
    <cfRule type="expression" dxfId="575" priority="609">
      <formula>AND(BX31&gt;=2,FJ31&lt;&gt;GetEquPower(BE31,BR31, DJ31, FW31))</formula>
    </cfRule>
  </conditionalFormatting>
  <conditionalFormatting sqref="FK31">
    <cfRule type="expression" dxfId="574" priority="610">
      <formula>AND(BX31&gt;=3,FK31&lt;&gt;0, GetEquPower(BE31,BR31, DK31, FW31)=0)</formula>
    </cfRule>
    <cfRule type="expression" dxfId="573" priority="611">
      <formula>AND(BX31&gt;=3,FK31&lt;&gt;GetEquPower(BE31,BR31, DK31, FW31))</formula>
    </cfRule>
  </conditionalFormatting>
  <conditionalFormatting sqref="FL31">
    <cfRule type="expression" dxfId="572" priority="622">
      <formula>AND(BX31&gt;=4,FL31&lt;&gt;0, GetEquPower(BE31,BR31, DL31, FW31)=0)</formula>
    </cfRule>
    <cfRule type="expression" dxfId="571" priority="623">
      <formula>AND(BX31&gt;=4,FL31&lt;&gt;GetEquPower(BE31,BR31, DL31, FW31))</formula>
    </cfRule>
  </conditionalFormatting>
  <conditionalFormatting sqref="FM31">
    <cfRule type="expression" dxfId="570" priority="644">
      <formula>AND(BX31&gt;=5,FM31&lt;&gt;0, GetEquPower(BE31,BR31, DM31, FW31)=0)</formula>
    </cfRule>
    <cfRule type="expression" dxfId="569" priority="645">
      <formula>AND(BX31&gt;=5,FM31&lt;&gt;GetEquPower(BE31,BR31, DM31, FW31))</formula>
    </cfRule>
  </conditionalFormatting>
  <conditionalFormatting sqref="FN31">
    <cfRule type="expression" dxfId="568" priority="646">
      <formula>AND(BX31&gt;=6,FN31&lt;&gt;0, GetEquPower(BE31,BR31, DN31, FW31)=0)</formula>
    </cfRule>
    <cfRule type="expression" dxfId="567" priority="647">
      <formula>AND(BX31&gt;=6,FN31&lt;&gt;GetEquPower(BE31,BR31, DN31, FW31))</formula>
    </cfRule>
  </conditionalFormatting>
  <conditionalFormatting sqref="F32">
    <cfRule type="expression" dxfId="566" priority="494">
      <formula>F32&lt;&gt;RIGHT(SUBSTITUTE(TRIM(E32),".",""),LEN(F32))</formula>
    </cfRule>
  </conditionalFormatting>
  <conditionalFormatting sqref="BS32">
    <cfRule type="expression" dxfId="565" priority="493">
      <formula>AND(J32&gt;=1,BS32&lt;1)</formula>
    </cfRule>
  </conditionalFormatting>
  <conditionalFormatting sqref="BT32">
    <cfRule type="expression" dxfId="564" priority="492">
      <formula>AND(J32&gt;=2,BT32&lt;1)</formula>
    </cfRule>
  </conditionalFormatting>
  <conditionalFormatting sqref="BU32">
    <cfRule type="expression" dxfId="563" priority="490">
      <formula>AND(J32&gt;=3,BU32&lt;1)</formula>
    </cfRule>
  </conditionalFormatting>
  <conditionalFormatting sqref="BV32">
    <cfRule type="expression" dxfId="562" priority="489">
      <formula>AND(J32&gt;=4,BV32&lt;1)</formula>
    </cfRule>
  </conditionalFormatting>
  <conditionalFormatting sqref="BW32">
    <cfRule type="expression" dxfId="561" priority="491">
      <formula>AND(J32&gt;=5,BW32&lt;1)</formula>
    </cfRule>
  </conditionalFormatting>
  <conditionalFormatting sqref="BX32">
    <cfRule type="expression" dxfId="560" priority="488">
      <formula>AND(J32&gt;=6,BX32&lt;1)</formula>
    </cfRule>
  </conditionalFormatting>
  <conditionalFormatting sqref="IC32">
    <cfRule type="expression" dxfId="559" priority="567">
      <formula>AND($S32 = TRUE, $IC32&lt;&gt;OptionsUnitCode)</formula>
    </cfRule>
  </conditionalFormatting>
  <conditionalFormatting sqref="B32:II32">
    <cfRule type="containsErrors" dxfId="558" priority="487">
      <formula>ISERROR(B32)</formula>
    </cfRule>
  </conditionalFormatting>
  <conditionalFormatting sqref="DP32">
    <cfRule type="expression" dxfId="557" priority="495">
      <formula>AND(BS32&gt;=1,DP32&lt;&gt;0, GetEquPower(AZ32,BM32, BZ32, FR32)=0)</formula>
    </cfRule>
    <cfRule type="expression" dxfId="556" priority="496">
      <formula>AND(BS32&gt;=1,DP32&lt;&gt;GetEquPower(AZ32,BM32, BZ32, FR32))</formula>
    </cfRule>
  </conditionalFormatting>
  <conditionalFormatting sqref="DQ32">
    <cfRule type="expression" dxfId="555" priority="497">
      <formula>AND(BS32&gt;=2,DQ32&lt;&gt;0, GetEquPower(AZ32,BM32, CA32, FR32)=0)</formula>
    </cfRule>
    <cfRule type="expression" dxfId="554" priority="498">
      <formula>AND(BS32&gt;=2,DQ32&lt;&gt;GetEquPower(AZ32,BM32, CA32, FR32))</formula>
    </cfRule>
  </conditionalFormatting>
  <conditionalFormatting sqref="DR32">
    <cfRule type="expression" dxfId="553" priority="499">
      <formula>AND(BS32&gt;=3,DR32&lt;&gt;0, GetEquPower(AZ32,BM32, CB32, FR32)=0)</formula>
    </cfRule>
    <cfRule type="expression" dxfId="552" priority="500">
      <formula>AND(BS32&gt;=3,DR32&lt;&gt;GetEquPower(AZ32,BM32, CB32, FR32))</formula>
    </cfRule>
  </conditionalFormatting>
  <conditionalFormatting sqref="DS32">
    <cfRule type="expression" dxfId="551" priority="531">
      <formula>AND(BS32&gt;=4,DS32&lt;&gt;0, GetEquPower(AZ32,BM32, CC32, FR32)=0)</formula>
    </cfRule>
    <cfRule type="expression" dxfId="550" priority="532">
      <formula>AND(BS32&gt;=4, DS32&lt;&gt;GetEquPower(AZ32,BM32, CC32, FR32))</formula>
    </cfRule>
  </conditionalFormatting>
  <conditionalFormatting sqref="DT32">
    <cfRule type="expression" dxfId="549" priority="543">
      <formula>AND(BS32&gt;=5,DT32&lt;&gt;0, GetEquPower(AZ32,BM32, CD32, FR32)=0)</formula>
    </cfRule>
    <cfRule type="expression" dxfId="548" priority="544">
      <formula>AND(BS32&gt;=5, DT32&lt;&gt;GetEquPower(AZ32,BM32, CD32, FR32))</formula>
    </cfRule>
  </conditionalFormatting>
  <conditionalFormatting sqref="DU32">
    <cfRule type="expression" dxfId="547" priority="545">
      <formula>AND(BS32&gt;=6,DU32&lt;&gt;0, GetEquPower(AZ32,BM32, CE32, FR32)=0)</formula>
    </cfRule>
    <cfRule type="expression" dxfId="546" priority="546">
      <formula>AND(BS32&gt;=6, DU32&lt;&gt;GetEquPower(AZ32,BM32, CE32, FR32))</formula>
    </cfRule>
  </conditionalFormatting>
  <conditionalFormatting sqref="DY32">
    <cfRule type="expression" dxfId="545" priority="501">
      <formula>AND(BT32&gt;=1,DY32&lt;&gt;0, GetEquPower(BA32,BN32, CG32, FS32)=0)</formula>
    </cfRule>
    <cfRule type="expression" dxfId="544" priority="502">
      <formula>AND(BT32&gt;=1,DY32&lt;&gt;GetEquPower(BA32,BN32, CG32, FS32))</formula>
    </cfRule>
  </conditionalFormatting>
  <conditionalFormatting sqref="DZ32">
    <cfRule type="expression" dxfId="543" priority="503">
      <formula>AND(BT32&gt;=2,DZ32&lt;&gt;0, GetEquPower(BA32,BN32, CH32, FS32)=0)</formula>
    </cfRule>
    <cfRule type="expression" dxfId="542" priority="504">
      <formula>AND(BT32&gt;=2,DZ32&lt;&gt;GetEquPower(BA32,BN32, CH32, FS32))</formula>
    </cfRule>
  </conditionalFormatting>
  <conditionalFormatting sqref="EA32">
    <cfRule type="expression" dxfId="541" priority="505">
      <formula>AND(BT32&gt;=3,EA32&lt;&gt;0, GetEquPower(BA32,BN32, CI32, FS32)=0)</formula>
    </cfRule>
    <cfRule type="expression" dxfId="540" priority="506">
      <formula>AND(BT32&gt;=3,EA32&lt;&gt;GetEquPower(BA32,BN32, CI32, FS32))</formula>
    </cfRule>
  </conditionalFormatting>
  <conditionalFormatting sqref="EB32">
    <cfRule type="expression" dxfId="539" priority="533">
      <formula>AND(BT32&gt;=4,EB32&lt;&gt;0, GetEquPower(BA32,BN32, CJ32, FS32)=0)</formula>
    </cfRule>
    <cfRule type="expression" dxfId="538" priority="534">
      <formula>AND(BT32&gt;=4,EB32&lt;&gt;GetEquPower(BA32,BN32, CJ32, FS32))</formula>
    </cfRule>
  </conditionalFormatting>
  <conditionalFormatting sqref="EC32">
    <cfRule type="expression" dxfId="537" priority="547">
      <formula>AND(BT32&gt;=5,EC32&lt;&gt;0, GetEquPower(BA32,BN32, CK32, FS32)=0)</formula>
    </cfRule>
    <cfRule type="expression" dxfId="536" priority="548">
      <formula>AND(BT32&gt;=5,EC32&lt;&gt;GetEquPower(BA32,BN32, CK32, FS32))</formula>
    </cfRule>
  </conditionalFormatting>
  <conditionalFormatting sqref="ED32">
    <cfRule type="expression" dxfId="535" priority="549">
      <formula>AND(BT32&gt;=6,ED32&lt;&gt;0, GetEquPower(BA32,BN32, CL32, FS32)=0)</formula>
    </cfRule>
    <cfRule type="expression" dxfId="534" priority="550">
      <formula>AND(BT32&gt;=6,ED32&lt;&gt;GetEquPower(BA32,BN32, CL32, FS32))</formula>
    </cfRule>
  </conditionalFormatting>
  <conditionalFormatting sqref="EH32">
    <cfRule type="expression" dxfId="533" priority="507">
      <formula>AND(BU32&gt;=1,EH32&lt;&gt;0, GetEquPower(BB32,BO32, CN32, FT32)=0)</formula>
    </cfRule>
    <cfRule type="expression" dxfId="532" priority="508">
      <formula>AND(BU32&gt;=1,EH32&lt;&gt;GetEquPower(BB32,BO32, CN32, FT32))</formula>
    </cfRule>
  </conditionalFormatting>
  <conditionalFormatting sqref="EI32">
    <cfRule type="expression" dxfId="531" priority="509">
      <formula>AND(BU32&gt;=2,EI32&lt;&gt;0, GetEquPower(BB32,BO32, CO32, FT32)=0)</formula>
    </cfRule>
    <cfRule type="expression" dxfId="530" priority="510">
      <formula xml:space="preserve"> AND(BU32&gt;=2,EI32&lt;&gt;GetEquPower(BB32,BO32, CO32, FT32))</formula>
    </cfRule>
  </conditionalFormatting>
  <conditionalFormatting sqref="EJ32">
    <cfRule type="expression" dxfId="529" priority="511">
      <formula>AND(BU32&gt;=3,EJ32&lt;&gt;0, GetEquPower(BB32,BO32, CP32, FT32)=0)</formula>
    </cfRule>
    <cfRule type="expression" dxfId="528" priority="512">
      <formula xml:space="preserve"> AND(BU32&gt;=3,EJ32&lt;&gt;GetEquPower(BB32,BO32, CP32, FT32))</formula>
    </cfRule>
  </conditionalFormatting>
  <conditionalFormatting sqref="EK32">
    <cfRule type="expression" dxfId="527" priority="535">
      <formula>AND(BU32&gt;=4,EK32&lt;&gt;0, GetEquPower(BB32,BO32, CQ32, FT32)=0)</formula>
    </cfRule>
    <cfRule type="expression" dxfId="526" priority="536">
      <formula xml:space="preserve"> AND(BU32&gt;=4,EK32&lt;&gt;GetEquPower(BB32,BO32, CQ32, FT32))</formula>
    </cfRule>
  </conditionalFormatting>
  <conditionalFormatting sqref="EL32">
    <cfRule type="expression" dxfId="525" priority="551">
      <formula>AND(BU32&gt;=5,EL32&lt;&gt;0, GetEquPower(BB32,BO32, CR32, FT32)=0)</formula>
    </cfRule>
    <cfRule type="expression" dxfId="524" priority="552">
      <formula xml:space="preserve"> AND(BU32&gt;=5,EL32&lt;&gt;GetEquPower(BB32,BO32, CR32, FT32))</formula>
    </cfRule>
  </conditionalFormatting>
  <conditionalFormatting sqref="EM32">
    <cfRule type="expression" dxfId="523" priority="553">
      <formula>AND(BU32&gt;=6,EM32&lt;&gt;0, GetEquPower(BB32,BO32, CS32, FT32)=0)</formula>
    </cfRule>
    <cfRule type="expression" dxfId="522" priority="554">
      <formula xml:space="preserve"> AND(BU32&gt;=6,EM32&lt;&gt;GetEquPower(BB32,BO32, CS32, FT32))</formula>
    </cfRule>
  </conditionalFormatting>
  <conditionalFormatting sqref="EQ32">
    <cfRule type="expression" dxfId="521" priority="513">
      <formula>AND(BV32&gt;=1,EQ32&lt;&gt;0, GetEquPower(BC32,BP32, CU32, FU32)=0)</formula>
    </cfRule>
    <cfRule type="expression" dxfId="520" priority="514">
      <formula>AND(BV32&gt;=1,EQ32&lt;&gt;GetEquPower(BC32,BP32, CU32, FU32))</formula>
    </cfRule>
  </conditionalFormatting>
  <conditionalFormatting sqref="ER32">
    <cfRule type="expression" dxfId="519" priority="515">
      <formula>AND(BV32&gt;=2,ER32&lt;&gt;0, GetEquPower(BC32,BP32, CV32, FU32)=0)</formula>
    </cfRule>
    <cfRule type="expression" dxfId="518" priority="516">
      <formula>AND(BV32&gt;=2,ER32&lt;&gt;GetEquPower(BC32,BP32, CV32, FU32))</formula>
    </cfRule>
  </conditionalFormatting>
  <conditionalFormatting sqref="ES32">
    <cfRule type="expression" dxfId="517" priority="517">
      <formula>AND(BV32&gt;=3,ES32&lt;&gt;0, GetEquPower(BC32,BP32, CW32, FU32)=0)</formula>
    </cfRule>
    <cfRule type="expression" dxfId="516" priority="518">
      <formula>AND(BV32&gt;=3,ES32&lt;&gt;GetEquPower(BC32,BP32, CW32, FU32))</formula>
    </cfRule>
  </conditionalFormatting>
  <conditionalFormatting sqref="ET32">
    <cfRule type="expression" dxfId="515" priority="537">
      <formula>AND(BV32&gt;=4,ET32&lt;&gt;0, GetEquPower(BC32,BP32, CX32, FU32)=0)</formula>
    </cfRule>
    <cfRule type="expression" dxfId="514" priority="538">
      <formula>AND(BV32&gt;=4,ET32&lt;&gt;GetEquPower(BC32,BP32, CX32, FU32))</formula>
    </cfRule>
  </conditionalFormatting>
  <conditionalFormatting sqref="EU32">
    <cfRule type="expression" dxfId="513" priority="555">
      <formula>AND(BV32&gt;=5,EU32&lt;&gt;0, GetEquPower(BC32,BP32, CY32, FU32)=0)</formula>
    </cfRule>
    <cfRule type="expression" dxfId="512" priority="556">
      <formula>AND(BV32&gt;=5,EU32&lt;&gt;GetEquPower(BC32,BP32, CY32, FU32))</formula>
    </cfRule>
  </conditionalFormatting>
  <conditionalFormatting sqref="EV32">
    <cfRule type="expression" dxfId="511" priority="557">
      <formula>AND(BV32&gt;=6,EV32&lt;&gt;0, GetEquPower(BC32,BP32, CZ32, FU32)=0)</formula>
    </cfRule>
    <cfRule type="expression" dxfId="510" priority="558">
      <formula>AND(BV32&gt;=6,EV32&lt;&gt;GetEquPower(BC32,BP32, CZ32, FU32))</formula>
    </cfRule>
  </conditionalFormatting>
  <conditionalFormatting sqref="EZ32">
    <cfRule type="expression" dxfId="509" priority="519">
      <formula>AND(BW32&gt;=1,EZ32&lt;&gt;0, GetEquPower(BD32,BQ32, DB32, FV32)=0)</formula>
    </cfRule>
    <cfRule type="expression" dxfId="508" priority="520">
      <formula>AND(BW32&gt;=1,EZ32&lt;&gt;GetEquPower(BD32,BQ32, DB32, FV32))</formula>
    </cfRule>
  </conditionalFormatting>
  <conditionalFormatting sqref="FA32">
    <cfRule type="expression" dxfId="507" priority="521">
      <formula>AND(BW32&gt;=2,FA32&lt;&gt;0, GetEquPower(BD32,BQ32, DC32, FV32)=0)</formula>
    </cfRule>
    <cfRule type="expression" dxfId="506" priority="522">
      <formula>AND(BW32&gt;=2,FA32&lt;&gt;GetEquPower(BD32,BQ32, DC32, FV32))</formula>
    </cfRule>
  </conditionalFormatting>
  <conditionalFormatting sqref="FB32">
    <cfRule type="expression" dxfId="505" priority="523">
      <formula>AND(BW32&gt;=3,FB32&lt;&gt;0, GetEquPower(BD32,BQ32, DD32, FV32)=0)</formula>
    </cfRule>
    <cfRule type="expression" dxfId="504" priority="524">
      <formula>AND(BW32&gt;=3,FB32&lt;&gt;GetEquPower(BD32,BQ32, DD32, FV32))</formula>
    </cfRule>
  </conditionalFormatting>
  <conditionalFormatting sqref="FC32">
    <cfRule type="expression" dxfId="503" priority="539">
      <formula>AND(BW32&gt;=4,FC32&lt;&gt;0, GetEquPower(BD32,BQ32, DE32, FV32)=0)</formula>
    </cfRule>
    <cfRule type="expression" dxfId="502" priority="540">
      <formula>AND(BW32&gt;=4,FC32&lt;&gt;GetEquPower(BD32,BQ32, DE32, FV32))</formula>
    </cfRule>
  </conditionalFormatting>
  <conditionalFormatting sqref="FD32">
    <cfRule type="expression" dxfId="501" priority="559">
      <formula>AND(BW32&gt;=5,FD32&lt;&gt;0, GetEquPower(BD32,BQ32, DF32, FV32)=0)</formula>
    </cfRule>
    <cfRule type="expression" dxfId="500" priority="560">
      <formula>AND(BW32&gt;=5,FD32&lt;&gt;GetEquPower(BD32,BQ32, DF32, FV32))</formula>
    </cfRule>
  </conditionalFormatting>
  <conditionalFormatting sqref="FE32">
    <cfRule type="expression" dxfId="499" priority="561">
      <formula>AND(BW32&gt;=6,FE32&lt;&gt;0, GetEquPower(BD32,BQ32, DG32, FV32)=0)</formula>
    </cfRule>
    <cfRule type="expression" dxfId="498" priority="562">
      <formula>AND(BW32&gt;=6,FE32&lt;&gt;GetEquPower(BD32,BQ32, DG32, FV32))</formula>
    </cfRule>
  </conditionalFormatting>
  <conditionalFormatting sqref="FI32">
    <cfRule type="expression" dxfId="497" priority="525">
      <formula>AND(BX32&gt;=1,FI32&lt;&gt;0, GetEquPower(BE32,BR32, DI32, FW32)=0)</formula>
    </cfRule>
    <cfRule type="expression" dxfId="496" priority="526">
      <formula>AND(BX32&gt;=1,FI32&lt;&gt;GetEquPower(BE32,BR32, DI32, FW32))</formula>
    </cfRule>
  </conditionalFormatting>
  <conditionalFormatting sqref="FJ32">
    <cfRule type="expression" dxfId="495" priority="527">
      <formula>AND(BX32&gt;=2,FJ32&lt;&gt;0, GetEquPower(BE32,BR32, DJ32, FW32)=0)</formula>
    </cfRule>
    <cfRule type="expression" dxfId="494" priority="528">
      <formula>AND(BX32&gt;=2,FJ32&lt;&gt;GetEquPower(BE32,BR32, DJ32, FW32))</formula>
    </cfRule>
  </conditionalFormatting>
  <conditionalFormatting sqref="FK32">
    <cfRule type="expression" dxfId="493" priority="529">
      <formula>AND(BX32&gt;=3,FK32&lt;&gt;0, GetEquPower(BE32,BR32, DK32, FW32)=0)</formula>
    </cfRule>
    <cfRule type="expression" dxfId="492" priority="530">
      <formula>AND(BX32&gt;=3,FK32&lt;&gt;GetEquPower(BE32,BR32, DK32, FW32))</formula>
    </cfRule>
  </conditionalFormatting>
  <conditionalFormatting sqref="FL32">
    <cfRule type="expression" dxfId="491" priority="541">
      <formula>AND(BX32&gt;=4,FL32&lt;&gt;0, GetEquPower(BE32,BR32, DL32, FW32)=0)</formula>
    </cfRule>
    <cfRule type="expression" dxfId="490" priority="542">
      <formula>AND(BX32&gt;=4,FL32&lt;&gt;GetEquPower(BE32,BR32, DL32, FW32))</formula>
    </cfRule>
  </conditionalFormatting>
  <conditionalFormatting sqref="FM32">
    <cfRule type="expression" dxfId="489" priority="563">
      <formula>AND(BX32&gt;=5,FM32&lt;&gt;0, GetEquPower(BE32,BR32, DM32, FW32)=0)</formula>
    </cfRule>
    <cfRule type="expression" dxfId="488" priority="564">
      <formula>AND(BX32&gt;=5,FM32&lt;&gt;GetEquPower(BE32,BR32, DM32, FW32))</formula>
    </cfRule>
  </conditionalFormatting>
  <conditionalFormatting sqref="FN32">
    <cfRule type="expression" dxfId="487" priority="565">
      <formula>AND(BX32&gt;=6,FN32&lt;&gt;0, GetEquPower(BE32,BR32, DN32, FW32)=0)</formula>
    </cfRule>
    <cfRule type="expression" dxfId="486" priority="566">
      <formula>AND(BX32&gt;=6,FN32&lt;&gt;GetEquPower(BE32,BR32, DN32, FW32))</formula>
    </cfRule>
  </conditionalFormatting>
  <conditionalFormatting sqref="F33">
    <cfRule type="expression" dxfId="485" priority="413">
      <formula>F33&lt;&gt;RIGHT(SUBSTITUTE(TRIM(E33),".",""),LEN(F33))</formula>
    </cfRule>
  </conditionalFormatting>
  <conditionalFormatting sqref="BS33">
    <cfRule type="expression" dxfId="484" priority="412">
      <formula>AND(J33&gt;=1,BS33&lt;1)</formula>
    </cfRule>
  </conditionalFormatting>
  <conditionalFormatting sqref="BT33">
    <cfRule type="expression" dxfId="483" priority="411">
      <formula>AND(J33&gt;=2,BT33&lt;1)</formula>
    </cfRule>
  </conditionalFormatting>
  <conditionalFormatting sqref="BU33">
    <cfRule type="expression" dxfId="482" priority="409">
      <formula>AND(J33&gt;=3,BU33&lt;1)</formula>
    </cfRule>
  </conditionalFormatting>
  <conditionalFormatting sqref="BV33">
    <cfRule type="expression" dxfId="481" priority="408">
      <formula>AND(J33&gt;=4,BV33&lt;1)</formula>
    </cfRule>
  </conditionalFormatting>
  <conditionalFormatting sqref="BW33">
    <cfRule type="expression" dxfId="480" priority="410">
      <formula>AND(J33&gt;=5,BW33&lt;1)</formula>
    </cfRule>
  </conditionalFormatting>
  <conditionalFormatting sqref="BX33">
    <cfRule type="expression" dxfId="479" priority="407">
      <formula>AND(J33&gt;=6,BX33&lt;1)</formula>
    </cfRule>
  </conditionalFormatting>
  <conditionalFormatting sqref="IC33">
    <cfRule type="expression" dxfId="478" priority="486">
      <formula>AND($S33 = TRUE, $IC33&lt;&gt;OptionsUnitCode)</formula>
    </cfRule>
  </conditionalFormatting>
  <conditionalFormatting sqref="B33:II33">
    <cfRule type="containsErrors" dxfId="477" priority="406">
      <formula>ISERROR(B33)</formula>
    </cfRule>
  </conditionalFormatting>
  <conditionalFormatting sqref="DP33">
    <cfRule type="expression" dxfId="476" priority="414">
      <formula>AND(BS33&gt;=1,DP33&lt;&gt;0, GetEquPower(AZ33,BM33, BZ33, FR33)=0)</formula>
    </cfRule>
    <cfRule type="expression" dxfId="475" priority="415">
      <formula>AND(BS33&gt;=1,DP33&lt;&gt;GetEquPower(AZ33,BM33, BZ33, FR33))</formula>
    </cfRule>
  </conditionalFormatting>
  <conditionalFormatting sqref="DQ33">
    <cfRule type="expression" dxfId="474" priority="416">
      <formula>AND(BS33&gt;=2,DQ33&lt;&gt;0, GetEquPower(AZ33,BM33, CA33, FR33)=0)</formula>
    </cfRule>
    <cfRule type="expression" dxfId="473" priority="417">
      <formula>AND(BS33&gt;=2,DQ33&lt;&gt;GetEquPower(AZ33,BM33, CA33, FR33))</formula>
    </cfRule>
  </conditionalFormatting>
  <conditionalFormatting sqref="DR33">
    <cfRule type="expression" dxfId="472" priority="418">
      <formula>AND(BS33&gt;=3,DR33&lt;&gt;0, GetEquPower(AZ33,BM33, CB33, FR33)=0)</formula>
    </cfRule>
    <cfRule type="expression" dxfId="471" priority="419">
      <formula>AND(BS33&gt;=3,DR33&lt;&gt;GetEquPower(AZ33,BM33, CB33, FR33))</formula>
    </cfRule>
  </conditionalFormatting>
  <conditionalFormatting sqref="DS33">
    <cfRule type="expression" dxfId="470" priority="450">
      <formula>AND(BS33&gt;=4,DS33&lt;&gt;0, GetEquPower(AZ33,BM33, CC33, FR33)=0)</formula>
    </cfRule>
    <cfRule type="expression" dxfId="469" priority="451">
      <formula>AND(BS33&gt;=4, DS33&lt;&gt;GetEquPower(AZ33,BM33, CC33, FR33))</formula>
    </cfRule>
  </conditionalFormatting>
  <conditionalFormatting sqref="DT33">
    <cfRule type="expression" dxfId="468" priority="462">
      <formula>AND(BS33&gt;=5,DT33&lt;&gt;0, GetEquPower(AZ33,BM33, CD33, FR33)=0)</formula>
    </cfRule>
    <cfRule type="expression" dxfId="467" priority="463">
      <formula>AND(BS33&gt;=5, DT33&lt;&gt;GetEquPower(AZ33,BM33, CD33, FR33))</formula>
    </cfRule>
  </conditionalFormatting>
  <conditionalFormatting sqref="DU33">
    <cfRule type="expression" dxfId="466" priority="464">
      <formula>AND(BS33&gt;=6,DU33&lt;&gt;0, GetEquPower(AZ33,BM33, CE33, FR33)=0)</formula>
    </cfRule>
    <cfRule type="expression" dxfId="465" priority="465">
      <formula>AND(BS33&gt;=6, DU33&lt;&gt;GetEquPower(AZ33,BM33, CE33, FR33))</formula>
    </cfRule>
  </conditionalFormatting>
  <conditionalFormatting sqref="DY33">
    <cfRule type="expression" dxfId="464" priority="420">
      <formula>AND(BT33&gt;=1,DY33&lt;&gt;0, GetEquPower(BA33,BN33, CG33, FS33)=0)</formula>
    </cfRule>
    <cfRule type="expression" dxfId="463" priority="421">
      <formula>AND(BT33&gt;=1,DY33&lt;&gt;GetEquPower(BA33,BN33, CG33, FS33))</formula>
    </cfRule>
  </conditionalFormatting>
  <conditionalFormatting sqref="DZ33">
    <cfRule type="expression" dxfId="462" priority="422">
      <formula>AND(BT33&gt;=2,DZ33&lt;&gt;0, GetEquPower(BA33,BN33, CH33, FS33)=0)</formula>
    </cfRule>
    <cfRule type="expression" dxfId="461" priority="423">
      <formula>AND(BT33&gt;=2,DZ33&lt;&gt;GetEquPower(BA33,BN33, CH33, FS33))</formula>
    </cfRule>
  </conditionalFormatting>
  <conditionalFormatting sqref="EA33">
    <cfRule type="expression" dxfId="460" priority="424">
      <formula>AND(BT33&gt;=3,EA33&lt;&gt;0, GetEquPower(BA33,BN33, CI33, FS33)=0)</formula>
    </cfRule>
    <cfRule type="expression" dxfId="459" priority="425">
      <formula>AND(BT33&gt;=3,EA33&lt;&gt;GetEquPower(BA33,BN33, CI33, FS33))</formula>
    </cfRule>
  </conditionalFormatting>
  <conditionalFormatting sqref="EB33">
    <cfRule type="expression" dxfId="458" priority="452">
      <formula>AND(BT33&gt;=4,EB33&lt;&gt;0, GetEquPower(BA33,BN33, CJ33, FS33)=0)</formula>
    </cfRule>
    <cfRule type="expression" dxfId="457" priority="453">
      <formula>AND(BT33&gt;=4,EB33&lt;&gt;GetEquPower(BA33,BN33, CJ33, FS33))</formula>
    </cfRule>
  </conditionalFormatting>
  <conditionalFormatting sqref="EC33">
    <cfRule type="expression" dxfId="456" priority="466">
      <formula>AND(BT33&gt;=5,EC33&lt;&gt;0, GetEquPower(BA33,BN33, CK33, FS33)=0)</formula>
    </cfRule>
    <cfRule type="expression" dxfId="455" priority="467">
      <formula>AND(BT33&gt;=5,EC33&lt;&gt;GetEquPower(BA33,BN33, CK33, FS33))</formula>
    </cfRule>
  </conditionalFormatting>
  <conditionalFormatting sqref="ED33">
    <cfRule type="expression" dxfId="454" priority="468">
      <formula>AND(BT33&gt;=6,ED33&lt;&gt;0, GetEquPower(BA33,BN33, CL33, FS33)=0)</formula>
    </cfRule>
    <cfRule type="expression" dxfId="453" priority="469">
      <formula>AND(BT33&gt;=6,ED33&lt;&gt;GetEquPower(BA33,BN33, CL33, FS33))</formula>
    </cfRule>
  </conditionalFormatting>
  <conditionalFormatting sqref="EH33">
    <cfRule type="expression" dxfId="452" priority="426">
      <formula>AND(BU33&gt;=1,EH33&lt;&gt;0, GetEquPower(BB33,BO33, CN33, FT33)=0)</formula>
    </cfRule>
    <cfRule type="expression" dxfId="451" priority="427">
      <formula>AND(BU33&gt;=1,EH33&lt;&gt;GetEquPower(BB33,BO33, CN33, FT33))</formula>
    </cfRule>
  </conditionalFormatting>
  <conditionalFormatting sqref="EI33">
    <cfRule type="expression" dxfId="450" priority="428">
      <formula>AND(BU33&gt;=2,EI33&lt;&gt;0, GetEquPower(BB33,BO33, CO33, FT33)=0)</formula>
    </cfRule>
    <cfRule type="expression" dxfId="449" priority="429">
      <formula xml:space="preserve"> AND(BU33&gt;=2,EI33&lt;&gt;GetEquPower(BB33,BO33, CO33, FT33))</formula>
    </cfRule>
  </conditionalFormatting>
  <conditionalFormatting sqref="EJ33">
    <cfRule type="expression" dxfId="448" priority="430">
      <formula>AND(BU33&gt;=3,EJ33&lt;&gt;0, GetEquPower(BB33,BO33, CP33, FT33)=0)</formula>
    </cfRule>
    <cfRule type="expression" dxfId="447" priority="431">
      <formula xml:space="preserve"> AND(BU33&gt;=3,EJ33&lt;&gt;GetEquPower(BB33,BO33, CP33, FT33))</formula>
    </cfRule>
  </conditionalFormatting>
  <conditionalFormatting sqref="EK33">
    <cfRule type="expression" dxfId="446" priority="454">
      <formula>AND(BU33&gt;=4,EK33&lt;&gt;0, GetEquPower(BB33,BO33, CQ33, FT33)=0)</formula>
    </cfRule>
    <cfRule type="expression" dxfId="445" priority="455">
      <formula xml:space="preserve"> AND(BU33&gt;=4,EK33&lt;&gt;GetEquPower(BB33,BO33, CQ33, FT33))</formula>
    </cfRule>
  </conditionalFormatting>
  <conditionalFormatting sqref="EL33">
    <cfRule type="expression" dxfId="444" priority="470">
      <formula>AND(BU33&gt;=5,EL33&lt;&gt;0, GetEquPower(BB33,BO33, CR33, FT33)=0)</formula>
    </cfRule>
    <cfRule type="expression" dxfId="443" priority="471">
      <formula xml:space="preserve"> AND(BU33&gt;=5,EL33&lt;&gt;GetEquPower(BB33,BO33, CR33, FT33))</formula>
    </cfRule>
  </conditionalFormatting>
  <conditionalFormatting sqref="EM33">
    <cfRule type="expression" dxfId="442" priority="472">
      <formula>AND(BU33&gt;=6,EM33&lt;&gt;0, GetEquPower(BB33,BO33, CS33, FT33)=0)</formula>
    </cfRule>
    <cfRule type="expression" dxfId="441" priority="473">
      <formula xml:space="preserve"> AND(BU33&gt;=6,EM33&lt;&gt;GetEquPower(BB33,BO33, CS33, FT33))</formula>
    </cfRule>
  </conditionalFormatting>
  <conditionalFormatting sqref="EQ33">
    <cfRule type="expression" dxfId="440" priority="432">
      <formula>AND(BV33&gt;=1,EQ33&lt;&gt;0, GetEquPower(BC33,BP33, CU33, FU33)=0)</formula>
    </cfRule>
    <cfRule type="expression" dxfId="439" priority="433">
      <formula>AND(BV33&gt;=1,EQ33&lt;&gt;GetEquPower(BC33,BP33, CU33, FU33))</formula>
    </cfRule>
  </conditionalFormatting>
  <conditionalFormatting sqref="ER33">
    <cfRule type="expression" dxfId="438" priority="434">
      <formula>AND(BV33&gt;=2,ER33&lt;&gt;0, GetEquPower(BC33,BP33, CV33, FU33)=0)</formula>
    </cfRule>
    <cfRule type="expression" dxfId="437" priority="435">
      <formula>AND(BV33&gt;=2,ER33&lt;&gt;GetEquPower(BC33,BP33, CV33, FU33))</formula>
    </cfRule>
  </conditionalFormatting>
  <conditionalFormatting sqref="ES33">
    <cfRule type="expression" dxfId="436" priority="436">
      <formula>AND(BV33&gt;=3,ES33&lt;&gt;0, GetEquPower(BC33,BP33, CW33, FU33)=0)</formula>
    </cfRule>
    <cfRule type="expression" dxfId="435" priority="437">
      <formula>AND(BV33&gt;=3,ES33&lt;&gt;GetEquPower(BC33,BP33, CW33, FU33))</formula>
    </cfRule>
  </conditionalFormatting>
  <conditionalFormatting sqref="ET33">
    <cfRule type="expression" dxfId="434" priority="456">
      <formula>AND(BV33&gt;=4,ET33&lt;&gt;0, GetEquPower(BC33,BP33, CX33, FU33)=0)</formula>
    </cfRule>
    <cfRule type="expression" dxfId="433" priority="457">
      <formula>AND(BV33&gt;=4,ET33&lt;&gt;GetEquPower(BC33,BP33, CX33, FU33))</formula>
    </cfRule>
  </conditionalFormatting>
  <conditionalFormatting sqref="EU33">
    <cfRule type="expression" dxfId="432" priority="474">
      <formula>AND(BV33&gt;=5,EU33&lt;&gt;0, GetEquPower(BC33,BP33, CY33, FU33)=0)</formula>
    </cfRule>
    <cfRule type="expression" dxfId="431" priority="475">
      <formula>AND(BV33&gt;=5,EU33&lt;&gt;GetEquPower(BC33,BP33, CY33, FU33))</formula>
    </cfRule>
  </conditionalFormatting>
  <conditionalFormatting sqref="EV33">
    <cfRule type="expression" dxfId="430" priority="476">
      <formula>AND(BV33&gt;=6,EV33&lt;&gt;0, GetEquPower(BC33,BP33, CZ33, FU33)=0)</formula>
    </cfRule>
    <cfRule type="expression" dxfId="429" priority="477">
      <formula>AND(BV33&gt;=6,EV33&lt;&gt;GetEquPower(BC33,BP33, CZ33, FU33))</formula>
    </cfRule>
  </conditionalFormatting>
  <conditionalFormatting sqref="EZ33">
    <cfRule type="expression" dxfId="428" priority="438">
      <formula>AND(BW33&gt;=1,EZ33&lt;&gt;0, GetEquPower(BD33,BQ33, DB33, FV33)=0)</formula>
    </cfRule>
    <cfRule type="expression" dxfId="427" priority="439">
      <formula>AND(BW33&gt;=1,EZ33&lt;&gt;GetEquPower(BD33,BQ33, DB33, FV33))</formula>
    </cfRule>
  </conditionalFormatting>
  <conditionalFormatting sqref="FA33">
    <cfRule type="expression" dxfId="426" priority="440">
      <formula>AND(BW33&gt;=2,FA33&lt;&gt;0, GetEquPower(BD33,BQ33, DC33, FV33)=0)</formula>
    </cfRule>
    <cfRule type="expression" dxfId="425" priority="441">
      <formula>AND(BW33&gt;=2,FA33&lt;&gt;GetEquPower(BD33,BQ33, DC33, FV33))</formula>
    </cfRule>
  </conditionalFormatting>
  <conditionalFormatting sqref="FB33">
    <cfRule type="expression" dxfId="424" priority="442">
      <formula>AND(BW33&gt;=3,FB33&lt;&gt;0, GetEquPower(BD33,BQ33, DD33, FV33)=0)</formula>
    </cfRule>
    <cfRule type="expression" dxfId="423" priority="443">
      <formula>AND(BW33&gt;=3,FB33&lt;&gt;GetEquPower(BD33,BQ33, DD33, FV33))</formula>
    </cfRule>
  </conditionalFormatting>
  <conditionalFormatting sqref="FC33">
    <cfRule type="expression" dxfId="422" priority="458">
      <formula>AND(BW33&gt;=4,FC33&lt;&gt;0, GetEquPower(BD33,BQ33, DE33, FV33)=0)</formula>
    </cfRule>
    <cfRule type="expression" dxfId="421" priority="459">
      <formula>AND(BW33&gt;=4,FC33&lt;&gt;GetEquPower(BD33,BQ33, DE33, FV33))</formula>
    </cfRule>
  </conditionalFormatting>
  <conditionalFormatting sqref="FD33">
    <cfRule type="expression" dxfId="420" priority="478">
      <formula>AND(BW33&gt;=5,FD33&lt;&gt;0, GetEquPower(BD33,BQ33, DF33, FV33)=0)</formula>
    </cfRule>
    <cfRule type="expression" dxfId="419" priority="479">
      <formula>AND(BW33&gt;=5,FD33&lt;&gt;GetEquPower(BD33,BQ33, DF33, FV33))</formula>
    </cfRule>
  </conditionalFormatting>
  <conditionalFormatting sqref="FE33">
    <cfRule type="expression" dxfId="418" priority="480">
      <formula>AND(BW33&gt;=6,FE33&lt;&gt;0, GetEquPower(BD33,BQ33, DG33, FV33)=0)</formula>
    </cfRule>
    <cfRule type="expression" dxfId="417" priority="481">
      <formula>AND(BW33&gt;=6,FE33&lt;&gt;GetEquPower(BD33,BQ33, DG33, FV33))</formula>
    </cfRule>
  </conditionalFormatting>
  <conditionalFormatting sqref="FI33">
    <cfRule type="expression" dxfId="416" priority="444">
      <formula>AND(BX33&gt;=1,FI33&lt;&gt;0, GetEquPower(BE33,BR33, DI33, FW33)=0)</formula>
    </cfRule>
    <cfRule type="expression" dxfId="415" priority="445">
      <formula>AND(BX33&gt;=1,FI33&lt;&gt;GetEquPower(BE33,BR33, DI33, FW33))</formula>
    </cfRule>
  </conditionalFormatting>
  <conditionalFormatting sqref="FJ33">
    <cfRule type="expression" dxfId="414" priority="446">
      <formula>AND(BX33&gt;=2,FJ33&lt;&gt;0, GetEquPower(BE33,BR33, DJ33, FW33)=0)</formula>
    </cfRule>
    <cfRule type="expression" dxfId="413" priority="447">
      <formula>AND(BX33&gt;=2,FJ33&lt;&gt;GetEquPower(BE33,BR33, DJ33, FW33))</formula>
    </cfRule>
  </conditionalFormatting>
  <conditionalFormatting sqref="FK33">
    <cfRule type="expression" dxfId="412" priority="448">
      <formula>AND(BX33&gt;=3,FK33&lt;&gt;0, GetEquPower(BE33,BR33, DK33, FW33)=0)</formula>
    </cfRule>
    <cfRule type="expression" dxfId="411" priority="449">
      <formula>AND(BX33&gt;=3,FK33&lt;&gt;GetEquPower(BE33,BR33, DK33, FW33))</formula>
    </cfRule>
  </conditionalFormatting>
  <conditionalFormatting sqref="FL33">
    <cfRule type="expression" dxfId="410" priority="460">
      <formula>AND(BX33&gt;=4,FL33&lt;&gt;0, GetEquPower(BE33,BR33, DL33, FW33)=0)</formula>
    </cfRule>
    <cfRule type="expression" dxfId="409" priority="461">
      <formula>AND(BX33&gt;=4,FL33&lt;&gt;GetEquPower(BE33,BR33, DL33, FW33))</formula>
    </cfRule>
  </conditionalFormatting>
  <conditionalFormatting sqref="FM33">
    <cfRule type="expression" dxfId="408" priority="482">
      <formula>AND(BX33&gt;=5,FM33&lt;&gt;0, GetEquPower(BE33,BR33, DM33, FW33)=0)</formula>
    </cfRule>
    <cfRule type="expression" dxfId="407" priority="483">
      <formula>AND(BX33&gt;=5,FM33&lt;&gt;GetEquPower(BE33,BR33, DM33, FW33))</formula>
    </cfRule>
  </conditionalFormatting>
  <conditionalFormatting sqref="FN33">
    <cfRule type="expression" dxfId="406" priority="484">
      <formula>AND(BX33&gt;=6,FN33&lt;&gt;0, GetEquPower(BE33,BR33, DN33, FW33)=0)</formula>
    </cfRule>
    <cfRule type="expression" dxfId="405" priority="485">
      <formula>AND(BX33&gt;=6,FN33&lt;&gt;GetEquPower(BE33,BR33, DN33, FW33))</formula>
    </cfRule>
  </conditionalFormatting>
  <conditionalFormatting sqref="F34">
    <cfRule type="expression" dxfId="404" priority="332">
      <formula>F34&lt;&gt;RIGHT(SUBSTITUTE(TRIM(E34),".",""),LEN(F34))</formula>
    </cfRule>
  </conditionalFormatting>
  <conditionalFormatting sqref="BS34">
    <cfRule type="expression" dxfId="403" priority="331">
      <formula>AND(J34&gt;=1,BS34&lt;1)</formula>
    </cfRule>
  </conditionalFormatting>
  <conditionalFormatting sqref="BT34">
    <cfRule type="expression" dxfId="402" priority="330">
      <formula>AND(J34&gt;=2,BT34&lt;1)</formula>
    </cfRule>
  </conditionalFormatting>
  <conditionalFormatting sqref="BU34">
    <cfRule type="expression" dxfId="401" priority="328">
      <formula>AND(J34&gt;=3,BU34&lt;1)</formula>
    </cfRule>
  </conditionalFormatting>
  <conditionalFormatting sqref="BV34">
    <cfRule type="expression" dxfId="400" priority="327">
      <formula>AND(J34&gt;=4,BV34&lt;1)</formula>
    </cfRule>
  </conditionalFormatting>
  <conditionalFormatting sqref="BW34">
    <cfRule type="expression" dxfId="399" priority="329">
      <formula>AND(J34&gt;=5,BW34&lt;1)</formula>
    </cfRule>
  </conditionalFormatting>
  <conditionalFormatting sqref="BX34">
    <cfRule type="expression" dxfId="398" priority="326">
      <formula>AND(J34&gt;=6,BX34&lt;1)</formula>
    </cfRule>
  </conditionalFormatting>
  <conditionalFormatting sqref="IC34">
    <cfRule type="expression" dxfId="397" priority="405">
      <formula>AND($S34 = TRUE, $IC34&lt;&gt;OptionsUnitCode)</formula>
    </cfRule>
  </conditionalFormatting>
  <conditionalFormatting sqref="B34:II34">
    <cfRule type="containsErrors" dxfId="396" priority="325">
      <formula>ISERROR(B34)</formula>
    </cfRule>
  </conditionalFormatting>
  <conditionalFormatting sqref="DP34">
    <cfRule type="expression" dxfId="395" priority="333">
      <formula>AND(BS34&gt;=1,DP34&lt;&gt;0, GetEquPower(AZ34,BM34, BZ34, FR34)=0)</formula>
    </cfRule>
    <cfRule type="expression" dxfId="394" priority="334">
      <formula>AND(BS34&gt;=1,DP34&lt;&gt;GetEquPower(AZ34,BM34, BZ34, FR34))</formula>
    </cfRule>
  </conditionalFormatting>
  <conditionalFormatting sqref="DQ34">
    <cfRule type="expression" dxfId="393" priority="335">
      <formula>AND(BS34&gt;=2,DQ34&lt;&gt;0, GetEquPower(AZ34,BM34, CA34, FR34)=0)</formula>
    </cfRule>
    <cfRule type="expression" dxfId="392" priority="336">
      <formula>AND(BS34&gt;=2,DQ34&lt;&gt;GetEquPower(AZ34,BM34, CA34, FR34))</formula>
    </cfRule>
  </conditionalFormatting>
  <conditionalFormatting sqref="DR34">
    <cfRule type="expression" dxfId="391" priority="337">
      <formula>AND(BS34&gt;=3,DR34&lt;&gt;0, GetEquPower(AZ34,BM34, CB34, FR34)=0)</formula>
    </cfRule>
    <cfRule type="expression" dxfId="390" priority="338">
      <formula>AND(BS34&gt;=3,DR34&lt;&gt;GetEquPower(AZ34,BM34, CB34, FR34))</formula>
    </cfRule>
  </conditionalFormatting>
  <conditionalFormatting sqref="DS34">
    <cfRule type="expression" dxfId="389" priority="369">
      <formula>AND(BS34&gt;=4,DS34&lt;&gt;0, GetEquPower(AZ34,BM34, CC34, FR34)=0)</formula>
    </cfRule>
    <cfRule type="expression" dxfId="388" priority="370">
      <formula>AND(BS34&gt;=4, DS34&lt;&gt;GetEquPower(AZ34,BM34, CC34, FR34))</formula>
    </cfRule>
  </conditionalFormatting>
  <conditionalFormatting sqref="DT34">
    <cfRule type="expression" dxfId="387" priority="381">
      <formula>AND(BS34&gt;=5,DT34&lt;&gt;0, GetEquPower(AZ34,BM34, CD34, FR34)=0)</formula>
    </cfRule>
    <cfRule type="expression" dxfId="386" priority="382">
      <formula>AND(BS34&gt;=5, DT34&lt;&gt;GetEquPower(AZ34,BM34, CD34, FR34))</formula>
    </cfRule>
  </conditionalFormatting>
  <conditionalFormatting sqref="DU34">
    <cfRule type="expression" dxfId="385" priority="383">
      <formula>AND(BS34&gt;=6,DU34&lt;&gt;0, GetEquPower(AZ34,BM34, CE34, FR34)=0)</formula>
    </cfRule>
    <cfRule type="expression" dxfId="384" priority="384">
      <formula>AND(BS34&gt;=6, DU34&lt;&gt;GetEquPower(AZ34,BM34, CE34, FR34))</formula>
    </cfRule>
  </conditionalFormatting>
  <conditionalFormatting sqref="DY34">
    <cfRule type="expression" dxfId="383" priority="339">
      <formula>AND(BT34&gt;=1,DY34&lt;&gt;0, GetEquPower(BA34,BN34, CG34, FS34)=0)</formula>
    </cfRule>
    <cfRule type="expression" dxfId="382" priority="340">
      <formula>AND(BT34&gt;=1,DY34&lt;&gt;GetEquPower(BA34,BN34, CG34, FS34))</formula>
    </cfRule>
  </conditionalFormatting>
  <conditionalFormatting sqref="DZ34">
    <cfRule type="expression" dxfId="381" priority="341">
      <formula>AND(BT34&gt;=2,DZ34&lt;&gt;0, GetEquPower(BA34,BN34, CH34, FS34)=0)</formula>
    </cfRule>
    <cfRule type="expression" dxfId="380" priority="342">
      <formula>AND(BT34&gt;=2,DZ34&lt;&gt;GetEquPower(BA34,BN34, CH34, FS34))</formula>
    </cfRule>
  </conditionalFormatting>
  <conditionalFormatting sqref="EA34">
    <cfRule type="expression" dxfId="379" priority="343">
      <formula>AND(BT34&gt;=3,EA34&lt;&gt;0, GetEquPower(BA34,BN34, CI34, FS34)=0)</formula>
    </cfRule>
    <cfRule type="expression" dxfId="378" priority="344">
      <formula>AND(BT34&gt;=3,EA34&lt;&gt;GetEquPower(BA34,BN34, CI34, FS34))</formula>
    </cfRule>
  </conditionalFormatting>
  <conditionalFormatting sqref="EB34">
    <cfRule type="expression" dxfId="377" priority="371">
      <formula>AND(BT34&gt;=4,EB34&lt;&gt;0, GetEquPower(BA34,BN34, CJ34, FS34)=0)</formula>
    </cfRule>
    <cfRule type="expression" dxfId="376" priority="372">
      <formula>AND(BT34&gt;=4,EB34&lt;&gt;GetEquPower(BA34,BN34, CJ34, FS34))</formula>
    </cfRule>
  </conditionalFormatting>
  <conditionalFormatting sqref="EC34">
    <cfRule type="expression" dxfId="375" priority="385">
      <formula>AND(BT34&gt;=5,EC34&lt;&gt;0, GetEquPower(BA34,BN34, CK34, FS34)=0)</formula>
    </cfRule>
    <cfRule type="expression" dxfId="374" priority="386">
      <formula>AND(BT34&gt;=5,EC34&lt;&gt;GetEquPower(BA34,BN34, CK34, FS34))</formula>
    </cfRule>
  </conditionalFormatting>
  <conditionalFormatting sqref="ED34">
    <cfRule type="expression" dxfId="373" priority="387">
      <formula>AND(BT34&gt;=6,ED34&lt;&gt;0, GetEquPower(BA34,BN34, CL34, FS34)=0)</formula>
    </cfRule>
    <cfRule type="expression" dxfId="372" priority="388">
      <formula>AND(BT34&gt;=6,ED34&lt;&gt;GetEquPower(BA34,BN34, CL34, FS34))</formula>
    </cfRule>
  </conditionalFormatting>
  <conditionalFormatting sqref="EH34">
    <cfRule type="expression" dxfId="371" priority="345">
      <formula>AND(BU34&gt;=1,EH34&lt;&gt;0, GetEquPower(BB34,BO34, CN34, FT34)=0)</formula>
    </cfRule>
    <cfRule type="expression" dxfId="370" priority="346">
      <formula>AND(BU34&gt;=1,EH34&lt;&gt;GetEquPower(BB34,BO34, CN34, FT34))</formula>
    </cfRule>
  </conditionalFormatting>
  <conditionalFormatting sqref="EI34">
    <cfRule type="expression" dxfId="369" priority="347">
      <formula>AND(BU34&gt;=2,EI34&lt;&gt;0, GetEquPower(BB34,BO34, CO34, FT34)=0)</formula>
    </cfRule>
    <cfRule type="expression" dxfId="368" priority="348">
      <formula xml:space="preserve"> AND(BU34&gt;=2,EI34&lt;&gt;GetEquPower(BB34,BO34, CO34, FT34))</formula>
    </cfRule>
  </conditionalFormatting>
  <conditionalFormatting sqref="EJ34">
    <cfRule type="expression" dxfId="367" priority="349">
      <formula>AND(BU34&gt;=3,EJ34&lt;&gt;0, GetEquPower(BB34,BO34, CP34, FT34)=0)</formula>
    </cfRule>
    <cfRule type="expression" dxfId="366" priority="350">
      <formula xml:space="preserve"> AND(BU34&gt;=3,EJ34&lt;&gt;GetEquPower(BB34,BO34, CP34, FT34))</formula>
    </cfRule>
  </conditionalFormatting>
  <conditionalFormatting sqref="EK34">
    <cfRule type="expression" dxfId="365" priority="373">
      <formula>AND(BU34&gt;=4,EK34&lt;&gt;0, GetEquPower(BB34,BO34, CQ34, FT34)=0)</formula>
    </cfRule>
    <cfRule type="expression" dxfId="364" priority="374">
      <formula xml:space="preserve"> AND(BU34&gt;=4,EK34&lt;&gt;GetEquPower(BB34,BO34, CQ34, FT34))</formula>
    </cfRule>
  </conditionalFormatting>
  <conditionalFormatting sqref="EL34">
    <cfRule type="expression" dxfId="363" priority="389">
      <formula>AND(BU34&gt;=5,EL34&lt;&gt;0, GetEquPower(BB34,BO34, CR34, FT34)=0)</formula>
    </cfRule>
    <cfRule type="expression" dxfId="362" priority="390">
      <formula xml:space="preserve"> AND(BU34&gt;=5,EL34&lt;&gt;GetEquPower(BB34,BO34, CR34, FT34))</formula>
    </cfRule>
  </conditionalFormatting>
  <conditionalFormatting sqref="EM34">
    <cfRule type="expression" dxfId="361" priority="391">
      <formula>AND(BU34&gt;=6,EM34&lt;&gt;0, GetEquPower(BB34,BO34, CS34, FT34)=0)</formula>
    </cfRule>
    <cfRule type="expression" dxfId="360" priority="392">
      <formula xml:space="preserve"> AND(BU34&gt;=6,EM34&lt;&gt;GetEquPower(BB34,BO34, CS34, FT34))</formula>
    </cfRule>
  </conditionalFormatting>
  <conditionalFormatting sqref="EQ34">
    <cfRule type="expression" dxfId="359" priority="351">
      <formula>AND(BV34&gt;=1,EQ34&lt;&gt;0, GetEquPower(BC34,BP34, CU34, FU34)=0)</formula>
    </cfRule>
    <cfRule type="expression" dxfId="358" priority="352">
      <formula>AND(BV34&gt;=1,EQ34&lt;&gt;GetEquPower(BC34,BP34, CU34, FU34))</formula>
    </cfRule>
  </conditionalFormatting>
  <conditionalFormatting sqref="ER34">
    <cfRule type="expression" dxfId="357" priority="353">
      <formula>AND(BV34&gt;=2,ER34&lt;&gt;0, GetEquPower(BC34,BP34, CV34, FU34)=0)</formula>
    </cfRule>
    <cfRule type="expression" dxfId="356" priority="354">
      <formula>AND(BV34&gt;=2,ER34&lt;&gt;GetEquPower(BC34,BP34, CV34, FU34))</formula>
    </cfRule>
  </conditionalFormatting>
  <conditionalFormatting sqref="ES34">
    <cfRule type="expression" dxfId="355" priority="355">
      <formula>AND(BV34&gt;=3,ES34&lt;&gt;0, GetEquPower(BC34,BP34, CW34, FU34)=0)</formula>
    </cfRule>
    <cfRule type="expression" dxfId="354" priority="356">
      <formula>AND(BV34&gt;=3,ES34&lt;&gt;GetEquPower(BC34,BP34, CW34, FU34))</formula>
    </cfRule>
  </conditionalFormatting>
  <conditionalFormatting sqref="ET34">
    <cfRule type="expression" dxfId="353" priority="375">
      <formula>AND(BV34&gt;=4,ET34&lt;&gt;0, GetEquPower(BC34,BP34, CX34, FU34)=0)</formula>
    </cfRule>
    <cfRule type="expression" dxfId="352" priority="376">
      <formula>AND(BV34&gt;=4,ET34&lt;&gt;GetEquPower(BC34,BP34, CX34, FU34))</formula>
    </cfRule>
  </conditionalFormatting>
  <conditionalFormatting sqref="EU34">
    <cfRule type="expression" dxfId="351" priority="393">
      <formula>AND(BV34&gt;=5,EU34&lt;&gt;0, GetEquPower(BC34,BP34, CY34, FU34)=0)</formula>
    </cfRule>
    <cfRule type="expression" dxfId="350" priority="394">
      <formula>AND(BV34&gt;=5,EU34&lt;&gt;GetEquPower(BC34,BP34, CY34, FU34))</formula>
    </cfRule>
  </conditionalFormatting>
  <conditionalFormatting sqref="EV34">
    <cfRule type="expression" dxfId="349" priority="395">
      <formula>AND(BV34&gt;=6,EV34&lt;&gt;0, GetEquPower(BC34,BP34, CZ34, FU34)=0)</formula>
    </cfRule>
    <cfRule type="expression" dxfId="348" priority="396">
      <formula>AND(BV34&gt;=6,EV34&lt;&gt;GetEquPower(BC34,BP34, CZ34, FU34))</formula>
    </cfRule>
  </conditionalFormatting>
  <conditionalFormatting sqref="EZ34">
    <cfRule type="expression" dxfId="347" priority="357">
      <formula>AND(BW34&gt;=1,EZ34&lt;&gt;0, GetEquPower(BD34,BQ34, DB34, FV34)=0)</formula>
    </cfRule>
    <cfRule type="expression" dxfId="346" priority="358">
      <formula>AND(BW34&gt;=1,EZ34&lt;&gt;GetEquPower(BD34,BQ34, DB34, FV34))</formula>
    </cfRule>
  </conditionalFormatting>
  <conditionalFormatting sqref="FA34">
    <cfRule type="expression" dxfId="345" priority="359">
      <formula>AND(BW34&gt;=2,FA34&lt;&gt;0, GetEquPower(BD34,BQ34, DC34, FV34)=0)</formula>
    </cfRule>
    <cfRule type="expression" dxfId="344" priority="360">
      <formula>AND(BW34&gt;=2,FA34&lt;&gt;GetEquPower(BD34,BQ34, DC34, FV34))</formula>
    </cfRule>
  </conditionalFormatting>
  <conditionalFormatting sqref="FB34">
    <cfRule type="expression" dxfId="343" priority="361">
      <formula>AND(BW34&gt;=3,FB34&lt;&gt;0, GetEquPower(BD34,BQ34, DD34, FV34)=0)</formula>
    </cfRule>
    <cfRule type="expression" dxfId="342" priority="362">
      <formula>AND(BW34&gt;=3,FB34&lt;&gt;GetEquPower(BD34,BQ34, DD34, FV34))</formula>
    </cfRule>
  </conditionalFormatting>
  <conditionalFormatting sqref="FC34">
    <cfRule type="expression" dxfId="341" priority="377">
      <formula>AND(BW34&gt;=4,FC34&lt;&gt;0, GetEquPower(BD34,BQ34, DE34, FV34)=0)</formula>
    </cfRule>
    <cfRule type="expression" dxfId="340" priority="378">
      <formula>AND(BW34&gt;=4,FC34&lt;&gt;GetEquPower(BD34,BQ34, DE34, FV34))</formula>
    </cfRule>
  </conditionalFormatting>
  <conditionalFormatting sqref="FD34">
    <cfRule type="expression" dxfId="339" priority="397">
      <formula>AND(BW34&gt;=5,FD34&lt;&gt;0, GetEquPower(BD34,BQ34, DF34, FV34)=0)</formula>
    </cfRule>
    <cfRule type="expression" dxfId="338" priority="398">
      <formula>AND(BW34&gt;=5,FD34&lt;&gt;GetEquPower(BD34,BQ34, DF34, FV34))</formula>
    </cfRule>
  </conditionalFormatting>
  <conditionalFormatting sqref="FE34">
    <cfRule type="expression" dxfId="337" priority="399">
      <formula>AND(BW34&gt;=6,FE34&lt;&gt;0, GetEquPower(BD34,BQ34, DG34, FV34)=0)</formula>
    </cfRule>
    <cfRule type="expression" dxfId="336" priority="400">
      <formula>AND(BW34&gt;=6,FE34&lt;&gt;GetEquPower(BD34,BQ34, DG34, FV34))</formula>
    </cfRule>
  </conditionalFormatting>
  <conditionalFormatting sqref="FI34">
    <cfRule type="expression" dxfId="335" priority="363">
      <formula>AND(BX34&gt;=1,FI34&lt;&gt;0, GetEquPower(BE34,BR34, DI34, FW34)=0)</formula>
    </cfRule>
    <cfRule type="expression" dxfId="334" priority="364">
      <formula>AND(BX34&gt;=1,FI34&lt;&gt;GetEquPower(BE34,BR34, DI34, FW34))</formula>
    </cfRule>
  </conditionalFormatting>
  <conditionalFormatting sqref="FJ34">
    <cfRule type="expression" dxfId="333" priority="365">
      <formula>AND(BX34&gt;=2,FJ34&lt;&gt;0, GetEquPower(BE34,BR34, DJ34, FW34)=0)</formula>
    </cfRule>
    <cfRule type="expression" dxfId="332" priority="366">
      <formula>AND(BX34&gt;=2,FJ34&lt;&gt;GetEquPower(BE34,BR34, DJ34, FW34))</formula>
    </cfRule>
  </conditionalFormatting>
  <conditionalFormatting sqref="FK34">
    <cfRule type="expression" dxfId="331" priority="367">
      <formula>AND(BX34&gt;=3,FK34&lt;&gt;0, GetEquPower(BE34,BR34, DK34, FW34)=0)</formula>
    </cfRule>
    <cfRule type="expression" dxfId="330" priority="368">
      <formula>AND(BX34&gt;=3,FK34&lt;&gt;GetEquPower(BE34,BR34, DK34, FW34))</formula>
    </cfRule>
  </conditionalFormatting>
  <conditionalFormatting sqref="FL34">
    <cfRule type="expression" dxfId="329" priority="379">
      <formula>AND(BX34&gt;=4,FL34&lt;&gt;0, GetEquPower(BE34,BR34, DL34, FW34)=0)</formula>
    </cfRule>
    <cfRule type="expression" dxfId="328" priority="380">
      <formula>AND(BX34&gt;=4,FL34&lt;&gt;GetEquPower(BE34,BR34, DL34, FW34))</formula>
    </cfRule>
  </conditionalFormatting>
  <conditionalFormatting sqref="FM34">
    <cfRule type="expression" dxfId="327" priority="401">
      <formula>AND(BX34&gt;=5,FM34&lt;&gt;0, GetEquPower(BE34,BR34, DM34, FW34)=0)</formula>
    </cfRule>
    <cfRule type="expression" dxfId="326" priority="402">
      <formula>AND(BX34&gt;=5,FM34&lt;&gt;GetEquPower(BE34,BR34, DM34, FW34))</formula>
    </cfRule>
  </conditionalFormatting>
  <conditionalFormatting sqref="FN34">
    <cfRule type="expression" dxfId="325" priority="403">
      <formula>AND(BX34&gt;=6,FN34&lt;&gt;0, GetEquPower(BE34,BR34, DN34, FW34)=0)</formula>
    </cfRule>
    <cfRule type="expression" dxfId="324" priority="404">
      <formula>AND(BX34&gt;=6,FN34&lt;&gt;GetEquPower(BE34,BR34, DN34, FW34))</formula>
    </cfRule>
  </conditionalFormatting>
  <conditionalFormatting sqref="F35">
    <cfRule type="expression" dxfId="323" priority="251">
      <formula>F35&lt;&gt;RIGHT(SUBSTITUTE(TRIM(E35),".",""),LEN(F35))</formula>
    </cfRule>
  </conditionalFormatting>
  <conditionalFormatting sqref="BS35">
    <cfRule type="expression" dxfId="322" priority="250">
      <formula>AND(J35&gt;=1,BS35&lt;1)</formula>
    </cfRule>
  </conditionalFormatting>
  <conditionalFormatting sqref="BT35">
    <cfRule type="expression" dxfId="321" priority="249">
      <formula>AND(J35&gt;=2,BT35&lt;1)</formula>
    </cfRule>
  </conditionalFormatting>
  <conditionalFormatting sqref="BU35">
    <cfRule type="expression" dxfId="320" priority="247">
      <formula>AND(J35&gt;=3,BU35&lt;1)</formula>
    </cfRule>
  </conditionalFormatting>
  <conditionalFormatting sqref="BV35">
    <cfRule type="expression" dxfId="319" priority="246">
      <formula>AND(J35&gt;=4,BV35&lt;1)</formula>
    </cfRule>
  </conditionalFormatting>
  <conditionalFormatting sqref="BW35">
    <cfRule type="expression" dxfId="318" priority="248">
      <formula>AND(J35&gt;=5,BW35&lt;1)</formula>
    </cfRule>
  </conditionalFormatting>
  <conditionalFormatting sqref="BX35">
    <cfRule type="expression" dxfId="317" priority="245">
      <formula>AND(J35&gt;=6,BX35&lt;1)</formula>
    </cfRule>
  </conditionalFormatting>
  <conditionalFormatting sqref="IC35">
    <cfRule type="expression" dxfId="316" priority="324">
      <formula>AND($S35 = TRUE, $IC35&lt;&gt;OptionsUnitCode)</formula>
    </cfRule>
  </conditionalFormatting>
  <conditionalFormatting sqref="B35:II35">
    <cfRule type="containsErrors" dxfId="315" priority="244">
      <formula>ISERROR(B35)</formula>
    </cfRule>
  </conditionalFormatting>
  <conditionalFormatting sqref="DP35">
    <cfRule type="expression" dxfId="314" priority="252">
      <formula>AND(BS35&gt;=1,DP35&lt;&gt;0, GetEquPower(AZ35,BM35, BZ35, FR35)=0)</formula>
    </cfRule>
    <cfRule type="expression" dxfId="313" priority="253">
      <formula>AND(BS35&gt;=1,DP35&lt;&gt;GetEquPower(AZ35,BM35, BZ35, FR35))</formula>
    </cfRule>
  </conditionalFormatting>
  <conditionalFormatting sqref="DQ35">
    <cfRule type="expression" dxfId="312" priority="254">
      <formula>AND(BS35&gt;=2,DQ35&lt;&gt;0, GetEquPower(AZ35,BM35, CA35, FR35)=0)</formula>
    </cfRule>
    <cfRule type="expression" dxfId="311" priority="255">
      <formula>AND(BS35&gt;=2,DQ35&lt;&gt;GetEquPower(AZ35,BM35, CA35, FR35))</formula>
    </cfRule>
  </conditionalFormatting>
  <conditionalFormatting sqref="DR35">
    <cfRule type="expression" dxfId="310" priority="256">
      <formula>AND(BS35&gt;=3,DR35&lt;&gt;0, GetEquPower(AZ35,BM35, CB35, FR35)=0)</formula>
    </cfRule>
    <cfRule type="expression" dxfId="309" priority="257">
      <formula>AND(BS35&gt;=3,DR35&lt;&gt;GetEquPower(AZ35,BM35, CB35, FR35))</formula>
    </cfRule>
  </conditionalFormatting>
  <conditionalFormatting sqref="DS35">
    <cfRule type="expression" dxfId="308" priority="288">
      <formula>AND(BS35&gt;=4,DS35&lt;&gt;0, GetEquPower(AZ35,BM35, CC35, FR35)=0)</formula>
    </cfRule>
    <cfRule type="expression" dxfId="307" priority="289">
      <formula>AND(BS35&gt;=4, DS35&lt;&gt;GetEquPower(AZ35,BM35, CC35, FR35))</formula>
    </cfRule>
  </conditionalFormatting>
  <conditionalFormatting sqref="DT35">
    <cfRule type="expression" dxfId="306" priority="300">
      <formula>AND(BS35&gt;=5,DT35&lt;&gt;0, GetEquPower(AZ35,BM35, CD35, FR35)=0)</formula>
    </cfRule>
    <cfRule type="expression" dxfId="305" priority="301">
      <formula>AND(BS35&gt;=5, DT35&lt;&gt;GetEquPower(AZ35,BM35, CD35, FR35))</formula>
    </cfRule>
  </conditionalFormatting>
  <conditionalFormatting sqref="DU35">
    <cfRule type="expression" dxfId="304" priority="302">
      <formula>AND(BS35&gt;=6,DU35&lt;&gt;0, GetEquPower(AZ35,BM35, CE35, FR35)=0)</formula>
    </cfRule>
    <cfRule type="expression" dxfId="303" priority="303">
      <formula>AND(BS35&gt;=6, DU35&lt;&gt;GetEquPower(AZ35,BM35, CE35, FR35))</formula>
    </cfRule>
  </conditionalFormatting>
  <conditionalFormatting sqref="DY35">
    <cfRule type="expression" dxfId="302" priority="258">
      <formula>AND(BT35&gt;=1,DY35&lt;&gt;0, GetEquPower(BA35,BN35, CG35, FS35)=0)</formula>
    </cfRule>
    <cfRule type="expression" dxfId="301" priority="259">
      <formula>AND(BT35&gt;=1,DY35&lt;&gt;GetEquPower(BA35,BN35, CG35, FS35))</formula>
    </cfRule>
  </conditionalFormatting>
  <conditionalFormatting sqref="DZ35">
    <cfRule type="expression" dxfId="300" priority="260">
      <formula>AND(BT35&gt;=2,DZ35&lt;&gt;0, GetEquPower(BA35,BN35, CH35, FS35)=0)</formula>
    </cfRule>
    <cfRule type="expression" dxfId="299" priority="261">
      <formula>AND(BT35&gt;=2,DZ35&lt;&gt;GetEquPower(BA35,BN35, CH35, FS35))</formula>
    </cfRule>
  </conditionalFormatting>
  <conditionalFormatting sqref="EA35">
    <cfRule type="expression" dxfId="298" priority="262">
      <formula>AND(BT35&gt;=3,EA35&lt;&gt;0, GetEquPower(BA35,BN35, CI35, FS35)=0)</formula>
    </cfRule>
    <cfRule type="expression" dxfId="297" priority="263">
      <formula>AND(BT35&gt;=3,EA35&lt;&gt;GetEquPower(BA35,BN35, CI35, FS35))</formula>
    </cfRule>
  </conditionalFormatting>
  <conditionalFormatting sqref="EB35">
    <cfRule type="expression" dxfId="296" priority="290">
      <formula>AND(BT35&gt;=4,EB35&lt;&gt;0, GetEquPower(BA35,BN35, CJ35, FS35)=0)</formula>
    </cfRule>
    <cfRule type="expression" dxfId="295" priority="291">
      <formula>AND(BT35&gt;=4,EB35&lt;&gt;GetEquPower(BA35,BN35, CJ35, FS35))</formula>
    </cfRule>
  </conditionalFormatting>
  <conditionalFormatting sqref="EC35">
    <cfRule type="expression" dxfId="294" priority="304">
      <formula>AND(BT35&gt;=5,EC35&lt;&gt;0, GetEquPower(BA35,BN35, CK35, FS35)=0)</formula>
    </cfRule>
    <cfRule type="expression" dxfId="293" priority="305">
      <formula>AND(BT35&gt;=5,EC35&lt;&gt;GetEquPower(BA35,BN35, CK35, FS35))</formula>
    </cfRule>
  </conditionalFormatting>
  <conditionalFormatting sqref="ED35">
    <cfRule type="expression" dxfId="292" priority="306">
      <formula>AND(BT35&gt;=6,ED35&lt;&gt;0, GetEquPower(BA35,BN35, CL35, FS35)=0)</formula>
    </cfRule>
    <cfRule type="expression" dxfId="291" priority="307">
      <formula>AND(BT35&gt;=6,ED35&lt;&gt;GetEquPower(BA35,BN35, CL35, FS35))</formula>
    </cfRule>
  </conditionalFormatting>
  <conditionalFormatting sqref="EH35">
    <cfRule type="expression" dxfId="290" priority="264">
      <formula>AND(BU35&gt;=1,EH35&lt;&gt;0, GetEquPower(BB35,BO35, CN35, FT35)=0)</formula>
    </cfRule>
    <cfRule type="expression" dxfId="289" priority="265">
      <formula>AND(BU35&gt;=1,EH35&lt;&gt;GetEquPower(BB35,BO35, CN35, FT35))</formula>
    </cfRule>
  </conditionalFormatting>
  <conditionalFormatting sqref="EI35">
    <cfRule type="expression" dxfId="288" priority="266">
      <formula>AND(BU35&gt;=2,EI35&lt;&gt;0, GetEquPower(BB35,BO35, CO35, FT35)=0)</formula>
    </cfRule>
    <cfRule type="expression" dxfId="287" priority="267">
      <formula xml:space="preserve"> AND(BU35&gt;=2,EI35&lt;&gt;GetEquPower(BB35,BO35, CO35, FT35))</formula>
    </cfRule>
  </conditionalFormatting>
  <conditionalFormatting sqref="EJ35">
    <cfRule type="expression" dxfId="286" priority="268">
      <formula>AND(BU35&gt;=3,EJ35&lt;&gt;0, GetEquPower(BB35,BO35, CP35, FT35)=0)</formula>
    </cfRule>
    <cfRule type="expression" dxfId="285" priority="269">
      <formula xml:space="preserve"> AND(BU35&gt;=3,EJ35&lt;&gt;GetEquPower(BB35,BO35, CP35, FT35))</formula>
    </cfRule>
  </conditionalFormatting>
  <conditionalFormatting sqref="EK35">
    <cfRule type="expression" dxfId="284" priority="292">
      <formula>AND(BU35&gt;=4,EK35&lt;&gt;0, GetEquPower(BB35,BO35, CQ35, FT35)=0)</formula>
    </cfRule>
    <cfRule type="expression" dxfId="283" priority="293">
      <formula xml:space="preserve"> AND(BU35&gt;=4,EK35&lt;&gt;GetEquPower(BB35,BO35, CQ35, FT35))</formula>
    </cfRule>
  </conditionalFormatting>
  <conditionalFormatting sqref="EL35">
    <cfRule type="expression" dxfId="282" priority="308">
      <formula>AND(BU35&gt;=5,EL35&lt;&gt;0, GetEquPower(BB35,BO35, CR35, FT35)=0)</formula>
    </cfRule>
    <cfRule type="expression" dxfId="281" priority="309">
      <formula xml:space="preserve"> AND(BU35&gt;=5,EL35&lt;&gt;GetEquPower(BB35,BO35, CR35, FT35))</formula>
    </cfRule>
  </conditionalFormatting>
  <conditionalFormatting sqref="EM35">
    <cfRule type="expression" dxfId="280" priority="310">
      <formula>AND(BU35&gt;=6,EM35&lt;&gt;0, GetEquPower(BB35,BO35, CS35, FT35)=0)</formula>
    </cfRule>
    <cfRule type="expression" dxfId="279" priority="311">
      <formula xml:space="preserve"> AND(BU35&gt;=6,EM35&lt;&gt;GetEquPower(BB35,BO35, CS35, FT35))</formula>
    </cfRule>
  </conditionalFormatting>
  <conditionalFormatting sqref="EQ35">
    <cfRule type="expression" dxfId="278" priority="270">
      <formula>AND(BV35&gt;=1,EQ35&lt;&gt;0, GetEquPower(BC35,BP35, CU35, FU35)=0)</formula>
    </cfRule>
    <cfRule type="expression" dxfId="277" priority="271">
      <formula>AND(BV35&gt;=1,EQ35&lt;&gt;GetEquPower(BC35,BP35, CU35, FU35))</formula>
    </cfRule>
  </conditionalFormatting>
  <conditionalFormatting sqref="ER35">
    <cfRule type="expression" dxfId="276" priority="272">
      <formula>AND(BV35&gt;=2,ER35&lt;&gt;0, GetEquPower(BC35,BP35, CV35, FU35)=0)</formula>
    </cfRule>
    <cfRule type="expression" dxfId="275" priority="273">
      <formula>AND(BV35&gt;=2,ER35&lt;&gt;GetEquPower(BC35,BP35, CV35, FU35))</formula>
    </cfRule>
  </conditionalFormatting>
  <conditionalFormatting sqref="ES35">
    <cfRule type="expression" dxfId="274" priority="274">
      <formula>AND(BV35&gt;=3,ES35&lt;&gt;0, GetEquPower(BC35,BP35, CW35, FU35)=0)</formula>
    </cfRule>
    <cfRule type="expression" dxfId="273" priority="275">
      <formula>AND(BV35&gt;=3,ES35&lt;&gt;GetEquPower(BC35,BP35, CW35, FU35))</formula>
    </cfRule>
  </conditionalFormatting>
  <conditionalFormatting sqref="ET35">
    <cfRule type="expression" dxfId="272" priority="294">
      <formula>AND(BV35&gt;=4,ET35&lt;&gt;0, GetEquPower(BC35,BP35, CX35, FU35)=0)</formula>
    </cfRule>
    <cfRule type="expression" dxfId="271" priority="295">
      <formula>AND(BV35&gt;=4,ET35&lt;&gt;GetEquPower(BC35,BP35, CX35, FU35))</formula>
    </cfRule>
  </conditionalFormatting>
  <conditionalFormatting sqref="EU35">
    <cfRule type="expression" dxfId="270" priority="312">
      <formula>AND(BV35&gt;=5,EU35&lt;&gt;0, GetEquPower(BC35,BP35, CY35, FU35)=0)</formula>
    </cfRule>
    <cfRule type="expression" dxfId="269" priority="313">
      <formula>AND(BV35&gt;=5,EU35&lt;&gt;GetEquPower(BC35,BP35, CY35, FU35))</formula>
    </cfRule>
  </conditionalFormatting>
  <conditionalFormatting sqref="EV35">
    <cfRule type="expression" dxfId="268" priority="314">
      <formula>AND(BV35&gt;=6,EV35&lt;&gt;0, GetEquPower(BC35,BP35, CZ35, FU35)=0)</formula>
    </cfRule>
    <cfRule type="expression" dxfId="267" priority="315">
      <formula>AND(BV35&gt;=6,EV35&lt;&gt;GetEquPower(BC35,BP35, CZ35, FU35))</formula>
    </cfRule>
  </conditionalFormatting>
  <conditionalFormatting sqref="EZ35">
    <cfRule type="expression" dxfId="266" priority="276">
      <formula>AND(BW35&gt;=1,EZ35&lt;&gt;0, GetEquPower(BD35,BQ35, DB35, FV35)=0)</formula>
    </cfRule>
    <cfRule type="expression" dxfId="265" priority="277">
      <formula>AND(BW35&gt;=1,EZ35&lt;&gt;GetEquPower(BD35,BQ35, DB35, FV35))</formula>
    </cfRule>
  </conditionalFormatting>
  <conditionalFormatting sqref="FA35">
    <cfRule type="expression" dxfId="264" priority="278">
      <formula>AND(BW35&gt;=2,FA35&lt;&gt;0, GetEquPower(BD35,BQ35, DC35, FV35)=0)</formula>
    </cfRule>
    <cfRule type="expression" dxfId="263" priority="279">
      <formula>AND(BW35&gt;=2,FA35&lt;&gt;GetEquPower(BD35,BQ35, DC35, FV35))</formula>
    </cfRule>
  </conditionalFormatting>
  <conditionalFormatting sqref="FB35">
    <cfRule type="expression" dxfId="262" priority="280">
      <formula>AND(BW35&gt;=3,FB35&lt;&gt;0, GetEquPower(BD35,BQ35, DD35, FV35)=0)</formula>
    </cfRule>
    <cfRule type="expression" dxfId="261" priority="281">
      <formula>AND(BW35&gt;=3,FB35&lt;&gt;GetEquPower(BD35,BQ35, DD35, FV35))</formula>
    </cfRule>
  </conditionalFormatting>
  <conditionalFormatting sqref="FC35">
    <cfRule type="expression" dxfId="260" priority="296">
      <formula>AND(BW35&gt;=4,FC35&lt;&gt;0, GetEquPower(BD35,BQ35, DE35, FV35)=0)</formula>
    </cfRule>
    <cfRule type="expression" dxfId="259" priority="297">
      <formula>AND(BW35&gt;=4,FC35&lt;&gt;GetEquPower(BD35,BQ35, DE35, FV35))</formula>
    </cfRule>
  </conditionalFormatting>
  <conditionalFormatting sqref="FD35">
    <cfRule type="expression" dxfId="258" priority="316">
      <formula>AND(BW35&gt;=5,FD35&lt;&gt;0, GetEquPower(BD35,BQ35, DF35, FV35)=0)</formula>
    </cfRule>
    <cfRule type="expression" dxfId="257" priority="317">
      <formula>AND(BW35&gt;=5,FD35&lt;&gt;GetEquPower(BD35,BQ35, DF35, FV35))</formula>
    </cfRule>
  </conditionalFormatting>
  <conditionalFormatting sqref="FE35">
    <cfRule type="expression" dxfId="256" priority="318">
      <formula>AND(BW35&gt;=6,FE35&lt;&gt;0, GetEquPower(BD35,BQ35, DG35, FV35)=0)</formula>
    </cfRule>
    <cfRule type="expression" dxfId="255" priority="319">
      <formula>AND(BW35&gt;=6,FE35&lt;&gt;GetEquPower(BD35,BQ35, DG35, FV35))</formula>
    </cfRule>
  </conditionalFormatting>
  <conditionalFormatting sqref="FI35">
    <cfRule type="expression" dxfId="254" priority="282">
      <formula>AND(BX35&gt;=1,FI35&lt;&gt;0, GetEquPower(BE35,BR35, DI35, FW35)=0)</formula>
    </cfRule>
    <cfRule type="expression" dxfId="253" priority="283">
      <formula>AND(BX35&gt;=1,FI35&lt;&gt;GetEquPower(BE35,BR35, DI35, FW35))</formula>
    </cfRule>
  </conditionalFormatting>
  <conditionalFormatting sqref="FJ35">
    <cfRule type="expression" dxfId="252" priority="284">
      <formula>AND(BX35&gt;=2,FJ35&lt;&gt;0, GetEquPower(BE35,BR35, DJ35, FW35)=0)</formula>
    </cfRule>
    <cfRule type="expression" dxfId="251" priority="285">
      <formula>AND(BX35&gt;=2,FJ35&lt;&gt;GetEquPower(BE35,BR35, DJ35, FW35))</formula>
    </cfRule>
  </conditionalFormatting>
  <conditionalFormatting sqref="FK35">
    <cfRule type="expression" dxfId="250" priority="286">
      <formula>AND(BX35&gt;=3,FK35&lt;&gt;0, GetEquPower(BE35,BR35, DK35, FW35)=0)</formula>
    </cfRule>
    <cfRule type="expression" dxfId="249" priority="287">
      <formula>AND(BX35&gt;=3,FK35&lt;&gt;GetEquPower(BE35,BR35, DK35, FW35))</formula>
    </cfRule>
  </conditionalFormatting>
  <conditionalFormatting sqref="FL35">
    <cfRule type="expression" dxfId="248" priority="298">
      <formula>AND(BX35&gt;=4,FL35&lt;&gt;0, GetEquPower(BE35,BR35, DL35, FW35)=0)</formula>
    </cfRule>
    <cfRule type="expression" dxfId="247" priority="299">
      <formula>AND(BX35&gt;=4,FL35&lt;&gt;GetEquPower(BE35,BR35, DL35, FW35))</formula>
    </cfRule>
  </conditionalFormatting>
  <conditionalFormatting sqref="FM35">
    <cfRule type="expression" dxfId="246" priority="320">
      <formula>AND(BX35&gt;=5,FM35&lt;&gt;0, GetEquPower(BE35,BR35, DM35, FW35)=0)</formula>
    </cfRule>
    <cfRule type="expression" dxfId="245" priority="321">
      <formula>AND(BX35&gt;=5,FM35&lt;&gt;GetEquPower(BE35,BR35, DM35, FW35))</formula>
    </cfRule>
  </conditionalFormatting>
  <conditionalFormatting sqref="FN35">
    <cfRule type="expression" dxfId="244" priority="322">
      <formula>AND(BX35&gt;=6,FN35&lt;&gt;0, GetEquPower(BE35,BR35, DN35, FW35)=0)</formula>
    </cfRule>
    <cfRule type="expression" dxfId="243" priority="323">
      <formula>AND(BX35&gt;=6,FN35&lt;&gt;GetEquPower(BE35,BR35, DN35, FW35))</formula>
    </cfRule>
  </conditionalFormatting>
  <conditionalFormatting sqref="F36">
    <cfRule type="expression" dxfId="242" priority="170">
      <formula>F36&lt;&gt;RIGHT(SUBSTITUTE(TRIM(E36),".",""),LEN(F36))</formula>
    </cfRule>
  </conditionalFormatting>
  <conditionalFormatting sqref="BS36">
    <cfRule type="expression" dxfId="241" priority="169">
      <formula>AND(J36&gt;=1,BS36&lt;1)</formula>
    </cfRule>
  </conditionalFormatting>
  <conditionalFormatting sqref="BT36">
    <cfRule type="expression" dxfId="240" priority="168">
      <formula>AND(J36&gt;=2,BT36&lt;1)</formula>
    </cfRule>
  </conditionalFormatting>
  <conditionalFormatting sqref="BU36">
    <cfRule type="expression" dxfId="239" priority="166">
      <formula>AND(J36&gt;=3,BU36&lt;1)</formula>
    </cfRule>
  </conditionalFormatting>
  <conditionalFormatting sqref="BV36">
    <cfRule type="expression" dxfId="238" priority="165">
      <formula>AND(J36&gt;=4,BV36&lt;1)</formula>
    </cfRule>
  </conditionalFormatting>
  <conditionalFormatting sqref="BW36">
    <cfRule type="expression" dxfId="237" priority="167">
      <formula>AND(J36&gt;=5,BW36&lt;1)</formula>
    </cfRule>
  </conditionalFormatting>
  <conditionalFormatting sqref="BX36">
    <cfRule type="expression" dxfId="236" priority="164">
      <formula>AND(J36&gt;=6,BX36&lt;1)</formula>
    </cfRule>
  </conditionalFormatting>
  <conditionalFormatting sqref="IC36">
    <cfRule type="expression" dxfId="235" priority="243">
      <formula>AND($S36 = TRUE, $IC36&lt;&gt;OptionsUnitCode)</formula>
    </cfRule>
  </conditionalFormatting>
  <conditionalFormatting sqref="B36:II36">
    <cfRule type="containsErrors" dxfId="234" priority="163">
      <formula>ISERROR(B36)</formula>
    </cfRule>
  </conditionalFormatting>
  <conditionalFormatting sqref="DP36">
    <cfRule type="expression" dxfId="233" priority="171">
      <formula>AND(BS36&gt;=1,DP36&lt;&gt;0, GetEquPower(AZ36,BM36, BZ36, FR36)=0)</formula>
    </cfRule>
    <cfRule type="expression" dxfId="232" priority="172">
      <formula>AND(BS36&gt;=1,DP36&lt;&gt;GetEquPower(AZ36,BM36, BZ36, FR36))</formula>
    </cfRule>
  </conditionalFormatting>
  <conditionalFormatting sqref="DQ36">
    <cfRule type="expression" dxfId="231" priority="173">
      <formula>AND(BS36&gt;=2,DQ36&lt;&gt;0, GetEquPower(AZ36,BM36, CA36, FR36)=0)</formula>
    </cfRule>
    <cfRule type="expression" dxfId="230" priority="174">
      <formula>AND(BS36&gt;=2,DQ36&lt;&gt;GetEquPower(AZ36,BM36, CA36, FR36))</formula>
    </cfRule>
  </conditionalFormatting>
  <conditionalFormatting sqref="DR36">
    <cfRule type="expression" dxfId="229" priority="175">
      <formula>AND(BS36&gt;=3,DR36&lt;&gt;0, GetEquPower(AZ36,BM36, CB36, FR36)=0)</formula>
    </cfRule>
    <cfRule type="expression" dxfId="228" priority="176">
      <formula>AND(BS36&gt;=3,DR36&lt;&gt;GetEquPower(AZ36,BM36, CB36, FR36))</formula>
    </cfRule>
  </conditionalFormatting>
  <conditionalFormatting sqref="DS36">
    <cfRule type="expression" dxfId="227" priority="207">
      <formula>AND(BS36&gt;=4,DS36&lt;&gt;0, GetEquPower(AZ36,BM36, CC36, FR36)=0)</formula>
    </cfRule>
    <cfRule type="expression" dxfId="226" priority="208">
      <formula>AND(BS36&gt;=4, DS36&lt;&gt;GetEquPower(AZ36,BM36, CC36, FR36))</formula>
    </cfRule>
  </conditionalFormatting>
  <conditionalFormatting sqref="DT36">
    <cfRule type="expression" dxfId="225" priority="219">
      <formula>AND(BS36&gt;=5,DT36&lt;&gt;0, GetEquPower(AZ36,BM36, CD36, FR36)=0)</formula>
    </cfRule>
    <cfRule type="expression" dxfId="224" priority="220">
      <formula>AND(BS36&gt;=5, DT36&lt;&gt;GetEquPower(AZ36,BM36, CD36, FR36))</formula>
    </cfRule>
  </conditionalFormatting>
  <conditionalFormatting sqref="DU36">
    <cfRule type="expression" dxfId="223" priority="221">
      <formula>AND(BS36&gt;=6,DU36&lt;&gt;0, GetEquPower(AZ36,BM36, CE36, FR36)=0)</formula>
    </cfRule>
    <cfRule type="expression" dxfId="222" priority="222">
      <formula>AND(BS36&gt;=6, DU36&lt;&gt;GetEquPower(AZ36,BM36, CE36, FR36))</formula>
    </cfRule>
  </conditionalFormatting>
  <conditionalFormatting sqref="DY36">
    <cfRule type="expression" dxfId="221" priority="177">
      <formula>AND(BT36&gt;=1,DY36&lt;&gt;0, GetEquPower(BA36,BN36, CG36, FS36)=0)</formula>
    </cfRule>
    <cfRule type="expression" dxfId="220" priority="178">
      <formula>AND(BT36&gt;=1,DY36&lt;&gt;GetEquPower(BA36,BN36, CG36, FS36))</formula>
    </cfRule>
  </conditionalFormatting>
  <conditionalFormatting sqref="DZ36">
    <cfRule type="expression" dxfId="219" priority="179">
      <formula>AND(BT36&gt;=2,DZ36&lt;&gt;0, GetEquPower(BA36,BN36, CH36, FS36)=0)</formula>
    </cfRule>
    <cfRule type="expression" dxfId="218" priority="180">
      <formula>AND(BT36&gt;=2,DZ36&lt;&gt;GetEquPower(BA36,BN36, CH36, FS36))</formula>
    </cfRule>
  </conditionalFormatting>
  <conditionalFormatting sqref="EA36">
    <cfRule type="expression" dxfId="217" priority="181">
      <formula>AND(BT36&gt;=3,EA36&lt;&gt;0, GetEquPower(BA36,BN36, CI36, FS36)=0)</formula>
    </cfRule>
    <cfRule type="expression" dxfId="216" priority="182">
      <formula>AND(BT36&gt;=3,EA36&lt;&gt;GetEquPower(BA36,BN36, CI36, FS36))</formula>
    </cfRule>
  </conditionalFormatting>
  <conditionalFormatting sqref="EB36">
    <cfRule type="expression" dxfId="215" priority="209">
      <formula>AND(BT36&gt;=4,EB36&lt;&gt;0, GetEquPower(BA36,BN36, CJ36, FS36)=0)</formula>
    </cfRule>
    <cfRule type="expression" dxfId="214" priority="210">
      <formula>AND(BT36&gt;=4,EB36&lt;&gt;GetEquPower(BA36,BN36, CJ36, FS36))</formula>
    </cfRule>
  </conditionalFormatting>
  <conditionalFormatting sqref="EC36">
    <cfRule type="expression" dxfId="213" priority="223">
      <formula>AND(BT36&gt;=5,EC36&lt;&gt;0, GetEquPower(BA36,BN36, CK36, FS36)=0)</formula>
    </cfRule>
    <cfRule type="expression" dxfId="212" priority="224">
      <formula>AND(BT36&gt;=5,EC36&lt;&gt;GetEquPower(BA36,BN36, CK36, FS36))</formula>
    </cfRule>
  </conditionalFormatting>
  <conditionalFormatting sqref="ED36">
    <cfRule type="expression" dxfId="211" priority="225">
      <formula>AND(BT36&gt;=6,ED36&lt;&gt;0, GetEquPower(BA36,BN36, CL36, FS36)=0)</formula>
    </cfRule>
    <cfRule type="expression" dxfId="210" priority="226">
      <formula>AND(BT36&gt;=6,ED36&lt;&gt;GetEquPower(BA36,BN36, CL36, FS36))</formula>
    </cfRule>
  </conditionalFormatting>
  <conditionalFormatting sqref="EH36">
    <cfRule type="expression" dxfId="209" priority="183">
      <formula>AND(BU36&gt;=1,EH36&lt;&gt;0, GetEquPower(BB36,BO36, CN36, FT36)=0)</formula>
    </cfRule>
    <cfRule type="expression" dxfId="208" priority="184">
      <formula>AND(BU36&gt;=1,EH36&lt;&gt;GetEquPower(BB36,BO36, CN36, FT36))</formula>
    </cfRule>
  </conditionalFormatting>
  <conditionalFormatting sqref="EI36">
    <cfRule type="expression" dxfId="207" priority="185">
      <formula>AND(BU36&gt;=2,EI36&lt;&gt;0, GetEquPower(BB36,BO36, CO36, FT36)=0)</formula>
    </cfRule>
    <cfRule type="expression" dxfId="206" priority="186">
      <formula xml:space="preserve"> AND(BU36&gt;=2,EI36&lt;&gt;GetEquPower(BB36,BO36, CO36, FT36))</formula>
    </cfRule>
  </conditionalFormatting>
  <conditionalFormatting sqref="EJ36">
    <cfRule type="expression" dxfId="205" priority="187">
      <formula>AND(BU36&gt;=3,EJ36&lt;&gt;0, GetEquPower(BB36,BO36, CP36, FT36)=0)</formula>
    </cfRule>
    <cfRule type="expression" dxfId="204" priority="188">
      <formula xml:space="preserve"> AND(BU36&gt;=3,EJ36&lt;&gt;GetEquPower(BB36,BO36, CP36, FT36))</formula>
    </cfRule>
  </conditionalFormatting>
  <conditionalFormatting sqref="EK36">
    <cfRule type="expression" dxfId="203" priority="211">
      <formula>AND(BU36&gt;=4,EK36&lt;&gt;0, GetEquPower(BB36,BO36, CQ36, FT36)=0)</formula>
    </cfRule>
    <cfRule type="expression" dxfId="202" priority="212">
      <formula xml:space="preserve"> AND(BU36&gt;=4,EK36&lt;&gt;GetEquPower(BB36,BO36, CQ36, FT36))</formula>
    </cfRule>
  </conditionalFormatting>
  <conditionalFormatting sqref="EL36">
    <cfRule type="expression" dxfId="201" priority="227">
      <formula>AND(BU36&gt;=5,EL36&lt;&gt;0, GetEquPower(BB36,BO36, CR36, FT36)=0)</formula>
    </cfRule>
    <cfRule type="expression" dxfId="200" priority="228">
      <formula xml:space="preserve"> AND(BU36&gt;=5,EL36&lt;&gt;GetEquPower(BB36,BO36, CR36, FT36))</formula>
    </cfRule>
  </conditionalFormatting>
  <conditionalFormatting sqref="EM36">
    <cfRule type="expression" dxfId="199" priority="229">
      <formula>AND(BU36&gt;=6,EM36&lt;&gt;0, GetEquPower(BB36,BO36, CS36, FT36)=0)</formula>
    </cfRule>
    <cfRule type="expression" dxfId="198" priority="230">
      <formula xml:space="preserve"> AND(BU36&gt;=6,EM36&lt;&gt;GetEquPower(BB36,BO36, CS36, FT36))</formula>
    </cfRule>
  </conditionalFormatting>
  <conditionalFormatting sqref="EQ36">
    <cfRule type="expression" dxfId="197" priority="189">
      <formula>AND(BV36&gt;=1,EQ36&lt;&gt;0, GetEquPower(BC36,BP36, CU36, FU36)=0)</formula>
    </cfRule>
    <cfRule type="expression" dxfId="196" priority="190">
      <formula>AND(BV36&gt;=1,EQ36&lt;&gt;GetEquPower(BC36,BP36, CU36, FU36))</formula>
    </cfRule>
  </conditionalFormatting>
  <conditionalFormatting sqref="ER36">
    <cfRule type="expression" dxfId="195" priority="191">
      <formula>AND(BV36&gt;=2,ER36&lt;&gt;0, GetEquPower(BC36,BP36, CV36, FU36)=0)</formula>
    </cfRule>
    <cfRule type="expression" dxfId="194" priority="192">
      <formula>AND(BV36&gt;=2,ER36&lt;&gt;GetEquPower(BC36,BP36, CV36, FU36))</formula>
    </cfRule>
  </conditionalFormatting>
  <conditionalFormatting sqref="ES36">
    <cfRule type="expression" dxfId="193" priority="193">
      <formula>AND(BV36&gt;=3,ES36&lt;&gt;0, GetEquPower(BC36,BP36, CW36, FU36)=0)</formula>
    </cfRule>
    <cfRule type="expression" dxfId="192" priority="194">
      <formula>AND(BV36&gt;=3,ES36&lt;&gt;GetEquPower(BC36,BP36, CW36, FU36))</formula>
    </cfRule>
  </conditionalFormatting>
  <conditionalFormatting sqref="ET36">
    <cfRule type="expression" dxfId="191" priority="213">
      <formula>AND(BV36&gt;=4,ET36&lt;&gt;0, GetEquPower(BC36,BP36, CX36, FU36)=0)</formula>
    </cfRule>
    <cfRule type="expression" dxfId="190" priority="214">
      <formula>AND(BV36&gt;=4,ET36&lt;&gt;GetEquPower(BC36,BP36, CX36, FU36))</formula>
    </cfRule>
  </conditionalFormatting>
  <conditionalFormatting sqref="EU36">
    <cfRule type="expression" dxfId="189" priority="231">
      <formula>AND(BV36&gt;=5,EU36&lt;&gt;0, GetEquPower(BC36,BP36, CY36, FU36)=0)</formula>
    </cfRule>
    <cfRule type="expression" dxfId="188" priority="232">
      <formula>AND(BV36&gt;=5,EU36&lt;&gt;GetEquPower(BC36,BP36, CY36, FU36))</formula>
    </cfRule>
  </conditionalFormatting>
  <conditionalFormatting sqref="EV36">
    <cfRule type="expression" dxfId="187" priority="233">
      <formula>AND(BV36&gt;=6,EV36&lt;&gt;0, GetEquPower(BC36,BP36, CZ36, FU36)=0)</formula>
    </cfRule>
    <cfRule type="expression" dxfId="186" priority="234">
      <formula>AND(BV36&gt;=6,EV36&lt;&gt;GetEquPower(BC36,BP36, CZ36, FU36))</formula>
    </cfRule>
  </conditionalFormatting>
  <conditionalFormatting sqref="EZ36">
    <cfRule type="expression" dxfId="185" priority="195">
      <formula>AND(BW36&gt;=1,EZ36&lt;&gt;0, GetEquPower(BD36,BQ36, DB36, FV36)=0)</formula>
    </cfRule>
    <cfRule type="expression" dxfId="184" priority="196">
      <formula>AND(BW36&gt;=1,EZ36&lt;&gt;GetEquPower(BD36,BQ36, DB36, FV36))</formula>
    </cfRule>
  </conditionalFormatting>
  <conditionalFormatting sqref="FA36">
    <cfRule type="expression" dxfId="183" priority="197">
      <formula>AND(BW36&gt;=2,FA36&lt;&gt;0, GetEquPower(BD36,BQ36, DC36, FV36)=0)</formula>
    </cfRule>
    <cfRule type="expression" dxfId="182" priority="198">
      <formula>AND(BW36&gt;=2,FA36&lt;&gt;GetEquPower(BD36,BQ36, DC36, FV36))</formula>
    </cfRule>
  </conditionalFormatting>
  <conditionalFormatting sqref="FB36">
    <cfRule type="expression" dxfId="181" priority="199">
      <formula>AND(BW36&gt;=3,FB36&lt;&gt;0, GetEquPower(BD36,BQ36, DD36, FV36)=0)</formula>
    </cfRule>
    <cfRule type="expression" dxfId="180" priority="200">
      <formula>AND(BW36&gt;=3,FB36&lt;&gt;GetEquPower(BD36,BQ36, DD36, FV36))</formula>
    </cfRule>
  </conditionalFormatting>
  <conditionalFormatting sqref="FC36">
    <cfRule type="expression" dxfId="179" priority="215">
      <formula>AND(BW36&gt;=4,FC36&lt;&gt;0, GetEquPower(BD36,BQ36, DE36, FV36)=0)</formula>
    </cfRule>
    <cfRule type="expression" dxfId="178" priority="216">
      <formula>AND(BW36&gt;=4,FC36&lt;&gt;GetEquPower(BD36,BQ36, DE36, FV36))</formula>
    </cfRule>
  </conditionalFormatting>
  <conditionalFormatting sqref="FD36">
    <cfRule type="expression" dxfId="177" priority="235">
      <formula>AND(BW36&gt;=5,FD36&lt;&gt;0, GetEquPower(BD36,BQ36, DF36, FV36)=0)</formula>
    </cfRule>
    <cfRule type="expression" dxfId="176" priority="236">
      <formula>AND(BW36&gt;=5,FD36&lt;&gt;GetEquPower(BD36,BQ36, DF36, FV36))</formula>
    </cfRule>
  </conditionalFormatting>
  <conditionalFormatting sqref="FE36">
    <cfRule type="expression" dxfId="175" priority="237">
      <formula>AND(BW36&gt;=6,FE36&lt;&gt;0, GetEquPower(BD36,BQ36, DG36, FV36)=0)</formula>
    </cfRule>
    <cfRule type="expression" dxfId="174" priority="238">
      <formula>AND(BW36&gt;=6,FE36&lt;&gt;GetEquPower(BD36,BQ36, DG36, FV36))</formula>
    </cfRule>
  </conditionalFormatting>
  <conditionalFormatting sqref="FI36">
    <cfRule type="expression" dxfId="173" priority="201">
      <formula>AND(BX36&gt;=1,FI36&lt;&gt;0, GetEquPower(BE36,BR36, DI36, FW36)=0)</formula>
    </cfRule>
    <cfRule type="expression" dxfId="172" priority="202">
      <formula>AND(BX36&gt;=1,FI36&lt;&gt;GetEquPower(BE36,BR36, DI36, FW36))</formula>
    </cfRule>
  </conditionalFormatting>
  <conditionalFormatting sqref="FJ36">
    <cfRule type="expression" dxfId="171" priority="203">
      <formula>AND(BX36&gt;=2,FJ36&lt;&gt;0, GetEquPower(BE36,BR36, DJ36, FW36)=0)</formula>
    </cfRule>
    <cfRule type="expression" dxfId="170" priority="204">
      <formula>AND(BX36&gt;=2,FJ36&lt;&gt;GetEquPower(BE36,BR36, DJ36, FW36))</formula>
    </cfRule>
  </conditionalFormatting>
  <conditionalFormatting sqref="FK36">
    <cfRule type="expression" dxfId="169" priority="205">
      <formula>AND(BX36&gt;=3,FK36&lt;&gt;0, GetEquPower(BE36,BR36, DK36, FW36)=0)</formula>
    </cfRule>
    <cfRule type="expression" dxfId="168" priority="206">
      <formula>AND(BX36&gt;=3,FK36&lt;&gt;GetEquPower(BE36,BR36, DK36, FW36))</formula>
    </cfRule>
  </conditionalFormatting>
  <conditionalFormatting sqref="FL36">
    <cfRule type="expression" dxfId="167" priority="217">
      <formula>AND(BX36&gt;=4,FL36&lt;&gt;0, GetEquPower(BE36,BR36, DL36, FW36)=0)</formula>
    </cfRule>
    <cfRule type="expression" dxfId="166" priority="218">
      <formula>AND(BX36&gt;=4,FL36&lt;&gt;GetEquPower(BE36,BR36, DL36, FW36))</formula>
    </cfRule>
  </conditionalFormatting>
  <conditionalFormatting sqref="FM36">
    <cfRule type="expression" dxfId="165" priority="239">
      <formula>AND(BX36&gt;=5,FM36&lt;&gt;0, GetEquPower(BE36,BR36, DM36, FW36)=0)</formula>
    </cfRule>
    <cfRule type="expression" dxfId="164" priority="240">
      <formula>AND(BX36&gt;=5,FM36&lt;&gt;GetEquPower(BE36,BR36, DM36, FW36))</formula>
    </cfRule>
  </conditionalFormatting>
  <conditionalFormatting sqref="FN36">
    <cfRule type="expression" dxfId="163" priority="241">
      <formula>AND(BX36&gt;=6,FN36&lt;&gt;0, GetEquPower(BE36,BR36, DN36, FW36)=0)</formula>
    </cfRule>
    <cfRule type="expression" dxfId="162" priority="242">
      <formula>AND(BX36&gt;=6,FN36&lt;&gt;GetEquPower(BE36,BR36, DN36, FW36))</formula>
    </cfRule>
  </conditionalFormatting>
  <conditionalFormatting sqref="F37">
    <cfRule type="expression" dxfId="161" priority="89">
      <formula>F37&lt;&gt;RIGHT(SUBSTITUTE(TRIM(E37),".",""),LEN(F37))</formula>
    </cfRule>
  </conditionalFormatting>
  <conditionalFormatting sqref="BS37">
    <cfRule type="expression" dxfId="160" priority="88">
      <formula>AND(J37&gt;=1,BS37&lt;1)</formula>
    </cfRule>
  </conditionalFormatting>
  <conditionalFormatting sqref="BT37">
    <cfRule type="expression" dxfId="159" priority="87">
      <formula>AND(J37&gt;=2,BT37&lt;1)</formula>
    </cfRule>
  </conditionalFormatting>
  <conditionalFormatting sqref="BU37">
    <cfRule type="expression" dxfId="158" priority="85">
      <formula>AND(J37&gt;=3,BU37&lt;1)</formula>
    </cfRule>
  </conditionalFormatting>
  <conditionalFormatting sqref="BV37">
    <cfRule type="expression" dxfId="157" priority="84">
      <formula>AND(J37&gt;=4,BV37&lt;1)</formula>
    </cfRule>
  </conditionalFormatting>
  <conditionalFormatting sqref="BW37">
    <cfRule type="expression" dxfId="156" priority="86">
      <formula>AND(J37&gt;=5,BW37&lt;1)</formula>
    </cfRule>
  </conditionalFormatting>
  <conditionalFormatting sqref="BX37">
    <cfRule type="expression" dxfId="155" priority="83">
      <formula>AND(J37&gt;=6,BX37&lt;1)</formula>
    </cfRule>
  </conditionalFormatting>
  <conditionalFormatting sqref="IC37">
    <cfRule type="expression" dxfId="154" priority="162">
      <formula>AND($S37 = TRUE, $IC37&lt;&gt;OptionsUnitCode)</formula>
    </cfRule>
  </conditionalFormatting>
  <conditionalFormatting sqref="B37:II37">
    <cfRule type="containsErrors" dxfId="153" priority="82">
      <formula>ISERROR(B37)</formula>
    </cfRule>
  </conditionalFormatting>
  <conditionalFormatting sqref="DP37">
    <cfRule type="expression" dxfId="152" priority="90">
      <formula>AND(BS37&gt;=1,DP37&lt;&gt;0, GetEquPower(AZ37,BM37, BZ37, FR37)=0)</formula>
    </cfRule>
    <cfRule type="expression" dxfId="151" priority="91">
      <formula>AND(BS37&gt;=1,DP37&lt;&gt;GetEquPower(AZ37,BM37, BZ37, FR37))</formula>
    </cfRule>
  </conditionalFormatting>
  <conditionalFormatting sqref="DQ37">
    <cfRule type="expression" dxfId="150" priority="92">
      <formula>AND(BS37&gt;=2,DQ37&lt;&gt;0, GetEquPower(AZ37,BM37, CA37, FR37)=0)</formula>
    </cfRule>
    <cfRule type="expression" dxfId="149" priority="93">
      <formula>AND(BS37&gt;=2,DQ37&lt;&gt;GetEquPower(AZ37,BM37, CA37, FR37))</formula>
    </cfRule>
  </conditionalFormatting>
  <conditionalFormatting sqref="DR37">
    <cfRule type="expression" dxfId="148" priority="94">
      <formula>AND(BS37&gt;=3,DR37&lt;&gt;0, GetEquPower(AZ37,BM37, CB37, FR37)=0)</formula>
    </cfRule>
    <cfRule type="expression" dxfId="147" priority="95">
      <formula>AND(BS37&gt;=3,DR37&lt;&gt;GetEquPower(AZ37,BM37, CB37, FR37))</formula>
    </cfRule>
  </conditionalFormatting>
  <conditionalFormatting sqref="DS37">
    <cfRule type="expression" dxfId="146" priority="126">
      <formula>AND(BS37&gt;=4,DS37&lt;&gt;0, GetEquPower(AZ37,BM37, CC37, FR37)=0)</formula>
    </cfRule>
    <cfRule type="expression" dxfId="145" priority="127">
      <formula>AND(BS37&gt;=4, DS37&lt;&gt;GetEquPower(AZ37,BM37, CC37, FR37))</formula>
    </cfRule>
  </conditionalFormatting>
  <conditionalFormatting sqref="DT37">
    <cfRule type="expression" dxfId="144" priority="138">
      <formula>AND(BS37&gt;=5,DT37&lt;&gt;0, GetEquPower(AZ37,BM37, CD37, FR37)=0)</formula>
    </cfRule>
    <cfRule type="expression" dxfId="143" priority="139">
      <formula>AND(BS37&gt;=5, DT37&lt;&gt;GetEquPower(AZ37,BM37, CD37, FR37))</formula>
    </cfRule>
  </conditionalFormatting>
  <conditionalFormatting sqref="DU37">
    <cfRule type="expression" dxfId="142" priority="140">
      <formula>AND(BS37&gt;=6,DU37&lt;&gt;0, GetEquPower(AZ37,BM37, CE37, FR37)=0)</formula>
    </cfRule>
    <cfRule type="expression" dxfId="141" priority="141">
      <formula>AND(BS37&gt;=6, DU37&lt;&gt;GetEquPower(AZ37,BM37, CE37, FR37))</formula>
    </cfRule>
  </conditionalFormatting>
  <conditionalFormatting sqref="DY37">
    <cfRule type="expression" dxfId="140" priority="96">
      <formula>AND(BT37&gt;=1,DY37&lt;&gt;0, GetEquPower(BA37,BN37, CG37, FS37)=0)</formula>
    </cfRule>
    <cfRule type="expression" dxfId="139" priority="97">
      <formula>AND(BT37&gt;=1,DY37&lt;&gt;GetEquPower(BA37,BN37, CG37, FS37))</formula>
    </cfRule>
  </conditionalFormatting>
  <conditionalFormatting sqref="DZ37">
    <cfRule type="expression" dxfId="138" priority="98">
      <formula>AND(BT37&gt;=2,DZ37&lt;&gt;0, GetEquPower(BA37,BN37, CH37, FS37)=0)</formula>
    </cfRule>
    <cfRule type="expression" dxfId="137" priority="99">
      <formula>AND(BT37&gt;=2,DZ37&lt;&gt;GetEquPower(BA37,BN37, CH37, FS37))</formula>
    </cfRule>
  </conditionalFormatting>
  <conditionalFormatting sqref="EA37">
    <cfRule type="expression" dxfId="136" priority="100">
      <formula>AND(BT37&gt;=3,EA37&lt;&gt;0, GetEquPower(BA37,BN37, CI37, FS37)=0)</formula>
    </cfRule>
    <cfRule type="expression" dxfId="135" priority="101">
      <formula>AND(BT37&gt;=3,EA37&lt;&gt;GetEquPower(BA37,BN37, CI37, FS37))</formula>
    </cfRule>
  </conditionalFormatting>
  <conditionalFormatting sqref="EB37">
    <cfRule type="expression" dxfId="134" priority="128">
      <formula>AND(BT37&gt;=4,EB37&lt;&gt;0, GetEquPower(BA37,BN37, CJ37, FS37)=0)</formula>
    </cfRule>
    <cfRule type="expression" dxfId="133" priority="129">
      <formula>AND(BT37&gt;=4,EB37&lt;&gt;GetEquPower(BA37,BN37, CJ37, FS37))</formula>
    </cfRule>
  </conditionalFormatting>
  <conditionalFormatting sqref="EC37">
    <cfRule type="expression" dxfId="132" priority="142">
      <formula>AND(BT37&gt;=5,EC37&lt;&gt;0, GetEquPower(BA37,BN37, CK37, FS37)=0)</formula>
    </cfRule>
    <cfRule type="expression" dxfId="131" priority="143">
      <formula>AND(BT37&gt;=5,EC37&lt;&gt;GetEquPower(BA37,BN37, CK37, FS37))</formula>
    </cfRule>
  </conditionalFormatting>
  <conditionalFormatting sqref="ED37">
    <cfRule type="expression" dxfId="130" priority="144">
      <formula>AND(BT37&gt;=6,ED37&lt;&gt;0, GetEquPower(BA37,BN37, CL37, FS37)=0)</formula>
    </cfRule>
    <cfRule type="expression" dxfId="129" priority="145">
      <formula>AND(BT37&gt;=6,ED37&lt;&gt;GetEquPower(BA37,BN37, CL37, FS37))</formula>
    </cfRule>
  </conditionalFormatting>
  <conditionalFormatting sqref="EH37">
    <cfRule type="expression" dxfId="128" priority="102">
      <formula>AND(BU37&gt;=1,EH37&lt;&gt;0, GetEquPower(BB37,BO37, CN37, FT37)=0)</formula>
    </cfRule>
    <cfRule type="expression" dxfId="127" priority="103">
      <formula>AND(BU37&gt;=1,EH37&lt;&gt;GetEquPower(BB37,BO37, CN37, FT37))</formula>
    </cfRule>
  </conditionalFormatting>
  <conditionalFormatting sqref="EI37">
    <cfRule type="expression" dxfId="126" priority="104">
      <formula>AND(BU37&gt;=2,EI37&lt;&gt;0, GetEquPower(BB37,BO37, CO37, FT37)=0)</formula>
    </cfRule>
    <cfRule type="expression" dxfId="125" priority="105">
      <formula xml:space="preserve"> AND(BU37&gt;=2,EI37&lt;&gt;GetEquPower(BB37,BO37, CO37, FT37))</formula>
    </cfRule>
  </conditionalFormatting>
  <conditionalFormatting sqref="EJ37">
    <cfRule type="expression" dxfId="124" priority="106">
      <formula>AND(BU37&gt;=3,EJ37&lt;&gt;0, GetEquPower(BB37,BO37, CP37, FT37)=0)</formula>
    </cfRule>
    <cfRule type="expression" dxfId="123" priority="107">
      <formula xml:space="preserve"> AND(BU37&gt;=3,EJ37&lt;&gt;GetEquPower(BB37,BO37, CP37, FT37))</formula>
    </cfRule>
  </conditionalFormatting>
  <conditionalFormatting sqref="EK37">
    <cfRule type="expression" dxfId="122" priority="130">
      <formula>AND(BU37&gt;=4,EK37&lt;&gt;0, GetEquPower(BB37,BO37, CQ37, FT37)=0)</formula>
    </cfRule>
    <cfRule type="expression" dxfId="121" priority="131">
      <formula xml:space="preserve"> AND(BU37&gt;=4,EK37&lt;&gt;GetEquPower(BB37,BO37, CQ37, FT37))</formula>
    </cfRule>
  </conditionalFormatting>
  <conditionalFormatting sqref="EL37">
    <cfRule type="expression" dxfId="120" priority="146">
      <formula>AND(BU37&gt;=5,EL37&lt;&gt;0, GetEquPower(BB37,BO37, CR37, FT37)=0)</formula>
    </cfRule>
    <cfRule type="expression" dxfId="119" priority="147">
      <formula xml:space="preserve"> AND(BU37&gt;=5,EL37&lt;&gt;GetEquPower(BB37,BO37, CR37, FT37))</formula>
    </cfRule>
  </conditionalFormatting>
  <conditionalFormatting sqref="EM37">
    <cfRule type="expression" dxfId="118" priority="148">
      <formula>AND(BU37&gt;=6,EM37&lt;&gt;0, GetEquPower(BB37,BO37, CS37, FT37)=0)</formula>
    </cfRule>
    <cfRule type="expression" dxfId="117" priority="149">
      <formula xml:space="preserve"> AND(BU37&gt;=6,EM37&lt;&gt;GetEquPower(BB37,BO37, CS37, FT37))</formula>
    </cfRule>
  </conditionalFormatting>
  <conditionalFormatting sqref="EQ37">
    <cfRule type="expression" dxfId="116" priority="108">
      <formula>AND(BV37&gt;=1,EQ37&lt;&gt;0, GetEquPower(BC37,BP37, CU37, FU37)=0)</formula>
    </cfRule>
    <cfRule type="expression" dxfId="115" priority="109">
      <formula>AND(BV37&gt;=1,EQ37&lt;&gt;GetEquPower(BC37,BP37, CU37, FU37))</formula>
    </cfRule>
  </conditionalFormatting>
  <conditionalFormatting sqref="ER37">
    <cfRule type="expression" dxfId="114" priority="110">
      <formula>AND(BV37&gt;=2,ER37&lt;&gt;0, GetEquPower(BC37,BP37, CV37, FU37)=0)</formula>
    </cfRule>
    <cfRule type="expression" dxfId="113" priority="111">
      <formula>AND(BV37&gt;=2,ER37&lt;&gt;GetEquPower(BC37,BP37, CV37, FU37))</formula>
    </cfRule>
  </conditionalFormatting>
  <conditionalFormatting sqref="ES37">
    <cfRule type="expression" dxfId="112" priority="112">
      <formula>AND(BV37&gt;=3,ES37&lt;&gt;0, GetEquPower(BC37,BP37, CW37, FU37)=0)</formula>
    </cfRule>
    <cfRule type="expression" dxfId="111" priority="113">
      <formula>AND(BV37&gt;=3,ES37&lt;&gt;GetEquPower(BC37,BP37, CW37, FU37))</formula>
    </cfRule>
  </conditionalFormatting>
  <conditionalFormatting sqref="ET37">
    <cfRule type="expression" dxfId="110" priority="132">
      <formula>AND(BV37&gt;=4,ET37&lt;&gt;0, GetEquPower(BC37,BP37, CX37, FU37)=0)</formula>
    </cfRule>
    <cfRule type="expression" dxfId="109" priority="133">
      <formula>AND(BV37&gt;=4,ET37&lt;&gt;GetEquPower(BC37,BP37, CX37, FU37))</formula>
    </cfRule>
  </conditionalFormatting>
  <conditionalFormatting sqref="EU37">
    <cfRule type="expression" dxfId="108" priority="150">
      <formula>AND(BV37&gt;=5,EU37&lt;&gt;0, GetEquPower(BC37,BP37, CY37, FU37)=0)</formula>
    </cfRule>
    <cfRule type="expression" dxfId="107" priority="151">
      <formula>AND(BV37&gt;=5,EU37&lt;&gt;GetEquPower(BC37,BP37, CY37, FU37))</formula>
    </cfRule>
  </conditionalFormatting>
  <conditionalFormatting sqref="EV37">
    <cfRule type="expression" dxfId="106" priority="152">
      <formula>AND(BV37&gt;=6,EV37&lt;&gt;0, GetEquPower(BC37,BP37, CZ37, FU37)=0)</formula>
    </cfRule>
    <cfRule type="expression" dxfId="105" priority="153">
      <formula>AND(BV37&gt;=6,EV37&lt;&gt;GetEquPower(BC37,BP37, CZ37, FU37))</formula>
    </cfRule>
  </conditionalFormatting>
  <conditionalFormatting sqref="EZ37">
    <cfRule type="expression" dxfId="104" priority="114">
      <formula>AND(BW37&gt;=1,EZ37&lt;&gt;0, GetEquPower(BD37,BQ37, DB37, FV37)=0)</formula>
    </cfRule>
    <cfRule type="expression" dxfId="103" priority="115">
      <formula>AND(BW37&gt;=1,EZ37&lt;&gt;GetEquPower(BD37,BQ37, DB37, FV37))</formula>
    </cfRule>
  </conditionalFormatting>
  <conditionalFormatting sqref="FA37">
    <cfRule type="expression" dxfId="102" priority="116">
      <formula>AND(BW37&gt;=2,FA37&lt;&gt;0, GetEquPower(BD37,BQ37, DC37, FV37)=0)</formula>
    </cfRule>
    <cfRule type="expression" dxfId="101" priority="117">
      <formula>AND(BW37&gt;=2,FA37&lt;&gt;GetEquPower(BD37,BQ37, DC37, FV37))</formula>
    </cfRule>
  </conditionalFormatting>
  <conditionalFormatting sqref="FB37">
    <cfRule type="expression" dxfId="100" priority="118">
      <formula>AND(BW37&gt;=3,FB37&lt;&gt;0, GetEquPower(BD37,BQ37, DD37, FV37)=0)</formula>
    </cfRule>
    <cfRule type="expression" dxfId="99" priority="119">
      <formula>AND(BW37&gt;=3,FB37&lt;&gt;GetEquPower(BD37,BQ37, DD37, FV37))</formula>
    </cfRule>
  </conditionalFormatting>
  <conditionalFormatting sqref="FC37">
    <cfRule type="expression" dxfId="98" priority="134">
      <formula>AND(BW37&gt;=4,FC37&lt;&gt;0, GetEquPower(BD37,BQ37, DE37, FV37)=0)</formula>
    </cfRule>
    <cfRule type="expression" dxfId="97" priority="135">
      <formula>AND(BW37&gt;=4,FC37&lt;&gt;GetEquPower(BD37,BQ37, DE37, FV37))</formula>
    </cfRule>
  </conditionalFormatting>
  <conditionalFormatting sqref="FD37">
    <cfRule type="expression" dxfId="96" priority="154">
      <formula>AND(BW37&gt;=5,FD37&lt;&gt;0, GetEquPower(BD37,BQ37, DF37, FV37)=0)</formula>
    </cfRule>
    <cfRule type="expression" dxfId="95" priority="155">
      <formula>AND(BW37&gt;=5,FD37&lt;&gt;GetEquPower(BD37,BQ37, DF37, FV37))</formula>
    </cfRule>
  </conditionalFormatting>
  <conditionalFormatting sqref="FE37">
    <cfRule type="expression" dxfId="94" priority="156">
      <formula>AND(BW37&gt;=6,FE37&lt;&gt;0, GetEquPower(BD37,BQ37, DG37, FV37)=0)</formula>
    </cfRule>
    <cfRule type="expression" dxfId="93" priority="157">
      <formula>AND(BW37&gt;=6,FE37&lt;&gt;GetEquPower(BD37,BQ37, DG37, FV37))</formula>
    </cfRule>
  </conditionalFormatting>
  <conditionalFormatting sqref="FI37">
    <cfRule type="expression" dxfId="92" priority="120">
      <formula>AND(BX37&gt;=1,FI37&lt;&gt;0, GetEquPower(BE37,BR37, DI37, FW37)=0)</formula>
    </cfRule>
    <cfRule type="expression" dxfId="91" priority="121">
      <formula>AND(BX37&gt;=1,FI37&lt;&gt;GetEquPower(BE37,BR37, DI37, FW37))</formula>
    </cfRule>
  </conditionalFormatting>
  <conditionalFormatting sqref="FJ37">
    <cfRule type="expression" dxfId="90" priority="122">
      <formula>AND(BX37&gt;=2,FJ37&lt;&gt;0, GetEquPower(BE37,BR37, DJ37, FW37)=0)</formula>
    </cfRule>
    <cfRule type="expression" dxfId="89" priority="123">
      <formula>AND(BX37&gt;=2,FJ37&lt;&gt;GetEquPower(BE37,BR37, DJ37, FW37))</formula>
    </cfRule>
  </conditionalFormatting>
  <conditionalFormatting sqref="FK37">
    <cfRule type="expression" dxfId="88" priority="124">
      <formula>AND(BX37&gt;=3,FK37&lt;&gt;0, GetEquPower(BE37,BR37, DK37, FW37)=0)</formula>
    </cfRule>
    <cfRule type="expression" dxfId="87" priority="125">
      <formula>AND(BX37&gt;=3,FK37&lt;&gt;GetEquPower(BE37,BR37, DK37, FW37))</formula>
    </cfRule>
  </conditionalFormatting>
  <conditionalFormatting sqref="FL37">
    <cfRule type="expression" dxfId="86" priority="136">
      <formula>AND(BX37&gt;=4,FL37&lt;&gt;0, GetEquPower(BE37,BR37, DL37, FW37)=0)</formula>
    </cfRule>
    <cfRule type="expression" dxfId="85" priority="137">
      <formula>AND(BX37&gt;=4,FL37&lt;&gt;GetEquPower(BE37,BR37, DL37, FW37))</formula>
    </cfRule>
  </conditionalFormatting>
  <conditionalFormatting sqref="FM37">
    <cfRule type="expression" dxfId="84" priority="158">
      <formula>AND(BX37&gt;=5,FM37&lt;&gt;0, GetEquPower(BE37,BR37, DM37, FW37)=0)</formula>
    </cfRule>
    <cfRule type="expression" dxfId="83" priority="159">
      <formula>AND(BX37&gt;=5,FM37&lt;&gt;GetEquPower(BE37,BR37, DM37, FW37))</formula>
    </cfRule>
  </conditionalFormatting>
  <conditionalFormatting sqref="FN37">
    <cfRule type="expression" dxfId="82" priority="160">
      <formula>AND(BX37&gt;=6,FN37&lt;&gt;0, GetEquPower(BE37,BR37, DN37, FW37)=0)</formula>
    </cfRule>
    <cfRule type="expression" dxfId="81" priority="161">
      <formula>AND(BX37&gt;=6,FN37&lt;&gt;GetEquPower(BE37,BR37, DN37, FW37))</formula>
    </cfRule>
  </conditionalFormatting>
  <conditionalFormatting sqref="F38">
    <cfRule type="expression" dxfId="80" priority="8">
      <formula>F38&lt;&gt;RIGHT(SUBSTITUTE(TRIM(E38),".",""),LEN(F38))</formula>
    </cfRule>
  </conditionalFormatting>
  <conditionalFormatting sqref="BS38">
    <cfRule type="expression" dxfId="79" priority="7">
      <formula>AND(J38&gt;=1,BS38&lt;1)</formula>
    </cfRule>
  </conditionalFormatting>
  <conditionalFormatting sqref="BT38">
    <cfRule type="expression" dxfId="78" priority="6">
      <formula>AND(J38&gt;=2,BT38&lt;1)</formula>
    </cfRule>
  </conditionalFormatting>
  <conditionalFormatting sqref="BU38">
    <cfRule type="expression" dxfId="77" priority="4">
      <formula>AND(J38&gt;=3,BU38&lt;1)</formula>
    </cfRule>
  </conditionalFormatting>
  <conditionalFormatting sqref="BV38">
    <cfRule type="expression" dxfId="76" priority="3">
      <formula>AND(J38&gt;=4,BV38&lt;1)</formula>
    </cfRule>
  </conditionalFormatting>
  <conditionalFormatting sqref="BW38">
    <cfRule type="expression" dxfId="75" priority="5">
      <formula>AND(J38&gt;=5,BW38&lt;1)</formula>
    </cfRule>
  </conditionalFormatting>
  <conditionalFormatting sqref="BX38">
    <cfRule type="expression" dxfId="74" priority="2">
      <formula>AND(J38&gt;=6,BX38&lt;1)</formula>
    </cfRule>
  </conditionalFormatting>
  <conditionalFormatting sqref="IC38">
    <cfRule type="expression" dxfId="73"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71" priority="9">
      <formula>AND(BS38&gt;=1,DP38&lt;&gt;0, GetEquPower(AZ38,BM38, BZ38, FR38)=0)</formula>
    </cfRule>
    <cfRule type="expression" dxfId="70" priority="10">
      <formula>AND(BS38&gt;=1,DP38&lt;&gt;GetEquPower(AZ38,BM38, BZ38, FR38))</formula>
    </cfRule>
  </conditionalFormatting>
  <conditionalFormatting sqref="DQ38">
    <cfRule type="expression" dxfId="69" priority="11">
      <formula>AND(BS38&gt;=2,DQ38&lt;&gt;0, GetEquPower(AZ38,BM38, CA38, FR38)=0)</formula>
    </cfRule>
    <cfRule type="expression" dxfId="68" priority="12">
      <formula>AND(BS38&gt;=2,DQ38&lt;&gt;GetEquPower(AZ38,BM38, CA38, FR38))</formula>
    </cfRule>
  </conditionalFormatting>
  <conditionalFormatting sqref="DR38">
    <cfRule type="expression" dxfId="67" priority="13">
      <formula>AND(BS38&gt;=3,DR38&lt;&gt;0, GetEquPower(AZ38,BM38, CB38, FR38)=0)</formula>
    </cfRule>
    <cfRule type="expression" dxfId="66" priority="14">
      <formula>AND(BS38&gt;=3,DR38&lt;&gt;GetEquPower(AZ38,BM38, CB38, FR38))</formula>
    </cfRule>
  </conditionalFormatting>
  <conditionalFormatting sqref="DS38">
    <cfRule type="expression" dxfId="65" priority="45">
      <formula>AND(BS38&gt;=4,DS38&lt;&gt;0, GetEquPower(AZ38,BM38, CC38, FR38)=0)</formula>
    </cfRule>
    <cfRule type="expression" dxfId="64" priority="46">
      <formula>AND(BS38&gt;=4, DS38&lt;&gt;GetEquPower(AZ38,BM38, CC38, FR38))</formula>
    </cfRule>
  </conditionalFormatting>
  <conditionalFormatting sqref="DT38">
    <cfRule type="expression" dxfId="63" priority="57">
      <formula>AND(BS38&gt;=5,DT38&lt;&gt;0, GetEquPower(AZ38,BM38, CD38, FR38)=0)</formula>
    </cfRule>
    <cfRule type="expression" dxfId="62" priority="58">
      <formula>AND(BS38&gt;=5, DT38&lt;&gt;GetEquPower(AZ38,BM38, CD38, FR38))</formula>
    </cfRule>
  </conditionalFormatting>
  <conditionalFormatting sqref="DU38">
    <cfRule type="expression" dxfId="61" priority="59">
      <formula>AND(BS38&gt;=6,DU38&lt;&gt;0, GetEquPower(AZ38,BM38, CE38, FR38)=0)</formula>
    </cfRule>
    <cfRule type="expression" dxfId="60" priority="60">
      <formula>AND(BS38&gt;=6, DU38&lt;&gt;GetEquPower(AZ38,BM38, CE38, FR38))</formula>
    </cfRule>
  </conditionalFormatting>
  <conditionalFormatting sqref="DY38">
    <cfRule type="expression" dxfId="59" priority="15">
      <formula>AND(BT38&gt;=1,DY38&lt;&gt;0, GetEquPower(BA38,BN38, CG38, FS38)=0)</formula>
    </cfRule>
    <cfRule type="expression" dxfId="58" priority="16">
      <formula>AND(BT38&gt;=1,DY38&lt;&gt;GetEquPower(BA38,BN38, CG38, FS38))</formula>
    </cfRule>
  </conditionalFormatting>
  <conditionalFormatting sqref="DZ38">
    <cfRule type="expression" dxfId="57" priority="17">
      <formula>AND(BT38&gt;=2,DZ38&lt;&gt;0, GetEquPower(BA38,BN38, CH38, FS38)=0)</formula>
    </cfRule>
    <cfRule type="expression" dxfId="56" priority="18">
      <formula>AND(BT38&gt;=2,DZ38&lt;&gt;GetEquPower(BA38,BN38, CH38, FS38))</formula>
    </cfRule>
  </conditionalFormatting>
  <conditionalFormatting sqref="EA38">
    <cfRule type="expression" dxfId="55" priority="19">
      <formula>AND(BT38&gt;=3,EA38&lt;&gt;0, GetEquPower(BA38,BN38, CI38, FS38)=0)</formula>
    </cfRule>
    <cfRule type="expression" dxfId="54" priority="20">
      <formula>AND(BT38&gt;=3,EA38&lt;&gt;GetEquPower(BA38,BN38, CI38, FS38))</formula>
    </cfRule>
  </conditionalFormatting>
  <conditionalFormatting sqref="EB38">
    <cfRule type="expression" dxfId="53" priority="47">
      <formula>AND(BT38&gt;=4,EB38&lt;&gt;0, GetEquPower(BA38,BN38, CJ38, FS38)=0)</formula>
    </cfRule>
    <cfRule type="expression" dxfId="52" priority="48">
      <formula>AND(BT38&gt;=4,EB38&lt;&gt;GetEquPower(BA38,BN38, CJ38, FS38))</formula>
    </cfRule>
  </conditionalFormatting>
  <conditionalFormatting sqref="EC38">
    <cfRule type="expression" dxfId="51" priority="61">
      <formula>AND(BT38&gt;=5,EC38&lt;&gt;0, GetEquPower(BA38,BN38, CK38, FS38)=0)</formula>
    </cfRule>
    <cfRule type="expression" dxfId="50" priority="62">
      <formula>AND(BT38&gt;=5,EC38&lt;&gt;GetEquPower(BA38,BN38, CK38, FS38))</formula>
    </cfRule>
  </conditionalFormatting>
  <conditionalFormatting sqref="ED38">
    <cfRule type="expression" dxfId="49" priority="63">
      <formula>AND(BT38&gt;=6,ED38&lt;&gt;0, GetEquPower(BA38,BN38, CL38, FS38)=0)</formula>
    </cfRule>
    <cfRule type="expression" dxfId="48" priority="64">
      <formula>AND(BT38&gt;=6,ED38&lt;&gt;GetEquPower(BA38,BN38, CL38, FS38))</formula>
    </cfRule>
  </conditionalFormatting>
  <conditionalFormatting sqref="EH38">
    <cfRule type="expression" dxfId="47" priority="21">
      <formula>AND(BU38&gt;=1,EH38&lt;&gt;0, GetEquPower(BB38,BO38, CN38, FT38)=0)</formula>
    </cfRule>
    <cfRule type="expression" dxfId="46" priority="22">
      <formula>AND(BU38&gt;=1,EH38&lt;&gt;GetEquPower(BB38,BO38, CN38, FT38))</formula>
    </cfRule>
  </conditionalFormatting>
  <conditionalFormatting sqref="EI38">
    <cfRule type="expression" dxfId="45" priority="23">
      <formula>AND(BU38&gt;=2,EI38&lt;&gt;0, GetEquPower(BB38,BO38, CO38, FT38)=0)</formula>
    </cfRule>
    <cfRule type="expression" dxfId="44" priority="24">
      <formula xml:space="preserve"> AND(BU38&gt;=2,EI38&lt;&gt;GetEquPower(BB38,BO38, CO38, FT38))</formula>
    </cfRule>
  </conditionalFormatting>
  <conditionalFormatting sqref="EJ38">
    <cfRule type="expression" dxfId="43" priority="25">
      <formula>AND(BU38&gt;=3,EJ38&lt;&gt;0, GetEquPower(BB38,BO38, CP38, FT38)=0)</formula>
    </cfRule>
    <cfRule type="expression" dxfId="42" priority="26">
      <formula xml:space="preserve"> AND(BU38&gt;=3,EJ38&lt;&gt;GetEquPower(BB38,BO38, CP38, FT38))</formula>
    </cfRule>
  </conditionalFormatting>
  <conditionalFormatting sqref="EK38">
    <cfRule type="expression" dxfId="41" priority="49">
      <formula>AND(BU38&gt;=4,EK38&lt;&gt;0, GetEquPower(BB38,BO38, CQ38, FT38)=0)</formula>
    </cfRule>
    <cfRule type="expression" dxfId="40" priority="50">
      <formula xml:space="preserve"> AND(BU38&gt;=4,EK38&lt;&gt;GetEquPower(BB38,BO38, CQ38, FT38))</formula>
    </cfRule>
  </conditionalFormatting>
  <conditionalFormatting sqref="EL38">
    <cfRule type="expression" dxfId="39" priority="65">
      <formula>AND(BU38&gt;=5,EL38&lt;&gt;0, GetEquPower(BB38,BO38, CR38, FT38)=0)</formula>
    </cfRule>
    <cfRule type="expression" dxfId="38" priority="66">
      <formula xml:space="preserve"> AND(BU38&gt;=5,EL38&lt;&gt;GetEquPower(BB38,BO38, CR38, FT38))</formula>
    </cfRule>
  </conditionalFormatting>
  <conditionalFormatting sqref="EM38">
    <cfRule type="expression" dxfId="37" priority="67">
      <formula>AND(BU38&gt;=6,EM38&lt;&gt;0, GetEquPower(BB38,BO38, CS38, FT38)=0)</formula>
    </cfRule>
    <cfRule type="expression" dxfId="36" priority="68">
      <formula xml:space="preserve"> AND(BU38&gt;=6,EM38&lt;&gt;GetEquPower(BB38,BO38, CS38, FT38))</formula>
    </cfRule>
  </conditionalFormatting>
  <conditionalFormatting sqref="EQ38">
    <cfRule type="expression" dxfId="35" priority="27">
      <formula>AND(BV38&gt;=1,EQ38&lt;&gt;0, GetEquPower(BC38,BP38, CU38, FU38)=0)</formula>
    </cfRule>
    <cfRule type="expression" dxfId="34" priority="28">
      <formula>AND(BV38&gt;=1,EQ38&lt;&gt;GetEquPower(BC38,BP38, CU38, FU38))</formula>
    </cfRule>
  </conditionalFormatting>
  <conditionalFormatting sqref="ER38">
    <cfRule type="expression" dxfId="33" priority="29">
      <formula>AND(BV38&gt;=2,ER38&lt;&gt;0, GetEquPower(BC38,BP38, CV38, FU38)=0)</formula>
    </cfRule>
    <cfRule type="expression" dxfId="32" priority="30">
      <formula>AND(BV38&gt;=2,ER38&lt;&gt;GetEquPower(BC38,BP38, CV38, FU38))</formula>
    </cfRule>
  </conditionalFormatting>
  <conditionalFormatting sqref="ES38">
    <cfRule type="expression" dxfId="31" priority="31">
      <formula>AND(BV38&gt;=3,ES38&lt;&gt;0, GetEquPower(BC38,BP38, CW38, FU38)=0)</formula>
    </cfRule>
    <cfRule type="expression" dxfId="30" priority="32">
      <formula>AND(BV38&gt;=3,ES38&lt;&gt;GetEquPower(BC38,BP38, CW38, FU38))</formula>
    </cfRule>
  </conditionalFormatting>
  <conditionalFormatting sqref="ET38">
    <cfRule type="expression" dxfId="29" priority="51">
      <formula>AND(BV38&gt;=4,ET38&lt;&gt;0, GetEquPower(BC38,BP38, CX38, FU38)=0)</formula>
    </cfRule>
    <cfRule type="expression" dxfId="28" priority="52">
      <formula>AND(BV38&gt;=4,ET38&lt;&gt;GetEquPower(BC38,BP38, CX38, FU38))</formula>
    </cfRule>
  </conditionalFormatting>
  <conditionalFormatting sqref="EU38">
    <cfRule type="expression" dxfId="27" priority="69">
      <formula>AND(BV38&gt;=5,EU38&lt;&gt;0, GetEquPower(BC38,BP38, CY38, FU38)=0)</formula>
    </cfRule>
    <cfRule type="expression" dxfId="26" priority="70">
      <formula>AND(BV38&gt;=5,EU38&lt;&gt;GetEquPower(BC38,BP38, CY38, FU38))</formula>
    </cfRule>
  </conditionalFormatting>
  <conditionalFormatting sqref="EV38">
    <cfRule type="expression" dxfId="25" priority="71">
      <formula>AND(BV38&gt;=6,EV38&lt;&gt;0, GetEquPower(BC38,BP38, CZ38, FU38)=0)</formula>
    </cfRule>
    <cfRule type="expression" dxfId="24" priority="72">
      <formula>AND(BV38&gt;=6,EV38&lt;&gt;GetEquPower(BC38,BP38, CZ38, FU38))</formula>
    </cfRule>
  </conditionalFormatting>
  <conditionalFormatting sqref="EZ38">
    <cfRule type="expression" dxfId="23" priority="33">
      <formula>AND(BW38&gt;=1,EZ38&lt;&gt;0, GetEquPower(BD38,BQ38, DB38, FV38)=0)</formula>
    </cfRule>
    <cfRule type="expression" dxfId="22" priority="34">
      <formula>AND(BW38&gt;=1,EZ38&lt;&gt;GetEquPower(BD38,BQ38, DB38, FV38))</formula>
    </cfRule>
  </conditionalFormatting>
  <conditionalFormatting sqref="FA38">
    <cfRule type="expression" dxfId="21" priority="35">
      <formula>AND(BW38&gt;=2,FA38&lt;&gt;0, GetEquPower(BD38,BQ38, DC38, FV38)=0)</formula>
    </cfRule>
    <cfRule type="expression" dxfId="20" priority="36">
      <formula>AND(BW38&gt;=2,FA38&lt;&gt;GetEquPower(BD38,BQ38, DC38, FV38))</formula>
    </cfRule>
  </conditionalFormatting>
  <conditionalFormatting sqref="FB38">
    <cfRule type="expression" dxfId="19" priority="37">
      <formula>AND(BW38&gt;=3,FB38&lt;&gt;0, GetEquPower(BD38,BQ38, DD38, FV38)=0)</formula>
    </cfRule>
    <cfRule type="expression" dxfId="18" priority="38">
      <formula>AND(BW38&gt;=3,FB38&lt;&gt;GetEquPower(BD38,BQ38, DD38, FV38))</formula>
    </cfRule>
  </conditionalFormatting>
  <conditionalFormatting sqref="FC38">
    <cfRule type="expression" dxfId="17" priority="53">
      <formula>AND(BW38&gt;=4,FC38&lt;&gt;0, GetEquPower(BD38,BQ38, DE38, FV38)=0)</formula>
    </cfRule>
    <cfRule type="expression" dxfId="16" priority="54">
      <formula>AND(BW38&gt;=4,FC38&lt;&gt;GetEquPower(BD38,BQ38, DE38, FV38))</formula>
    </cfRule>
  </conditionalFormatting>
  <conditionalFormatting sqref="FD38">
    <cfRule type="expression" dxfId="15" priority="73">
      <formula>AND(BW38&gt;=5,FD38&lt;&gt;0, GetEquPower(BD38,BQ38, DF38, FV38)=0)</formula>
    </cfRule>
    <cfRule type="expression" dxfId="14" priority="74">
      <formula>AND(BW38&gt;=5,FD38&lt;&gt;GetEquPower(BD38,BQ38, DF38, FV38))</formula>
    </cfRule>
  </conditionalFormatting>
  <conditionalFormatting sqref="FE38">
    <cfRule type="expression" dxfId="13" priority="75">
      <formula>AND(BW38&gt;=6,FE38&lt;&gt;0, GetEquPower(BD38,BQ38, DG38, FV38)=0)</formula>
    </cfRule>
    <cfRule type="expression" dxfId="12" priority="76">
      <formula>AND(BW38&gt;=6,FE38&lt;&gt;GetEquPower(BD38,BQ38, DG38, FV38))</formula>
    </cfRule>
  </conditionalFormatting>
  <conditionalFormatting sqref="FI38">
    <cfRule type="expression" dxfId="11" priority="39">
      <formula>AND(BX38&gt;=1,FI38&lt;&gt;0, GetEquPower(BE38,BR38, DI38, FW38)=0)</formula>
    </cfRule>
    <cfRule type="expression" dxfId="10" priority="40">
      <formula>AND(BX38&gt;=1,FI38&lt;&gt;GetEquPower(BE38,BR38, DI38, FW38))</formula>
    </cfRule>
  </conditionalFormatting>
  <conditionalFormatting sqref="FJ38">
    <cfRule type="expression" dxfId="9" priority="41">
      <formula>AND(BX38&gt;=2,FJ38&lt;&gt;0, GetEquPower(BE38,BR38, DJ38, FW38)=0)</formula>
    </cfRule>
    <cfRule type="expression" dxfId="8" priority="42">
      <formula>AND(BX38&gt;=2,FJ38&lt;&gt;GetEquPower(BE38,BR38, DJ38, FW38))</formula>
    </cfRule>
  </conditionalFormatting>
  <conditionalFormatting sqref="FK38">
    <cfRule type="expression" dxfId="7" priority="43">
      <formula>AND(BX38&gt;=3,FK38&lt;&gt;0, GetEquPower(BE38,BR38, DK38, FW38)=0)</formula>
    </cfRule>
    <cfRule type="expression" dxfId="6" priority="44">
      <formula>AND(BX38&gt;=3,FK38&lt;&gt;GetEquPower(BE38,BR38, DK38, FW38))</formula>
    </cfRule>
  </conditionalFormatting>
  <conditionalFormatting sqref="FL38">
    <cfRule type="expression" dxfId="5" priority="55">
      <formula>AND(BX38&gt;=4,FL38&lt;&gt;0, GetEquPower(BE38,BR38, DL38, FW38)=0)</formula>
    </cfRule>
    <cfRule type="expression" dxfId="4" priority="56">
      <formula>AND(BX38&gt;=4,FL38&lt;&gt;GetEquPower(BE38,BR38, DL38, FW38))</formula>
    </cfRule>
  </conditionalFormatting>
  <conditionalFormatting sqref="FM38">
    <cfRule type="expression" dxfId="3" priority="77">
      <formula>AND(BX38&gt;=5,FM38&lt;&gt;0, GetEquPower(BE38,BR38, DM38, FW38)=0)</formula>
    </cfRule>
    <cfRule type="expression" dxfId="2"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tabSelected="1"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7" width="9.140625" style="81" customWidth="1"/>
    <col min="258" max="16384" width="9.140625" style="81"/>
  </cols>
  <sheetData>
    <row r="1" spans="1:244" s="103" customFormat="1" ht="34.5" customHeight="1">
      <c r="A1" s="164" t="str">
        <f>Check!A1</f>
        <v>No</v>
      </c>
      <c r="B1" s="133" t="s">
        <v>5718</v>
      </c>
      <c r="C1" s="133" t="s">
        <v>5719</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5720</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46" t="s">
        <v>5721</v>
      </c>
    </row>
    <row r="2" spans="1:244">
      <c r="A2" s="103">
        <v>1</v>
      </c>
      <c r="II2" s="81">
        <v>37</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6" width="9.140625" style="4" customWidth="1"/>
    <col min="17" max="16384" width="9.140625" style="4"/>
  </cols>
  <sheetData>
    <row r="1" spans="1:4" s="82" customFormat="1">
      <c r="A1" s="102" t="s">
        <v>5417</v>
      </c>
      <c r="B1" s="102" t="s">
        <v>5702</v>
      </c>
      <c r="C1" s="102" t="s">
        <v>5703</v>
      </c>
      <c r="D1" s="102" t="s">
        <v>5704</v>
      </c>
    </row>
    <row r="2" spans="1:4">
      <c r="A2" s="8">
        <v>1</v>
      </c>
      <c r="B2" s="8">
        <v>1</v>
      </c>
      <c r="C2" s="89" t="s">
        <v>5705</v>
      </c>
      <c r="D2" s="89"/>
    </row>
    <row r="3" spans="1:4">
      <c r="A3" s="8">
        <v>2</v>
      </c>
      <c r="B3" s="8">
        <v>2</v>
      </c>
      <c r="C3" s="89" t="s">
        <v>5706</v>
      </c>
      <c r="D3" s="89"/>
    </row>
    <row r="4" spans="1:4">
      <c r="A4" s="8">
        <v>3</v>
      </c>
      <c r="B4" s="8">
        <v>3</v>
      </c>
      <c r="C4" s="89" t="s">
        <v>5707</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6" width="9.140625" style="9" customWidth="1"/>
    <col min="47" max="16384" width="9.140625" style="9"/>
  </cols>
  <sheetData>
    <row r="1" spans="1:34" ht="16.5">
      <c r="A1" s="299" t="s">
        <v>5670</v>
      </c>
      <c r="B1" s="299"/>
      <c r="C1" s="299"/>
      <c r="D1" s="299"/>
      <c r="E1" s="299"/>
      <c r="F1" s="299"/>
      <c r="G1" s="299"/>
      <c r="H1" s="299"/>
      <c r="I1" s="299"/>
      <c r="J1" s="299"/>
      <c r="N1" s="275" t="s">
        <v>5444</v>
      </c>
      <c r="O1" s="275"/>
      <c r="P1" s="275"/>
      <c r="Q1" s="275"/>
      <c r="R1" s="275"/>
      <c r="S1" s="275"/>
      <c r="T1" s="275"/>
      <c r="U1" s="275"/>
      <c r="V1" s="275"/>
      <c r="W1" s="275"/>
      <c r="X1" s="275"/>
      <c r="Y1" s="275"/>
      <c r="Z1" s="275"/>
      <c r="AA1" s="10"/>
    </row>
    <row r="2" spans="1:34" ht="16.5" customHeight="1">
      <c r="A2" s="275" t="s">
        <v>5443</v>
      </c>
      <c r="B2" s="275"/>
      <c r="C2" s="275"/>
      <c r="D2" s="275"/>
      <c r="E2" s="275"/>
      <c r="F2" s="275"/>
      <c r="G2" s="275"/>
      <c r="H2" s="275"/>
      <c r="I2" s="275"/>
      <c r="J2" s="275"/>
      <c r="N2" s="278" t="s">
        <v>5446</v>
      </c>
      <c r="O2" s="278"/>
      <c r="P2" s="278"/>
      <c r="Q2" s="278"/>
      <c r="R2" s="278"/>
      <c r="S2" s="278"/>
      <c r="T2" s="278"/>
      <c r="U2" s="278"/>
      <c r="V2" s="278"/>
      <c r="W2" s="278"/>
      <c r="X2" s="278"/>
      <c r="Y2" s="278"/>
      <c r="Z2" s="278"/>
    </row>
    <row r="3" spans="1:34" ht="16.5">
      <c r="A3" s="275" t="s">
        <v>5445</v>
      </c>
      <c r="B3" s="275"/>
      <c r="C3" s="275"/>
      <c r="D3" s="275"/>
      <c r="E3" s="275"/>
      <c r="F3" s="275"/>
      <c r="G3" s="275"/>
      <c r="H3" s="275"/>
      <c r="I3" s="275"/>
      <c r="J3" s="275"/>
      <c r="O3" s="11"/>
      <c r="P3" s="11"/>
      <c r="Q3" s="11"/>
      <c r="R3" s="11"/>
      <c r="S3" s="11"/>
      <c r="T3" s="11"/>
      <c r="U3" s="11"/>
      <c r="V3" s="11"/>
      <c r="W3" s="11"/>
    </row>
    <row r="4" spans="1:34" ht="21.75" customHeight="1">
      <c r="C4" s="301" t="str">
        <f>IF(LEN(AD4)=1,"Số: 0"&amp;AD4&amp;"/LPKĐ-TT2","Số: "&amp;AD4&amp;"/LPKĐ-TT2")</f>
        <v>Số: 02/LPKĐ-TT2</v>
      </c>
      <c r="D4" s="301"/>
      <c r="E4" s="301"/>
      <c r="F4" s="301"/>
      <c r="G4" s="301"/>
      <c r="H4" s="301"/>
      <c r="N4" s="304" t="str">
        <f>"TP. Hồ Chí Minh, ngày "&amp;AF4&amp;" tháng "&amp;AG4&amp;" năm "&amp;AH4</f>
        <v>TP. Hồ Chí Minh, ngày 27 tháng 2 năm 2019</v>
      </c>
      <c r="O4" s="304"/>
      <c r="P4" s="304"/>
      <c r="Q4" s="304"/>
      <c r="R4" s="304"/>
      <c r="S4" s="304"/>
      <c r="T4" s="304"/>
      <c r="U4" s="304"/>
      <c r="V4" s="304"/>
      <c r="W4" s="304"/>
      <c r="X4" s="304"/>
      <c r="Y4" s="304"/>
      <c r="Z4" s="304"/>
      <c r="AD4" s="12">
        <v>2</v>
      </c>
      <c r="AE4" s="13" t="s">
        <v>5671</v>
      </c>
      <c r="AF4" s="9">
        <f>DAY(AE4)</f>
        <v>27</v>
      </c>
      <c r="AG4" s="9">
        <f>MONTH(AE4)</f>
        <v>2</v>
      </c>
      <c r="AH4" s="9">
        <f>YEAR(AE4)</f>
        <v>2019</v>
      </c>
    </row>
    <row r="6" spans="1:34" ht="8.25" customHeight="1">
      <c r="O6" s="10"/>
    </row>
    <row r="7" spans="1:34" ht="18.75">
      <c r="C7" s="303" t="s">
        <v>5672</v>
      </c>
      <c r="D7" s="303"/>
      <c r="E7" s="303"/>
      <c r="F7" s="303"/>
      <c r="G7" s="303"/>
      <c r="H7" s="303"/>
      <c r="I7" s="303"/>
      <c r="J7" s="303"/>
      <c r="K7" s="303"/>
      <c r="L7" s="303"/>
      <c r="M7" s="303"/>
      <c r="N7" s="303"/>
      <c r="O7" s="303"/>
      <c r="P7" s="303"/>
      <c r="Q7" s="303"/>
      <c r="R7" s="303"/>
      <c r="S7" s="303"/>
      <c r="T7" s="303"/>
      <c r="U7" s="303"/>
      <c r="V7" s="303"/>
      <c r="W7" s="303"/>
      <c r="X7" s="303"/>
    </row>
    <row r="8" spans="1:34" ht="18.75">
      <c r="C8" s="303" t="s">
        <v>5448</v>
      </c>
      <c r="D8" s="303"/>
      <c r="E8" s="303"/>
      <c r="F8" s="303"/>
      <c r="G8" s="303"/>
      <c r="H8" s="303"/>
      <c r="I8" s="303"/>
      <c r="J8" s="303"/>
      <c r="K8" s="303"/>
      <c r="L8" s="303"/>
      <c r="M8" s="303"/>
      <c r="N8" s="303"/>
      <c r="O8" s="303"/>
      <c r="P8" s="303"/>
      <c r="Q8" s="303"/>
      <c r="R8" s="303"/>
      <c r="S8" s="303"/>
      <c r="T8" s="303"/>
      <c r="U8" s="303"/>
      <c r="V8" s="303"/>
      <c r="W8" s="303"/>
      <c r="X8" s="303"/>
    </row>
    <row r="10" spans="1:34" ht="16.5">
      <c r="D10" s="299" t="str">
        <f>"Kính gửi: "&amp;AD10</f>
        <v>Kính gửi: Trung tâm Thông tin di động khu vực II</v>
      </c>
      <c r="E10" s="299"/>
      <c r="F10" s="299"/>
      <c r="G10" s="299"/>
      <c r="H10" s="299"/>
      <c r="I10" s="299"/>
      <c r="J10" s="299"/>
      <c r="K10" s="299"/>
      <c r="L10" s="299"/>
      <c r="M10" s="299"/>
      <c r="N10" s="299"/>
      <c r="O10" s="299"/>
      <c r="P10" s="299"/>
      <c r="Q10" s="299"/>
      <c r="R10" s="299"/>
      <c r="S10" s="299"/>
      <c r="T10" s="299"/>
      <c r="U10" s="299"/>
      <c r="V10" s="299"/>
      <c r="W10" s="299"/>
      <c r="AD10" s="9" t="s">
        <v>5673</v>
      </c>
    </row>
    <row r="11" spans="1:34" ht="15.75" customHeight="1">
      <c r="A11" s="14"/>
      <c r="B11" s="14"/>
      <c r="D11" s="302" t="s">
        <v>5674</v>
      </c>
      <c r="E11" s="302"/>
      <c r="F11" s="302"/>
      <c r="G11" s="279" t="str">
        <f>AD11</f>
        <v>Số MM18, đường Trường Sơn, phường 14, quận 10, thành phố Hồ Chí Minh.</v>
      </c>
      <c r="H11" s="279"/>
      <c r="I11" s="279"/>
      <c r="J11" s="279"/>
      <c r="K11" s="279"/>
      <c r="L11" s="279"/>
      <c r="M11" s="279"/>
      <c r="N11" s="279"/>
      <c r="O11" s="279"/>
      <c r="P11" s="279"/>
      <c r="Q11" s="279"/>
      <c r="R11" s="279"/>
      <c r="S11" s="279"/>
      <c r="T11" s="279"/>
      <c r="U11" s="279"/>
      <c r="V11" s="279"/>
      <c r="W11" s="279"/>
      <c r="X11" s="15"/>
      <c r="Y11" s="15"/>
      <c r="Z11" s="15"/>
      <c r="AD11" s="9" t="s">
        <v>5675</v>
      </c>
    </row>
    <row r="12" spans="1:34">
      <c r="A12" s="14"/>
      <c r="B12" s="14"/>
      <c r="C12" s="14"/>
      <c r="D12" s="14"/>
      <c r="E12" s="14"/>
      <c r="F12" s="15"/>
      <c r="G12" s="279"/>
      <c r="H12" s="279"/>
      <c r="I12" s="279"/>
      <c r="J12" s="279"/>
      <c r="K12" s="279"/>
      <c r="L12" s="279"/>
      <c r="M12" s="279"/>
      <c r="N12" s="279"/>
      <c r="O12" s="279"/>
      <c r="P12" s="279"/>
      <c r="Q12" s="279"/>
      <c r="R12" s="279"/>
      <c r="S12" s="279"/>
      <c r="T12" s="279"/>
      <c r="U12" s="279"/>
      <c r="V12" s="279"/>
      <c r="W12" s="279"/>
      <c r="X12" s="15"/>
      <c r="Y12" s="15"/>
      <c r="Z12" s="15"/>
    </row>
    <row r="13" spans="1:34" ht="20.25" customHeight="1">
      <c r="A13" s="14"/>
      <c r="B13" s="14"/>
      <c r="D13" s="14" t="s">
        <v>5676</v>
      </c>
      <c r="E13" s="14"/>
      <c r="F13" s="14"/>
      <c r="G13" s="302" t="str">
        <f>AD13</f>
        <v>08 38662387</v>
      </c>
      <c r="H13" s="302"/>
      <c r="I13" s="302"/>
      <c r="J13" s="302"/>
      <c r="K13" s="302"/>
      <c r="L13" s="302"/>
      <c r="M13" s="302"/>
      <c r="N13" s="14"/>
      <c r="O13" s="14" t="s">
        <v>5677</v>
      </c>
      <c r="P13" s="14"/>
      <c r="Q13" s="302" t="str">
        <f>AH13</f>
        <v>08 38662388</v>
      </c>
      <c r="R13" s="302"/>
      <c r="S13" s="302"/>
      <c r="T13" s="302"/>
      <c r="U13" s="302"/>
      <c r="V13" s="302"/>
      <c r="W13" s="302"/>
      <c r="X13" s="14"/>
      <c r="Y13" s="14"/>
      <c r="Z13" s="14"/>
      <c r="AD13" s="9" t="s">
        <v>5678</v>
      </c>
      <c r="AH13" s="9" t="s">
        <v>5679</v>
      </c>
    </row>
    <row r="14" spans="1:34" ht="55.15" customHeight="1">
      <c r="A14" s="2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D14" s="9" t="s">
        <v>5680</v>
      </c>
      <c r="AE14" s="13" t="s">
        <v>5681</v>
      </c>
      <c r="AF14" s="9">
        <f>DAY(AE14)</f>
        <v>25</v>
      </c>
      <c r="AG14" s="9">
        <f>MONTH(AE14)</f>
        <v>12</v>
      </c>
      <c r="AH14" s="9">
        <f>YEAR(AE14)</f>
        <v>2013</v>
      </c>
    </row>
    <row r="15" spans="1:34" ht="87.75" customHeight="1">
      <c r="A15" s="300" t="s">
        <v>5682</v>
      </c>
      <c r="B15" s="300"/>
      <c r="C15" s="300"/>
      <c r="D15" s="300"/>
      <c r="E15" s="300"/>
      <c r="F15" s="300"/>
      <c r="G15" s="300"/>
      <c r="H15" s="300"/>
      <c r="I15" s="300"/>
      <c r="J15" s="300"/>
      <c r="K15" s="300"/>
      <c r="L15" s="300"/>
      <c r="M15" s="300"/>
      <c r="N15" s="300"/>
      <c r="O15" s="300"/>
      <c r="P15" s="300"/>
      <c r="Q15" s="300"/>
      <c r="R15" s="300"/>
      <c r="S15" s="300"/>
      <c r="T15" s="300"/>
      <c r="U15" s="300"/>
      <c r="V15" s="300"/>
      <c r="W15" s="300"/>
      <c r="X15" s="300"/>
      <c r="Y15" s="300"/>
      <c r="Z15" s="300"/>
    </row>
    <row r="16" spans="1:34" ht="33" customHeight="1">
      <c r="B16" s="286" t="s">
        <v>5504</v>
      </c>
      <c r="C16" s="288"/>
      <c r="D16" s="286" t="s">
        <v>5418</v>
      </c>
      <c r="E16" s="287"/>
      <c r="F16" s="287"/>
      <c r="G16" s="287"/>
      <c r="H16" s="287"/>
      <c r="I16" s="287"/>
      <c r="J16" s="287"/>
      <c r="K16" s="287"/>
      <c r="L16" s="287"/>
      <c r="M16" s="287"/>
      <c r="N16" s="288"/>
      <c r="O16" s="285" t="s">
        <v>5683</v>
      </c>
      <c r="P16" s="285"/>
      <c r="Q16" s="285"/>
      <c r="R16" s="285" t="s">
        <v>5684</v>
      </c>
      <c r="S16" s="285"/>
      <c r="T16" s="285"/>
      <c r="U16" s="285" t="s">
        <v>5685</v>
      </c>
      <c r="V16" s="285"/>
      <c r="W16" s="285"/>
      <c r="X16" s="285"/>
      <c r="Y16" s="285"/>
    </row>
    <row r="17" spans="1:44" ht="18.75" customHeight="1">
      <c r="B17" s="297">
        <v>1</v>
      </c>
      <c r="C17" s="298"/>
      <c r="D17" s="289" t="s">
        <v>5686</v>
      </c>
      <c r="E17" s="290"/>
      <c r="F17" s="290"/>
      <c r="G17" s="290"/>
      <c r="H17" s="290"/>
      <c r="I17" s="290"/>
      <c r="J17" s="290"/>
      <c r="K17" s="290"/>
      <c r="L17" s="290"/>
      <c r="M17" s="290"/>
      <c r="N17" s="290"/>
      <c r="O17" s="291">
        <v>50000</v>
      </c>
      <c r="P17" s="292"/>
      <c r="Q17" s="293"/>
      <c r="R17" s="282">
        <f>AD17</f>
        <v>13</v>
      </c>
      <c r="S17" s="283"/>
      <c r="T17" s="284"/>
      <c r="U17" s="291">
        <f>O17*R17</f>
        <v>650000</v>
      </c>
      <c r="V17" s="292"/>
      <c r="W17" s="292"/>
      <c r="X17" s="292"/>
      <c r="Y17" s="293"/>
      <c r="AD17" s="9">
        <v>13</v>
      </c>
    </row>
    <row r="18" spans="1:44" ht="18.75" customHeight="1">
      <c r="B18" s="286" t="s">
        <v>5687</v>
      </c>
      <c r="C18" s="287"/>
      <c r="D18" s="287"/>
      <c r="E18" s="287"/>
      <c r="F18" s="287"/>
      <c r="G18" s="287"/>
      <c r="H18" s="287"/>
      <c r="I18" s="287"/>
      <c r="J18" s="287"/>
      <c r="K18" s="287"/>
      <c r="L18" s="287"/>
      <c r="M18" s="287"/>
      <c r="N18" s="287"/>
      <c r="O18" s="287"/>
      <c r="P18" s="287"/>
      <c r="Q18" s="287"/>
      <c r="R18" s="287"/>
      <c r="S18" s="287"/>
      <c r="T18" s="288"/>
      <c r="U18" s="294">
        <f>U17</f>
        <v>650000</v>
      </c>
      <c r="V18" s="295"/>
      <c r="W18" s="295"/>
      <c r="X18" s="295"/>
      <c r="Y18" s="296"/>
      <c r="AD18" s="16">
        <f>U18</f>
        <v>650000</v>
      </c>
    </row>
    <row r="19" spans="1:44">
      <c r="B19" s="282" t="str">
        <f>"Bằng chữ: "&amp;AD19</f>
        <v>Bằng chữ: Ba triệu năm trăm ngàn đồng chẵn.</v>
      </c>
      <c r="C19" s="283"/>
      <c r="D19" s="283"/>
      <c r="E19" s="283"/>
      <c r="F19" s="283"/>
      <c r="G19" s="283"/>
      <c r="H19" s="283"/>
      <c r="I19" s="283"/>
      <c r="J19" s="283"/>
      <c r="K19" s="283"/>
      <c r="L19" s="283"/>
      <c r="M19" s="283"/>
      <c r="N19" s="283"/>
      <c r="O19" s="283"/>
      <c r="P19" s="283"/>
      <c r="Q19" s="283"/>
      <c r="R19" s="283"/>
      <c r="S19" s="283"/>
      <c r="T19" s="283"/>
      <c r="U19" s="283"/>
      <c r="V19" s="283"/>
      <c r="W19" s="283"/>
      <c r="X19" s="283"/>
      <c r="Y19" s="284"/>
      <c r="AD19" s="9" t="s">
        <v>5688</v>
      </c>
    </row>
    <row r="20" spans="1:44" ht="7.5" customHeight="1"/>
    <row r="21" spans="1:44" ht="18" customHeight="1">
      <c r="B21" s="276" t="s">
        <v>5689</v>
      </c>
      <c r="C21" s="276"/>
      <c r="D21" s="276"/>
      <c r="E21" s="276"/>
      <c r="F21" s="276"/>
      <c r="G21" s="276"/>
      <c r="H21" s="276"/>
      <c r="I21" s="276"/>
      <c r="J21" s="276" t="s">
        <v>5690</v>
      </c>
      <c r="K21" s="276"/>
      <c r="L21" s="276"/>
      <c r="M21" s="276"/>
      <c r="N21" s="276"/>
      <c r="O21" s="276"/>
      <c r="P21" s="276"/>
      <c r="Q21" s="276"/>
      <c r="R21" s="276"/>
      <c r="S21" s="276"/>
      <c r="T21" s="276"/>
      <c r="U21" s="276"/>
      <c r="V21" s="276"/>
      <c r="W21" s="276"/>
      <c r="X21" s="276"/>
      <c r="Y21" s="276"/>
    </row>
    <row r="22" spans="1:44" ht="18.75" customHeight="1">
      <c r="B22" s="276" t="s">
        <v>5691</v>
      </c>
      <c r="C22" s="276"/>
      <c r="D22" s="276"/>
      <c r="E22" s="276"/>
      <c r="F22" s="276"/>
      <c r="G22" s="276"/>
      <c r="H22" s="276"/>
      <c r="I22" s="276"/>
      <c r="J22" s="276" t="s">
        <v>5692</v>
      </c>
      <c r="K22" s="276"/>
      <c r="L22" s="276"/>
      <c r="M22" s="276"/>
      <c r="N22" s="276"/>
      <c r="O22" s="276"/>
      <c r="P22" s="276"/>
      <c r="Q22" s="276"/>
      <c r="R22" s="276"/>
      <c r="S22" s="276"/>
      <c r="T22" s="276"/>
      <c r="U22" s="276"/>
      <c r="V22" s="276"/>
      <c r="W22" s="276"/>
      <c r="X22" s="276"/>
      <c r="Y22" s="276"/>
    </row>
    <row r="23" spans="1:44" ht="18" customHeight="1">
      <c r="B23" s="281"/>
      <c r="C23" s="281"/>
      <c r="D23" s="281"/>
      <c r="E23" s="281"/>
      <c r="F23" s="281"/>
      <c r="G23" s="281"/>
      <c r="H23" s="281"/>
      <c r="I23" s="281"/>
      <c r="J23" s="276" t="s">
        <v>5693</v>
      </c>
      <c r="K23" s="276"/>
      <c r="L23" s="276"/>
      <c r="M23" s="276"/>
      <c r="N23" s="276"/>
      <c r="O23" s="276"/>
      <c r="P23" s="276"/>
      <c r="Q23" s="276"/>
      <c r="R23" s="276"/>
      <c r="S23" s="276"/>
      <c r="T23" s="276"/>
      <c r="U23" s="276"/>
      <c r="V23" s="276"/>
      <c r="W23" s="276"/>
      <c r="X23" s="276"/>
      <c r="Y23" s="276"/>
    </row>
    <row r="24" spans="1:44" ht="16.5" customHeight="1">
      <c r="B24" s="276" t="s">
        <v>5694</v>
      </c>
      <c r="C24" s="276"/>
      <c r="D24" s="276"/>
      <c r="E24" s="276"/>
      <c r="F24" s="276"/>
      <c r="G24" s="276"/>
      <c r="H24" s="276"/>
      <c r="I24" s="276"/>
      <c r="J24" s="276" t="s">
        <v>5695</v>
      </c>
      <c r="K24" s="276"/>
      <c r="L24" s="276"/>
      <c r="M24" s="276"/>
      <c r="N24" s="276"/>
      <c r="O24" s="276"/>
      <c r="P24" s="276"/>
      <c r="Q24" s="276"/>
      <c r="R24" s="276"/>
      <c r="S24" s="276"/>
      <c r="T24" s="276"/>
      <c r="U24" s="276"/>
      <c r="V24" s="276"/>
      <c r="W24" s="276"/>
      <c r="X24" s="276"/>
      <c r="Y24" s="276"/>
    </row>
    <row r="25" spans="1:44" ht="17.25" customHeight="1">
      <c r="J25" s="276" t="s">
        <v>5696</v>
      </c>
      <c r="K25" s="276"/>
      <c r="L25" s="276"/>
      <c r="M25" s="276"/>
      <c r="N25" s="276"/>
      <c r="O25" s="276"/>
      <c r="P25" s="276"/>
      <c r="Q25" s="276"/>
      <c r="R25" s="276"/>
      <c r="S25" s="276"/>
      <c r="T25" s="276"/>
      <c r="U25" s="276"/>
      <c r="V25" s="276"/>
      <c r="W25" s="276"/>
      <c r="X25" s="276"/>
      <c r="Y25" s="276"/>
    </row>
    <row r="26" spans="1:44" ht="47.25" customHeight="1">
      <c r="A26" s="277" t="s">
        <v>5697</v>
      </c>
      <c r="B26" s="277"/>
      <c r="C26" s="277"/>
      <c r="D26" s="277"/>
      <c r="E26" s="277"/>
      <c r="F26" s="277"/>
      <c r="G26" s="277"/>
      <c r="H26" s="277"/>
      <c r="I26" s="277"/>
      <c r="J26" s="277"/>
      <c r="K26" s="277"/>
      <c r="L26" s="277"/>
      <c r="M26" s="277"/>
      <c r="N26" s="277"/>
      <c r="O26" s="277"/>
      <c r="P26" s="277"/>
      <c r="Q26" s="277"/>
      <c r="R26" s="277"/>
      <c r="S26" s="277"/>
      <c r="T26" s="277"/>
      <c r="U26" s="277"/>
      <c r="V26" s="277"/>
      <c r="W26" s="277"/>
      <c r="X26" s="277"/>
      <c r="Y26" s="277"/>
      <c r="Z26" s="277"/>
    </row>
    <row r="27" spans="1:44" ht="14.25" customHeight="1">
      <c r="AD27" s="17"/>
      <c r="AE27" s="17" t="s">
        <v>5479</v>
      </c>
      <c r="AF27" s="17"/>
      <c r="AG27" s="9" t="s">
        <v>5480</v>
      </c>
      <c r="AI27" s="17" t="s">
        <v>5481</v>
      </c>
      <c r="AK27" s="17"/>
      <c r="AL27" s="17"/>
      <c r="AN27" s="17"/>
      <c r="AO27" s="17"/>
      <c r="AP27" s="17"/>
      <c r="AQ27" s="17"/>
      <c r="AR27" s="17"/>
    </row>
    <row r="28" spans="1:44" ht="16.5">
      <c r="A28" s="280" t="s">
        <v>5698</v>
      </c>
      <c r="B28" s="280"/>
      <c r="C28" s="280"/>
      <c r="D28" s="280"/>
      <c r="E28" s="280"/>
      <c r="F28" s="280"/>
      <c r="G28" s="280"/>
      <c r="H28" s="280"/>
      <c r="I28" s="280"/>
      <c r="J28" s="280"/>
      <c r="K28" s="280"/>
      <c r="L28" s="280"/>
      <c r="M28" s="280"/>
      <c r="O28" s="275" t="str">
        <f>IF(AD34=0,AG27,IF(AD34=1,AE27,AI27))</f>
        <v>KT. GIÁM ĐỐC</v>
      </c>
      <c r="P28" s="275"/>
      <c r="Q28" s="275"/>
      <c r="R28" s="275"/>
      <c r="S28" s="275"/>
      <c r="T28" s="275"/>
      <c r="U28" s="275"/>
      <c r="V28" s="275"/>
      <c r="W28" s="275"/>
      <c r="X28" s="275"/>
      <c r="Y28" s="275"/>
      <c r="Z28" s="275"/>
      <c r="AD28" s="17"/>
      <c r="AF28" s="17"/>
      <c r="AG28" s="17" t="s">
        <v>5485</v>
      </c>
      <c r="AH28" s="17"/>
      <c r="AI28" s="17" t="s">
        <v>5486</v>
      </c>
      <c r="AK28" s="17"/>
      <c r="AL28" s="17"/>
      <c r="AN28" s="17"/>
      <c r="AO28" s="17"/>
      <c r="AP28" s="17"/>
      <c r="AQ28" s="17"/>
      <c r="AR28" s="17"/>
    </row>
    <row r="29" spans="1:44">
      <c r="A29" s="18" t="s">
        <v>5699</v>
      </c>
      <c r="B29" s="14"/>
      <c r="C29" s="14"/>
      <c r="D29" s="14"/>
      <c r="E29" s="14"/>
      <c r="F29" s="14"/>
      <c r="O29" s="274" t="str">
        <f>IF(AD34=0,AG28,IF(AD34=1,"",AI28))</f>
        <v>PHÓ GIÁM ĐỐC</v>
      </c>
      <c r="P29" s="274"/>
      <c r="Q29" s="274"/>
      <c r="R29" s="274"/>
      <c r="S29" s="274"/>
      <c r="T29" s="274"/>
      <c r="U29" s="274"/>
      <c r="V29" s="274"/>
      <c r="W29" s="274"/>
      <c r="X29" s="274"/>
      <c r="Y29" s="274"/>
      <c r="Z29" s="274"/>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5700</v>
      </c>
      <c r="AE30" s="17"/>
      <c r="AF30" s="17"/>
      <c r="AG30" s="17"/>
      <c r="AH30" s="17"/>
      <c r="AI30" s="17"/>
      <c r="AK30" s="17"/>
      <c r="AL30" s="17"/>
      <c r="AM30" s="17"/>
      <c r="AN30" s="17"/>
      <c r="AO30" s="17"/>
      <c r="AP30" s="17"/>
      <c r="AQ30" s="17"/>
      <c r="AR30" s="17"/>
    </row>
    <row r="31" spans="1:44" ht="16.5" customHeight="1">
      <c r="A31" s="18" t="str">
        <f>IF(AD34=1,"",AD31)</f>
        <v>-    Lưu: PTH, PKĐ.</v>
      </c>
      <c r="AD31" s="18" t="s">
        <v>5701</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5" t="str">
        <f>IF(AD34=0,AG34,IF(AD34=1,AE34,AI34))</f>
        <v>Trần Công Khanh</v>
      </c>
      <c r="P34" s="275"/>
      <c r="Q34" s="275"/>
      <c r="R34" s="275"/>
      <c r="S34" s="275"/>
      <c r="T34" s="275"/>
      <c r="U34" s="275"/>
      <c r="V34" s="275"/>
      <c r="W34" s="275"/>
      <c r="X34" s="275"/>
      <c r="Y34" s="275"/>
      <c r="Z34" s="275"/>
      <c r="AD34" s="17">
        <v>0</v>
      </c>
      <c r="AE34" s="17" t="s">
        <v>5489</v>
      </c>
      <c r="AF34" s="17"/>
      <c r="AG34" s="17" t="s">
        <v>5490</v>
      </c>
      <c r="AH34" s="17"/>
      <c r="AI34" s="17" t="s">
        <v>5491</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42"/>
  <sheetViews>
    <sheetView showWhiteSpace="0" view="pageLayout" workbookViewId="0">
      <selection activeCell="A7" sqref="A7:XFD42"/>
    </sheetView>
  </sheetViews>
  <sheetFormatPr defaultColWidth="9.140625" defaultRowHeight="15"/>
  <cols>
    <col min="1" max="1" width="6.7109375" style="174" customWidth="1"/>
    <col min="2" max="2" width="13" style="83" customWidth="1"/>
    <col min="3" max="3" width="46.7109375" style="83" customWidth="1"/>
    <col min="4" max="4" width="26.28515625" style="174"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9" width="9.140625" style="4" customWidth="1"/>
    <col min="120" max="16384" width="9.140625" style="4"/>
  </cols>
  <sheetData>
    <row r="1" spans="1:13" ht="34.5" customHeight="1"/>
    <row r="2" spans="1:13" ht="16.5" customHeight="1">
      <c r="A2" s="305" t="s">
        <v>5512</v>
      </c>
      <c r="B2" s="305"/>
      <c r="C2" s="305"/>
      <c r="D2" s="305"/>
      <c r="E2" s="305" t="s">
        <v>5512</v>
      </c>
      <c r="F2" s="305"/>
      <c r="G2" s="305"/>
      <c r="H2" s="305"/>
      <c r="I2" s="305"/>
      <c r="J2" s="305"/>
      <c r="K2" s="305"/>
      <c r="L2" s="305"/>
      <c r="M2" s="305"/>
    </row>
    <row r="3" spans="1:13" ht="15.75" customHeight="1">
      <c r="A3" s="306" t="s">
        <v>5513</v>
      </c>
      <c r="B3" s="306"/>
      <c r="C3" s="306"/>
      <c r="D3" s="306"/>
      <c r="E3" s="306" t="s">
        <v>5514</v>
      </c>
      <c r="F3" s="306"/>
      <c r="G3" s="306"/>
      <c r="H3" s="306"/>
      <c r="I3" s="306"/>
      <c r="J3" s="306"/>
      <c r="K3" s="306"/>
      <c r="L3" s="306"/>
      <c r="M3" s="306"/>
    </row>
    <row r="4" spans="1:13" s="20" customFormat="1" ht="15.75" customHeight="1">
      <c r="A4" s="307"/>
      <c r="B4" s="307"/>
      <c r="C4" s="307"/>
      <c r="D4" s="307"/>
    </row>
    <row r="5" spans="1:13" ht="52.5">
      <c r="A5" s="21" t="s">
        <v>5504</v>
      </c>
      <c r="B5" s="21" t="s">
        <v>5454</v>
      </c>
      <c r="C5" s="21" t="s">
        <v>5452</v>
      </c>
      <c r="D5" s="79" t="s">
        <v>5515</v>
      </c>
      <c r="E5" s="22" t="s">
        <v>5504</v>
      </c>
      <c r="F5" s="22" t="s">
        <v>5516</v>
      </c>
      <c r="G5" s="22" t="s">
        <v>5454</v>
      </c>
      <c r="H5" s="22" t="s">
        <v>5452</v>
      </c>
      <c r="I5" s="22" t="s">
        <v>5517</v>
      </c>
      <c r="J5" s="22" t="s">
        <v>5518</v>
      </c>
      <c r="K5" s="22" t="s">
        <v>5519</v>
      </c>
      <c r="L5" s="22" t="s">
        <v>5520</v>
      </c>
      <c r="M5" s="22" t="s">
        <v>5521</v>
      </c>
    </row>
    <row r="6" spans="1:13" ht="75">
      <c r="A6" s="138">
        <v>1</v>
      </c>
      <c r="B6" s="139" t="s">
        <v>5522</v>
      </c>
      <c r="C6" s="139" t="s">
        <v>5523</v>
      </c>
      <c r="D6" s="138" t="s">
        <v>5524</v>
      </c>
      <c r="E6" s="139">
        <v>1</v>
      </c>
      <c r="F6" s="139"/>
      <c r="G6" s="139" t="s">
        <v>5522</v>
      </c>
      <c r="H6" s="139" t="s">
        <v>5523</v>
      </c>
      <c r="I6" s="139" t="s">
        <v>5525</v>
      </c>
      <c r="J6" s="139" t="b">
        <v>0</v>
      </c>
      <c r="K6" s="139" t="b">
        <v>0</v>
      </c>
      <c r="L6" s="139"/>
      <c r="M6" s="139" t="s">
        <v>5524</v>
      </c>
    </row>
    <row r="7" spans="1:13" ht="60">
      <c r="A7" s="138">
        <v>2</v>
      </c>
      <c r="B7" s="139" t="s">
        <v>5526</v>
      </c>
      <c r="C7" s="139" t="s">
        <v>5527</v>
      </c>
      <c r="D7" s="138" t="s">
        <v>5528</v>
      </c>
      <c r="E7" s="139">
        <v>2</v>
      </c>
      <c r="F7" s="139"/>
      <c r="G7" s="139" t="s">
        <v>5526</v>
      </c>
      <c r="H7" s="139" t="s">
        <v>5527</v>
      </c>
      <c r="I7" s="139" t="s">
        <v>5529</v>
      </c>
      <c r="J7" s="139" t="b">
        <v>0</v>
      </c>
      <c r="K7" s="139" t="b">
        <v>0</v>
      </c>
      <c r="L7" s="139"/>
      <c r="M7" s="139" t="s">
        <v>5528</v>
      </c>
    </row>
    <row r="8" spans="1:13" ht="45">
      <c r="A8" s="138">
        <v>3</v>
      </c>
      <c r="B8" s="139" t="s">
        <v>5530</v>
      </c>
      <c r="C8" s="139" t="s">
        <v>5531</v>
      </c>
      <c r="D8" s="138" t="s">
        <v>5532</v>
      </c>
      <c r="E8" s="139">
        <v>3</v>
      </c>
      <c r="F8" s="139"/>
      <c r="G8" s="139" t="s">
        <v>5530</v>
      </c>
      <c r="H8" s="139" t="s">
        <v>5531</v>
      </c>
      <c r="I8" s="139" t="s">
        <v>5533</v>
      </c>
      <c r="J8" s="139" t="b">
        <v>0</v>
      </c>
      <c r="K8" s="139" t="b">
        <v>0</v>
      </c>
      <c r="L8" s="139"/>
      <c r="M8" s="139" t="s">
        <v>5532</v>
      </c>
    </row>
    <row r="9" spans="1:13" ht="60">
      <c r="A9" s="138">
        <v>4</v>
      </c>
      <c r="B9" s="139" t="s">
        <v>5534</v>
      </c>
      <c r="C9" s="139" t="s">
        <v>5535</v>
      </c>
      <c r="D9" s="138" t="s">
        <v>5536</v>
      </c>
      <c r="E9" s="139">
        <v>4</v>
      </c>
      <c r="F9" s="139"/>
      <c r="G9" s="139" t="s">
        <v>5534</v>
      </c>
      <c r="H9" s="139" t="s">
        <v>5535</v>
      </c>
      <c r="I9" s="139" t="s">
        <v>5537</v>
      </c>
      <c r="J9" s="139" t="b">
        <v>0</v>
      </c>
      <c r="K9" s="139" t="b">
        <v>0</v>
      </c>
      <c r="L9" s="139"/>
      <c r="M9" s="139" t="s">
        <v>5536</v>
      </c>
    </row>
    <row r="10" spans="1:13" ht="60">
      <c r="A10" s="138">
        <v>5</v>
      </c>
      <c r="B10" s="139" t="s">
        <v>5538</v>
      </c>
      <c r="C10" s="139" t="s">
        <v>5539</v>
      </c>
      <c r="D10" s="138" t="s">
        <v>5540</v>
      </c>
      <c r="E10" s="139">
        <v>5</v>
      </c>
      <c r="F10" s="139"/>
      <c r="G10" s="139" t="s">
        <v>5538</v>
      </c>
      <c r="H10" s="139" t="s">
        <v>5539</v>
      </c>
      <c r="I10" s="139" t="s">
        <v>5541</v>
      </c>
      <c r="J10" s="139" t="b">
        <v>0</v>
      </c>
      <c r="K10" s="139" t="b">
        <v>0</v>
      </c>
      <c r="L10" s="139"/>
      <c r="M10" s="139" t="s">
        <v>5540</v>
      </c>
    </row>
    <row r="11" spans="1:13" ht="60">
      <c r="A11" s="138">
        <v>6</v>
      </c>
      <c r="B11" s="139" t="s">
        <v>5542</v>
      </c>
      <c r="C11" s="139" t="s">
        <v>5543</v>
      </c>
      <c r="D11" s="138" t="s">
        <v>5544</v>
      </c>
      <c r="E11" s="139">
        <v>6</v>
      </c>
      <c r="F11" s="139"/>
      <c r="G11" s="139" t="s">
        <v>5542</v>
      </c>
      <c r="H11" s="139" t="s">
        <v>5543</v>
      </c>
      <c r="I11" s="139" t="s">
        <v>5545</v>
      </c>
      <c r="J11" s="139" t="b">
        <v>0</v>
      </c>
      <c r="K11" s="139" t="b">
        <v>0</v>
      </c>
      <c r="L11" s="139"/>
      <c r="M11" s="139" t="s">
        <v>5544</v>
      </c>
    </row>
    <row r="12" spans="1:13" ht="45">
      <c r="A12" s="138">
        <v>7</v>
      </c>
      <c r="B12" s="139" t="s">
        <v>5546</v>
      </c>
      <c r="C12" s="139" t="s">
        <v>5547</v>
      </c>
      <c r="D12" s="138" t="s">
        <v>5548</v>
      </c>
      <c r="E12" s="139">
        <v>7</v>
      </c>
      <c r="F12" s="139"/>
      <c r="G12" s="139" t="s">
        <v>5546</v>
      </c>
      <c r="H12" s="139" t="s">
        <v>5547</v>
      </c>
      <c r="I12" s="139" t="s">
        <v>5549</v>
      </c>
      <c r="J12" s="139" t="b">
        <v>0</v>
      </c>
      <c r="K12" s="139" t="b">
        <v>0</v>
      </c>
      <c r="L12" s="139"/>
      <c r="M12" s="139" t="s">
        <v>5548</v>
      </c>
    </row>
    <row r="13" spans="1:13" ht="45">
      <c r="A13" s="138">
        <v>8</v>
      </c>
      <c r="B13" s="139" t="s">
        <v>5550</v>
      </c>
      <c r="C13" s="139" t="s">
        <v>5551</v>
      </c>
      <c r="D13" s="138" t="s">
        <v>5552</v>
      </c>
      <c r="E13" s="139">
        <v>8</v>
      </c>
      <c r="F13" s="139"/>
      <c r="G13" s="139" t="s">
        <v>5550</v>
      </c>
      <c r="H13" s="139" t="s">
        <v>5551</v>
      </c>
      <c r="I13" s="139" t="s">
        <v>5553</v>
      </c>
      <c r="J13" s="139" t="b">
        <v>0</v>
      </c>
      <c r="K13" s="139" t="b">
        <v>0</v>
      </c>
      <c r="L13" s="139"/>
      <c r="M13" s="139" t="s">
        <v>5552</v>
      </c>
    </row>
    <row r="14" spans="1:13" ht="60">
      <c r="A14" s="138">
        <v>9</v>
      </c>
      <c r="B14" s="139" t="s">
        <v>5554</v>
      </c>
      <c r="C14" s="139" t="s">
        <v>5555</v>
      </c>
      <c r="D14" s="138" t="s">
        <v>5556</v>
      </c>
      <c r="E14" s="139">
        <v>9</v>
      </c>
      <c r="F14" s="139"/>
      <c r="G14" s="139" t="s">
        <v>5554</v>
      </c>
      <c r="H14" s="139" t="s">
        <v>5555</v>
      </c>
      <c r="I14" s="139" t="s">
        <v>5557</v>
      </c>
      <c r="J14" s="139" t="b">
        <v>0</v>
      </c>
      <c r="K14" s="139" t="b">
        <v>0</v>
      </c>
      <c r="L14" s="139"/>
      <c r="M14" s="139" t="s">
        <v>5556</v>
      </c>
    </row>
    <row r="15" spans="1:13" ht="75">
      <c r="A15" s="138">
        <v>10</v>
      </c>
      <c r="B15" s="139" t="s">
        <v>5558</v>
      </c>
      <c r="C15" s="139" t="s">
        <v>5559</v>
      </c>
      <c r="D15" s="138" t="s">
        <v>5560</v>
      </c>
      <c r="E15" s="139">
        <v>10</v>
      </c>
      <c r="F15" s="139"/>
      <c r="G15" s="139" t="s">
        <v>5558</v>
      </c>
      <c r="H15" s="139" t="s">
        <v>5559</v>
      </c>
      <c r="I15" s="139" t="s">
        <v>5561</v>
      </c>
      <c r="J15" s="139" t="b">
        <v>0</v>
      </c>
      <c r="K15" s="139" t="b">
        <v>0</v>
      </c>
      <c r="L15" s="139"/>
      <c r="M15" s="139" t="s">
        <v>5560</v>
      </c>
    </row>
    <row r="16" spans="1:13" ht="60">
      <c r="A16" s="138">
        <v>11</v>
      </c>
      <c r="B16" s="139" t="s">
        <v>5562</v>
      </c>
      <c r="C16" s="139" t="s">
        <v>5563</v>
      </c>
      <c r="D16" s="138" t="s">
        <v>5564</v>
      </c>
      <c r="E16" s="139">
        <v>11</v>
      </c>
      <c r="F16" s="139"/>
      <c r="G16" s="139" t="s">
        <v>5562</v>
      </c>
      <c r="H16" s="139" t="s">
        <v>5563</v>
      </c>
      <c r="I16" s="139" t="s">
        <v>5565</v>
      </c>
      <c r="J16" s="139" t="b">
        <v>0</v>
      </c>
      <c r="K16" s="139" t="b">
        <v>0</v>
      </c>
      <c r="L16" s="139"/>
      <c r="M16" s="139" t="s">
        <v>5564</v>
      </c>
    </row>
    <row r="17" spans="1:13" ht="60">
      <c r="A17" s="138">
        <v>12</v>
      </c>
      <c r="B17" s="139" t="s">
        <v>5566</v>
      </c>
      <c r="C17" s="139" t="s">
        <v>5567</v>
      </c>
      <c r="D17" s="138" t="s">
        <v>5568</v>
      </c>
      <c r="E17" s="139">
        <v>12</v>
      </c>
      <c r="F17" s="139"/>
      <c r="G17" s="139" t="s">
        <v>5566</v>
      </c>
      <c r="H17" s="139" t="s">
        <v>5567</v>
      </c>
      <c r="I17" s="139" t="s">
        <v>5569</v>
      </c>
      <c r="J17" s="139" t="b">
        <v>0</v>
      </c>
      <c r="K17" s="139" t="b">
        <v>0</v>
      </c>
      <c r="L17" s="139"/>
      <c r="M17" s="139" t="s">
        <v>5568</v>
      </c>
    </row>
    <row r="18" spans="1:13" ht="60">
      <c r="A18" s="138">
        <v>13</v>
      </c>
      <c r="B18" s="139" t="s">
        <v>5570</v>
      </c>
      <c r="C18" s="139" t="s">
        <v>5571</v>
      </c>
      <c r="D18" s="138" t="s">
        <v>5572</v>
      </c>
      <c r="E18" s="139">
        <v>13</v>
      </c>
      <c r="F18" s="139"/>
      <c r="G18" s="139" t="s">
        <v>5570</v>
      </c>
      <c r="H18" s="139" t="s">
        <v>5571</v>
      </c>
      <c r="I18" s="139" t="s">
        <v>5573</v>
      </c>
      <c r="J18" s="139" t="b">
        <v>0</v>
      </c>
      <c r="K18" s="139" t="b">
        <v>0</v>
      </c>
      <c r="L18" s="139"/>
      <c r="M18" s="139" t="s">
        <v>5572</v>
      </c>
    </row>
    <row r="19" spans="1:13" ht="60">
      <c r="A19" s="138">
        <v>14</v>
      </c>
      <c r="B19" s="139" t="s">
        <v>5574</v>
      </c>
      <c r="C19" s="139" t="s">
        <v>5575</v>
      </c>
      <c r="D19" s="138" t="s">
        <v>5576</v>
      </c>
      <c r="E19" s="139">
        <v>14</v>
      </c>
      <c r="F19" s="139"/>
      <c r="G19" s="139" t="s">
        <v>5574</v>
      </c>
      <c r="H19" s="139" t="s">
        <v>5575</v>
      </c>
      <c r="I19" s="139" t="s">
        <v>5577</v>
      </c>
      <c r="J19" s="139" t="b">
        <v>0</v>
      </c>
      <c r="K19" s="139" t="b">
        <v>0</v>
      </c>
      <c r="L19" s="139"/>
      <c r="M19" s="139" t="s">
        <v>5576</v>
      </c>
    </row>
    <row r="20" spans="1:13" ht="60">
      <c r="A20" s="138">
        <v>15</v>
      </c>
      <c r="B20" s="139" t="s">
        <v>5578</v>
      </c>
      <c r="C20" s="139" t="s">
        <v>5579</v>
      </c>
      <c r="D20" s="138" t="s">
        <v>5580</v>
      </c>
      <c r="E20" s="139">
        <v>15</v>
      </c>
      <c r="F20" s="139"/>
      <c r="G20" s="139" t="s">
        <v>5578</v>
      </c>
      <c r="H20" s="139" t="s">
        <v>5579</v>
      </c>
      <c r="I20" s="139" t="s">
        <v>5581</v>
      </c>
      <c r="J20" s="139" t="b">
        <v>0</v>
      </c>
      <c r="K20" s="139" t="b">
        <v>0</v>
      </c>
      <c r="L20" s="139"/>
      <c r="M20" s="139" t="s">
        <v>5580</v>
      </c>
    </row>
    <row r="21" spans="1:13" ht="60">
      <c r="A21" s="138">
        <v>16</v>
      </c>
      <c r="B21" s="139" t="s">
        <v>5582</v>
      </c>
      <c r="C21" s="139" t="s">
        <v>5583</v>
      </c>
      <c r="D21" s="138" t="s">
        <v>5584</v>
      </c>
      <c r="E21" s="139">
        <v>16</v>
      </c>
      <c r="F21" s="139"/>
      <c r="G21" s="139" t="s">
        <v>5582</v>
      </c>
      <c r="H21" s="139" t="s">
        <v>5583</v>
      </c>
      <c r="I21" s="139" t="s">
        <v>5585</v>
      </c>
      <c r="J21" s="139" t="b">
        <v>0</v>
      </c>
      <c r="K21" s="139" t="b">
        <v>0</v>
      </c>
      <c r="L21" s="139"/>
      <c r="M21" s="139" t="s">
        <v>5584</v>
      </c>
    </row>
    <row r="22" spans="1:13" ht="75">
      <c r="A22" s="138">
        <v>17</v>
      </c>
      <c r="B22" s="139" t="s">
        <v>5586</v>
      </c>
      <c r="C22" s="139" t="s">
        <v>5587</v>
      </c>
      <c r="D22" s="138" t="s">
        <v>5588</v>
      </c>
      <c r="E22" s="139">
        <v>17</v>
      </c>
      <c r="F22" s="139"/>
      <c r="G22" s="139" t="s">
        <v>5586</v>
      </c>
      <c r="H22" s="139" t="s">
        <v>5587</v>
      </c>
      <c r="I22" s="139" t="s">
        <v>5589</v>
      </c>
      <c r="J22" s="139" t="b">
        <v>0</v>
      </c>
      <c r="K22" s="139" t="b">
        <v>0</v>
      </c>
      <c r="L22" s="139"/>
      <c r="M22" s="139" t="s">
        <v>5588</v>
      </c>
    </row>
    <row r="23" spans="1:13" ht="60">
      <c r="A23" s="138">
        <v>18</v>
      </c>
      <c r="B23" s="139" t="s">
        <v>5590</v>
      </c>
      <c r="C23" s="139" t="s">
        <v>5591</v>
      </c>
      <c r="D23" s="138" t="s">
        <v>5592</v>
      </c>
      <c r="E23" s="139">
        <v>18</v>
      </c>
      <c r="F23" s="139"/>
      <c r="G23" s="139" t="s">
        <v>5590</v>
      </c>
      <c r="H23" s="139" t="s">
        <v>5591</v>
      </c>
      <c r="I23" s="139" t="s">
        <v>5593</v>
      </c>
      <c r="J23" s="139" t="b">
        <v>0</v>
      </c>
      <c r="K23" s="139" t="b">
        <v>0</v>
      </c>
      <c r="L23" s="139"/>
      <c r="M23" s="139" t="s">
        <v>5592</v>
      </c>
    </row>
    <row r="24" spans="1:13" ht="60">
      <c r="A24" s="138">
        <v>19</v>
      </c>
      <c r="B24" s="139" t="s">
        <v>5594</v>
      </c>
      <c r="C24" s="139" t="s">
        <v>5595</v>
      </c>
      <c r="D24" s="138" t="s">
        <v>5596</v>
      </c>
      <c r="E24" s="139">
        <v>19</v>
      </c>
      <c r="F24" s="139"/>
      <c r="G24" s="139" t="s">
        <v>5594</v>
      </c>
      <c r="H24" s="139" t="s">
        <v>5595</v>
      </c>
      <c r="I24" s="139" t="s">
        <v>5597</v>
      </c>
      <c r="J24" s="139" t="b">
        <v>0</v>
      </c>
      <c r="K24" s="139" t="b">
        <v>0</v>
      </c>
      <c r="L24" s="139"/>
      <c r="M24" s="139" t="s">
        <v>5596</v>
      </c>
    </row>
    <row r="25" spans="1:13" ht="60">
      <c r="A25" s="138">
        <v>20</v>
      </c>
      <c r="B25" s="139" t="s">
        <v>5598</v>
      </c>
      <c r="C25" s="139" t="s">
        <v>5599</v>
      </c>
      <c r="D25" s="138" t="s">
        <v>5600</v>
      </c>
      <c r="E25" s="139">
        <v>20</v>
      </c>
      <c r="F25" s="139"/>
      <c r="G25" s="139" t="s">
        <v>5598</v>
      </c>
      <c r="H25" s="139" t="s">
        <v>5599</v>
      </c>
      <c r="I25" s="139" t="s">
        <v>5601</v>
      </c>
      <c r="J25" s="139" t="b">
        <v>0</v>
      </c>
      <c r="K25" s="139" t="b">
        <v>0</v>
      </c>
      <c r="L25" s="139"/>
      <c r="M25" s="139" t="s">
        <v>5600</v>
      </c>
    </row>
    <row r="26" spans="1:13" ht="45">
      <c r="A26" s="138">
        <v>21</v>
      </c>
      <c r="B26" s="139" t="s">
        <v>5602</v>
      </c>
      <c r="C26" s="139" t="s">
        <v>5603</v>
      </c>
      <c r="D26" s="138" t="s">
        <v>5604</v>
      </c>
      <c r="E26" s="139">
        <v>21</v>
      </c>
      <c r="F26" s="139"/>
      <c r="G26" s="139" t="s">
        <v>5602</v>
      </c>
      <c r="H26" s="139" t="s">
        <v>5603</v>
      </c>
      <c r="I26" s="139" t="s">
        <v>5605</v>
      </c>
      <c r="J26" s="139" t="b">
        <v>0</v>
      </c>
      <c r="K26" s="139" t="b">
        <v>0</v>
      </c>
      <c r="L26" s="139"/>
      <c r="M26" s="139" t="s">
        <v>5604</v>
      </c>
    </row>
    <row r="27" spans="1:13" ht="60">
      <c r="A27" s="138">
        <v>22</v>
      </c>
      <c r="B27" s="139" t="s">
        <v>5606</v>
      </c>
      <c r="C27" s="139" t="s">
        <v>5607</v>
      </c>
      <c r="D27" s="138" t="s">
        <v>5608</v>
      </c>
      <c r="E27" s="139">
        <v>22</v>
      </c>
      <c r="F27" s="139"/>
      <c r="G27" s="139" t="s">
        <v>5606</v>
      </c>
      <c r="H27" s="139" t="s">
        <v>5607</v>
      </c>
      <c r="I27" s="139" t="s">
        <v>5609</v>
      </c>
      <c r="J27" s="139" t="b">
        <v>0</v>
      </c>
      <c r="K27" s="139" t="b">
        <v>0</v>
      </c>
      <c r="L27" s="139"/>
      <c r="M27" s="139" t="s">
        <v>5608</v>
      </c>
    </row>
    <row r="28" spans="1:13" ht="45">
      <c r="A28" s="138">
        <v>23</v>
      </c>
      <c r="B28" s="139" t="s">
        <v>5610</v>
      </c>
      <c r="C28" s="139" t="s">
        <v>5611</v>
      </c>
      <c r="D28" s="138" t="s">
        <v>5612</v>
      </c>
      <c r="E28" s="139">
        <v>23</v>
      </c>
      <c r="F28" s="139"/>
      <c r="G28" s="139" t="s">
        <v>5610</v>
      </c>
      <c r="H28" s="139" t="s">
        <v>5611</v>
      </c>
      <c r="I28" s="139" t="s">
        <v>5613</v>
      </c>
      <c r="J28" s="139" t="b">
        <v>0</v>
      </c>
      <c r="K28" s="139" t="b">
        <v>1</v>
      </c>
      <c r="L28" s="139"/>
      <c r="M28" s="139" t="s">
        <v>5612</v>
      </c>
    </row>
    <row r="29" spans="1:13" ht="75">
      <c r="A29" s="138">
        <v>24</v>
      </c>
      <c r="B29" s="139" t="s">
        <v>5614</v>
      </c>
      <c r="C29" s="139" t="s">
        <v>5615</v>
      </c>
      <c r="D29" s="138" t="s">
        <v>5616</v>
      </c>
      <c r="E29" s="139">
        <v>24</v>
      </c>
      <c r="F29" s="139"/>
      <c r="G29" s="139" t="s">
        <v>5614</v>
      </c>
      <c r="H29" s="139" t="s">
        <v>5615</v>
      </c>
      <c r="I29" s="139" t="s">
        <v>5617</v>
      </c>
      <c r="J29" s="139" t="b">
        <v>0</v>
      </c>
      <c r="K29" s="139" t="b">
        <v>0</v>
      </c>
      <c r="L29" s="139"/>
      <c r="M29" s="139" t="s">
        <v>5616</v>
      </c>
    </row>
    <row r="30" spans="1:13" ht="75">
      <c r="A30" s="138">
        <v>25</v>
      </c>
      <c r="B30" s="139" t="s">
        <v>5618</v>
      </c>
      <c r="C30" s="139" t="s">
        <v>5619</v>
      </c>
      <c r="D30" s="138" t="s">
        <v>5620</v>
      </c>
      <c r="E30" s="139">
        <v>25</v>
      </c>
      <c r="F30" s="139"/>
      <c r="G30" s="139" t="s">
        <v>5618</v>
      </c>
      <c r="H30" s="139" t="s">
        <v>5619</v>
      </c>
      <c r="I30" s="139" t="s">
        <v>5621</v>
      </c>
      <c r="J30" s="139" t="b">
        <v>0</v>
      </c>
      <c r="K30" s="139" t="b">
        <v>0</v>
      </c>
      <c r="L30" s="139"/>
      <c r="M30" s="139" t="s">
        <v>5620</v>
      </c>
    </row>
    <row r="31" spans="1:13" ht="60">
      <c r="A31" s="138">
        <v>26</v>
      </c>
      <c r="B31" s="139" t="s">
        <v>5622</v>
      </c>
      <c r="C31" s="139" t="s">
        <v>5623</v>
      </c>
      <c r="D31" s="138" t="s">
        <v>5624</v>
      </c>
      <c r="E31" s="139">
        <v>26</v>
      </c>
      <c r="F31" s="139"/>
      <c r="G31" s="139" t="s">
        <v>5622</v>
      </c>
      <c r="H31" s="139" t="s">
        <v>5623</v>
      </c>
      <c r="I31" s="139" t="s">
        <v>5625</v>
      </c>
      <c r="J31" s="139" t="b">
        <v>0</v>
      </c>
      <c r="K31" s="139" t="b">
        <v>0</v>
      </c>
      <c r="L31" s="139"/>
      <c r="M31" s="139" t="s">
        <v>5624</v>
      </c>
    </row>
    <row r="32" spans="1:13" ht="75">
      <c r="A32" s="138">
        <v>27</v>
      </c>
      <c r="B32" s="139" t="s">
        <v>5626</v>
      </c>
      <c r="C32" s="139" t="s">
        <v>5627</v>
      </c>
      <c r="D32" s="138" t="s">
        <v>5628</v>
      </c>
      <c r="E32" s="139">
        <v>27</v>
      </c>
      <c r="F32" s="139"/>
      <c r="G32" s="139" t="s">
        <v>5626</v>
      </c>
      <c r="H32" s="139" t="s">
        <v>5627</v>
      </c>
      <c r="I32" s="139" t="s">
        <v>5629</v>
      </c>
      <c r="J32" s="139" t="b">
        <v>0</v>
      </c>
      <c r="K32" s="139" t="b">
        <v>0</v>
      </c>
      <c r="L32" s="139"/>
      <c r="M32" s="139" t="s">
        <v>5628</v>
      </c>
    </row>
    <row r="33" spans="1:13" ht="60">
      <c r="A33" s="138">
        <v>28</v>
      </c>
      <c r="B33" s="139" t="s">
        <v>5630</v>
      </c>
      <c r="C33" s="139" t="s">
        <v>5631</v>
      </c>
      <c r="D33" s="138" t="s">
        <v>5632</v>
      </c>
      <c r="E33" s="139">
        <v>28</v>
      </c>
      <c r="F33" s="139"/>
      <c r="G33" s="139" t="s">
        <v>5630</v>
      </c>
      <c r="H33" s="139" t="s">
        <v>5631</v>
      </c>
      <c r="I33" s="139" t="s">
        <v>5633</v>
      </c>
      <c r="J33" s="139" t="b">
        <v>0</v>
      </c>
      <c r="K33" s="139" t="b">
        <v>0</v>
      </c>
      <c r="L33" s="139"/>
      <c r="M33" s="139" t="s">
        <v>5632</v>
      </c>
    </row>
    <row r="34" spans="1:13" ht="75">
      <c r="A34" s="138">
        <v>29</v>
      </c>
      <c r="B34" s="139" t="s">
        <v>5634</v>
      </c>
      <c r="C34" s="139" t="s">
        <v>5635</v>
      </c>
      <c r="D34" s="138" t="s">
        <v>5636</v>
      </c>
      <c r="E34" s="139">
        <v>29</v>
      </c>
      <c r="F34" s="139"/>
      <c r="G34" s="139" t="s">
        <v>5634</v>
      </c>
      <c r="H34" s="139" t="s">
        <v>5635</v>
      </c>
      <c r="I34" s="139" t="s">
        <v>5637</v>
      </c>
      <c r="J34" s="139" t="b">
        <v>0</v>
      </c>
      <c r="K34" s="139" t="b">
        <v>0</v>
      </c>
      <c r="L34" s="139"/>
      <c r="M34" s="139" t="s">
        <v>5636</v>
      </c>
    </row>
    <row r="35" spans="1:13" ht="60">
      <c r="A35" s="138">
        <v>30</v>
      </c>
      <c r="B35" s="139" t="s">
        <v>5638</v>
      </c>
      <c r="C35" s="139" t="s">
        <v>5639</v>
      </c>
      <c r="D35" s="138" t="s">
        <v>5640</v>
      </c>
      <c r="E35" s="139">
        <v>30</v>
      </c>
      <c r="F35" s="139"/>
      <c r="G35" s="139" t="s">
        <v>5638</v>
      </c>
      <c r="H35" s="139" t="s">
        <v>5639</v>
      </c>
      <c r="I35" s="139" t="s">
        <v>5641</v>
      </c>
      <c r="J35" s="139" t="b">
        <v>0</v>
      </c>
      <c r="K35" s="139" t="b">
        <v>0</v>
      </c>
      <c r="L35" s="139"/>
      <c r="M35" s="139" t="s">
        <v>5640</v>
      </c>
    </row>
    <row r="36" spans="1:13" ht="60">
      <c r="A36" s="138">
        <v>31</v>
      </c>
      <c r="B36" s="139" t="s">
        <v>5642</v>
      </c>
      <c r="C36" s="139" t="s">
        <v>5643</v>
      </c>
      <c r="D36" s="138" t="s">
        <v>5644</v>
      </c>
      <c r="E36" s="139">
        <v>31</v>
      </c>
      <c r="F36" s="139"/>
      <c r="G36" s="139" t="s">
        <v>5642</v>
      </c>
      <c r="H36" s="139" t="s">
        <v>5643</v>
      </c>
      <c r="I36" s="139" t="s">
        <v>5645</v>
      </c>
      <c r="J36" s="139" t="b">
        <v>0</v>
      </c>
      <c r="K36" s="139" t="b">
        <v>0</v>
      </c>
      <c r="L36" s="139"/>
      <c r="M36" s="139" t="s">
        <v>5644</v>
      </c>
    </row>
    <row r="37" spans="1:13" ht="75">
      <c r="A37" s="138">
        <v>32</v>
      </c>
      <c r="B37" s="139" t="s">
        <v>5646</v>
      </c>
      <c r="C37" s="139" t="s">
        <v>5647</v>
      </c>
      <c r="D37" s="138" t="s">
        <v>5648</v>
      </c>
      <c r="E37" s="139">
        <v>32</v>
      </c>
      <c r="F37" s="139"/>
      <c r="G37" s="139" t="s">
        <v>5646</v>
      </c>
      <c r="H37" s="139" t="s">
        <v>5647</v>
      </c>
      <c r="I37" s="139" t="s">
        <v>5649</v>
      </c>
      <c r="J37" s="139" t="b">
        <v>0</v>
      </c>
      <c r="K37" s="139" t="b">
        <v>0</v>
      </c>
      <c r="L37" s="139"/>
      <c r="M37" s="139" t="s">
        <v>5648</v>
      </c>
    </row>
    <row r="38" spans="1:13" ht="60">
      <c r="A38" s="138">
        <v>33</v>
      </c>
      <c r="B38" s="139" t="s">
        <v>5650</v>
      </c>
      <c r="C38" s="139" t="s">
        <v>5651</v>
      </c>
      <c r="D38" s="138" t="s">
        <v>5652</v>
      </c>
      <c r="E38" s="139">
        <v>33</v>
      </c>
      <c r="F38" s="139"/>
      <c r="G38" s="139" t="s">
        <v>5650</v>
      </c>
      <c r="H38" s="139" t="s">
        <v>5651</v>
      </c>
      <c r="I38" s="139" t="s">
        <v>5653</v>
      </c>
      <c r="J38" s="139" t="b">
        <v>0</v>
      </c>
      <c r="K38" s="139" t="b">
        <v>0</v>
      </c>
      <c r="L38" s="139"/>
      <c r="M38" s="139" t="s">
        <v>5652</v>
      </c>
    </row>
    <row r="39" spans="1:13" ht="90">
      <c r="A39" s="138">
        <v>34</v>
      </c>
      <c r="B39" s="139" t="s">
        <v>5654</v>
      </c>
      <c r="C39" s="139" t="s">
        <v>5655</v>
      </c>
      <c r="D39" s="138" t="s">
        <v>5656</v>
      </c>
      <c r="E39" s="139">
        <v>34</v>
      </c>
      <c r="F39" s="139"/>
      <c r="G39" s="139" t="s">
        <v>5654</v>
      </c>
      <c r="H39" s="139" t="s">
        <v>5655</v>
      </c>
      <c r="I39" s="139" t="s">
        <v>5657</v>
      </c>
      <c r="J39" s="139" t="b">
        <v>0</v>
      </c>
      <c r="K39" s="139" t="b">
        <v>0</v>
      </c>
      <c r="L39" s="139"/>
      <c r="M39" s="139" t="s">
        <v>5656</v>
      </c>
    </row>
    <row r="40" spans="1:13" ht="60">
      <c r="A40" s="138">
        <v>35</v>
      </c>
      <c r="B40" s="139" t="s">
        <v>5658</v>
      </c>
      <c r="C40" s="139" t="s">
        <v>5659</v>
      </c>
      <c r="D40" s="138" t="s">
        <v>5660</v>
      </c>
      <c r="E40" s="139">
        <v>35</v>
      </c>
      <c r="F40" s="139"/>
      <c r="G40" s="139" t="s">
        <v>5658</v>
      </c>
      <c r="H40" s="139" t="s">
        <v>5659</v>
      </c>
      <c r="I40" s="139" t="s">
        <v>5661</v>
      </c>
      <c r="J40" s="139" t="b">
        <v>0</v>
      </c>
      <c r="K40" s="139" t="b">
        <v>1</v>
      </c>
      <c r="L40" s="139"/>
      <c r="M40" s="139" t="s">
        <v>5660</v>
      </c>
    </row>
    <row r="41" spans="1:13" ht="60">
      <c r="A41" s="138">
        <v>36</v>
      </c>
      <c r="B41" s="139" t="s">
        <v>5662</v>
      </c>
      <c r="C41" s="139" t="s">
        <v>5663</v>
      </c>
      <c r="D41" s="138" t="s">
        <v>5664</v>
      </c>
      <c r="E41" s="139">
        <v>36</v>
      </c>
      <c r="F41" s="139"/>
      <c r="G41" s="139" t="s">
        <v>5662</v>
      </c>
      <c r="H41" s="139" t="s">
        <v>5663</v>
      </c>
      <c r="I41" s="139" t="s">
        <v>5665</v>
      </c>
      <c r="J41" s="139" t="b">
        <v>0</v>
      </c>
      <c r="K41" s="139" t="b">
        <v>0</v>
      </c>
      <c r="L41" s="139"/>
      <c r="M41" s="139" t="s">
        <v>5664</v>
      </c>
    </row>
    <row r="42" spans="1:13" ht="45">
      <c r="A42" s="138">
        <v>37</v>
      </c>
      <c r="B42" s="139" t="s">
        <v>5666</v>
      </c>
      <c r="C42" s="139" t="s">
        <v>5667</v>
      </c>
      <c r="D42" s="138" t="s">
        <v>5668</v>
      </c>
      <c r="E42" s="139">
        <v>37</v>
      </c>
      <c r="F42" s="139"/>
      <c r="G42" s="139" t="s">
        <v>5666</v>
      </c>
      <c r="H42" s="139" t="s">
        <v>5667</v>
      </c>
      <c r="I42" s="139" t="s">
        <v>5669</v>
      </c>
      <c r="J42" s="139" t="b">
        <v>0</v>
      </c>
      <c r="K42" s="139" t="b">
        <v>0</v>
      </c>
      <c r="L42" s="139"/>
      <c r="M42" s="139" t="s">
        <v>5668</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F16" sqref="F1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75" customWidth="1"/>
    <col min="10" max="21" width="9.140625" style="84" customWidth="1"/>
    <col min="22" max="16384" width="9.140625" style="84"/>
  </cols>
  <sheetData>
    <row r="1" spans="1:9" ht="34.5" customHeight="1"/>
    <row r="2" spans="1:9" ht="7.5" customHeight="1">
      <c r="A2" s="1"/>
      <c r="B2" s="1"/>
      <c r="C2" s="2"/>
      <c r="D2" s="1"/>
      <c r="E2" s="1"/>
      <c r="F2" s="1"/>
      <c r="G2" s="23"/>
      <c r="H2" s="1"/>
    </row>
    <row r="3" spans="1:9">
      <c r="C3" s="308" t="s">
        <v>5503</v>
      </c>
      <c r="D3" s="308"/>
      <c r="E3" s="308"/>
      <c r="F3" s="308"/>
      <c r="G3" s="308"/>
    </row>
    <row r="4" spans="1:9" ht="9.75" customHeight="1">
      <c r="A4" s="25"/>
      <c r="B4" s="25"/>
      <c r="C4" s="26"/>
      <c r="D4" s="25"/>
      <c r="E4" s="25"/>
      <c r="F4" s="25"/>
      <c r="G4" s="27"/>
      <c r="H4" s="25"/>
    </row>
    <row r="5" spans="1:9" ht="36" customHeight="1">
      <c r="A5" s="28" t="s">
        <v>5504</v>
      </c>
      <c r="B5" s="31" t="s">
        <v>5505</v>
      </c>
      <c r="C5" s="29" t="s">
        <v>5452</v>
      </c>
      <c r="D5" s="28" t="s">
        <v>5506</v>
      </c>
      <c r="E5" s="30" t="s">
        <v>5507</v>
      </c>
      <c r="F5" s="30" t="s">
        <v>5508</v>
      </c>
      <c r="G5" s="31" t="s">
        <v>5509</v>
      </c>
      <c r="H5" s="31" t="s">
        <v>5510</v>
      </c>
      <c r="I5" s="30" t="s">
        <v>5511</v>
      </c>
    </row>
    <row r="6" spans="1:9" s="4" customFormat="1">
      <c r="A6" s="139"/>
      <c r="B6" s="139"/>
      <c r="C6" s="139"/>
      <c r="D6" s="139"/>
      <c r="E6" s="184"/>
      <c r="F6" s="139"/>
      <c r="G6" s="139"/>
      <c r="H6" s="139"/>
      <c r="I6" s="139"/>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7" width="3.140625" style="17" customWidth="1"/>
    <col min="58" max="16384" width="3.140625" style="17"/>
  </cols>
  <sheetData>
    <row r="1" spans="2:45" ht="19.7" customHeight="1">
      <c r="B1" s="331" t="s">
        <v>5443</v>
      </c>
      <c r="C1" s="331"/>
      <c r="D1" s="331"/>
      <c r="E1" s="331"/>
      <c r="F1" s="331"/>
      <c r="G1" s="331"/>
      <c r="H1" s="331"/>
      <c r="I1" s="331"/>
      <c r="J1" s="331"/>
      <c r="K1" s="331"/>
      <c r="L1" s="331"/>
      <c r="M1" s="331"/>
      <c r="P1" s="312" t="s">
        <v>5444</v>
      </c>
      <c r="Q1" s="312"/>
      <c r="R1" s="312"/>
      <c r="S1" s="312"/>
      <c r="T1" s="312"/>
      <c r="U1" s="312"/>
      <c r="V1" s="312"/>
      <c r="W1" s="312"/>
      <c r="X1" s="312"/>
      <c r="Y1" s="312"/>
      <c r="Z1" s="312"/>
      <c r="AA1" s="312"/>
      <c r="AB1" s="312"/>
      <c r="AC1" s="312"/>
      <c r="AD1" s="312"/>
      <c r="AE1" s="32"/>
    </row>
    <row r="2" spans="2:45" ht="19.7" customHeight="1">
      <c r="C2" s="331" t="s">
        <v>5445</v>
      </c>
      <c r="D2" s="331"/>
      <c r="E2" s="331"/>
      <c r="F2" s="331"/>
      <c r="G2" s="331"/>
      <c r="H2" s="331"/>
      <c r="I2" s="331"/>
      <c r="J2" s="331"/>
      <c r="K2" s="331"/>
      <c r="L2" s="331"/>
      <c r="N2" s="33"/>
      <c r="P2" s="320" t="s">
        <v>5446</v>
      </c>
      <c r="Q2" s="320"/>
      <c r="R2" s="320"/>
      <c r="S2" s="320"/>
      <c r="T2" s="320"/>
      <c r="U2" s="320"/>
      <c r="V2" s="320"/>
      <c r="W2" s="320"/>
      <c r="X2" s="320"/>
      <c r="Y2" s="320"/>
      <c r="Z2" s="320"/>
      <c r="AA2" s="320"/>
      <c r="AB2" s="320"/>
      <c r="AC2" s="320"/>
      <c r="AD2" s="320"/>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5" t="s">
        <v>5448</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40.5" customHeight="1">
      <c r="C16" s="332" t="s">
        <v>5452</v>
      </c>
      <c r="D16" s="333"/>
      <c r="E16" s="333"/>
      <c r="F16" s="333"/>
      <c r="G16" s="333"/>
      <c r="H16" s="333"/>
      <c r="I16" s="333"/>
      <c r="J16" s="333"/>
      <c r="K16" s="333"/>
      <c r="L16" s="334"/>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52" t="s">
        <v>5453</v>
      </c>
    </row>
    <row r="17" spans="3:48" ht="19.5" customHeight="1">
      <c r="C17" s="332" t="s">
        <v>5454</v>
      </c>
      <c r="D17" s="333"/>
      <c r="E17" s="333"/>
      <c r="F17" s="333"/>
      <c r="G17" s="333"/>
      <c r="H17" s="333"/>
      <c r="I17" s="333"/>
      <c r="J17" s="333"/>
      <c r="K17" s="333"/>
      <c r="L17" s="334"/>
      <c r="M17" s="321" t="str">
        <f>IF(AG17="","",AG17)</f>
        <v/>
      </c>
      <c r="N17" s="322"/>
      <c r="O17" s="322"/>
      <c r="P17" s="322"/>
      <c r="Q17" s="322"/>
      <c r="R17" s="322"/>
      <c r="S17" s="322"/>
      <c r="T17" s="322"/>
      <c r="U17" s="322"/>
      <c r="V17" s="322"/>
      <c r="W17" s="322"/>
      <c r="X17" s="322"/>
      <c r="Y17" s="322"/>
      <c r="Z17" s="322"/>
      <c r="AA17" s="322"/>
      <c r="AB17" s="322"/>
      <c r="AC17" s="322"/>
      <c r="AD17" s="323"/>
      <c r="AE17" s="50"/>
    </row>
    <row r="18" spans="3:48" ht="33.950000000000003" customHeight="1">
      <c r="C18" s="328" t="s">
        <v>5455</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5456</v>
      </c>
    </row>
    <row r="19" spans="3:48" ht="33.950000000000003" customHeight="1">
      <c r="C19" s="328" t="s">
        <v>5457</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5456</v>
      </c>
    </row>
    <row r="20" spans="3:48" ht="21" customHeight="1">
      <c r="C20" s="344" t="s">
        <v>5458</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8" ht="33.950000000000003" customHeight="1">
      <c r="C21" s="338" t="s">
        <v>5459</v>
      </c>
      <c r="D21" s="338"/>
      <c r="E21" s="338"/>
      <c r="F21" s="338"/>
      <c r="G21" s="338"/>
      <c r="H21" s="338"/>
      <c r="I21" s="338"/>
      <c r="J21" s="338"/>
      <c r="K21" s="338"/>
      <c r="L21" s="338"/>
      <c r="M21" s="321" t="str">
        <f>AG21</f>
        <v>A</v>
      </c>
      <c r="N21" s="322"/>
      <c r="O21" s="322"/>
      <c r="P21" s="322"/>
      <c r="Q21" s="322"/>
      <c r="R21" s="322"/>
      <c r="S21" s="322"/>
      <c r="T21" s="322"/>
      <c r="U21" s="322"/>
      <c r="V21" s="322"/>
      <c r="W21" s="322"/>
      <c r="X21" s="322"/>
      <c r="Y21" s="322"/>
      <c r="Z21" s="322"/>
      <c r="AA21" s="322"/>
      <c r="AB21" s="322"/>
      <c r="AC21" s="322"/>
      <c r="AD21" s="323"/>
      <c r="AE21" s="50"/>
      <c r="AG21" s="46" t="s">
        <v>5460</v>
      </c>
      <c r="AK21" s="46" t="s">
        <v>5461</v>
      </c>
      <c r="AO21" s="46" t="s">
        <v>5462</v>
      </c>
      <c r="AS21" s="46" t="s">
        <v>5463</v>
      </c>
    </row>
    <row r="22" spans="3:48" ht="19.7" customHeight="1">
      <c r="C22" s="347" t="s">
        <v>5464</v>
      </c>
      <c r="D22" s="348"/>
      <c r="E22" s="348"/>
      <c r="F22" s="348"/>
      <c r="G22" s="348"/>
      <c r="H22" s="348"/>
      <c r="I22" s="348"/>
      <c r="J22" s="348"/>
      <c r="K22" s="348"/>
      <c r="L22" s="349"/>
      <c r="M22" s="321">
        <f>AG22</f>
        <v>4</v>
      </c>
      <c r="N22" s="322"/>
      <c r="O22" s="322"/>
      <c r="P22" s="322"/>
      <c r="Q22" s="322"/>
      <c r="R22" s="322"/>
      <c r="S22" s="322"/>
      <c r="T22" s="322"/>
      <c r="U22" s="322"/>
      <c r="V22" s="322"/>
      <c r="W22" s="322"/>
      <c r="X22" s="322"/>
      <c r="Y22" s="322"/>
      <c r="Z22" s="322"/>
      <c r="AA22" s="322"/>
      <c r="AB22" s="322"/>
      <c r="AC22" s="322"/>
      <c r="AD22" s="323"/>
      <c r="AE22" s="50"/>
      <c r="AG22" s="51">
        <v>4</v>
      </c>
      <c r="AH22" s="51"/>
      <c r="AI22" s="51"/>
      <c r="AJ22" s="51"/>
      <c r="AK22" s="51">
        <v>1</v>
      </c>
      <c r="AL22" s="51"/>
      <c r="AM22" s="51"/>
      <c r="AN22" s="51"/>
      <c r="AO22" s="51">
        <v>3</v>
      </c>
      <c r="AS22" s="17">
        <v>1</v>
      </c>
    </row>
    <row r="23" spans="3:48" ht="19.7" customHeight="1">
      <c r="C23" s="338" t="s">
        <v>5465</v>
      </c>
      <c r="D23" s="338"/>
      <c r="E23" s="338"/>
      <c r="F23" s="338"/>
      <c r="G23" s="338"/>
      <c r="H23" s="338"/>
      <c r="I23" s="338"/>
      <c r="J23" s="338"/>
      <c r="K23" s="338"/>
      <c r="L23" s="338"/>
      <c r="M23" s="341" t="str">
        <f>AG23</f>
        <v>4/4/4</v>
      </c>
      <c r="N23" s="342"/>
      <c r="O23" s="342"/>
      <c r="P23" s="342"/>
      <c r="Q23" s="342"/>
      <c r="R23" s="342"/>
      <c r="S23" s="342"/>
      <c r="T23" s="342"/>
      <c r="U23" s="342"/>
      <c r="V23" s="342"/>
      <c r="W23" s="342"/>
      <c r="X23" s="342"/>
      <c r="Y23" s="342"/>
      <c r="Z23" s="342"/>
      <c r="AA23" s="342"/>
      <c r="AB23" s="342"/>
      <c r="AC23" s="342"/>
      <c r="AD23" s="343"/>
      <c r="AE23" s="55"/>
      <c r="AG23" s="56" t="s">
        <v>5466</v>
      </c>
      <c r="AH23" s="57"/>
      <c r="AI23" s="57"/>
      <c r="AJ23" s="57"/>
      <c r="AK23" s="56" t="s">
        <v>5467</v>
      </c>
      <c r="AL23" s="57"/>
      <c r="AM23" s="57"/>
      <c r="AN23" s="57"/>
      <c r="AO23" s="56" t="s">
        <v>5468</v>
      </c>
      <c r="AP23" s="57"/>
      <c r="AQ23" s="57"/>
      <c r="AR23" s="57"/>
      <c r="AS23" s="56" t="s">
        <v>5469</v>
      </c>
    </row>
    <row r="24" spans="3:48" ht="19.7" customHeight="1">
      <c r="C24" s="347" t="s">
        <v>5470</v>
      </c>
      <c r="D24" s="348"/>
      <c r="E24" s="348"/>
      <c r="F24" s="348"/>
      <c r="G24" s="348"/>
      <c r="H24" s="348"/>
      <c r="I24" s="348"/>
      <c r="J24" s="348"/>
      <c r="K24" s="348"/>
      <c r="L24" s="349"/>
      <c r="M24" s="321" t="str">
        <f>IF(M22=4,AG24&amp;"W/ "&amp;AH24&amp;"W/ "&amp;AI24&amp;"W/ "&amp;AJ24&amp;"W",IF(M22=3,AG24&amp;"W/ "&amp;AH24&amp;"W/ "&amp;AI24&amp;"W",IF(M22=2,AG24&amp;"W/ "&amp;AH24&amp;"W",AG24&amp;"W")))</f>
        <v>20W/ 20W/ 20W/ 20W</v>
      </c>
      <c r="N24" s="322"/>
      <c r="O24" s="322"/>
      <c r="P24" s="322"/>
      <c r="Q24" s="322"/>
      <c r="R24" s="322"/>
      <c r="S24" s="322"/>
      <c r="T24" s="322"/>
      <c r="U24" s="322"/>
      <c r="V24" s="322"/>
      <c r="W24" s="322"/>
      <c r="X24" s="322"/>
      <c r="Y24" s="322"/>
      <c r="Z24" s="322"/>
      <c r="AA24" s="322"/>
      <c r="AB24" s="322"/>
      <c r="AC24" s="322"/>
      <c r="AD24" s="323"/>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38" t="s">
        <v>5471</v>
      </c>
      <c r="D25" s="338"/>
      <c r="E25" s="338"/>
      <c r="F25" s="338"/>
      <c r="G25" s="338"/>
      <c r="H25" s="338"/>
      <c r="I25" s="338"/>
      <c r="J25" s="338"/>
      <c r="K25" s="338"/>
      <c r="L25" s="338"/>
      <c r="M25" s="321" t="str">
        <f>IF(AG25="900 &amp; 1800","900MHz &amp; 1800MHz",IF(AG25="900 &amp; 2100","900MHz &amp; 2100MHz",IF(AG25="1800 &amp; 2100","1800MHz &amp; 2100MHz",AG25&amp;"MHz")))</f>
        <v>900MHz</v>
      </c>
      <c r="N25" s="322"/>
      <c r="O25" s="322"/>
      <c r="P25" s="322"/>
      <c r="Q25" s="322"/>
      <c r="R25" s="322"/>
      <c r="S25" s="322"/>
      <c r="T25" s="322"/>
      <c r="U25" s="322"/>
      <c r="V25" s="322"/>
      <c r="W25" s="322"/>
      <c r="X25" s="322"/>
      <c r="Y25" s="322"/>
      <c r="Z25" s="322"/>
      <c r="AA25" s="322"/>
      <c r="AB25" s="322"/>
      <c r="AC25" s="322"/>
      <c r="AD25" s="323"/>
      <c r="AE25" s="50"/>
      <c r="AG25" s="17">
        <v>900</v>
      </c>
      <c r="AK25" s="17">
        <v>1800</v>
      </c>
      <c r="AO25" s="17">
        <v>2100</v>
      </c>
      <c r="AS25" s="46" t="s">
        <v>5472</v>
      </c>
    </row>
    <row r="26" spans="3:48" ht="33.950000000000003" customHeight="1">
      <c r="C26" s="338" t="s">
        <v>5473</v>
      </c>
      <c r="D26" s="338"/>
      <c r="E26" s="338"/>
      <c r="F26" s="338"/>
      <c r="G26" s="338"/>
      <c r="H26" s="338"/>
      <c r="I26" s="338"/>
      <c r="J26" s="338"/>
      <c r="K26" s="338"/>
      <c r="L26" s="338"/>
      <c r="M26" s="321">
        <f>AG26</f>
        <v>15</v>
      </c>
      <c r="N26" s="322"/>
      <c r="O26" s="322"/>
      <c r="P26" s="322"/>
      <c r="Q26" s="322"/>
      <c r="R26" s="322"/>
      <c r="S26" s="322"/>
      <c r="T26" s="322"/>
      <c r="U26" s="322"/>
      <c r="V26" s="322"/>
      <c r="W26" s="322"/>
      <c r="X26" s="322"/>
      <c r="Y26" s="322"/>
      <c r="Z26" s="322"/>
      <c r="AA26" s="322"/>
      <c r="AB26" s="322"/>
      <c r="AC26" s="322"/>
      <c r="AD26" s="323"/>
      <c r="AE26" s="53"/>
      <c r="AG26" s="17">
        <v>15</v>
      </c>
      <c r="AK26" s="17">
        <v>16</v>
      </c>
      <c r="AO26" s="17">
        <v>17</v>
      </c>
      <c r="AS26" s="17">
        <v>18</v>
      </c>
    </row>
    <row r="27" spans="3:48"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8"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8"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8"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8"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1: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1:48" ht="17.100000000000001" customHeight="1">
      <c r="C34" s="318"/>
      <c r="D34" s="318"/>
      <c r="E34" s="318"/>
      <c r="F34" s="318"/>
      <c r="G34" s="318"/>
      <c r="H34" s="58"/>
      <c r="I34" s="319"/>
      <c r="J34" s="319"/>
      <c r="K34" s="319"/>
      <c r="L34" s="319"/>
      <c r="M34" s="319"/>
      <c r="N34" s="319"/>
      <c r="O34" s="58"/>
      <c r="P34" s="32"/>
      <c r="Q34" s="32"/>
      <c r="R34" s="32"/>
      <c r="S34" s="32"/>
      <c r="T34" s="313" t="str">
        <f>IF(AI41=0,AN34,IF(AI41=1,AK34,AR34))</f>
        <v>KT. GIÁM ĐỐC</v>
      </c>
      <c r="U34" s="313"/>
      <c r="V34" s="313"/>
      <c r="W34" s="313"/>
      <c r="X34" s="313"/>
      <c r="Y34" s="313"/>
      <c r="Z34" s="313"/>
      <c r="AA34" s="313"/>
      <c r="AB34" s="313"/>
      <c r="AC34" s="313"/>
      <c r="AD34" s="313"/>
      <c r="AE34" s="313"/>
      <c r="AK34" s="17" t="s">
        <v>5479</v>
      </c>
      <c r="AN34" s="17" t="s">
        <v>5480</v>
      </c>
      <c r="AR34" s="17" t="s">
        <v>5481</v>
      </c>
    </row>
    <row r="35" spans="1:48" ht="17.100000000000001" customHeight="1">
      <c r="C35" s="314" t="s">
        <v>5482</v>
      </c>
      <c r="D35" s="314"/>
      <c r="E35" s="314"/>
      <c r="F35" s="314"/>
      <c r="G35" s="314"/>
      <c r="H35" s="61" t="s">
        <v>5483</v>
      </c>
      <c r="I35" s="316" t="s">
        <v>5484</v>
      </c>
      <c r="J35" s="316"/>
      <c r="K35" s="316"/>
      <c r="L35" s="316"/>
      <c r="M35" s="316"/>
      <c r="N35" s="316"/>
      <c r="O35" s="62"/>
      <c r="P35" s="62"/>
      <c r="Q35" s="58"/>
      <c r="R35" s="58"/>
      <c r="S35" s="58"/>
      <c r="T35" s="313" t="str">
        <f>IF(AI41=0,AN35,IF(AI41=1,"",AR35))</f>
        <v>PHÓ GIÁM ĐỐC</v>
      </c>
      <c r="U35" s="313"/>
      <c r="V35" s="313"/>
      <c r="W35" s="313"/>
      <c r="X35" s="313"/>
      <c r="Y35" s="313"/>
      <c r="Z35" s="313"/>
      <c r="AA35" s="313"/>
      <c r="AB35" s="313"/>
      <c r="AC35" s="313"/>
      <c r="AD35" s="313"/>
      <c r="AE35" s="313"/>
      <c r="AN35" s="17" t="s">
        <v>5485</v>
      </c>
      <c r="AR35" s="17" t="s">
        <v>5486</v>
      </c>
    </row>
    <row r="36" spans="1: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1: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1: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1:48" ht="17.100000000000001" customHeight="1">
      <c r="C41" s="65"/>
      <c r="D41" s="65"/>
      <c r="E41" s="65"/>
      <c r="F41" s="42"/>
      <c r="G41" s="35"/>
      <c r="H41" s="35"/>
      <c r="I41" s="35"/>
      <c r="J41" s="35"/>
      <c r="K41" s="35"/>
      <c r="L41" s="35"/>
      <c r="M41" s="35"/>
      <c r="N41" s="35"/>
      <c r="O41" s="35"/>
      <c r="P41" s="35"/>
      <c r="Q41" s="35"/>
      <c r="R41" s="35"/>
      <c r="S41" s="35"/>
      <c r="T41" s="312" t="str">
        <f>IF(AI41=0,AO41,IF(AI41=1,AK41,AS41))</f>
        <v>Trần Công Khanh</v>
      </c>
      <c r="U41" s="312"/>
      <c r="V41" s="312"/>
      <c r="W41" s="312"/>
      <c r="X41" s="312"/>
      <c r="Y41" s="312"/>
      <c r="Z41" s="312"/>
      <c r="AA41" s="312"/>
      <c r="AB41" s="312"/>
      <c r="AC41" s="312"/>
      <c r="AD41" s="312"/>
      <c r="AE41" s="312"/>
      <c r="AI41" s="17">
        <v>0</v>
      </c>
      <c r="AK41" s="17" t="s">
        <v>5489</v>
      </c>
      <c r="AO41" s="17" t="s">
        <v>5490</v>
      </c>
      <c r="AS41" s="17" t="s">
        <v>5491</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87"/>
    </row>
    <row r="44" spans="1:48" ht="16.5" customHeight="1">
      <c r="A44" s="34"/>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87"/>
    </row>
    <row r="45" spans="1:48" ht="16.5" customHeight="1">
      <c r="A45" s="34"/>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c r="AE45" s="86"/>
    </row>
    <row r="46" spans="1:48" ht="16.5" customHeight="1">
      <c r="A46" s="34"/>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86"/>
    </row>
    <row r="47" spans="1:48" ht="16.5" customHeight="1">
      <c r="A47" s="34"/>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86"/>
    </row>
    <row r="48" spans="1:48" ht="16.5" customHeight="1">
      <c r="A48" s="34"/>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E49" s="86"/>
      <c r="AG49" s="46" t="s">
        <v>5456</v>
      </c>
      <c r="AI49" s="46" t="s">
        <v>5499</v>
      </c>
      <c r="AJ49" s="46"/>
      <c r="AL49" s="56" t="s">
        <v>5466</v>
      </c>
      <c r="AO49" s="17">
        <v>20</v>
      </c>
      <c r="AP49" s="17">
        <v>30</v>
      </c>
      <c r="AQ49" s="17">
        <v>40</v>
      </c>
      <c r="AR49" s="17">
        <v>50</v>
      </c>
      <c r="AS49" s="17">
        <v>900</v>
      </c>
      <c r="AT49" s="17">
        <v>15</v>
      </c>
    </row>
    <row r="50" spans="1:46" ht="18.75" customHeight="1">
      <c r="A50" s="34"/>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c r="AE50" s="86"/>
    </row>
    <row r="51" spans="1:46" ht="18.75" customHeight="1">
      <c r="A51" s="34"/>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c r="AE51" s="86"/>
    </row>
    <row r="52" spans="1:46" ht="18.75" customHeight="1">
      <c r="A52" s="34"/>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c r="AE52" s="86"/>
    </row>
    <row r="53" spans="1:46" ht="18.75" customHeight="1">
      <c r="A53" s="34"/>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50W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E53" s="86"/>
      <c r="AG53" s="46" t="s">
        <v>5456</v>
      </c>
      <c r="AI53" s="46" t="s">
        <v>5499</v>
      </c>
      <c r="AJ53" s="46"/>
      <c r="AL53" s="56" t="s">
        <v>5466</v>
      </c>
      <c r="AO53" s="17">
        <v>20</v>
      </c>
      <c r="AP53" s="17">
        <v>30</v>
      </c>
      <c r="AQ53" s="17">
        <v>40</v>
      </c>
      <c r="AR53" s="17">
        <v>50</v>
      </c>
      <c r="AS53" s="17">
        <v>1800</v>
      </c>
      <c r="AT53" s="17">
        <v>15</v>
      </c>
    </row>
    <row r="54" spans="1:46" ht="18.75" customHeight="1">
      <c r="A54" s="34"/>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E54" s="86"/>
      <c r="AG54" s="46"/>
      <c r="AI54" s="46"/>
      <c r="AJ54" s="46"/>
      <c r="AL54" s="56"/>
    </row>
    <row r="55" spans="1:46" ht="18.75" customHeight="1">
      <c r="A55" s="34"/>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c r="AE55" s="86"/>
    </row>
    <row r="56" spans="1:46" ht="18.75" customHeight="1">
      <c r="A56" s="34"/>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c r="AE56" s="86"/>
    </row>
    <row r="57" spans="1:46" ht="18.75" customHeight="1">
      <c r="A57" s="34"/>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E57" s="86"/>
      <c r="AG57" s="46" t="s">
        <v>5456</v>
      </c>
      <c r="AI57" s="46" t="s">
        <v>5499</v>
      </c>
      <c r="AJ57" s="46"/>
      <c r="AL57" s="56" t="s">
        <v>5466</v>
      </c>
      <c r="AO57" s="17">
        <v>20</v>
      </c>
      <c r="AP57" s="17">
        <v>30</v>
      </c>
      <c r="AQ57" s="17">
        <v>40</v>
      </c>
      <c r="AR57" s="17">
        <v>50</v>
      </c>
      <c r="AS57" s="17" t="s">
        <v>5500</v>
      </c>
      <c r="AT57" s="17">
        <v>15</v>
      </c>
    </row>
    <row r="58" spans="1:46" ht="18.75" customHeight="1">
      <c r="A58" s="34"/>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E58" s="86"/>
      <c r="AG58" s="46"/>
      <c r="AI58" s="46"/>
      <c r="AJ58" s="46"/>
      <c r="AL58" s="56"/>
    </row>
    <row r="59" spans="1:46" ht="18.75" customHeight="1">
      <c r="A59" s="34"/>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c r="AE59" s="86"/>
    </row>
    <row r="60" spans="1:46" ht="18.75" customHeight="1">
      <c r="A60" s="34"/>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c r="AE60" s="86"/>
    </row>
    <row r="61" spans="1:46" ht="18.75" customHeight="1">
      <c r="A61" s="34"/>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E61" s="86"/>
      <c r="AG61" s="46" t="s">
        <v>5456</v>
      </c>
      <c r="AI61" s="46" t="s">
        <v>5499</v>
      </c>
      <c r="AJ61" s="46"/>
      <c r="AL61" s="56" t="s">
        <v>5466</v>
      </c>
      <c r="AO61" s="17">
        <v>20</v>
      </c>
      <c r="AP61" s="17">
        <v>30</v>
      </c>
      <c r="AQ61" s="17">
        <v>40</v>
      </c>
      <c r="AR61" s="17">
        <v>50</v>
      </c>
      <c r="AS61" s="17" t="s">
        <v>5501</v>
      </c>
      <c r="AT61" s="17">
        <v>15</v>
      </c>
    </row>
    <row r="62" spans="1:46" ht="18.75" customHeight="1">
      <c r="A62" s="34"/>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E62" s="86"/>
      <c r="AG62" s="46"/>
      <c r="AI62" s="46"/>
      <c r="AJ62" s="46"/>
      <c r="AL62" s="56"/>
    </row>
    <row r="63" spans="1:46" ht="18.75" customHeight="1">
      <c r="A63" s="34"/>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c r="AE63" s="86"/>
    </row>
    <row r="64" spans="1:46" ht="18.75" customHeight="1">
      <c r="A64" s="34"/>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c r="AE64" s="86"/>
    </row>
    <row r="65" spans="1:48" ht="18.75" customHeight="1">
      <c r="A65" s="34"/>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E65" s="86"/>
      <c r="AG65" s="46" t="s">
        <v>5456</v>
      </c>
      <c r="AI65" s="46" t="s">
        <v>5499</v>
      </c>
      <c r="AJ65" s="46"/>
      <c r="AL65" s="56" t="s">
        <v>5466</v>
      </c>
      <c r="AO65" s="17">
        <v>20</v>
      </c>
      <c r="AP65" s="17">
        <v>30</v>
      </c>
      <c r="AQ65" s="17">
        <v>40</v>
      </c>
      <c r="AR65" s="17">
        <v>50</v>
      </c>
      <c r="AS65" s="17" t="s">
        <v>5502</v>
      </c>
      <c r="AT65" s="17">
        <v>15</v>
      </c>
      <c r="AU65" s="17">
        <v>16</v>
      </c>
      <c r="AV65" s="17">
        <v>17</v>
      </c>
    </row>
    <row r="66" spans="1:48" ht="18.75" customHeight="1">
      <c r="A66" s="34"/>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c r="AE66" s="86"/>
      <c r="AG66" s="46"/>
      <c r="AI66" s="46"/>
      <c r="AJ66" s="46"/>
      <c r="AL66" s="56"/>
    </row>
    <row r="67" spans="1:48" ht="18.75" customHeight="1">
      <c r="A67" s="34"/>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c r="AE67" s="86"/>
    </row>
    <row r="68" spans="1:48" ht="18.75" customHeight="1">
      <c r="A68" s="34"/>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8" width="9.140625" style="17" customWidth="1"/>
    <col min="159" max="16384" width="9.140625" style="17"/>
  </cols>
  <sheetData>
    <row r="1" spans="2:45" ht="19.7" customHeight="1">
      <c r="B1" s="331" t="s">
        <v>5443</v>
      </c>
      <c r="C1" s="331"/>
      <c r="D1" s="331"/>
      <c r="E1" s="331"/>
      <c r="F1" s="331"/>
      <c r="G1" s="331"/>
      <c r="H1" s="331"/>
      <c r="I1" s="331"/>
      <c r="J1" s="331"/>
      <c r="K1" s="331"/>
      <c r="L1" s="331"/>
      <c r="M1" s="331"/>
      <c r="N1" s="45"/>
      <c r="O1" s="45"/>
      <c r="P1" s="312" t="s">
        <v>5444</v>
      </c>
      <c r="Q1" s="312"/>
      <c r="R1" s="312"/>
      <c r="S1" s="312"/>
      <c r="T1" s="312"/>
      <c r="U1" s="312"/>
      <c r="V1" s="312"/>
      <c r="W1" s="312"/>
      <c r="X1" s="312"/>
      <c r="Y1" s="312"/>
      <c r="Z1" s="312"/>
      <c r="AA1" s="312"/>
      <c r="AB1" s="312"/>
      <c r="AC1" s="312"/>
      <c r="AD1" s="312"/>
      <c r="AE1" s="32"/>
    </row>
    <row r="2" spans="2:45" ht="19.7" customHeight="1">
      <c r="C2" s="331" t="s">
        <v>5445</v>
      </c>
      <c r="D2" s="331"/>
      <c r="E2" s="331"/>
      <c r="F2" s="331"/>
      <c r="G2" s="331"/>
      <c r="H2" s="331"/>
      <c r="I2" s="331"/>
      <c r="J2" s="331"/>
      <c r="K2" s="331"/>
      <c r="L2" s="331"/>
      <c r="M2" s="45"/>
      <c r="N2" s="68"/>
      <c r="O2" s="45"/>
      <c r="P2" s="331" t="s">
        <v>5446</v>
      </c>
      <c r="Q2" s="331"/>
      <c r="R2" s="331"/>
      <c r="S2" s="331"/>
      <c r="T2" s="331"/>
      <c r="U2" s="331"/>
      <c r="V2" s="331"/>
      <c r="W2" s="331"/>
      <c r="X2" s="331"/>
      <c r="Y2" s="331"/>
      <c r="Z2" s="331"/>
      <c r="AA2" s="331"/>
      <c r="AB2" s="331"/>
      <c r="AC2" s="331"/>
      <c r="AD2" s="331"/>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5" t="s">
        <v>5448</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38.25" customHeight="1">
      <c r="C16" s="355" t="s">
        <v>5452</v>
      </c>
      <c r="D16" s="356"/>
      <c r="E16" s="356"/>
      <c r="F16" s="356"/>
      <c r="G16" s="356"/>
      <c r="H16" s="356"/>
      <c r="I16" s="356"/>
      <c r="J16" s="356"/>
      <c r="K16" s="356"/>
      <c r="L16" s="357"/>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71" t="s">
        <v>5453</v>
      </c>
    </row>
    <row r="17" spans="3:47" ht="21" customHeight="1">
      <c r="C17" s="332" t="s">
        <v>5454</v>
      </c>
      <c r="D17" s="333"/>
      <c r="E17" s="333"/>
      <c r="F17" s="333"/>
      <c r="G17" s="333"/>
      <c r="H17" s="333"/>
      <c r="I17" s="333"/>
      <c r="J17" s="333"/>
      <c r="K17" s="333"/>
      <c r="L17" s="334"/>
      <c r="M17" s="325" t="str">
        <f>IF(AG17="","",AG17)</f>
        <v/>
      </c>
      <c r="N17" s="326"/>
      <c r="O17" s="326"/>
      <c r="P17" s="326"/>
      <c r="Q17" s="326"/>
      <c r="R17" s="326"/>
      <c r="S17" s="326"/>
      <c r="T17" s="326"/>
      <c r="U17" s="326"/>
      <c r="V17" s="326"/>
      <c r="W17" s="326"/>
      <c r="X17" s="326"/>
      <c r="Y17" s="326"/>
      <c r="Z17" s="326"/>
      <c r="AA17" s="326"/>
      <c r="AB17" s="326"/>
      <c r="AC17" s="326"/>
      <c r="AD17" s="327"/>
      <c r="AE17" s="50"/>
    </row>
    <row r="18" spans="3:47" ht="33.950000000000003" customHeight="1">
      <c r="C18" s="328" t="s">
        <v>5455</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5456</v>
      </c>
    </row>
    <row r="19" spans="3:47" ht="33.950000000000003" customHeight="1">
      <c r="C19" s="328" t="s">
        <v>5457</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5456</v>
      </c>
    </row>
    <row r="20" spans="3:47" ht="21" customHeight="1">
      <c r="C20" s="344" t="s">
        <v>5458</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7" ht="33.950000000000003" customHeight="1">
      <c r="C21" s="338" t="s">
        <v>5459</v>
      </c>
      <c r="D21" s="338"/>
      <c r="E21" s="338"/>
      <c r="F21" s="338"/>
      <c r="G21" s="338"/>
      <c r="H21" s="338"/>
      <c r="I21" s="338"/>
      <c r="J21" s="338"/>
      <c r="K21" s="338"/>
      <c r="L21" s="338"/>
      <c r="M21" s="358" t="str">
        <f>AG21</f>
        <v>MOTOROLA HORIZON II MACRO</v>
      </c>
      <c r="N21" s="358"/>
      <c r="O21" s="358"/>
      <c r="P21" s="358"/>
      <c r="Q21" s="358"/>
      <c r="R21" s="358"/>
      <c r="S21" s="358"/>
      <c r="T21" s="358"/>
      <c r="U21" s="358"/>
      <c r="V21" s="358" t="str">
        <f>AK21</f>
        <v>MOTOROLA HORIZON II MACRO</v>
      </c>
      <c r="W21" s="358"/>
      <c r="X21" s="358"/>
      <c r="Y21" s="358"/>
      <c r="Z21" s="358"/>
      <c r="AA21" s="358"/>
      <c r="AB21" s="358"/>
      <c r="AC21" s="358"/>
      <c r="AD21" s="358"/>
      <c r="AE21" s="50"/>
      <c r="AG21" s="46" t="s">
        <v>5708</v>
      </c>
      <c r="AK21" s="46" t="s">
        <v>5708</v>
      </c>
      <c r="AO21" s="46" t="s">
        <v>5462</v>
      </c>
      <c r="AS21" s="46" t="s">
        <v>5463</v>
      </c>
    </row>
    <row r="22" spans="3:47" ht="19.7" customHeight="1">
      <c r="C22" s="347" t="s">
        <v>5464</v>
      </c>
      <c r="D22" s="348"/>
      <c r="E22" s="348"/>
      <c r="F22" s="348"/>
      <c r="G22" s="348"/>
      <c r="H22" s="348"/>
      <c r="I22" s="348"/>
      <c r="J22" s="348"/>
      <c r="K22" s="348"/>
      <c r="L22" s="349"/>
      <c r="M22" s="321">
        <f>AG22</f>
        <v>3</v>
      </c>
      <c r="N22" s="322"/>
      <c r="O22" s="322"/>
      <c r="P22" s="322"/>
      <c r="Q22" s="322"/>
      <c r="R22" s="322"/>
      <c r="S22" s="322"/>
      <c r="T22" s="322"/>
      <c r="U22" s="323"/>
      <c r="V22" s="321">
        <f>AK22</f>
        <v>3</v>
      </c>
      <c r="W22" s="322"/>
      <c r="X22" s="322"/>
      <c r="Y22" s="322"/>
      <c r="Z22" s="322"/>
      <c r="AA22" s="322"/>
      <c r="AB22" s="322"/>
      <c r="AC22" s="322"/>
      <c r="AD22" s="323"/>
      <c r="AE22" s="50"/>
      <c r="AG22" s="51">
        <v>3</v>
      </c>
      <c r="AH22" s="51"/>
      <c r="AI22" s="51"/>
      <c r="AJ22" s="51"/>
      <c r="AK22" s="51">
        <v>3</v>
      </c>
      <c r="AL22" s="51"/>
      <c r="AM22" s="51"/>
      <c r="AN22" s="51"/>
      <c r="AO22" s="51">
        <v>3</v>
      </c>
      <c r="AS22" s="17">
        <v>1</v>
      </c>
    </row>
    <row r="23" spans="3:47" ht="19.7" customHeight="1">
      <c r="C23" s="338" t="s">
        <v>5465</v>
      </c>
      <c r="D23" s="338"/>
      <c r="E23" s="338"/>
      <c r="F23" s="338"/>
      <c r="G23" s="338"/>
      <c r="H23" s="338"/>
      <c r="I23" s="338"/>
      <c r="J23" s="338"/>
      <c r="K23" s="338"/>
      <c r="L23" s="338"/>
      <c r="M23" s="359" t="str">
        <f>AG23</f>
        <v>4/4/4</v>
      </c>
      <c r="N23" s="358"/>
      <c r="O23" s="358"/>
      <c r="P23" s="358"/>
      <c r="Q23" s="358"/>
      <c r="R23" s="358"/>
      <c r="S23" s="358"/>
      <c r="T23" s="358"/>
      <c r="U23" s="358"/>
      <c r="V23" s="342" t="str">
        <f>AK23</f>
        <v>2/2/2</v>
      </c>
      <c r="W23" s="322"/>
      <c r="X23" s="322"/>
      <c r="Y23" s="322"/>
      <c r="Z23" s="322"/>
      <c r="AA23" s="322"/>
      <c r="AB23" s="322"/>
      <c r="AC23" s="322"/>
      <c r="AD23" s="323"/>
      <c r="AE23" s="55"/>
      <c r="AG23" s="56" t="s">
        <v>5466</v>
      </c>
      <c r="AH23" s="57"/>
      <c r="AI23" s="57"/>
      <c r="AJ23" s="57"/>
      <c r="AK23" s="56" t="s">
        <v>5467</v>
      </c>
      <c r="AL23" s="57"/>
      <c r="AM23" s="57"/>
      <c r="AN23" s="57"/>
      <c r="AO23" s="56" t="s">
        <v>5468</v>
      </c>
      <c r="AP23" s="57"/>
      <c r="AQ23" s="57"/>
      <c r="AR23" s="57"/>
      <c r="AS23" s="56" t="s">
        <v>5469</v>
      </c>
    </row>
    <row r="24" spans="3:47" ht="18.75" customHeight="1">
      <c r="C24" s="347" t="s">
        <v>5470</v>
      </c>
      <c r="D24" s="348"/>
      <c r="E24" s="348"/>
      <c r="F24" s="348"/>
      <c r="G24" s="348"/>
      <c r="H24" s="348"/>
      <c r="I24" s="348"/>
      <c r="J24" s="348"/>
      <c r="K24" s="348"/>
      <c r="L24" s="349"/>
      <c r="M24" s="321" t="str">
        <f>IF(M22=4,AG24&amp;"W/ "&amp;AH24&amp;"W/ "&amp;AI24&amp;"W/ "&amp;AJ24&amp;"W",IF(M22=3,AG24&amp;"W/ "&amp;AH24&amp;"W/ "&amp;AI24&amp;"W",IF(M22=2,AG24&amp;"W/ "&amp;AH24&amp;"W",AG24&amp;"W")))</f>
        <v>100,45W/ 100,45W/ 100,45W</v>
      </c>
      <c r="N24" s="322"/>
      <c r="O24" s="322"/>
      <c r="P24" s="322"/>
      <c r="Q24" s="322"/>
      <c r="R24" s="322"/>
      <c r="S24" s="322"/>
      <c r="T24" s="322"/>
      <c r="U24" s="323"/>
      <c r="V24" s="321" t="str">
        <f>IF(V22=4,AK24&amp;"W/ "&amp;AL24&amp;"W/ "&amp;AM24&amp;"W/ "&amp;AN24&amp;"W",IF(V22=3,AK24&amp;"W/ "&amp;AL24&amp;"W/ "&amp;AM24&amp;"W",IF(V22=2,AK24&amp;"W/"&amp;AL24&amp;"W",AK24&amp;"W")))</f>
        <v>40W/ 40W/ 40W</v>
      </c>
      <c r="W24" s="322"/>
      <c r="X24" s="322"/>
      <c r="Y24" s="322"/>
      <c r="Z24" s="322"/>
      <c r="AA24" s="322"/>
      <c r="AB24" s="322"/>
      <c r="AC24" s="322"/>
      <c r="AD24" s="323"/>
      <c r="AE24" s="53"/>
      <c r="AG24" s="17" t="s">
        <v>5709</v>
      </c>
      <c r="AH24" s="17" t="s">
        <v>5709</v>
      </c>
      <c r="AI24" s="17" t="s">
        <v>5709</v>
      </c>
      <c r="AJ24" s="17" t="s">
        <v>5709</v>
      </c>
      <c r="AK24" s="17">
        <v>40</v>
      </c>
      <c r="AL24" s="17">
        <v>40</v>
      </c>
      <c r="AM24" s="17">
        <v>40</v>
      </c>
      <c r="AN24" s="17">
        <v>40</v>
      </c>
      <c r="AO24" s="17">
        <v>60</v>
      </c>
      <c r="AP24" s="17">
        <v>60</v>
      </c>
      <c r="AQ24" s="17">
        <v>60</v>
      </c>
      <c r="AS24" s="17">
        <v>80</v>
      </c>
      <c r="AT24" s="17">
        <v>80</v>
      </c>
      <c r="AU24" s="17">
        <v>80</v>
      </c>
    </row>
    <row r="25" spans="3:47" ht="19.7" customHeight="1">
      <c r="C25" s="338" t="s">
        <v>5471</v>
      </c>
      <c r="D25" s="338"/>
      <c r="E25" s="338"/>
      <c r="F25" s="338"/>
      <c r="G25" s="338"/>
      <c r="H25" s="338"/>
      <c r="I25" s="338"/>
      <c r="J25" s="338"/>
      <c r="K25" s="338"/>
      <c r="L25" s="338"/>
      <c r="M25" s="358" t="str">
        <f>IF(AG25="900 &amp; 1800","900MHz &amp; 1800MHz",IF(AG25="900 &amp; 2100","900MHz &amp; 2100MHz",IF(AG25="1800 &amp; 2100","1800MHz &amp; 2100MHz",AG25&amp;"MHz")))</f>
        <v>1800MHz</v>
      </c>
      <c r="N25" s="358"/>
      <c r="O25" s="358"/>
      <c r="P25" s="358"/>
      <c r="Q25" s="358"/>
      <c r="R25" s="358"/>
      <c r="S25" s="358"/>
      <c r="T25" s="358"/>
      <c r="U25" s="358"/>
      <c r="V25" s="358" t="str">
        <f>IF(AK25="900 &amp; 1800","900MHz &amp; 1800MHz",IF(AK25="900 &amp; 2100","900MHz &amp; 2100MHz",AK25&amp;"MHz"))</f>
        <v>1800MHz</v>
      </c>
      <c r="W25" s="358"/>
      <c r="X25" s="358"/>
      <c r="Y25" s="358"/>
      <c r="Z25" s="358"/>
      <c r="AA25" s="358"/>
      <c r="AB25" s="358"/>
      <c r="AC25" s="358"/>
      <c r="AD25" s="358"/>
      <c r="AE25" s="50"/>
      <c r="AG25" s="17">
        <v>1800</v>
      </c>
      <c r="AK25" s="17">
        <v>1800</v>
      </c>
      <c r="AO25" s="17">
        <v>2100</v>
      </c>
      <c r="AS25" s="46" t="s">
        <v>5710</v>
      </c>
    </row>
    <row r="26" spans="3:47" ht="33.950000000000003" customHeight="1">
      <c r="C26" s="338" t="s">
        <v>5711</v>
      </c>
      <c r="D26" s="338"/>
      <c r="E26" s="338"/>
      <c r="F26" s="338"/>
      <c r="G26" s="338"/>
      <c r="H26" s="338"/>
      <c r="I26" s="338"/>
      <c r="J26" s="338"/>
      <c r="K26" s="338"/>
      <c r="L26" s="338"/>
      <c r="M26" s="358">
        <f>AG26</f>
        <v>15</v>
      </c>
      <c r="N26" s="358"/>
      <c r="O26" s="358"/>
      <c r="P26" s="358"/>
      <c r="Q26" s="358"/>
      <c r="R26" s="358"/>
      <c r="S26" s="358"/>
      <c r="T26" s="358"/>
      <c r="U26" s="358"/>
      <c r="V26" s="358">
        <f>AK26</f>
        <v>16</v>
      </c>
      <c r="W26" s="358"/>
      <c r="X26" s="358"/>
      <c r="Y26" s="358"/>
      <c r="Z26" s="358"/>
      <c r="AA26" s="358"/>
      <c r="AB26" s="358"/>
      <c r="AC26" s="358"/>
      <c r="AD26" s="358"/>
      <c r="AE26" s="53"/>
      <c r="AG26" s="17">
        <v>15</v>
      </c>
      <c r="AK26" s="17">
        <v>16</v>
      </c>
      <c r="AO26" s="17">
        <v>17</v>
      </c>
      <c r="AS26" s="17">
        <v>18</v>
      </c>
    </row>
    <row r="27" spans="3:47"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7"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7"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5479</v>
      </c>
      <c r="AO34" s="17" t="s">
        <v>5480</v>
      </c>
      <c r="AS34" s="17" t="s">
        <v>5481</v>
      </c>
    </row>
    <row r="35" spans="2:48" ht="17.100000000000001" customHeight="1">
      <c r="C35" s="314" t="s">
        <v>5482</v>
      </c>
      <c r="D35" s="314"/>
      <c r="E35" s="314"/>
      <c r="F35" s="314"/>
      <c r="G35" s="314"/>
      <c r="H35" s="61" t="s">
        <v>5483</v>
      </c>
      <c r="I35" s="316" t="s">
        <v>5484</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5485</v>
      </c>
      <c r="AS35" s="17" t="s">
        <v>5486</v>
      </c>
    </row>
    <row r="36" spans="2: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900MHz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5472</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9" width="9.140625" style="17" customWidth="1"/>
    <col min="130" max="16384" width="9.140625" style="17"/>
  </cols>
  <sheetData>
    <row r="1" spans="2:49" ht="19.7" customHeight="1">
      <c r="B1" s="331" t="s">
        <v>5443</v>
      </c>
      <c r="C1" s="331"/>
      <c r="D1" s="331"/>
      <c r="E1" s="331"/>
      <c r="F1" s="331"/>
      <c r="G1" s="331"/>
      <c r="H1" s="331"/>
      <c r="I1" s="331"/>
      <c r="J1" s="331"/>
      <c r="K1" s="331"/>
      <c r="L1" s="331"/>
      <c r="M1" s="331"/>
      <c r="N1" s="45"/>
      <c r="O1" s="45"/>
      <c r="P1" s="312" t="s">
        <v>5444</v>
      </c>
      <c r="Q1" s="312"/>
      <c r="R1" s="312"/>
      <c r="S1" s="312"/>
      <c r="T1" s="312"/>
      <c r="U1" s="312"/>
      <c r="V1" s="312"/>
      <c r="W1" s="312"/>
      <c r="X1" s="312"/>
      <c r="Y1" s="312"/>
      <c r="Z1" s="312"/>
      <c r="AA1" s="312"/>
      <c r="AB1" s="312"/>
      <c r="AC1" s="312"/>
      <c r="AD1" s="312"/>
      <c r="AE1" s="32"/>
    </row>
    <row r="2" spans="2:49" ht="19.7" customHeight="1">
      <c r="C2" s="331" t="s">
        <v>5445</v>
      </c>
      <c r="D2" s="331"/>
      <c r="E2" s="331"/>
      <c r="F2" s="331"/>
      <c r="G2" s="331"/>
      <c r="H2" s="331"/>
      <c r="I2" s="331"/>
      <c r="J2" s="331"/>
      <c r="K2" s="331"/>
      <c r="L2" s="331"/>
      <c r="M2" s="45"/>
      <c r="N2" s="68"/>
      <c r="O2" s="45"/>
      <c r="P2" s="331" t="s">
        <v>5446</v>
      </c>
      <c r="Q2" s="331"/>
      <c r="R2" s="331"/>
      <c r="S2" s="331"/>
      <c r="T2" s="331"/>
      <c r="U2" s="331"/>
      <c r="V2" s="331"/>
      <c r="W2" s="331"/>
      <c r="X2" s="331"/>
      <c r="Y2" s="331"/>
      <c r="Z2" s="331"/>
      <c r="AA2" s="331"/>
      <c r="AB2" s="331"/>
      <c r="AC2" s="331"/>
      <c r="AD2" s="331"/>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9"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9"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83" t="s">
        <v>5448</v>
      </c>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5"/>
      <c r="AE15" s="50"/>
      <c r="AG15" s="51">
        <v>1</v>
      </c>
      <c r="AH15" s="51"/>
      <c r="AI15" s="51"/>
      <c r="AJ15" s="51"/>
      <c r="AK15" s="51">
        <v>2</v>
      </c>
      <c r="AL15" s="51"/>
      <c r="AM15" s="51"/>
      <c r="AN15" s="51"/>
      <c r="AO15" s="51">
        <v>3</v>
      </c>
      <c r="AS15" s="17">
        <v>4</v>
      </c>
    </row>
    <row r="16" spans="2:49" ht="36" customHeight="1">
      <c r="C16" s="375" t="s">
        <v>5452</v>
      </c>
      <c r="D16" s="376"/>
      <c r="E16" s="376"/>
      <c r="F16" s="376"/>
      <c r="G16" s="376"/>
      <c r="H16" s="376"/>
      <c r="I16" s="376"/>
      <c r="J16" s="376"/>
      <c r="K16" s="376"/>
      <c r="L16" s="377"/>
      <c r="M16" s="378" t="str">
        <f>AG16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80"/>
      <c r="AE16" s="50"/>
      <c r="AG16" s="360" t="s">
        <v>5453</v>
      </c>
      <c r="AH16" s="360"/>
      <c r="AI16" s="360"/>
      <c r="AJ16" s="360"/>
      <c r="AK16" s="360"/>
      <c r="AL16" s="360"/>
      <c r="AM16" s="360"/>
      <c r="AN16" s="360"/>
      <c r="AO16" s="360"/>
      <c r="AP16" s="360"/>
      <c r="AQ16" s="360"/>
      <c r="AR16" s="360"/>
      <c r="AS16" s="360"/>
      <c r="AT16" s="360"/>
      <c r="AU16" s="360"/>
      <c r="AV16" s="360"/>
      <c r="AW16" s="360"/>
    </row>
    <row r="17" spans="3:47" ht="23.25" customHeight="1">
      <c r="C17" s="375" t="s">
        <v>5454</v>
      </c>
      <c r="D17" s="376"/>
      <c r="E17" s="376"/>
      <c r="F17" s="376"/>
      <c r="G17" s="376"/>
      <c r="H17" s="376"/>
      <c r="I17" s="376"/>
      <c r="J17" s="376"/>
      <c r="K17" s="376"/>
      <c r="L17" s="377"/>
      <c r="M17" s="383" t="str">
        <f>IF(AG17="","",AG17)</f>
        <v/>
      </c>
      <c r="N17" s="384"/>
      <c r="O17" s="384"/>
      <c r="P17" s="384"/>
      <c r="Q17" s="384"/>
      <c r="R17" s="384"/>
      <c r="S17" s="384"/>
      <c r="T17" s="384"/>
      <c r="U17" s="384"/>
      <c r="V17" s="384"/>
      <c r="W17" s="384"/>
      <c r="X17" s="384"/>
      <c r="Y17" s="384"/>
      <c r="Z17" s="384"/>
      <c r="AA17" s="384"/>
      <c r="AB17" s="384"/>
      <c r="AC17" s="384"/>
      <c r="AD17" s="385"/>
      <c r="AE17" s="50"/>
    </row>
    <row r="18" spans="3:47" ht="31.35" customHeight="1">
      <c r="C18" s="366" t="s">
        <v>5455</v>
      </c>
      <c r="D18" s="367"/>
      <c r="E18" s="367"/>
      <c r="F18" s="367"/>
      <c r="G18" s="367"/>
      <c r="H18" s="367"/>
      <c r="I18" s="367"/>
      <c r="J18" s="367"/>
      <c r="K18" s="367"/>
      <c r="L18" s="368"/>
      <c r="M18" s="369" t="str">
        <f>AG18</f>
        <v>CÔNG TY CỔ PHẦN VIỄN THÔNG DI ĐỘNG TOÀN CẦU
GTEL</v>
      </c>
      <c r="N18" s="370"/>
      <c r="O18" s="370"/>
      <c r="P18" s="370"/>
      <c r="Q18" s="370"/>
      <c r="R18" s="370"/>
      <c r="S18" s="370"/>
      <c r="T18" s="370"/>
      <c r="U18" s="370"/>
      <c r="V18" s="370"/>
      <c r="W18" s="370"/>
      <c r="X18" s="370"/>
      <c r="Y18" s="370"/>
      <c r="Z18" s="370"/>
      <c r="AA18" s="370"/>
      <c r="AB18" s="370"/>
      <c r="AC18" s="370"/>
      <c r="AD18" s="371"/>
      <c r="AE18" s="50"/>
      <c r="AG18" s="72" t="s">
        <v>5716</v>
      </c>
    </row>
    <row r="19" spans="3:47" ht="31.35" customHeight="1">
      <c r="C19" s="366" t="s">
        <v>5457</v>
      </c>
      <c r="D19" s="367"/>
      <c r="E19" s="367"/>
      <c r="F19" s="367"/>
      <c r="G19" s="367"/>
      <c r="H19" s="367"/>
      <c r="I19" s="367"/>
      <c r="J19" s="367"/>
      <c r="K19" s="367"/>
      <c r="L19" s="368"/>
      <c r="M19" s="369" t="str">
        <f>AG19</f>
        <v>CÔNG TY CỔ PHẦN VIỄN THÔNG DI ĐỘNG TOÀN CẦU</v>
      </c>
      <c r="N19" s="370"/>
      <c r="O19" s="370"/>
      <c r="P19" s="370"/>
      <c r="Q19" s="370"/>
      <c r="R19" s="370"/>
      <c r="S19" s="370"/>
      <c r="T19" s="370"/>
      <c r="U19" s="370"/>
      <c r="V19" s="370"/>
      <c r="W19" s="370"/>
      <c r="X19" s="370"/>
      <c r="Y19" s="370"/>
      <c r="Z19" s="370"/>
      <c r="AA19" s="370"/>
      <c r="AB19" s="370"/>
      <c r="AC19" s="370"/>
      <c r="AD19" s="371"/>
      <c r="AE19" s="53"/>
      <c r="AG19" s="46" t="s">
        <v>5456</v>
      </c>
    </row>
    <row r="20" spans="3:47" ht="20.25" customHeight="1">
      <c r="C20" s="372" t="s">
        <v>5458</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4"/>
      <c r="AE20" s="54"/>
    </row>
    <row r="21" spans="3:47" ht="31.5" customHeight="1">
      <c r="C21" s="365" t="s">
        <v>5459</v>
      </c>
      <c r="D21" s="365"/>
      <c r="E21" s="365"/>
      <c r="F21" s="365"/>
      <c r="G21" s="365"/>
      <c r="H21" s="365"/>
      <c r="I21" s="365"/>
      <c r="J21" s="365"/>
      <c r="K21" s="365"/>
      <c r="L21" s="365"/>
      <c r="M21" s="361" t="str">
        <f>AG21</f>
        <v>MOTOROLA HORIZON II MACRO</v>
      </c>
      <c r="N21" s="361"/>
      <c r="O21" s="361"/>
      <c r="P21" s="361"/>
      <c r="Q21" s="361"/>
      <c r="R21" s="361"/>
      <c r="S21" s="361" t="str">
        <f>AK21</f>
        <v>B</v>
      </c>
      <c r="T21" s="361"/>
      <c r="U21" s="361"/>
      <c r="V21" s="361"/>
      <c r="W21" s="361"/>
      <c r="X21" s="361"/>
      <c r="Y21" s="361" t="str">
        <f>AO21</f>
        <v>C</v>
      </c>
      <c r="Z21" s="361"/>
      <c r="AA21" s="361"/>
      <c r="AB21" s="361"/>
      <c r="AC21" s="361"/>
      <c r="AD21" s="361"/>
      <c r="AE21" s="50"/>
      <c r="AG21" s="46" t="s">
        <v>5708</v>
      </c>
      <c r="AK21" s="46" t="s">
        <v>5461</v>
      </c>
      <c r="AO21" s="46" t="s">
        <v>5462</v>
      </c>
      <c r="AS21" s="46" t="s">
        <v>5463</v>
      </c>
    </row>
    <row r="22" spans="3:47" ht="19.7" customHeight="1">
      <c r="C22" s="362" t="s">
        <v>5464</v>
      </c>
      <c r="D22" s="363"/>
      <c r="E22" s="363"/>
      <c r="F22" s="363"/>
      <c r="G22" s="363"/>
      <c r="H22" s="363"/>
      <c r="I22" s="363"/>
      <c r="J22" s="363"/>
      <c r="K22" s="363"/>
      <c r="L22" s="364"/>
      <c r="M22" s="361">
        <f>AG22</f>
        <v>3</v>
      </c>
      <c r="N22" s="361"/>
      <c r="O22" s="361"/>
      <c r="P22" s="361"/>
      <c r="Q22" s="361"/>
      <c r="R22" s="361"/>
      <c r="S22" s="361">
        <f>AK22</f>
        <v>3</v>
      </c>
      <c r="T22" s="361"/>
      <c r="U22" s="361"/>
      <c r="V22" s="361"/>
      <c r="W22" s="361"/>
      <c r="X22" s="361"/>
      <c r="Y22" s="361">
        <f>AO22</f>
        <v>3</v>
      </c>
      <c r="Z22" s="361"/>
      <c r="AA22" s="361"/>
      <c r="AB22" s="361"/>
      <c r="AC22" s="361"/>
      <c r="AD22" s="361"/>
      <c r="AE22" s="50"/>
      <c r="AG22" s="51">
        <v>3</v>
      </c>
      <c r="AH22" s="51"/>
      <c r="AI22" s="51"/>
      <c r="AJ22" s="51"/>
      <c r="AK22" s="51">
        <v>3</v>
      </c>
      <c r="AL22" s="51"/>
      <c r="AM22" s="51"/>
      <c r="AN22" s="51"/>
      <c r="AO22" s="51">
        <v>3</v>
      </c>
      <c r="AS22" s="17">
        <v>1</v>
      </c>
    </row>
    <row r="23" spans="3:47" ht="19.7" customHeight="1">
      <c r="C23" s="365" t="s">
        <v>5465</v>
      </c>
      <c r="D23" s="365"/>
      <c r="E23" s="365"/>
      <c r="F23" s="365"/>
      <c r="G23" s="365"/>
      <c r="H23" s="365"/>
      <c r="I23" s="365"/>
      <c r="J23" s="365"/>
      <c r="K23" s="365"/>
      <c r="L23" s="365"/>
      <c r="M23" s="381" t="str">
        <f>AG23</f>
        <v>4/4/4</v>
      </c>
      <c r="N23" s="381"/>
      <c r="O23" s="381"/>
      <c r="P23" s="381"/>
      <c r="Q23" s="381"/>
      <c r="R23" s="381"/>
      <c r="S23" s="381" t="str">
        <f>AK23</f>
        <v>2/2/2</v>
      </c>
      <c r="T23" s="381"/>
      <c r="U23" s="381"/>
      <c r="V23" s="381"/>
      <c r="W23" s="381"/>
      <c r="X23" s="381"/>
      <c r="Y23" s="381" t="str">
        <f>AO23</f>
        <v>5/5/5</v>
      </c>
      <c r="Z23" s="361"/>
      <c r="AA23" s="361"/>
      <c r="AB23" s="361"/>
      <c r="AC23" s="361"/>
      <c r="AD23" s="361"/>
      <c r="AE23" s="55"/>
      <c r="AG23" s="56" t="s">
        <v>5466</v>
      </c>
      <c r="AH23" s="57"/>
      <c r="AI23" s="57"/>
      <c r="AJ23" s="57"/>
      <c r="AK23" s="56" t="s">
        <v>5467</v>
      </c>
      <c r="AL23" s="57"/>
      <c r="AM23" s="57"/>
      <c r="AN23" s="57"/>
      <c r="AO23" s="56" t="s">
        <v>5468</v>
      </c>
      <c r="AP23" s="57"/>
      <c r="AQ23" s="57"/>
      <c r="AR23" s="57"/>
      <c r="AS23" s="56" t="s">
        <v>5469</v>
      </c>
    </row>
    <row r="24" spans="3:47" ht="31.35" customHeight="1">
      <c r="C24" s="362" t="s">
        <v>5470</v>
      </c>
      <c r="D24" s="363"/>
      <c r="E24" s="363"/>
      <c r="F24" s="363"/>
      <c r="G24" s="363"/>
      <c r="H24" s="363"/>
      <c r="I24" s="363"/>
      <c r="J24" s="363"/>
      <c r="K24" s="363"/>
      <c r="L24" s="364"/>
      <c r="M24" s="382" t="str">
        <f>IF(M22=4,AG24&amp;"W/ "&amp;AH24&amp;"W/ "&amp;AI24&amp;"W/ "&amp;AK24&amp;"W",IF(M22=3,AG24&amp;"W/ "&amp;AH24&amp;"W/ "&amp;AI24&amp;"W",IF(M22=2,AG24&amp;"W/ "&amp;AH24&amp;"W",AG24&amp;"W")))</f>
        <v>20W/ 20W/ 20W</v>
      </c>
      <c r="N24" s="382"/>
      <c r="O24" s="382"/>
      <c r="P24" s="382"/>
      <c r="Q24" s="382"/>
      <c r="R24" s="382"/>
      <c r="S24" s="382" t="str">
        <f>IF(S22=4,AK24&amp;"W/ "&amp;AL24&amp;"W/ "&amp;AM24&amp;"W/ "&amp;AN24&amp;"W",IF(S22=3,AK24&amp;"W/ "&amp;AL24&amp;"W/ "&amp;AM24&amp;"W",IF(S22=2,AK24&amp;"W/ "&amp;AL24&amp;"W",AK24&amp;"W")))</f>
        <v>40W/ 40W/ 40W</v>
      </c>
      <c r="T24" s="382"/>
      <c r="U24" s="382"/>
      <c r="V24" s="382"/>
      <c r="W24" s="382"/>
      <c r="X24" s="382"/>
      <c r="Y24" s="382" t="str">
        <f>IF(Y22=4,AO24&amp;"W/ "&amp;AP24&amp;"W/ "&amp;AQ24&amp;"W/ "&amp;AR24&amp;"W",IF(Y22=3,AO24&amp;"W/ "&amp;AP24&amp;"W/ "&amp;AQ24&amp;"W",IF(Y22=2,AO24&amp;"W/ "&amp;AP24&amp;"W",AO24&amp;"W")))</f>
        <v>60W/ 60W/ 60W</v>
      </c>
      <c r="Z24" s="382"/>
      <c r="AA24" s="382"/>
      <c r="AB24" s="382"/>
      <c r="AC24" s="382"/>
      <c r="AD24" s="382"/>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5" t="s">
        <v>5471</v>
      </c>
      <c r="D25" s="365"/>
      <c r="E25" s="365"/>
      <c r="F25" s="365"/>
      <c r="G25" s="365"/>
      <c r="H25" s="365"/>
      <c r="I25" s="365"/>
      <c r="J25" s="365"/>
      <c r="K25" s="365"/>
      <c r="L25" s="365"/>
      <c r="M25" s="361" t="str">
        <f>IF(AG25="900 &amp; 1800","900MHz &amp; 1800MHz",IF(AG25="900 &amp; 2100","900MHz &amp; 2100MHz",AG25&amp;"MHz"))</f>
        <v>900MHz</v>
      </c>
      <c r="N25" s="361"/>
      <c r="O25" s="361"/>
      <c r="P25" s="361"/>
      <c r="Q25" s="361"/>
      <c r="R25" s="361"/>
      <c r="S25" s="361" t="str">
        <f>IF(AK25="900 &amp; 1800","900MHz &amp; 1800MHz",IF(AK25="900 &amp; 2100","900MHz &amp; 2100MHz",AK25&amp;"MHz"))</f>
        <v>1800MHz</v>
      </c>
      <c r="T25" s="361"/>
      <c r="U25" s="361"/>
      <c r="V25" s="361"/>
      <c r="W25" s="361"/>
      <c r="X25" s="361"/>
      <c r="Y25" s="361" t="str">
        <f>IF(AO25="900 &amp; 1800","900MHz &amp; 1800MHz",IF(AO25="900 &amp; 2100","900MHz &amp; 2100MHz",AO25&amp;"MHz"))</f>
        <v>2100MHz</v>
      </c>
      <c r="Z25" s="361"/>
      <c r="AA25" s="361"/>
      <c r="AB25" s="361"/>
      <c r="AC25" s="361"/>
      <c r="AD25" s="361"/>
      <c r="AE25" s="50"/>
      <c r="AG25" s="17">
        <v>900</v>
      </c>
      <c r="AK25" s="17">
        <v>1800</v>
      </c>
      <c r="AO25" s="17">
        <v>2100</v>
      </c>
      <c r="AS25" s="46" t="s">
        <v>5710</v>
      </c>
    </row>
    <row r="26" spans="3:47" ht="31.35" customHeight="1">
      <c r="C26" s="365" t="s">
        <v>5717</v>
      </c>
      <c r="D26" s="365"/>
      <c r="E26" s="365"/>
      <c r="F26" s="365"/>
      <c r="G26" s="365"/>
      <c r="H26" s="365"/>
      <c r="I26" s="365"/>
      <c r="J26" s="365"/>
      <c r="K26" s="365"/>
      <c r="L26" s="365"/>
      <c r="M26" s="361">
        <f>AG26</f>
        <v>15</v>
      </c>
      <c r="N26" s="361"/>
      <c r="O26" s="361"/>
      <c r="P26" s="361"/>
      <c r="Q26" s="361"/>
      <c r="R26" s="361"/>
      <c r="S26" s="361">
        <f>AK26</f>
        <v>16</v>
      </c>
      <c r="T26" s="361"/>
      <c r="U26" s="361"/>
      <c r="V26" s="361"/>
      <c r="W26" s="361"/>
      <c r="X26" s="361"/>
      <c r="Y26" s="361">
        <f>AO26</f>
        <v>17</v>
      </c>
      <c r="Z26" s="361"/>
      <c r="AA26" s="361"/>
      <c r="AB26" s="361"/>
      <c r="AC26" s="361"/>
      <c r="AD26" s="361"/>
      <c r="AE26" s="53"/>
      <c r="AG26" s="17">
        <v>15</v>
      </c>
      <c r="AK26" s="17">
        <v>16</v>
      </c>
      <c r="AO26" s="17">
        <v>17</v>
      </c>
      <c r="AS26" s="17">
        <v>18</v>
      </c>
    </row>
    <row r="27" spans="3:47"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5.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7" ht="25.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5.75" customHeight="1">
      <c r="C30" s="340" t="str">
        <f>IF(AG31=1,AO31,IF(AG31=2,AO30))</f>
        <v>Giới hạn an toàn: là khoảng chiều cao trên cột anten tính từ điểm có độ cao 20m so với mặt đất trở lên.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7" ht="15.7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5479</v>
      </c>
      <c r="AO34" s="17" t="s">
        <v>5480</v>
      </c>
      <c r="AS34" s="17" t="s">
        <v>5481</v>
      </c>
    </row>
    <row r="35" spans="2:48" ht="17.100000000000001" customHeight="1">
      <c r="C35" s="314" t="s">
        <v>5482</v>
      </c>
      <c r="D35" s="314"/>
      <c r="E35" s="314"/>
      <c r="F35" s="314"/>
      <c r="G35" s="314"/>
      <c r="H35" s="73" t="s">
        <v>5483</v>
      </c>
      <c r="I35" s="316" t="s">
        <v>5484</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5485</v>
      </c>
      <c r="AS35" s="17" t="s">
        <v>5486</v>
      </c>
    </row>
    <row r="36" spans="2: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3</v>
      </c>
      <c r="M49" s="311"/>
      <c r="N49" s="352" t="str">
        <f>AL49</f>
        <v>4/4/4</v>
      </c>
      <c r="O49" s="352"/>
      <c r="P49" s="352"/>
      <c r="Q49" s="309" t="str">
        <f>IF(L49=3,AO49&amp;"W/ "&amp;AP49&amp;"W/ "&amp;AQ49&amp;"W",IF(L49=2,AO49&amp;"W/ "&amp;AP49&amp;"W",AO49&amp;"W"))</f>
        <v>20W/ 30W/ 40W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2</v>
      </c>
      <c r="M53" s="311"/>
      <c r="N53" s="352" t="str">
        <f>AL53</f>
        <v>4/4/4</v>
      </c>
      <c r="O53" s="352"/>
      <c r="P53" s="352"/>
      <c r="Q53" s="309" t="str">
        <f>IF(L53=3,AO53&amp;"W/ "&amp;AP53&amp;"W/ "&amp;AQ53&amp;"W",IF(L53=2,AO53&amp;"W/ "&amp;AP53&amp;"W",AO53&amp;"W"))</f>
        <v>20W/ 30W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2</v>
      </c>
      <c r="M57" s="311"/>
      <c r="N57" s="352" t="str">
        <f>AL57</f>
        <v>4/4/4</v>
      </c>
      <c r="O57" s="352"/>
      <c r="P57" s="352"/>
      <c r="Q57" s="309" t="str">
        <f>IF(L57=3,AO57&amp;"W/ "&amp;AP57&amp;"W/ "&amp;AQ57&amp;"W",IF(L57=2,AO57&amp;"W/ "&amp;AP57&amp;"W",AO57&amp;"W"))</f>
        <v>20W/ 30W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5500</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3</v>
      </c>
      <c r="M61" s="311"/>
      <c r="N61" s="352" t="str">
        <f>AL61</f>
        <v>4/4/4</v>
      </c>
      <c r="O61" s="352"/>
      <c r="P61" s="352"/>
      <c r="Q61" s="309" t="str">
        <f>IF(L61=3,AO61&amp;"W/ "&amp;AP61&amp;"W/ "&amp;AQ61&amp;"W",IF(L61=2,AO61&amp;"W/ "&amp;AP61&amp;"W",AO61&amp;"W"))</f>
        <v>20W/ 30W/ 40W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Y23:AD23"/>
    <mergeCell ref="Y24:AD24"/>
    <mergeCell ref="C17:L17"/>
    <mergeCell ref="M17:AD17"/>
    <mergeCell ref="C7:AD7"/>
    <mergeCell ref="C9:AD9"/>
    <mergeCell ref="C11:AD11"/>
    <mergeCell ref="B1:M1"/>
    <mergeCell ref="P1:AD1"/>
    <mergeCell ref="P2:AD2"/>
    <mergeCell ref="C12:AD12"/>
    <mergeCell ref="C15:AD15"/>
    <mergeCell ref="C2:L2"/>
    <mergeCell ref="C6:AD6"/>
    <mergeCell ref="C23:L23"/>
    <mergeCell ref="B43:G48"/>
    <mergeCell ref="S25:X25"/>
    <mergeCell ref="M26:R26"/>
    <mergeCell ref="C24:L24"/>
    <mergeCell ref="C26:L26"/>
    <mergeCell ref="C28:AD29"/>
    <mergeCell ref="C27:AA27"/>
    <mergeCell ref="M23:R23"/>
    <mergeCell ref="S23:X23"/>
    <mergeCell ref="S26:X26"/>
    <mergeCell ref="M24:R24"/>
    <mergeCell ref="M25:R25"/>
    <mergeCell ref="S24:X24"/>
    <mergeCell ref="H45:K48"/>
    <mergeCell ref="V45:X48"/>
    <mergeCell ref="H65:K68"/>
    <mergeCell ref="H61:K64"/>
    <mergeCell ref="N61:P64"/>
    <mergeCell ref="Y53:AD56"/>
    <mergeCell ref="Y61:AD64"/>
    <mergeCell ref="L57:M60"/>
    <mergeCell ref="N57:P60"/>
    <mergeCell ref="Q53:U56"/>
    <mergeCell ref="V57:X60"/>
    <mergeCell ref="H53:K56"/>
    <mergeCell ref="L53:M56"/>
    <mergeCell ref="H57:K60"/>
    <mergeCell ref="Q57:U60"/>
    <mergeCell ref="V53:X56"/>
    <mergeCell ref="B49:G52"/>
    <mergeCell ref="B53:G56"/>
    <mergeCell ref="B57:G60"/>
    <mergeCell ref="B61:G64"/>
    <mergeCell ref="B65:G68"/>
    <mergeCell ref="L65:M68"/>
    <mergeCell ref="Y49:AD52"/>
    <mergeCell ref="L61:M64"/>
    <mergeCell ref="Q65:U68"/>
    <mergeCell ref="V65:X68"/>
    <mergeCell ref="N53:P56"/>
    <mergeCell ref="N65:P68"/>
    <mergeCell ref="Y57:AD60"/>
    <mergeCell ref="Y65:AD68"/>
    <mergeCell ref="N49:P52"/>
    <mergeCell ref="T39:AE39"/>
    <mergeCell ref="H43:AD44"/>
    <mergeCell ref="T41:AE41"/>
    <mergeCell ref="Y45:AD48"/>
    <mergeCell ref="Q61:U64"/>
    <mergeCell ref="V61:X64"/>
    <mergeCell ref="L45:M48"/>
    <mergeCell ref="H49:K52"/>
    <mergeCell ref="Q49:U52"/>
    <mergeCell ref="V49:X52"/>
    <mergeCell ref="L49:M52"/>
    <mergeCell ref="N45:P48"/>
    <mergeCell ref="Q45:U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5" width="9.140625" style="17" customWidth="1"/>
    <col min="136" max="16384" width="9.140625" style="17"/>
  </cols>
  <sheetData>
    <row r="1" spans="2:47" ht="19.7" customHeight="1">
      <c r="B1" s="331" t="s">
        <v>5443</v>
      </c>
      <c r="C1" s="331"/>
      <c r="D1" s="331"/>
      <c r="E1" s="331"/>
      <c r="F1" s="331"/>
      <c r="G1" s="331"/>
      <c r="H1" s="331"/>
      <c r="I1" s="331"/>
      <c r="J1" s="331"/>
      <c r="K1" s="331"/>
      <c r="L1" s="331"/>
      <c r="M1" s="331"/>
      <c r="N1" s="331"/>
      <c r="O1" s="45"/>
      <c r="P1" s="312" t="s">
        <v>5712</v>
      </c>
      <c r="Q1" s="312"/>
      <c r="R1" s="312"/>
      <c r="S1" s="312"/>
      <c r="T1" s="312"/>
      <c r="U1" s="312"/>
      <c r="V1" s="312"/>
      <c r="W1" s="312"/>
      <c r="X1" s="312"/>
      <c r="Y1" s="312"/>
      <c r="Z1" s="312"/>
      <c r="AA1" s="312"/>
      <c r="AB1" s="312"/>
      <c r="AC1" s="312"/>
      <c r="AD1" s="312"/>
      <c r="AE1" s="312"/>
    </row>
    <row r="2" spans="2:47" ht="19.7" customHeight="1">
      <c r="C2" s="331" t="s">
        <v>5445</v>
      </c>
      <c r="D2" s="331"/>
      <c r="E2" s="331"/>
      <c r="F2" s="331"/>
      <c r="G2" s="331"/>
      <c r="H2" s="331"/>
      <c r="I2" s="331"/>
      <c r="J2" s="331"/>
      <c r="K2" s="331"/>
      <c r="L2" s="331"/>
      <c r="M2" s="331"/>
      <c r="N2" s="68"/>
      <c r="O2" s="45"/>
      <c r="P2" s="331" t="s">
        <v>5713</v>
      </c>
      <c r="Q2" s="331"/>
      <c r="R2" s="331"/>
      <c r="S2" s="331"/>
      <c r="T2" s="331"/>
      <c r="U2" s="331"/>
      <c r="V2" s="331"/>
      <c r="W2" s="331"/>
      <c r="X2" s="331"/>
      <c r="Y2" s="331"/>
      <c r="Z2" s="331"/>
      <c r="AA2" s="331"/>
      <c r="AB2" s="331"/>
      <c r="AC2" s="331"/>
      <c r="AD2" s="331"/>
      <c r="AE2" s="331"/>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c r="AE6" s="324"/>
    </row>
    <row r="7" spans="2:47"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c r="AE7" s="324"/>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31" t="str">
        <f>"Số: "&amp;AI9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I9" s="46" t="s">
        <v>5449</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row>
    <row r="12" spans="2:47"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c r="AE12" s="324"/>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82" t="s">
        <v>5448</v>
      </c>
      <c r="D15" s="382"/>
      <c r="E15" s="382"/>
      <c r="F15" s="382"/>
      <c r="G15" s="382"/>
      <c r="H15" s="382"/>
      <c r="I15" s="382"/>
      <c r="J15" s="382"/>
      <c r="K15" s="382"/>
      <c r="L15" s="382"/>
      <c r="M15" s="382"/>
      <c r="N15" s="382"/>
      <c r="O15" s="382"/>
      <c r="P15" s="382"/>
      <c r="Q15" s="382"/>
      <c r="R15" s="382"/>
      <c r="S15" s="382"/>
      <c r="T15" s="382"/>
      <c r="U15" s="382"/>
      <c r="V15" s="382"/>
      <c r="W15" s="382"/>
      <c r="X15" s="382"/>
      <c r="Y15" s="382"/>
      <c r="Z15" s="382"/>
      <c r="AA15" s="382"/>
      <c r="AB15" s="382"/>
      <c r="AC15" s="382"/>
      <c r="AD15" s="382"/>
      <c r="AE15" s="382"/>
      <c r="AF15" s="382"/>
      <c r="AG15" s="76"/>
      <c r="AH15" s="76"/>
      <c r="AI15" s="51">
        <v>1</v>
      </c>
      <c r="AJ15" s="51"/>
      <c r="AK15" s="51"/>
      <c r="AL15" s="51"/>
      <c r="AM15" s="51">
        <v>2</v>
      </c>
      <c r="AN15" s="51"/>
      <c r="AO15" s="51"/>
      <c r="AP15" s="51"/>
      <c r="AQ15" s="51">
        <v>3</v>
      </c>
      <c r="AU15" s="17">
        <v>4</v>
      </c>
    </row>
    <row r="16" spans="2:47" ht="38.25" customHeight="1">
      <c r="C16" s="375" t="s">
        <v>5452</v>
      </c>
      <c r="D16" s="376"/>
      <c r="E16" s="376"/>
      <c r="F16" s="376"/>
      <c r="G16" s="376"/>
      <c r="H16" s="376"/>
      <c r="I16" s="376"/>
      <c r="J16" s="376"/>
      <c r="K16" s="376"/>
      <c r="L16" s="377"/>
      <c r="M16" s="378" t="str">
        <f>AI16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79"/>
      <c r="AE16" s="379"/>
      <c r="AF16" s="380"/>
      <c r="AG16" s="77"/>
      <c r="AH16" s="77"/>
      <c r="AI16" s="71" t="s">
        <v>5453</v>
      </c>
    </row>
    <row r="17" spans="3:49" ht="22.5" customHeight="1">
      <c r="C17" s="390" t="s">
        <v>5454</v>
      </c>
      <c r="D17" s="391"/>
      <c r="E17" s="391"/>
      <c r="F17" s="391"/>
      <c r="G17" s="391"/>
      <c r="H17" s="391"/>
      <c r="I17" s="391"/>
      <c r="J17" s="391"/>
      <c r="K17" s="391"/>
      <c r="L17" s="392"/>
      <c r="M17" s="369" t="str">
        <f>IF(AG17="","",AG17)</f>
        <v/>
      </c>
      <c r="N17" s="370"/>
      <c r="O17" s="370"/>
      <c r="P17" s="370"/>
      <c r="Q17" s="370"/>
      <c r="R17" s="370"/>
      <c r="S17" s="370"/>
      <c r="T17" s="370"/>
      <c r="U17" s="370"/>
      <c r="V17" s="370"/>
      <c r="W17" s="370"/>
      <c r="X17" s="370"/>
      <c r="Y17" s="370"/>
      <c r="Z17" s="370"/>
      <c r="AA17" s="370"/>
      <c r="AB17" s="370"/>
      <c r="AC17" s="370"/>
      <c r="AD17" s="370"/>
      <c r="AE17" s="370"/>
      <c r="AF17" s="371"/>
      <c r="AG17" s="77"/>
      <c r="AH17" s="77"/>
    </row>
    <row r="18" spans="3:49" ht="31.35" customHeight="1">
      <c r="C18" s="388" t="s">
        <v>5455</v>
      </c>
      <c r="D18" s="389"/>
      <c r="E18" s="389"/>
      <c r="F18" s="389"/>
      <c r="G18" s="389"/>
      <c r="H18" s="389"/>
      <c r="I18" s="389"/>
      <c r="J18" s="389"/>
      <c r="K18" s="389"/>
      <c r="L18" s="389"/>
      <c r="M18" s="361" t="str">
        <f>AI18</f>
        <v>CÔNG TY CỔ PHẦN VIỄN THÔNG DI ĐỘNG TOÀN CẦU</v>
      </c>
      <c r="N18" s="361"/>
      <c r="O18" s="361"/>
      <c r="P18" s="361"/>
      <c r="Q18" s="361"/>
      <c r="R18" s="361"/>
      <c r="S18" s="361"/>
      <c r="T18" s="361"/>
      <c r="U18" s="361"/>
      <c r="V18" s="361"/>
      <c r="W18" s="361"/>
      <c r="X18" s="361"/>
      <c r="Y18" s="361"/>
      <c r="Z18" s="361"/>
      <c r="AA18" s="361"/>
      <c r="AB18" s="361"/>
      <c r="AC18" s="361"/>
      <c r="AD18" s="361"/>
      <c r="AE18" s="361"/>
      <c r="AF18" s="361"/>
      <c r="AG18" s="77"/>
      <c r="AH18" s="77"/>
      <c r="AI18" s="46" t="s">
        <v>5456</v>
      </c>
    </row>
    <row r="19" spans="3:49" ht="31.35" customHeight="1">
      <c r="C19" s="388" t="s">
        <v>5457</v>
      </c>
      <c r="D19" s="389"/>
      <c r="E19" s="389"/>
      <c r="F19" s="389"/>
      <c r="G19" s="389"/>
      <c r="H19" s="389"/>
      <c r="I19" s="389"/>
      <c r="J19" s="389"/>
      <c r="K19" s="389"/>
      <c r="L19" s="389"/>
      <c r="M19" s="361" t="str">
        <f>AI19</f>
        <v>CÔNG TY CỔ PHẦN VIỄN THÔNG DI ĐỘNG TOÀN CẦU</v>
      </c>
      <c r="N19" s="361"/>
      <c r="O19" s="361"/>
      <c r="P19" s="361"/>
      <c r="Q19" s="361"/>
      <c r="R19" s="361"/>
      <c r="S19" s="361"/>
      <c r="T19" s="361"/>
      <c r="U19" s="361"/>
      <c r="V19" s="361"/>
      <c r="W19" s="361"/>
      <c r="X19" s="361"/>
      <c r="Y19" s="361"/>
      <c r="Z19" s="361"/>
      <c r="AA19" s="361"/>
      <c r="AB19" s="361"/>
      <c r="AC19" s="361"/>
      <c r="AD19" s="361"/>
      <c r="AE19" s="361"/>
      <c r="AF19" s="361"/>
      <c r="AG19" s="77"/>
      <c r="AH19" s="77"/>
      <c r="AI19" s="46" t="s">
        <v>5456</v>
      </c>
    </row>
    <row r="20" spans="3:49" ht="18.75" customHeight="1">
      <c r="C20" s="372" t="s">
        <v>5458</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4"/>
      <c r="AG20" s="78"/>
      <c r="AH20" s="78"/>
    </row>
    <row r="21" spans="3:49" ht="45.2" customHeight="1">
      <c r="C21" s="365" t="s">
        <v>5459</v>
      </c>
      <c r="D21" s="365"/>
      <c r="E21" s="365"/>
      <c r="F21" s="365"/>
      <c r="G21" s="365"/>
      <c r="H21" s="365"/>
      <c r="I21" s="365"/>
      <c r="J21" s="365"/>
      <c r="K21" s="365"/>
      <c r="L21" s="365"/>
      <c r="M21" s="361" t="str">
        <f t="shared" ref="M21:M23" si="0">AI21</f>
        <v>A</v>
      </c>
      <c r="N21" s="361"/>
      <c r="O21" s="361"/>
      <c r="P21" s="361"/>
      <c r="Q21" s="361"/>
      <c r="R21" s="361" t="str">
        <f t="shared" ref="R21:R23" si="1">AM21</f>
        <v>B</v>
      </c>
      <c r="S21" s="361"/>
      <c r="T21" s="361"/>
      <c r="U21" s="361"/>
      <c r="V21" s="361"/>
      <c r="W21" s="361" t="str">
        <f>AQ21</f>
        <v>C</v>
      </c>
      <c r="X21" s="361"/>
      <c r="Y21" s="361"/>
      <c r="Z21" s="361"/>
      <c r="AA21" s="361"/>
      <c r="AB21" s="361" t="str">
        <f>AU21</f>
        <v>D</v>
      </c>
      <c r="AC21" s="361"/>
      <c r="AD21" s="361"/>
      <c r="AE21" s="361"/>
      <c r="AF21" s="361"/>
      <c r="AG21" s="76"/>
      <c r="AH21" s="76"/>
      <c r="AI21" s="46" t="s">
        <v>5460</v>
      </c>
      <c r="AM21" s="46" t="s">
        <v>5461</v>
      </c>
      <c r="AQ21" s="46" t="s">
        <v>5462</v>
      </c>
      <c r="AU21" s="46" t="s">
        <v>5463</v>
      </c>
    </row>
    <row r="22" spans="3:49" ht="17.100000000000001" customHeight="1">
      <c r="C22" s="365" t="s">
        <v>5464</v>
      </c>
      <c r="D22" s="365"/>
      <c r="E22" s="365"/>
      <c r="F22" s="365"/>
      <c r="G22" s="365"/>
      <c r="H22" s="365"/>
      <c r="I22" s="365"/>
      <c r="J22" s="365"/>
      <c r="K22" s="365"/>
      <c r="L22" s="365"/>
      <c r="M22" s="361">
        <f>AI22</f>
        <v>3</v>
      </c>
      <c r="N22" s="361"/>
      <c r="O22" s="361"/>
      <c r="P22" s="361"/>
      <c r="Q22" s="361"/>
      <c r="R22" s="361">
        <f>AM22</f>
        <v>3</v>
      </c>
      <c r="S22" s="361"/>
      <c r="T22" s="361"/>
      <c r="U22" s="361"/>
      <c r="V22" s="361"/>
      <c r="W22" s="361">
        <f>AQ22</f>
        <v>3</v>
      </c>
      <c r="X22" s="361"/>
      <c r="Y22" s="361"/>
      <c r="Z22" s="361"/>
      <c r="AA22" s="361"/>
      <c r="AB22" s="361">
        <f>AU22</f>
        <v>1</v>
      </c>
      <c r="AC22" s="361"/>
      <c r="AD22" s="361"/>
      <c r="AE22" s="361"/>
      <c r="AF22" s="361"/>
      <c r="AG22" s="76"/>
      <c r="AH22" s="76"/>
      <c r="AI22" s="51">
        <v>3</v>
      </c>
      <c r="AJ22" s="51"/>
      <c r="AK22" s="51"/>
      <c r="AL22" s="51"/>
      <c r="AM22" s="51">
        <v>3</v>
      </c>
      <c r="AN22" s="51"/>
      <c r="AO22" s="51"/>
      <c r="AP22" s="51"/>
      <c r="AQ22" s="51">
        <v>3</v>
      </c>
      <c r="AU22" s="17">
        <v>1</v>
      </c>
    </row>
    <row r="23" spans="3:49" ht="17.100000000000001" customHeight="1">
      <c r="C23" s="365" t="s">
        <v>5465</v>
      </c>
      <c r="D23" s="365"/>
      <c r="E23" s="365"/>
      <c r="F23" s="365"/>
      <c r="G23" s="365"/>
      <c r="H23" s="365"/>
      <c r="I23" s="365"/>
      <c r="J23" s="365"/>
      <c r="K23" s="365"/>
      <c r="L23" s="365"/>
      <c r="M23" s="386" t="str">
        <f t="shared" si="0"/>
        <v>4/4/4</v>
      </c>
      <c r="N23" s="386"/>
      <c r="O23" s="386"/>
      <c r="P23" s="386"/>
      <c r="Q23" s="386"/>
      <c r="R23" s="386" t="str">
        <f t="shared" si="1"/>
        <v>2/2/2</v>
      </c>
      <c r="S23" s="386"/>
      <c r="T23" s="386"/>
      <c r="U23" s="386"/>
      <c r="V23" s="386"/>
      <c r="W23" s="393" t="str">
        <f>AQ23</f>
        <v>5/5/5</v>
      </c>
      <c r="X23" s="386"/>
      <c r="Y23" s="386"/>
      <c r="Z23" s="386"/>
      <c r="AA23" s="386"/>
      <c r="AB23" s="393" t="str">
        <f>AU23</f>
        <v>4/2/4</v>
      </c>
      <c r="AC23" s="386"/>
      <c r="AD23" s="386"/>
      <c r="AE23" s="386"/>
      <c r="AF23" s="386"/>
      <c r="AI23" s="56" t="s">
        <v>5466</v>
      </c>
      <c r="AJ23" s="57"/>
      <c r="AK23" s="57"/>
      <c r="AL23" s="57"/>
      <c r="AM23" s="56" t="s">
        <v>5467</v>
      </c>
      <c r="AN23" s="57"/>
      <c r="AO23" s="57"/>
      <c r="AP23" s="57"/>
      <c r="AQ23" s="56" t="s">
        <v>5468</v>
      </c>
      <c r="AR23" s="57"/>
      <c r="AS23" s="57"/>
      <c r="AT23" s="57"/>
      <c r="AU23" s="56" t="s">
        <v>5469</v>
      </c>
    </row>
    <row r="24" spans="3:49" ht="31.35" customHeight="1">
      <c r="C24" s="365" t="s">
        <v>5470</v>
      </c>
      <c r="D24" s="365"/>
      <c r="E24" s="365"/>
      <c r="F24" s="365"/>
      <c r="G24" s="365"/>
      <c r="H24" s="365"/>
      <c r="I24" s="365"/>
      <c r="J24" s="365"/>
      <c r="K24" s="365"/>
      <c r="L24" s="365"/>
      <c r="M24" s="386" t="str">
        <f>IF(M22=4,AI24&amp;"W/ "&amp;AJ24&amp;"W/ "&amp;AK24&amp;"W/ "&amp;AL24&amp;"W",IF(M22=3,AI24&amp;"W/ "&amp;AJ24&amp;"W/ "&amp;AK24&amp;"W",IF(M22=2,AI24&amp;"W/ "&amp;AJ24&amp;"W",AI24&amp;"W")))</f>
        <v>100,45W/ 100,69W/ 100,69W</v>
      </c>
      <c r="N24" s="386"/>
      <c r="O24" s="386"/>
      <c r="P24" s="386"/>
      <c r="Q24" s="386"/>
      <c r="R24" s="386" t="str">
        <f>IF(R22=4,AM24&amp;"W/ "&amp;AN24&amp;"W/ "&amp;AO24&amp;"W/ "&amp;AP24&amp;"W",IF(R22=3,AM24&amp;"W/ "&amp;AN24&amp;"W/ "&amp;AO24&amp;"W",IF(R22=2,AM24&amp;"W/ "&amp;AN24&amp;"W",AM24&amp;"W")))</f>
        <v>40W/ 40W/ 40W</v>
      </c>
      <c r="S24" s="386"/>
      <c r="T24" s="386"/>
      <c r="U24" s="386"/>
      <c r="V24" s="386"/>
      <c r="W24" s="386" t="str">
        <f>IF(W22=4,AQ24&amp;"W/ "&amp;AR24&amp;"W/ "&amp;AS24&amp;"W/ "&amp;AT24&amp;"W",IF(W22=3,AQ24&amp;"W/ "&amp;AR24&amp;"W/ "&amp;AS24&amp;"W",IF(W22=2,AQ24&amp;"W/ "&amp;AR24&amp;"W",AQ24&amp;"W")))</f>
        <v>60W/ 60W/ 60W</v>
      </c>
      <c r="X24" s="386"/>
      <c r="Y24" s="386"/>
      <c r="Z24" s="386"/>
      <c r="AA24" s="386"/>
      <c r="AB24" s="386" t="str">
        <f>IF(AB22=3,AU24&amp;"W/ "&amp;AV24&amp;"W/ "&amp;AW24&amp;"W",IF(AB22=2,AU24&amp;"W/ "&amp;AV24&amp;"W",AW24&amp;"W"))</f>
        <v>80W</v>
      </c>
      <c r="AC24" s="386"/>
      <c r="AD24" s="386"/>
      <c r="AE24" s="386"/>
      <c r="AF24" s="386"/>
      <c r="AI24" s="17" t="s">
        <v>5709</v>
      </c>
      <c r="AJ24" s="17" t="s">
        <v>5714</v>
      </c>
      <c r="AK24" s="17">
        <v>100.69</v>
      </c>
      <c r="AM24" s="17">
        <v>40</v>
      </c>
      <c r="AN24" s="17">
        <v>40</v>
      </c>
      <c r="AO24" s="17">
        <v>40</v>
      </c>
      <c r="AQ24" s="17">
        <v>60</v>
      </c>
      <c r="AR24" s="17">
        <v>60</v>
      </c>
      <c r="AS24" s="17">
        <v>60</v>
      </c>
      <c r="AU24" s="17">
        <v>80</v>
      </c>
      <c r="AV24" s="17">
        <v>80</v>
      </c>
      <c r="AW24" s="17">
        <v>80</v>
      </c>
    </row>
    <row r="25" spans="3:49" ht="31.35" customHeight="1">
      <c r="C25" s="365" t="s">
        <v>5471</v>
      </c>
      <c r="D25" s="365"/>
      <c r="E25" s="365"/>
      <c r="F25" s="365"/>
      <c r="G25" s="365"/>
      <c r="H25" s="365"/>
      <c r="I25" s="365"/>
      <c r="J25" s="365"/>
      <c r="K25" s="365"/>
      <c r="L25" s="365"/>
      <c r="M25" s="386" t="str">
        <f>IF(AI25="900 &amp; 1800","900MHz &amp; 1800MHz",IF(AI25="900 &amp; 2100","900MHz &amp; 2100MHz",AI25&amp;"MHz"))</f>
        <v>900MHz</v>
      </c>
      <c r="N25" s="386"/>
      <c r="O25" s="386"/>
      <c r="P25" s="386"/>
      <c r="Q25" s="386"/>
      <c r="R25" s="386" t="str">
        <f>IF(AM25="900 &amp; 1800","900MHz &amp; 1800MHz",IF(AM25="900 &amp; 2100","900MHz &amp; 2100MHz",AM25&amp;"MHz"))</f>
        <v>1800MHz</v>
      </c>
      <c r="S25" s="386"/>
      <c r="T25" s="386"/>
      <c r="U25" s="386"/>
      <c r="V25" s="386"/>
      <c r="W25" s="386" t="str">
        <f>IF(AQ25="900 &amp; 1800","900MHz &amp; 1800MHz",IF(AQ25="900 &amp; 2100","900MHz &amp; 2100MHz",AQ25&amp;"MHz"))</f>
        <v>2100MHz</v>
      </c>
      <c r="X25" s="386"/>
      <c r="Y25" s="386"/>
      <c r="Z25" s="386"/>
      <c r="AA25" s="386"/>
      <c r="AB25" s="386" t="str">
        <f>IF(AU25="900 &amp; 1800","900MHz &amp; 1800MHz",IF(AU25="900 &amp; 2100","900MHz &amp; 2100MHz",AU25&amp;"MHz"))</f>
        <v>900;1800MHz</v>
      </c>
      <c r="AC25" s="386"/>
      <c r="AD25" s="386"/>
      <c r="AE25" s="386"/>
      <c r="AF25" s="386"/>
      <c r="AI25" s="17">
        <v>900</v>
      </c>
      <c r="AM25" s="17">
        <v>1800</v>
      </c>
      <c r="AQ25" s="17">
        <v>2100</v>
      </c>
      <c r="AU25" s="46" t="s">
        <v>5710</v>
      </c>
    </row>
    <row r="26" spans="3:49" ht="31.35" customHeight="1">
      <c r="C26" s="365" t="s">
        <v>5473</v>
      </c>
      <c r="D26" s="365"/>
      <c r="E26" s="365"/>
      <c r="F26" s="365"/>
      <c r="G26" s="365"/>
      <c r="H26" s="365"/>
      <c r="I26" s="365"/>
      <c r="J26" s="365"/>
      <c r="K26" s="365"/>
      <c r="L26" s="365"/>
      <c r="M26" s="386">
        <f>AI26</f>
        <v>15</v>
      </c>
      <c r="N26" s="386"/>
      <c r="O26" s="386"/>
      <c r="P26" s="386"/>
      <c r="Q26" s="386"/>
      <c r="R26" s="386">
        <f>AM26</f>
        <v>16</v>
      </c>
      <c r="S26" s="386"/>
      <c r="T26" s="386"/>
      <c r="U26" s="386"/>
      <c r="V26" s="386"/>
      <c r="W26" s="386">
        <f>AQ26</f>
        <v>17</v>
      </c>
      <c r="X26" s="386"/>
      <c r="Y26" s="386"/>
      <c r="Z26" s="386"/>
      <c r="AA26" s="386"/>
      <c r="AB26" s="386">
        <f>AU26</f>
        <v>18</v>
      </c>
      <c r="AC26" s="386"/>
      <c r="AD26" s="386"/>
      <c r="AE26" s="386"/>
      <c r="AF26" s="386"/>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7" t="s">
        <v>5474</v>
      </c>
      <c r="D27" s="387"/>
      <c r="E27" s="387"/>
      <c r="F27" s="387"/>
      <c r="G27" s="387"/>
      <c r="H27" s="387"/>
      <c r="I27" s="387"/>
      <c r="J27" s="387"/>
      <c r="K27" s="387"/>
      <c r="L27" s="387"/>
      <c r="M27" s="387"/>
      <c r="N27" s="387"/>
      <c r="O27" s="387"/>
      <c r="P27" s="387"/>
      <c r="Q27" s="387"/>
      <c r="R27" s="387"/>
      <c r="S27" s="387"/>
      <c r="T27" s="387"/>
      <c r="U27" s="387"/>
      <c r="V27" s="387"/>
      <c r="W27" s="387"/>
      <c r="X27" s="387"/>
      <c r="Y27" s="387"/>
      <c r="Z27" s="387"/>
      <c r="AA27" s="387"/>
      <c r="AB27" s="58"/>
      <c r="AC27" s="58"/>
      <c r="AD27" s="58"/>
    </row>
    <row r="28" spans="3:49" ht="27" customHeight="1">
      <c r="C28" s="3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E28" s="350"/>
      <c r="AF28" s="350"/>
      <c r="AI28" s="17">
        <v>20</v>
      </c>
      <c r="AQ28" s="17" t="s">
        <v>5475</v>
      </c>
    </row>
    <row r="29" spans="3:49" ht="27"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E29" s="350"/>
      <c r="AF29" s="350"/>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5476</v>
      </c>
      <c r="AS29" s="17" t="str">
        <f>IF(AI28&gt;=0," cao hơn "," thấp hơn ")</f>
        <v xml:space="preserve"> cao hơn </v>
      </c>
      <c r="AT29" s="17" t="s">
        <v>5477</v>
      </c>
    </row>
    <row r="30" spans="3:49" ht="16.5" customHeight="1">
      <c r="C30" s="340" t="str">
        <f>IF(AI31=1,AQ31,AQ30)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I30" s="17">
        <v>20</v>
      </c>
      <c r="AQ30" s="17" t="s">
        <v>5478</v>
      </c>
    </row>
    <row r="31" spans="3:49"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E31" s="340"/>
      <c r="AF31" s="340"/>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c r="AE32" s="351"/>
      <c r="AF32" s="351"/>
    </row>
    <row r="33" spans="2:50"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351"/>
      <c r="AF33" s="351"/>
    </row>
    <row r="34" spans="2:50" ht="17.100000000000001" customHeight="1">
      <c r="C34" s="318"/>
      <c r="D34" s="318"/>
      <c r="E34" s="318"/>
      <c r="F34" s="318"/>
      <c r="G34" s="318"/>
      <c r="H34" s="58"/>
      <c r="I34" s="319"/>
      <c r="J34" s="319"/>
      <c r="K34" s="319"/>
      <c r="L34" s="319"/>
      <c r="M34" s="319"/>
      <c r="N34" s="319"/>
      <c r="O34" s="319"/>
      <c r="P34" s="32"/>
      <c r="Q34" s="32"/>
      <c r="R34" s="32"/>
      <c r="S34" s="32"/>
      <c r="T34" s="313" t="str">
        <f>IF(AI41=0,AO34,IF(AI41=1,AK34,AS34))</f>
        <v>KT. GIÁM ĐỐC</v>
      </c>
      <c r="U34" s="313"/>
      <c r="V34" s="313"/>
      <c r="W34" s="313"/>
      <c r="X34" s="313"/>
      <c r="Y34" s="313"/>
      <c r="Z34" s="313"/>
      <c r="AA34" s="313"/>
      <c r="AB34" s="313"/>
      <c r="AC34" s="313"/>
      <c r="AD34" s="313"/>
      <c r="AE34" s="313"/>
      <c r="AF34" s="313"/>
      <c r="AK34" s="17" t="s">
        <v>5479</v>
      </c>
      <c r="AO34" s="17" t="s">
        <v>5480</v>
      </c>
      <c r="AS34" s="17" t="s">
        <v>5481</v>
      </c>
    </row>
    <row r="35" spans="2:50" ht="17.100000000000001" customHeight="1">
      <c r="C35" s="314" t="s">
        <v>5482</v>
      </c>
      <c r="D35" s="314"/>
      <c r="E35" s="314"/>
      <c r="F35" s="314"/>
      <c r="G35" s="314"/>
      <c r="H35" s="61" t="s">
        <v>5483</v>
      </c>
      <c r="I35" s="316" t="s">
        <v>5484</v>
      </c>
      <c r="J35" s="316"/>
      <c r="K35" s="316"/>
      <c r="L35" s="316"/>
      <c r="M35" s="316"/>
      <c r="N35" s="316"/>
      <c r="O35" s="316"/>
      <c r="P35" s="62"/>
      <c r="Q35" s="58"/>
      <c r="R35" s="58"/>
      <c r="S35" s="58"/>
      <c r="T35" s="313" t="str">
        <f>IF(AI41=0,AO35,IF(AI41=1,"",AS35))</f>
        <v>PHÓ GIÁM ĐỐC</v>
      </c>
      <c r="U35" s="313"/>
      <c r="V35" s="313"/>
      <c r="W35" s="313"/>
      <c r="X35" s="313"/>
      <c r="Y35" s="313"/>
      <c r="Z35" s="313"/>
      <c r="AA35" s="313"/>
      <c r="AB35" s="313"/>
      <c r="AC35" s="313"/>
      <c r="AD35" s="313"/>
      <c r="AE35" s="313"/>
      <c r="AF35" s="313"/>
      <c r="AO35" s="17" t="s">
        <v>5485</v>
      </c>
      <c r="AS35" s="17" t="s">
        <v>5486</v>
      </c>
    </row>
    <row r="36" spans="2:50" ht="17.100000000000001" customHeight="1">
      <c r="C36" s="314" t="s">
        <v>5487</v>
      </c>
      <c r="D36" s="314"/>
      <c r="E36" s="314"/>
      <c r="F36" s="314"/>
      <c r="G36" s="314"/>
      <c r="H36" s="61" t="s">
        <v>5483</v>
      </c>
      <c r="I36" s="315">
        <f>AI36</f>
        <v>40806</v>
      </c>
      <c r="J36" s="316"/>
      <c r="K36" s="316"/>
      <c r="L36" s="316"/>
      <c r="M36" s="316"/>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4" t="s">
        <v>5488</v>
      </c>
      <c r="D37" s="314"/>
      <c r="E37" s="314"/>
      <c r="F37" s="314"/>
      <c r="G37" s="314"/>
      <c r="H37" s="61" t="s">
        <v>5483</v>
      </c>
      <c r="I37" s="315">
        <f>AI37</f>
        <v>42633</v>
      </c>
      <c r="J37" s="316"/>
      <c r="K37" s="316"/>
      <c r="L37" s="316"/>
      <c r="M37" s="316"/>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50"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F41" s="312"/>
      <c r="AI41" s="17">
        <v>0</v>
      </c>
      <c r="AK41" s="17" t="s">
        <v>5489</v>
      </c>
      <c r="AO41" s="17" t="s">
        <v>5490</v>
      </c>
      <c r="AT41" s="17" t="s">
        <v>5491</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354"/>
      <c r="AF43" s="354"/>
    </row>
    <row r="44" spans="2:50"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354"/>
      <c r="AF44" s="354"/>
    </row>
    <row r="45" spans="2:50" ht="16.5" customHeight="1">
      <c r="B45" s="353"/>
      <c r="C45" s="353"/>
      <c r="D45" s="353"/>
      <c r="E45" s="353"/>
      <c r="F45" s="353"/>
      <c r="G45" s="353"/>
      <c r="H45" s="309" t="s">
        <v>5493</v>
      </c>
      <c r="I45" s="309"/>
      <c r="J45" s="309"/>
      <c r="K45" s="309"/>
      <c r="L45" s="309" t="s">
        <v>5494</v>
      </c>
      <c r="M45" s="309"/>
      <c r="N45" s="309"/>
      <c r="O45" s="309" t="s">
        <v>5495</v>
      </c>
      <c r="P45" s="309"/>
      <c r="Q45" s="309"/>
      <c r="R45" s="309" t="s">
        <v>5496</v>
      </c>
      <c r="S45" s="309"/>
      <c r="T45" s="309"/>
      <c r="U45" s="309"/>
      <c r="V45" s="309"/>
      <c r="W45" s="309" t="s">
        <v>5497</v>
      </c>
      <c r="X45" s="309"/>
      <c r="Y45" s="309"/>
      <c r="Z45" s="309"/>
      <c r="AA45" s="309" t="s">
        <v>5498</v>
      </c>
      <c r="AB45" s="309"/>
      <c r="AC45" s="309"/>
      <c r="AD45" s="309"/>
      <c r="AE45" s="309"/>
      <c r="AF45" s="309"/>
    </row>
    <row r="46" spans="2:50"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309"/>
      <c r="AF46" s="309"/>
    </row>
    <row r="47" spans="2:50"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309"/>
      <c r="AF47" s="309"/>
    </row>
    <row r="48" spans="2:50"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309"/>
      <c r="AF48" s="309"/>
      <c r="AI48" s="17">
        <v>35</v>
      </c>
      <c r="AK48" s="17">
        <v>37</v>
      </c>
      <c r="AN48" s="17">
        <v>40</v>
      </c>
      <c r="AQ48" s="17">
        <v>43</v>
      </c>
      <c r="AR48" s="17">
        <v>44</v>
      </c>
      <c r="AS48" s="17">
        <v>45</v>
      </c>
      <c r="AT48" s="17">
        <v>46</v>
      </c>
      <c r="AU48" s="17">
        <v>47</v>
      </c>
      <c r="AV48" s="17">
        <v>48</v>
      </c>
      <c r="AW48" s="17">
        <v>49</v>
      </c>
      <c r="AX48" s="17">
        <v>50</v>
      </c>
    </row>
    <row r="49" spans="2:48" ht="18.75" customHeight="1">
      <c r="B49" s="309" t="str">
        <f>AI49</f>
        <v>CÔNG TY CỔ PHẦN VIỄN THÔNG DI ĐỘNG TOÀN CẦU</v>
      </c>
      <c r="C49" s="309"/>
      <c r="D49" s="309"/>
      <c r="E49" s="309"/>
      <c r="F49" s="309"/>
      <c r="G49" s="309"/>
      <c r="H49" s="310" t="str">
        <f>AK49</f>
        <v>TB1</v>
      </c>
      <c r="I49" s="310"/>
      <c r="J49" s="310"/>
      <c r="K49" s="310"/>
      <c r="L49" s="311">
        <v>1</v>
      </c>
      <c r="M49" s="311"/>
      <c r="N49" s="311"/>
      <c r="O49" s="352" t="str">
        <f>AN49</f>
        <v>4/4/4</v>
      </c>
      <c r="P49" s="309"/>
      <c r="Q49" s="309"/>
      <c r="R49" s="309" t="str">
        <f>IF(L49=3,AQ49&amp;"W/ "&amp;AR49&amp;"W/ "&amp;AS49&amp;"W",IF(L49=2,AQ49&amp;"W/ "&amp;AR49&amp;"W",AQ49&amp;"W"))</f>
        <v>20W</v>
      </c>
      <c r="S49" s="309"/>
      <c r="T49" s="309"/>
      <c r="U49" s="309"/>
      <c r="V49" s="309"/>
      <c r="W49" s="309" t="str">
        <f>IF(AU49="900 &amp; 1800","900MHz &amp; 1800MHz",IF(AU49="900 &amp; 2100","900MHz &amp; 2100MHz",IF(AU49="1800 &amp; 2100","1800MHz &amp; 2100MHz",AU49&amp;"MHz")))</f>
        <v>900MHz</v>
      </c>
      <c r="X49" s="309"/>
      <c r="Y49" s="309"/>
      <c r="Z49" s="309"/>
      <c r="AA49" s="309">
        <f>AV49</f>
        <v>15</v>
      </c>
      <c r="AB49" s="309"/>
      <c r="AC49" s="309"/>
      <c r="AD49" s="309"/>
      <c r="AE49" s="309"/>
      <c r="AF49" s="309"/>
      <c r="AI49" s="46" t="s">
        <v>5456</v>
      </c>
      <c r="AK49" s="46" t="s">
        <v>5499</v>
      </c>
      <c r="AL49" s="46"/>
      <c r="AN49" s="56" t="s">
        <v>5466</v>
      </c>
      <c r="AQ49" s="17">
        <v>20</v>
      </c>
      <c r="AR49" s="17">
        <v>30</v>
      </c>
      <c r="AS49" s="17">
        <v>40</v>
      </c>
      <c r="AU49" s="17">
        <v>900</v>
      </c>
      <c r="AV49" s="17">
        <v>15</v>
      </c>
    </row>
    <row r="50" spans="2:48" ht="18.75" customHeight="1">
      <c r="B50" s="309"/>
      <c r="C50" s="309"/>
      <c r="D50" s="309"/>
      <c r="E50" s="309"/>
      <c r="F50" s="309"/>
      <c r="G50" s="309"/>
      <c r="H50" s="310"/>
      <c r="I50" s="310"/>
      <c r="J50" s="310"/>
      <c r="K50" s="310"/>
      <c r="L50" s="311"/>
      <c r="M50" s="311"/>
      <c r="N50" s="311"/>
      <c r="O50" s="309"/>
      <c r="P50" s="309"/>
      <c r="Q50" s="309"/>
      <c r="R50" s="309"/>
      <c r="S50" s="309"/>
      <c r="T50" s="309"/>
      <c r="U50" s="309"/>
      <c r="V50" s="309"/>
      <c r="W50" s="309"/>
      <c r="X50" s="309"/>
      <c r="Y50" s="309"/>
      <c r="Z50" s="309"/>
      <c r="AA50" s="309"/>
      <c r="AB50" s="309"/>
      <c r="AC50" s="309"/>
      <c r="AD50" s="309"/>
      <c r="AE50" s="309"/>
      <c r="AF50" s="309"/>
    </row>
    <row r="51" spans="2:48" ht="18.75" customHeight="1">
      <c r="B51" s="309"/>
      <c r="C51" s="309"/>
      <c r="D51" s="309"/>
      <c r="E51" s="309"/>
      <c r="F51" s="309"/>
      <c r="G51" s="309"/>
      <c r="H51" s="310"/>
      <c r="I51" s="310"/>
      <c r="J51" s="310"/>
      <c r="K51" s="310"/>
      <c r="L51" s="311"/>
      <c r="M51" s="311"/>
      <c r="N51" s="311"/>
      <c r="O51" s="309"/>
      <c r="P51" s="309"/>
      <c r="Q51" s="309"/>
      <c r="R51" s="309"/>
      <c r="S51" s="309"/>
      <c r="T51" s="309"/>
      <c r="U51" s="309"/>
      <c r="V51" s="309"/>
      <c r="W51" s="309"/>
      <c r="X51" s="309"/>
      <c r="Y51" s="309"/>
      <c r="Z51" s="309"/>
      <c r="AA51" s="309"/>
      <c r="AB51" s="309"/>
      <c r="AC51" s="309"/>
      <c r="AD51" s="309"/>
      <c r="AE51" s="309"/>
      <c r="AF51" s="309"/>
    </row>
    <row r="52" spans="2:48" ht="18.75" customHeight="1">
      <c r="B52" s="309"/>
      <c r="C52" s="309"/>
      <c r="D52" s="309"/>
      <c r="E52" s="309"/>
      <c r="F52" s="309"/>
      <c r="G52" s="309"/>
      <c r="H52" s="310"/>
      <c r="I52" s="310"/>
      <c r="J52" s="310"/>
      <c r="K52" s="310"/>
      <c r="L52" s="311"/>
      <c r="M52" s="311"/>
      <c r="N52" s="311"/>
      <c r="O52" s="309"/>
      <c r="P52" s="309"/>
      <c r="Q52" s="309"/>
      <c r="R52" s="309"/>
      <c r="S52" s="309"/>
      <c r="T52" s="309"/>
      <c r="U52" s="309"/>
      <c r="V52" s="309"/>
      <c r="W52" s="309"/>
      <c r="X52" s="309"/>
      <c r="Y52" s="309"/>
      <c r="Z52" s="309"/>
      <c r="AA52" s="309"/>
      <c r="AB52" s="309"/>
      <c r="AC52" s="309"/>
      <c r="AD52" s="309"/>
      <c r="AE52" s="309"/>
      <c r="AF52" s="309"/>
    </row>
    <row r="53" spans="2:48" ht="18.75" customHeight="1">
      <c r="B53" s="309" t="str">
        <f>AI53</f>
        <v>CÔNG TY CỔ PHẦN VIỄN THÔNG DI ĐỘNG TOÀN CẦU</v>
      </c>
      <c r="C53" s="309"/>
      <c r="D53" s="309"/>
      <c r="E53" s="309"/>
      <c r="F53" s="309"/>
      <c r="G53" s="309"/>
      <c r="H53" s="310" t="str">
        <f>AK53</f>
        <v>TB2</v>
      </c>
      <c r="I53" s="310"/>
      <c r="J53" s="310"/>
      <c r="K53" s="310"/>
      <c r="L53" s="311">
        <v>2</v>
      </c>
      <c r="M53" s="311"/>
      <c r="N53" s="311"/>
      <c r="O53" s="352" t="str">
        <f>AN53</f>
        <v>4/4/4</v>
      </c>
      <c r="P53" s="309"/>
      <c r="Q53" s="309"/>
      <c r="R53" s="309" t="str">
        <f>IF(L53=3,AQ53&amp;"W/ "&amp;AR53&amp;"W/ "&amp;AS53&amp;"W",IF(L53=2,AQ53&amp;"W/ "&amp;AR53&amp;"W",AQ53&amp;"W"))</f>
        <v>30W/ 40W</v>
      </c>
      <c r="S53" s="309"/>
      <c r="T53" s="309"/>
      <c r="U53" s="309"/>
      <c r="V53" s="309"/>
      <c r="W53" s="309" t="str">
        <f>IF(AU53="900 &amp; 1800","900MHz &amp; 1800MHz",IF(AU53="900 &amp; 2100","900MHz &amp; 2100MHz",IF(AU53="1800 &amp; 2100","1800MHz &amp; 2100MHz",AU53&amp;"MHz")))</f>
        <v>1800MHz</v>
      </c>
      <c r="X53" s="309"/>
      <c r="Y53" s="309"/>
      <c r="Z53" s="309"/>
      <c r="AA53" s="309">
        <f>AV53</f>
        <v>15</v>
      </c>
      <c r="AB53" s="309"/>
      <c r="AC53" s="309"/>
      <c r="AD53" s="309"/>
      <c r="AE53" s="309"/>
      <c r="AF53" s="309"/>
      <c r="AI53" s="46" t="s">
        <v>5456</v>
      </c>
      <c r="AK53" s="46" t="s">
        <v>5715</v>
      </c>
      <c r="AL53" s="46"/>
      <c r="AN53" s="56" t="s">
        <v>5466</v>
      </c>
      <c r="AQ53" s="17">
        <v>30</v>
      </c>
      <c r="AR53" s="17">
        <v>40</v>
      </c>
      <c r="AS53" s="17">
        <v>40</v>
      </c>
      <c r="AU53" s="17">
        <v>1800</v>
      </c>
      <c r="AV53" s="17">
        <v>15</v>
      </c>
    </row>
    <row r="54" spans="2:48" ht="18.75" customHeight="1">
      <c r="B54" s="309"/>
      <c r="C54" s="309"/>
      <c r="D54" s="309"/>
      <c r="E54" s="309"/>
      <c r="F54" s="309"/>
      <c r="G54" s="309"/>
      <c r="H54" s="310"/>
      <c r="I54" s="310"/>
      <c r="J54" s="310"/>
      <c r="K54" s="310"/>
      <c r="L54" s="311"/>
      <c r="M54" s="311"/>
      <c r="N54" s="311"/>
      <c r="O54" s="309"/>
      <c r="P54" s="309"/>
      <c r="Q54" s="309"/>
      <c r="R54" s="309"/>
      <c r="S54" s="309"/>
      <c r="T54" s="309"/>
      <c r="U54" s="309"/>
      <c r="V54" s="309"/>
      <c r="W54" s="309"/>
      <c r="X54" s="309"/>
      <c r="Y54" s="309"/>
      <c r="Z54" s="309"/>
      <c r="AA54" s="309"/>
      <c r="AB54" s="309"/>
      <c r="AC54" s="309"/>
      <c r="AD54" s="309"/>
      <c r="AE54" s="309"/>
      <c r="AF54" s="309"/>
    </row>
    <row r="55" spans="2:48" ht="18.75" customHeight="1">
      <c r="B55" s="309"/>
      <c r="C55" s="309"/>
      <c r="D55" s="309"/>
      <c r="E55" s="309"/>
      <c r="F55" s="309"/>
      <c r="G55" s="309"/>
      <c r="H55" s="310"/>
      <c r="I55" s="310"/>
      <c r="J55" s="310"/>
      <c r="K55" s="310"/>
      <c r="L55" s="311"/>
      <c r="M55" s="311"/>
      <c r="N55" s="311"/>
      <c r="O55" s="309"/>
      <c r="P55" s="309"/>
      <c r="Q55" s="309"/>
      <c r="R55" s="309"/>
      <c r="S55" s="309"/>
      <c r="T55" s="309"/>
      <c r="U55" s="309"/>
      <c r="V55" s="309"/>
      <c r="W55" s="309"/>
      <c r="X55" s="309"/>
      <c r="Y55" s="309"/>
      <c r="Z55" s="309"/>
      <c r="AA55" s="309"/>
      <c r="AB55" s="309"/>
      <c r="AC55" s="309"/>
      <c r="AD55" s="309"/>
      <c r="AE55" s="309"/>
      <c r="AF55" s="309"/>
    </row>
    <row r="56" spans="2:48" ht="18.75" customHeight="1">
      <c r="B56" s="309"/>
      <c r="C56" s="309"/>
      <c r="D56" s="309"/>
      <c r="E56" s="309"/>
      <c r="F56" s="309"/>
      <c r="G56" s="309"/>
      <c r="H56" s="310"/>
      <c r="I56" s="310"/>
      <c r="J56" s="310"/>
      <c r="K56" s="310"/>
      <c r="L56" s="311"/>
      <c r="M56" s="311"/>
      <c r="N56" s="311"/>
      <c r="O56" s="309"/>
      <c r="P56" s="309"/>
      <c r="Q56" s="309"/>
      <c r="R56" s="309"/>
      <c r="S56" s="309"/>
      <c r="T56" s="309"/>
      <c r="U56" s="309"/>
      <c r="V56" s="309"/>
      <c r="W56" s="309"/>
      <c r="X56" s="309"/>
      <c r="Y56" s="309"/>
      <c r="Z56" s="309"/>
      <c r="AA56" s="309"/>
      <c r="AB56" s="309"/>
      <c r="AC56" s="309"/>
      <c r="AD56" s="309"/>
      <c r="AE56" s="309"/>
      <c r="AF56" s="309"/>
    </row>
    <row r="57" spans="2:48" ht="18.75" customHeight="1">
      <c r="B57" s="309" t="str">
        <f>AI57</f>
        <v>CÔNG TY CỔ PHẦN VIỄN THÔNG DI ĐỘNG TOÀN CẦU</v>
      </c>
      <c r="C57" s="309"/>
      <c r="D57" s="309"/>
      <c r="E57" s="309"/>
      <c r="F57" s="309"/>
      <c r="G57" s="309"/>
      <c r="H57" s="310" t="str">
        <f>AK57</f>
        <v>TB2</v>
      </c>
      <c r="I57" s="310"/>
      <c r="J57" s="310"/>
      <c r="K57" s="310"/>
      <c r="L57" s="311">
        <v>3</v>
      </c>
      <c r="M57" s="311"/>
      <c r="N57" s="311"/>
      <c r="O57" s="352" t="str">
        <f>AN57</f>
        <v>4/4/4</v>
      </c>
      <c r="P57" s="309"/>
      <c r="Q57" s="309"/>
      <c r="R57" s="309" t="str">
        <f>IF(L57=3,AQ57&amp;"W/ "&amp;AR57&amp;"W/ "&amp;AS57&amp;"W",IF(L57=2,AQ57&amp;"W/ "&amp;AR57&amp;"W",AQ57&amp;"W"))</f>
        <v>30W/ 40W/ 40W</v>
      </c>
      <c r="S57" s="309"/>
      <c r="T57" s="309"/>
      <c r="U57" s="309"/>
      <c r="V57" s="309"/>
      <c r="W57" s="309" t="str">
        <f>IF(AU57="900 &amp; 1800","900MHz &amp; 1800MHz",IF(AU57="900 &amp; 2100","900MHz &amp; 2100MHz",IF(AU57="1800 &amp; 2100","1800MHz &amp; 2100MHz",AU57&amp;"MHz")))</f>
        <v>9000 &amp; 1800MHz</v>
      </c>
      <c r="X57" s="309"/>
      <c r="Y57" s="309"/>
      <c r="Z57" s="309"/>
      <c r="AA57" s="309">
        <f>AV57</f>
        <v>15</v>
      </c>
      <c r="AB57" s="309"/>
      <c r="AC57" s="309"/>
      <c r="AD57" s="309"/>
      <c r="AE57" s="309"/>
      <c r="AF57" s="309"/>
      <c r="AI57" s="46" t="s">
        <v>5456</v>
      </c>
      <c r="AK57" s="46" t="s">
        <v>5715</v>
      </c>
      <c r="AL57" s="46"/>
      <c r="AN57" s="56" t="s">
        <v>5466</v>
      </c>
      <c r="AQ57" s="17">
        <v>30</v>
      </c>
      <c r="AR57" s="17">
        <v>40</v>
      </c>
      <c r="AS57" s="17">
        <v>40</v>
      </c>
      <c r="AU57" s="17" t="s">
        <v>5500</v>
      </c>
      <c r="AV57" s="17">
        <v>15</v>
      </c>
    </row>
    <row r="58" spans="2:48" ht="18.75" customHeight="1">
      <c r="B58" s="309"/>
      <c r="C58" s="309"/>
      <c r="D58" s="309"/>
      <c r="E58" s="309"/>
      <c r="F58" s="309"/>
      <c r="G58" s="309"/>
      <c r="H58" s="310"/>
      <c r="I58" s="310"/>
      <c r="J58" s="310"/>
      <c r="K58" s="310"/>
      <c r="L58" s="311"/>
      <c r="M58" s="311"/>
      <c r="N58" s="311"/>
      <c r="O58" s="309"/>
      <c r="P58" s="309"/>
      <c r="Q58" s="309"/>
      <c r="R58" s="309"/>
      <c r="S58" s="309"/>
      <c r="T58" s="309"/>
      <c r="U58" s="309"/>
      <c r="V58" s="309"/>
      <c r="W58" s="309"/>
      <c r="X58" s="309"/>
      <c r="Y58" s="309"/>
      <c r="Z58" s="309"/>
      <c r="AA58" s="309"/>
      <c r="AB58" s="309"/>
      <c r="AC58" s="309"/>
      <c r="AD58" s="309"/>
      <c r="AE58" s="309"/>
      <c r="AF58" s="309"/>
    </row>
    <row r="59" spans="2:48" ht="18.75" customHeight="1">
      <c r="B59" s="309"/>
      <c r="C59" s="309"/>
      <c r="D59" s="309"/>
      <c r="E59" s="309"/>
      <c r="F59" s="309"/>
      <c r="G59" s="309"/>
      <c r="H59" s="310"/>
      <c r="I59" s="310"/>
      <c r="J59" s="310"/>
      <c r="K59" s="310"/>
      <c r="L59" s="311"/>
      <c r="M59" s="311"/>
      <c r="N59" s="311"/>
      <c r="O59" s="309"/>
      <c r="P59" s="309"/>
      <c r="Q59" s="309"/>
      <c r="R59" s="309"/>
      <c r="S59" s="309"/>
      <c r="T59" s="309"/>
      <c r="U59" s="309"/>
      <c r="V59" s="309"/>
      <c r="W59" s="309"/>
      <c r="X59" s="309"/>
      <c r="Y59" s="309"/>
      <c r="Z59" s="309"/>
      <c r="AA59" s="309"/>
      <c r="AB59" s="309"/>
      <c r="AC59" s="309"/>
      <c r="AD59" s="309"/>
      <c r="AE59" s="309"/>
      <c r="AF59" s="309"/>
    </row>
    <row r="60" spans="2:48" ht="18.75" customHeight="1">
      <c r="B60" s="309"/>
      <c r="C60" s="309"/>
      <c r="D60" s="309"/>
      <c r="E60" s="309"/>
      <c r="F60" s="309"/>
      <c r="G60" s="309"/>
      <c r="H60" s="310"/>
      <c r="I60" s="310"/>
      <c r="J60" s="310"/>
      <c r="K60" s="310"/>
      <c r="L60" s="311"/>
      <c r="M60" s="311"/>
      <c r="N60" s="311"/>
      <c r="O60" s="309"/>
      <c r="P60" s="309"/>
      <c r="Q60" s="309"/>
      <c r="R60" s="309"/>
      <c r="S60" s="309"/>
      <c r="T60" s="309"/>
      <c r="U60" s="309"/>
      <c r="V60" s="309"/>
      <c r="W60" s="309"/>
      <c r="X60" s="309"/>
      <c r="Y60" s="309"/>
      <c r="Z60" s="309"/>
      <c r="AA60" s="309"/>
      <c r="AB60" s="309"/>
      <c r="AC60" s="309"/>
      <c r="AD60" s="309"/>
      <c r="AE60" s="309"/>
      <c r="AF60" s="309"/>
    </row>
    <row r="61" spans="2:48" ht="18.75" customHeight="1">
      <c r="B61" s="309" t="str">
        <f>AI61</f>
        <v>CÔNG TY CỔ PHẦN VIỄN THÔNG DI ĐỘNG TOÀN CẦU</v>
      </c>
      <c r="C61" s="309"/>
      <c r="D61" s="309"/>
      <c r="E61" s="309"/>
      <c r="F61" s="309"/>
      <c r="G61" s="309"/>
      <c r="H61" s="310" t="str">
        <f>AK61</f>
        <v>TB2</v>
      </c>
      <c r="I61" s="310"/>
      <c r="J61" s="310"/>
      <c r="K61" s="310"/>
      <c r="L61" s="311">
        <v>2</v>
      </c>
      <c r="M61" s="311"/>
      <c r="N61" s="311"/>
      <c r="O61" s="352" t="str">
        <f>AN61</f>
        <v>4/4/4</v>
      </c>
      <c r="P61" s="309"/>
      <c r="Q61" s="309"/>
      <c r="R61" s="309" t="str">
        <f>IF(L61=3,AQ61&amp;"W/ "&amp;AR61&amp;"W/ "&amp;AS61&amp;"W",IF(L61=2,AQ61&amp;"W/ "&amp;AR61&amp;"W",AQ61&amp;"W"))</f>
        <v>30W/ 40W</v>
      </c>
      <c r="S61" s="309"/>
      <c r="T61" s="309"/>
      <c r="U61" s="309"/>
      <c r="V61" s="309"/>
      <c r="W61" s="309" t="str">
        <f>IF(AU61="900 &amp; 1800","900MHz &amp; 1800MHz",IF(AU61="900 &amp; 2100","900MHz &amp; 2100MHz",IF(AU61="1800 &amp; 2100","1800MHz &amp; 2100MHz",AU61&amp;"MHz")))</f>
        <v>9000 &amp; 2100MHz</v>
      </c>
      <c r="X61" s="309"/>
      <c r="Y61" s="309"/>
      <c r="Z61" s="309"/>
      <c r="AA61" s="309">
        <f>AV61</f>
        <v>15</v>
      </c>
      <c r="AB61" s="309"/>
      <c r="AC61" s="309"/>
      <c r="AD61" s="309"/>
      <c r="AE61" s="309"/>
      <c r="AF61" s="309"/>
      <c r="AI61" s="46" t="s">
        <v>5456</v>
      </c>
      <c r="AK61" s="46" t="s">
        <v>5715</v>
      </c>
      <c r="AL61" s="46"/>
      <c r="AN61" s="56" t="s">
        <v>5466</v>
      </c>
      <c r="AQ61" s="17">
        <v>30</v>
      </c>
      <c r="AR61" s="17">
        <v>40</v>
      </c>
      <c r="AS61" s="17">
        <v>40</v>
      </c>
      <c r="AU61" s="17" t="s">
        <v>5501</v>
      </c>
      <c r="AV61" s="17">
        <v>15</v>
      </c>
    </row>
    <row r="62" spans="2:48" ht="18.75" customHeight="1">
      <c r="B62" s="309"/>
      <c r="C62" s="309"/>
      <c r="D62" s="309"/>
      <c r="E62" s="309"/>
      <c r="F62" s="309"/>
      <c r="G62" s="309"/>
      <c r="H62" s="310"/>
      <c r="I62" s="310"/>
      <c r="J62" s="310"/>
      <c r="K62" s="310"/>
      <c r="L62" s="311"/>
      <c r="M62" s="311"/>
      <c r="N62" s="311"/>
      <c r="O62" s="309"/>
      <c r="P62" s="309"/>
      <c r="Q62" s="309"/>
      <c r="R62" s="309"/>
      <c r="S62" s="309"/>
      <c r="T62" s="309"/>
      <c r="U62" s="309"/>
      <c r="V62" s="309"/>
      <c r="W62" s="309"/>
      <c r="X62" s="309"/>
      <c r="Y62" s="309"/>
      <c r="Z62" s="309"/>
      <c r="AA62" s="309"/>
      <c r="AB62" s="309"/>
      <c r="AC62" s="309"/>
      <c r="AD62" s="309"/>
      <c r="AE62" s="309"/>
      <c r="AF62" s="309"/>
    </row>
    <row r="63" spans="2:48" ht="18.75" customHeight="1">
      <c r="B63" s="309"/>
      <c r="C63" s="309"/>
      <c r="D63" s="309"/>
      <c r="E63" s="309"/>
      <c r="F63" s="309"/>
      <c r="G63" s="309"/>
      <c r="H63" s="310"/>
      <c r="I63" s="310"/>
      <c r="J63" s="310"/>
      <c r="K63" s="310"/>
      <c r="L63" s="311"/>
      <c r="M63" s="311"/>
      <c r="N63" s="311"/>
      <c r="O63" s="309"/>
      <c r="P63" s="309"/>
      <c r="Q63" s="309"/>
      <c r="R63" s="309"/>
      <c r="S63" s="309"/>
      <c r="T63" s="309"/>
      <c r="U63" s="309"/>
      <c r="V63" s="309"/>
      <c r="W63" s="309"/>
      <c r="X63" s="309"/>
      <c r="Y63" s="309"/>
      <c r="Z63" s="309"/>
      <c r="AA63" s="309"/>
      <c r="AB63" s="309"/>
      <c r="AC63" s="309"/>
      <c r="AD63" s="309"/>
      <c r="AE63" s="309"/>
      <c r="AF63" s="309"/>
    </row>
    <row r="64" spans="2:48" ht="18.75" customHeight="1">
      <c r="B64" s="309"/>
      <c r="C64" s="309"/>
      <c r="D64" s="309"/>
      <c r="E64" s="309"/>
      <c r="F64" s="309"/>
      <c r="G64" s="309"/>
      <c r="H64" s="310"/>
      <c r="I64" s="310"/>
      <c r="J64" s="310"/>
      <c r="K64" s="310"/>
      <c r="L64" s="311"/>
      <c r="M64" s="311"/>
      <c r="N64" s="311"/>
      <c r="O64" s="309"/>
      <c r="P64" s="309"/>
      <c r="Q64" s="309"/>
      <c r="R64" s="309"/>
      <c r="S64" s="309"/>
      <c r="T64" s="309"/>
      <c r="U64" s="309"/>
      <c r="V64" s="309"/>
      <c r="W64" s="309"/>
      <c r="X64" s="309"/>
      <c r="Y64" s="309"/>
      <c r="Z64" s="309"/>
      <c r="AA64" s="309"/>
      <c r="AB64" s="309"/>
      <c r="AC64" s="309"/>
      <c r="AD64" s="309"/>
      <c r="AE64" s="309"/>
      <c r="AF64" s="309"/>
    </row>
    <row r="65" spans="2:50" ht="18.75" customHeight="1">
      <c r="B65" s="309" t="str">
        <f>AI65</f>
        <v>CÔNG TY CỔ PHẦN VIỄN THÔNG DI ĐỘNG TOÀN CẦU</v>
      </c>
      <c r="C65" s="309"/>
      <c r="D65" s="309"/>
      <c r="E65" s="309"/>
      <c r="F65" s="309"/>
      <c r="G65" s="309"/>
      <c r="H65" s="310" t="str">
        <f>AK65</f>
        <v>TB2</v>
      </c>
      <c r="I65" s="310"/>
      <c r="J65" s="310"/>
      <c r="K65" s="310"/>
      <c r="L65" s="311">
        <v>1</v>
      </c>
      <c r="M65" s="311"/>
      <c r="N65" s="311"/>
      <c r="O65" s="352" t="str">
        <f>AN65</f>
        <v>4/4/4</v>
      </c>
      <c r="P65" s="309"/>
      <c r="Q65" s="309"/>
      <c r="R65" s="309" t="str">
        <f>IF(L65=3,AQ65&amp;"W/ "&amp;AR65&amp;"W/ "&amp;AS65&amp;"W",IF(L65=2,AQ65&amp;"W/ "&amp;AR65&amp;"W",AQ65&amp;"W"))</f>
        <v>30W</v>
      </c>
      <c r="S65" s="309"/>
      <c r="T65" s="309"/>
      <c r="U65" s="309"/>
      <c r="V65" s="309"/>
      <c r="W65" s="309" t="str">
        <f>IF(AU65="900 &amp; 1800","900MHz &amp; 1800MHz",IF(AU65="900 &amp; 2100","900MHz &amp; 2100MHz",IF(AU65="1800 &amp; 2100","1800MHz &amp; 2100MHz",AU65&amp;"MHz")))</f>
        <v>1800MHz &amp; 2100MHz</v>
      </c>
      <c r="X65" s="309"/>
      <c r="Y65" s="309"/>
      <c r="Z65" s="309"/>
      <c r="AA65" s="309">
        <f>AV65</f>
        <v>15</v>
      </c>
      <c r="AB65" s="309"/>
      <c r="AC65" s="309"/>
      <c r="AD65" s="309"/>
      <c r="AE65" s="309"/>
      <c r="AF65" s="309"/>
      <c r="AI65" s="46" t="s">
        <v>5456</v>
      </c>
      <c r="AK65" s="46" t="s">
        <v>5715</v>
      </c>
      <c r="AL65" s="46"/>
      <c r="AN65" s="56" t="s">
        <v>5466</v>
      </c>
      <c r="AQ65" s="17">
        <v>30</v>
      </c>
      <c r="AR65" s="17">
        <v>40</v>
      </c>
      <c r="AS65" s="17">
        <v>40</v>
      </c>
      <c r="AU65" s="17" t="s">
        <v>5502</v>
      </c>
      <c r="AV65" s="17">
        <v>15</v>
      </c>
      <c r="AW65" s="17">
        <v>16</v>
      </c>
      <c r="AX65" s="17">
        <v>17</v>
      </c>
    </row>
    <row r="66" spans="2:50" ht="18.75" customHeight="1">
      <c r="B66" s="309"/>
      <c r="C66" s="309"/>
      <c r="D66" s="309"/>
      <c r="E66" s="309"/>
      <c r="F66" s="309"/>
      <c r="G66" s="309"/>
      <c r="H66" s="310"/>
      <c r="I66" s="310"/>
      <c r="J66" s="310"/>
      <c r="K66" s="310"/>
      <c r="L66" s="311"/>
      <c r="M66" s="311"/>
      <c r="N66" s="311"/>
      <c r="O66" s="309"/>
      <c r="P66" s="309"/>
      <c r="Q66" s="309"/>
      <c r="R66" s="309"/>
      <c r="S66" s="309"/>
      <c r="T66" s="309"/>
      <c r="U66" s="309"/>
      <c r="V66" s="309"/>
      <c r="W66" s="309"/>
      <c r="X66" s="309"/>
      <c r="Y66" s="309"/>
      <c r="Z66" s="309"/>
      <c r="AA66" s="309"/>
      <c r="AB66" s="309"/>
      <c r="AC66" s="309"/>
      <c r="AD66" s="309"/>
      <c r="AE66" s="309"/>
      <c r="AF66" s="309"/>
    </row>
    <row r="67" spans="2:50" ht="18.75" customHeight="1">
      <c r="B67" s="309"/>
      <c r="C67" s="309"/>
      <c r="D67" s="309"/>
      <c r="E67" s="309"/>
      <c r="F67" s="309"/>
      <c r="G67" s="309"/>
      <c r="H67" s="310"/>
      <c r="I67" s="310"/>
      <c r="J67" s="310"/>
      <c r="K67" s="310"/>
      <c r="L67" s="311"/>
      <c r="M67" s="311"/>
      <c r="N67" s="311"/>
      <c r="O67" s="309"/>
      <c r="P67" s="309"/>
      <c r="Q67" s="309"/>
      <c r="R67" s="309"/>
      <c r="S67" s="309"/>
      <c r="T67" s="309"/>
      <c r="U67" s="309"/>
      <c r="V67" s="309"/>
      <c r="W67" s="309"/>
      <c r="X67" s="309"/>
      <c r="Y67" s="309"/>
      <c r="Z67" s="309"/>
      <c r="AA67" s="309"/>
      <c r="AB67" s="309"/>
      <c r="AC67" s="309"/>
      <c r="AD67" s="309"/>
      <c r="AE67" s="309"/>
      <c r="AF67" s="309"/>
    </row>
    <row r="68" spans="2:50" ht="18.75" customHeight="1">
      <c r="B68" s="309"/>
      <c r="C68" s="309"/>
      <c r="D68" s="309"/>
      <c r="E68" s="309"/>
      <c r="F68" s="309"/>
      <c r="G68" s="309"/>
      <c r="H68" s="310"/>
      <c r="I68" s="310"/>
      <c r="J68" s="310"/>
      <c r="K68" s="310"/>
      <c r="L68" s="311"/>
      <c r="M68" s="311"/>
      <c r="N68" s="311"/>
      <c r="O68" s="309"/>
      <c r="P68" s="309"/>
      <c r="Q68" s="309"/>
      <c r="R68" s="309"/>
      <c r="S68" s="309"/>
      <c r="T68" s="309"/>
      <c r="U68" s="309"/>
      <c r="V68" s="309"/>
      <c r="W68" s="309"/>
      <c r="X68" s="309"/>
      <c r="Y68" s="309"/>
      <c r="Z68" s="309"/>
      <c r="AA68" s="309"/>
      <c r="AB68" s="309"/>
      <c r="AC68" s="309"/>
      <c r="AD68" s="309"/>
      <c r="AE68" s="309"/>
      <c r="AF68" s="309"/>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27:AA27"/>
    <mergeCell ref="AB21:AF21"/>
    <mergeCell ref="C30:AF31"/>
    <mergeCell ref="W26:AA26"/>
    <mergeCell ref="AB26:AF26"/>
    <mergeCell ref="M25:Q25"/>
    <mergeCell ref="C25:L25"/>
    <mergeCell ref="C22:L22"/>
    <mergeCell ref="C23:L23"/>
    <mergeCell ref="M26:Q26"/>
    <mergeCell ref="C21:L21"/>
    <mergeCell ref="AB25:AF25"/>
    <mergeCell ref="AB24:AF24"/>
    <mergeCell ref="C24:L24"/>
    <mergeCell ref="W21:AA21"/>
    <mergeCell ref="M19:AF19"/>
    <mergeCell ref="W25:AA25"/>
    <mergeCell ref="M21:Q21"/>
    <mergeCell ref="R21:V21"/>
    <mergeCell ref="M23:Q23"/>
    <mergeCell ref="M24:Q24"/>
    <mergeCell ref="C19:L19"/>
    <mergeCell ref="C20:AF20"/>
    <mergeCell ref="AA45:AF48"/>
    <mergeCell ref="L49:N52"/>
    <mergeCell ref="O49:Q52"/>
    <mergeCell ref="L45:N48"/>
    <mergeCell ref="O45:Q48"/>
    <mergeCell ref="R45:V48"/>
    <mergeCell ref="W45:Z48"/>
    <mergeCell ref="R26:V26"/>
    <mergeCell ref="C37:G37"/>
    <mergeCell ref="B49:G52"/>
    <mergeCell ref="H49:K52"/>
    <mergeCell ref="H45:K48"/>
    <mergeCell ref="B43:G48"/>
    <mergeCell ref="H43:AF44"/>
    <mergeCell ref="C35:G35"/>
    <mergeCell ref="C36:G36"/>
    <mergeCell ref="C34:G34"/>
    <mergeCell ref="I37:M37"/>
    <mergeCell ref="T35:AF35"/>
    <mergeCell ref="I35:O35"/>
    <mergeCell ref="I34:O34"/>
    <mergeCell ref="C32:AF33"/>
    <mergeCell ref="C26:L26"/>
    <mergeCell ref="T34:AF34"/>
    <mergeCell ref="C28:AF29"/>
    <mergeCell ref="T40:AE40"/>
    <mergeCell ref="T41:AF41"/>
    <mergeCell ref="I36:M36"/>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Operator</vt:lpstr>
      <vt:lpstr>Applicant</vt:lpstr>
      <vt:lpstr>InCaseOf</vt:lpstr>
      <vt:lpstr>Lab</vt:lpstr>
      <vt:lpstr>Area</vt:lpstr>
      <vt:lpstr>Equipment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2020-11-09T05:34:13Z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