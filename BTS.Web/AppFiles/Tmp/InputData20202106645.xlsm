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<sst xmlns="http://schemas.openxmlformats.org/spreadsheetml/2006/main" count="6614" uniqueCount="6614">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</sst>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542">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tabSelected="1" workbookViewId="0">
      <selection activeCell="D1" sqref="D1:H1048576"/>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02BD8FF8-C6B3-424C-A1AC-A8C200A24609}">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416698CC-F517-4533-9D82-109B7FEA74DA}"/>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55C078A7-179C-4F51-94A4-69F924762046}">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7B00E999-DEF6-47E5-A35F-F13FF3B6DEF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518" priority="24" stopIfTrue="1" operator="notEqual">
      <formula>3</formula>
    </cfRule>
  </conditionalFormatting>
  <conditionalFormatting sqref="GA2:GC5">
    <cfRule type="cellIs" dxfId="518"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518" priority="10" stopIfTrue="1" operator="notEqual">
      <formula>3</formula>
    </cfRule>
  </conditionalFormatting>
  <conditionalFormatting sqref="GA1:GC1">
    <cfRule type="cellIs" dxfId="518"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topLeftCell="O1" zoomScale="70" zoomScaleNormal="70" workbookViewId="0">
      <selection activeCell="U1" sqref="U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693</v>
      </c>
      <c r="B1" s="666"/>
      <c r="C1" s="666"/>
      <c r="D1" s="666"/>
      <c r="E1" s="666"/>
      <c r="F1" s="666"/>
      <c r="G1" s="666"/>
      <c r="H1" s="666"/>
      <c r="I1" s="666"/>
      <c r="J1" s="666"/>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93" t="s">
        <v>696</v>
      </c>
      <c r="O2" s="693"/>
      <c r="P2" s="693"/>
      <c r="Q2" s="693"/>
      <c r="R2" s="693"/>
      <c r="S2" s="693"/>
      <c r="T2" s="693"/>
      <c r="U2" s="693"/>
      <c r="V2" s="693"/>
      <c r="W2" s="693"/>
      <c r="X2" s="693"/>
      <c r="Y2" s="693"/>
      <c r="Z2" s="693"/>
    </row>
    <row r="3" ht="16.5">
      <c r="A3" s="667" t="s">
        <v>697</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698</v>
      </c>
      <c r="AF4" s="236">
        <f>DAY(AE4)</f>
        <v>27</v>
      </c>
      <c r="AG4" s="236">
        <f>MONTH(AE4)</f>
        <v>2</v>
      </c>
      <c r="AH4" s="236">
        <f>YEAR(AE4)</f>
        <v>2019</v>
      </c>
    </row>
    <row r="6" ht="8.25" customHeight="1">
      <c r="O6" s="237"/>
    </row>
    <row r="7" ht="18.75">
      <c r="C7" s="672" t="s">
        <v>699</v>
      </c>
      <c r="D7" s="672"/>
      <c r="E7" s="672"/>
      <c r="F7" s="672"/>
      <c r="G7" s="672"/>
      <c r="H7" s="672"/>
      <c r="I7" s="672"/>
      <c r="J7" s="672"/>
      <c r="K7" s="672"/>
      <c r="L7" s="672"/>
      <c r="M7" s="672"/>
      <c r="N7" s="672"/>
      <c r="O7" s="672"/>
      <c r="P7" s="672"/>
      <c r="Q7" s="672"/>
      <c r="R7" s="672"/>
      <c r="S7" s="672"/>
      <c r="T7" s="672"/>
      <c r="U7" s="672"/>
      <c r="V7" s="672"/>
      <c r="W7" s="672"/>
      <c r="X7" s="672"/>
    </row>
    <row r="8" ht="18.75">
      <c r="C8" s="672" t="s">
        <v>700</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701</v>
      </c>
    </row>
    <row r="11" ht="15.75" customHeight="1">
      <c r="A11" s="241"/>
      <c r="B11" s="241"/>
      <c r="D11" s="671" t="s">
        <v>702</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703</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704</v>
      </c>
      <c r="E13" s="241"/>
      <c r="F13" s="241"/>
      <c r="G13" s="671" t="str">
        <f>AD13</f>
        <v>08 38662387</v>
      </c>
      <c r="H13" s="671"/>
      <c r="I13" s="671"/>
      <c r="J13" s="671"/>
      <c r="K13" s="671"/>
      <c r="L13" s="671"/>
      <c r="M13" s="671"/>
      <c r="N13" s="241"/>
      <c r="O13" s="241" t="s">
        <v>705</v>
      </c>
      <c r="P13" s="241"/>
      <c r="Q13" s="671" t="str">
        <f>AH13</f>
        <v>08 38662388</v>
      </c>
      <c r="R13" s="671"/>
      <c r="S13" s="671"/>
      <c r="T13" s="671"/>
      <c r="U13" s="671"/>
      <c r="V13" s="671"/>
      <c r="W13" s="671"/>
      <c r="X13" s="241"/>
      <c r="Y13" s="241"/>
      <c r="Z13" s="241"/>
      <c r="AD13" s="236" t="s">
        <v>706</v>
      </c>
      <c r="AH13" s="236" t="s">
        <v>707</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708</v>
      </c>
      <c r="AE14" s="240" t="s">
        <v>709</v>
      </c>
      <c r="AF14" s="236">
        <f>DAY(AE14)</f>
        <v>25</v>
      </c>
      <c r="AG14" s="236">
        <f>MONTH(AE14)</f>
        <v>12</v>
      </c>
      <c r="AH14" s="236">
        <f>YEAR(AE14)</f>
        <v>2013</v>
      </c>
    </row>
    <row r="15" ht="87.75" customHeight="1">
      <c r="A15" s="669" t="s">
        <v>710</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711</v>
      </c>
      <c r="E16" s="680"/>
      <c r="F16" s="680"/>
      <c r="G16" s="680"/>
      <c r="H16" s="680"/>
      <c r="I16" s="680"/>
      <c r="J16" s="680"/>
      <c r="K16" s="680"/>
      <c r="L16" s="680"/>
      <c r="M16" s="680"/>
      <c r="N16" s="681"/>
      <c r="O16" s="678" t="s">
        <v>712</v>
      </c>
      <c r="P16" s="678"/>
      <c r="Q16" s="678"/>
      <c r="R16" s="678" t="s">
        <v>713</v>
      </c>
      <c r="S16" s="678"/>
      <c r="T16" s="678"/>
      <c r="U16" s="678" t="s">
        <v>714</v>
      </c>
      <c r="V16" s="678"/>
      <c r="W16" s="678"/>
      <c r="X16" s="678"/>
      <c r="Y16" s="678"/>
    </row>
    <row r="17" ht="18.75" customHeight="1">
      <c r="B17" s="690">
        <v>1</v>
      </c>
      <c r="C17" s="691"/>
      <c r="D17" s="682" t="s">
        <v>715</v>
      </c>
      <c r="E17" s="683"/>
      <c r="F17" s="683"/>
      <c r="G17" s="683"/>
      <c r="H17" s="683"/>
      <c r="I17" s="683"/>
      <c r="J17" s="683"/>
      <c r="K17" s="683"/>
      <c r="L17" s="683"/>
      <c r="M17" s="683"/>
      <c r="N17" s="683"/>
      <c r="O17" s="684">
        <v>50000</v>
      </c>
      <c r="P17" s="685"/>
      <c r="Q17" s="686"/>
      <c r="R17" s="675">
        <f>AD17</f>
        <v>4</v>
      </c>
      <c r="S17" s="676"/>
      <c r="T17" s="677"/>
      <c r="U17" s="684">
        <f>O17*R17</f>
        <v>200000</v>
      </c>
      <c r="V17" s="685"/>
      <c r="W17" s="685"/>
      <c r="X17" s="685"/>
      <c r="Y17" s="686"/>
      <c r="AD17" s="236">
        <v>4</v>
      </c>
    </row>
    <row r="18" ht="18.75" customHeight="1">
      <c r="B18" s="679" t="s">
        <v>716</v>
      </c>
      <c r="C18" s="680"/>
      <c r="D18" s="680"/>
      <c r="E18" s="680"/>
      <c r="F18" s="680"/>
      <c r="G18" s="680"/>
      <c r="H18" s="680"/>
      <c r="I18" s="680"/>
      <c r="J18" s="680"/>
      <c r="K18" s="680"/>
      <c r="L18" s="680"/>
      <c r="M18" s="680"/>
      <c r="N18" s="680"/>
      <c r="O18" s="680"/>
      <c r="P18" s="680"/>
      <c r="Q18" s="680"/>
      <c r="R18" s="680"/>
      <c r="S18" s="680"/>
      <c r="T18" s="681"/>
      <c r="U18" s="687">
        <f>U17</f>
        <v>200000</v>
      </c>
      <c r="V18" s="688"/>
      <c r="W18" s="688"/>
      <c r="X18" s="688"/>
      <c r="Y18" s="689"/>
      <c r="AD18" s="243">
        <f>U18</f>
        <v>200000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717</v>
      </c>
    </row>
    <row r="20" ht="7.5" customHeight="1"/>
    <row r="21" ht="18" customHeight="1">
      <c r="B21" s="674" t="s">
        <v>718</v>
      </c>
      <c r="C21" s="674"/>
      <c r="D21" s="674"/>
      <c r="E21" s="674"/>
      <c r="F21" s="674"/>
      <c r="G21" s="674"/>
      <c r="H21" s="674"/>
      <c r="I21" s="674"/>
      <c r="J21" s="674" t="s">
        <v>719</v>
      </c>
      <c r="K21" s="674"/>
      <c r="L21" s="674"/>
      <c r="M21" s="674"/>
      <c r="N21" s="674"/>
      <c r="O21" s="674"/>
      <c r="P21" s="674"/>
      <c r="Q21" s="674"/>
      <c r="R21" s="674"/>
      <c r="S21" s="674"/>
      <c r="T21" s="674"/>
      <c r="U21" s="674"/>
      <c r="V21" s="674"/>
      <c r="W21" s="674"/>
      <c r="X21" s="674"/>
      <c r="Y21" s="674"/>
    </row>
    <row r="22" ht="18.75" customHeight="1">
      <c r="B22" s="674" t="s">
        <v>720</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721</v>
      </c>
      <c r="K23" s="674"/>
      <c r="L23" s="674"/>
      <c r="M23" s="674"/>
      <c r="N23" s="674"/>
      <c r="O23" s="674"/>
      <c r="P23" s="674"/>
      <c r="Q23" s="674"/>
      <c r="R23" s="674"/>
      <c r="S23" s="674"/>
      <c r="T23" s="674"/>
      <c r="U23" s="674"/>
      <c r="V23" s="674"/>
      <c r="W23" s="674"/>
      <c r="X23" s="674"/>
      <c r="Y23" s="674"/>
    </row>
    <row r="24" ht="16.5" customHeight="1">
      <c r="B24" s="674" t="s">
        <v>722</v>
      </c>
      <c r="C24" s="674"/>
      <c r="D24" s="674"/>
      <c r="E24" s="674"/>
      <c r="F24" s="674"/>
      <c r="G24" s="674"/>
      <c r="H24" s="674"/>
      <c r="I24" s="674"/>
      <c r="J24" s="674" t="s">
        <v>723</v>
      </c>
      <c r="K24" s="674"/>
      <c r="L24" s="674"/>
      <c r="M24" s="674"/>
      <c r="N24" s="674"/>
      <c r="O24" s="674"/>
      <c r="P24" s="674"/>
      <c r="Q24" s="674"/>
      <c r="R24" s="674"/>
      <c r="S24" s="674"/>
      <c r="T24" s="674"/>
      <c r="U24" s="674"/>
      <c r="V24" s="674"/>
      <c r="W24" s="674"/>
      <c r="X24" s="674"/>
      <c r="Y24" s="674"/>
    </row>
    <row r="25" ht="17.25" customHeight="1">
      <c r="J25" s="674" t="s">
        <v>724</v>
      </c>
      <c r="K25" s="674"/>
      <c r="L25" s="674"/>
      <c r="M25" s="674"/>
      <c r="N25" s="674"/>
      <c r="O25" s="674"/>
      <c r="P25" s="674"/>
      <c r="Q25" s="674"/>
      <c r="R25" s="674"/>
      <c r="S25" s="674"/>
      <c r="T25" s="674"/>
      <c r="U25" s="674"/>
      <c r="V25" s="674"/>
      <c r="W25" s="674"/>
      <c r="X25" s="674"/>
      <c r="Y25" s="674"/>
    </row>
    <row r="26" ht="47.25" customHeight="1">
      <c r="A26" s="668" t="s">
        <v>725</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726</v>
      </c>
      <c r="AF27" s="244"/>
      <c r="AG27" s="236" t="s">
        <v>727</v>
      </c>
      <c r="AI27" s="244" t="s">
        <v>728</v>
      </c>
      <c r="AK27" s="244"/>
      <c r="AL27" s="244"/>
      <c r="AN27" s="244"/>
      <c r="AO27" s="244"/>
      <c r="AP27" s="244"/>
      <c r="AQ27" s="244"/>
      <c r="AR27" s="244"/>
    </row>
    <row r="28" ht="16.5">
      <c r="A28" s="695" t="s">
        <v>729</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695</v>
      </c>
      <c r="C1" s="736"/>
      <c r="D1" s="736"/>
      <c r="E1" s="736"/>
      <c r="F1" s="736"/>
      <c r="G1" s="736"/>
      <c r="H1" s="736"/>
      <c r="I1" s="736"/>
      <c r="J1" s="736"/>
      <c r="K1" s="736"/>
      <c r="L1" s="736"/>
      <c r="M1" s="736"/>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N2" s="265"/>
      <c r="P2" s="728" t="s">
        <v>696</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6433</v>
      </c>
    </row>
    <row r="17" ht="19.5" customHeight="1">
      <c r="C17" s="711" t="s">
        <v>741</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6438</v>
      </c>
      <c r="AK21" s="278" t="s">
        <v>6439</v>
      </c>
      <c r="AO21" s="278" t="s">
        <v>6440</v>
      </c>
      <c r="AS21" s="278" t="s">
        <v>6441</v>
      </c>
    </row>
    <row r="22" ht="19.7" customHeight="1">
      <c r="C22" s="723" t="s">
        <v>6442</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6443</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588</v>
      </c>
      <c r="AH23" s="289"/>
      <c r="AI23" s="289"/>
      <c r="AJ23" s="289"/>
      <c r="AK23" s="288" t="s">
        <v>6444</v>
      </c>
      <c r="AL23" s="289"/>
      <c r="AM23" s="289"/>
      <c r="AN23" s="289"/>
      <c r="AO23" s="288" t="s">
        <v>6445</v>
      </c>
      <c r="AP23" s="289"/>
      <c r="AQ23" s="289"/>
      <c r="AR23" s="289"/>
      <c r="AS23" s="288" t="s">
        <v>6446</v>
      </c>
    </row>
    <row r="24" ht="19.7"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6450</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6475</v>
      </c>
    </row>
    <row r="26" ht="33.95" customHeight="1">
      <c r="C26" s="714" t="s">
        <v>6452</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726</v>
      </c>
      <c r="AN34" s="244" t="s">
        <v>727</v>
      </c>
      <c r="AR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730</v>
      </c>
      <c r="AR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6433</v>
      </c>
    </row>
    <row r="17" ht="21" customHeight="1">
      <c r="C17" s="711" t="s">
        <v>741</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960</v>
      </c>
      <c r="AK21" s="278" t="s">
        <v>960</v>
      </c>
      <c r="AO21" s="278" t="s">
        <v>6440</v>
      </c>
      <c r="AS21" s="278" t="s">
        <v>6441</v>
      </c>
    </row>
    <row r="22" ht="19.7" customHeight="1">
      <c r="C22" s="723" t="s">
        <v>6442</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6443</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14" t="s">
        <v>6450</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6451</v>
      </c>
    </row>
    <row r="26" ht="33.95" customHeight="1">
      <c r="C26" s="714" t="s">
        <v>6478</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700</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6433</v>
      </c>
      <c r="AH16" s="781"/>
      <c r="AI16" s="781"/>
      <c r="AJ16" s="781"/>
      <c r="AK16" s="781"/>
      <c r="AL16" s="781"/>
      <c r="AM16" s="781"/>
      <c r="AN16" s="781"/>
      <c r="AO16" s="781"/>
      <c r="AP16" s="781"/>
      <c r="AQ16" s="781"/>
      <c r="AR16" s="781"/>
      <c r="AS16" s="781"/>
      <c r="AT16" s="781"/>
      <c r="AU16" s="781"/>
      <c r="AV16" s="781"/>
      <c r="AW16" s="781"/>
    </row>
    <row r="17" ht="23.25" customHeight="1">
      <c r="C17" s="775" t="s">
        <v>741</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6434</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6476</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6435</v>
      </c>
    </row>
    <row r="20" ht="20.2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6437</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960</v>
      </c>
      <c r="AK21" s="278" t="s">
        <v>6439</v>
      </c>
      <c r="AO21" s="278" t="s">
        <v>6440</v>
      </c>
      <c r="AS21" s="278" t="s">
        <v>6441</v>
      </c>
    </row>
    <row r="22" ht="19.7" customHeight="1">
      <c r="C22" s="767" t="s">
        <v>6442</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6443</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588</v>
      </c>
      <c r="AH23" s="289"/>
      <c r="AI23" s="289"/>
      <c r="AJ23" s="289"/>
      <c r="AK23" s="288" t="s">
        <v>6444</v>
      </c>
      <c r="AL23" s="289"/>
      <c r="AM23" s="289"/>
      <c r="AN23" s="289"/>
      <c r="AO23" s="288" t="s">
        <v>6445</v>
      </c>
      <c r="AP23" s="289"/>
      <c r="AQ23" s="289"/>
      <c r="AR23" s="289"/>
      <c r="AS23" s="288" t="s">
        <v>6446</v>
      </c>
    </row>
    <row r="24" ht="31.35" customHeight="1">
      <c r="C24" s="767" t="s">
        <v>6447</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6450</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6451</v>
      </c>
    </row>
    <row r="26" ht="31.35" customHeight="1">
      <c r="C26" s="771" t="s">
        <v>6477</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305"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695</v>
      </c>
      <c r="C1" s="736"/>
      <c r="D1" s="736"/>
      <c r="E1" s="736"/>
      <c r="F1" s="736"/>
      <c r="G1" s="736"/>
      <c r="H1" s="736"/>
      <c r="I1" s="736"/>
      <c r="J1" s="736"/>
      <c r="K1" s="736"/>
      <c r="L1" s="736"/>
      <c r="M1" s="736"/>
      <c r="N1" s="736"/>
      <c r="O1" s="277"/>
      <c r="P1" s="727" t="s">
        <v>6427</v>
      </c>
      <c r="Q1" s="727"/>
      <c r="R1" s="727"/>
      <c r="S1" s="727"/>
      <c r="T1" s="727"/>
      <c r="U1" s="727"/>
      <c r="V1" s="727"/>
      <c r="W1" s="727"/>
      <c r="X1" s="727"/>
      <c r="Y1" s="727"/>
      <c r="Z1" s="727"/>
      <c r="AA1" s="727"/>
      <c r="AB1" s="727"/>
      <c r="AC1" s="727"/>
      <c r="AD1" s="727"/>
      <c r="AE1" s="727"/>
    </row>
    <row r="2" ht="19.7" customHeight="1">
      <c r="C2" s="736" t="s">
        <v>697</v>
      </c>
      <c r="D2" s="736"/>
      <c r="E2" s="736"/>
      <c r="F2" s="736"/>
      <c r="G2" s="736"/>
      <c r="H2" s="736"/>
      <c r="I2" s="736"/>
      <c r="J2" s="736"/>
      <c r="K2" s="736"/>
      <c r="L2" s="736"/>
      <c r="M2" s="736"/>
      <c r="N2" s="300"/>
      <c r="O2" s="277"/>
      <c r="P2" s="737" t="s">
        <v>6428</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700</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6433</v>
      </c>
    </row>
    <row r="17" ht="22.5" customHeight="1">
      <c r="C17" s="788" t="s">
        <v>741</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6434</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6435</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6435</v>
      </c>
    </row>
    <row r="20" ht="18.7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6437</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6438</v>
      </c>
      <c r="AM21" s="278" t="s">
        <v>6439</v>
      </c>
      <c r="AQ21" s="278" t="s">
        <v>6440</v>
      </c>
      <c r="AU21" s="278" t="s">
        <v>6441</v>
      </c>
    </row>
    <row r="22" ht="17.1" customHeight="1">
      <c r="C22" s="771" t="s">
        <v>6442</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6443</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1" t="s">
        <v>6447</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1" t="s">
        <v>6450</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1" t="s">
        <v>6452</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6453</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6454</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730</v>
      </c>
      <c r="AS35" s="244" t="s">
        <v>731</v>
      </c>
    </row>
    <row r="36" ht="17.1" customHeight="1">
      <c r="C36" s="742" t="s">
        <v>6461</v>
      </c>
      <c r="D36" s="742"/>
      <c r="E36" s="742"/>
      <c r="F36" s="742"/>
      <c r="G36" s="742"/>
      <c r="H36" s="293" t="s">
        <v>6459</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6462</v>
      </c>
      <c r="D37" s="742"/>
      <c r="E37" s="742"/>
      <c r="F37" s="742"/>
      <c r="G37" s="742"/>
      <c r="H37" s="293" t="s">
        <v>6459</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2020-07-24T08:20:51Z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